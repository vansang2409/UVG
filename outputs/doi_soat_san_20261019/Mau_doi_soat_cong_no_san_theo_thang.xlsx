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306d9e927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hop" sheetId="1" r:id="R53ab0696671f4c18"/>
    <x:sheet xmlns:r="http://schemas.openxmlformats.org/officeDocument/2006/relationships" name="Don_hang" sheetId="2" r:id="Rd1f858a2ec274822"/>
    <x:sheet xmlns:r="http://schemas.openxmlformats.org/officeDocument/2006/relationships" name="Giao_dich_san" sheetId="3" r:id="R325c186a9ddc4308"/>
    <x:sheet xmlns:r="http://schemas.openxmlformats.org/officeDocument/2006/relationships" name="Chuyen_tien" sheetId="4" r:id="R029bc90156dd44dc"/>
    <x:sheet xmlns:r="http://schemas.openxmlformats.org/officeDocument/2006/relationships" name="Ngan_hang" sheetId="5" r:id="Rbfc27727c3ae4a1e"/>
    <x:sheet xmlns:r="http://schemas.openxmlformats.org/officeDocument/2006/relationships" name="So_du" sheetId="6" r:id="R099d6b592a3441af"/>
    <x:sheet xmlns:r="http://schemas.openxmlformats.org/officeDocument/2006/relationships" name="Huong_dan" sheetId="7" r:id="R6e7dcbe4179f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/yyyy"/>
    <x:numFmt numFmtId="201" formatCode="dd/mm/yyyy"/>
    <x:numFmt numFmtId="202" formatCode="@"/>
    <x:numFmt numFmtId="203" formatCode="#,##0;(#,##0);&quot;–&quot;"/>
    <x:numFmt numFmtId="204" formatCode="0"/>
    <x:numFmt numFmtId="205" formatCode="#,##0.00;(#,##0.00);&quot;0.00&quot;"/>
  </x:numFmts>
  <x:fonts count="7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sz val="10"/>
      <x:color rgb="FF1565C0"/>
      <x:name val="Arial"/>
    </x:font>
    <x:font>
      <x:b/>
      <x:sz val="10"/>
      <x:color rgb="FF995D00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4D5"/>
      </x:patternFill>
    </x:fill>
    <x:fill>
      <x:patternFill patternType="solid">
        <x:fgColor rgb="FF243B64"/>
      </x:patternFill>
    </x:fill>
    <x:fill>
      <x:patternFill patternType="solid">
        <x:fgColor rgb="FFF1F4F8"/>
      </x:patternFill>
    </x:fill>
    <x:fill>
      <x:patternFill patternType="solid">
        <x:fgColor rgb="FFE8EEF6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D6DFE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43B64"/>
      </x:top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203" fontId="6" fillId="5" borderId="5" xfId="0" applyNumberFormat="1" applyFont="1" applyFill="1" applyBorder="1" applyAlignment="1">
      <x:alignment vertical="center"/>
    </x:xf>
    <x:xf numFmtId="205" fontId="6" fillId="5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e7dc30e54478a" /><Relationship Type="http://schemas.openxmlformats.org/officeDocument/2006/relationships/theme" Target="/xl/theme/theme1.xml" Id="R96f1a460b55f47df" /><Relationship Type="http://schemas.openxmlformats.org/officeDocument/2006/relationships/sharedStrings" Target="/xl/sharedStrings.xml" Id="Rdec358d262ea430f" /><Relationship Type="http://schemas.openxmlformats.org/officeDocument/2006/relationships/worksheet" Target="/xl/worksheets/sheet1.xml" Id="R53ab0696671f4c18" /><Relationship Type="http://schemas.openxmlformats.org/officeDocument/2006/relationships/worksheet" Target="/xl/worksheets/sheet2.xml" Id="Rd1f858a2ec274822" /><Relationship Type="http://schemas.openxmlformats.org/officeDocument/2006/relationships/worksheet" Target="/xl/worksheets/sheet3.xml" Id="R325c186a9ddc4308" /><Relationship Type="http://schemas.openxmlformats.org/officeDocument/2006/relationships/worksheet" Target="/xl/worksheets/sheet4.xml" Id="R029bc90156dd44dc" /><Relationship Type="http://schemas.openxmlformats.org/officeDocument/2006/relationships/worksheet" Target="/xl/worksheets/sheet5.xml" Id="Rbfc27727c3ae4a1e" /><Relationship Type="http://schemas.openxmlformats.org/officeDocument/2006/relationships/worksheet" Target="/xl/worksheets/sheet6.xml" Id="R099d6b592a3441af" /><Relationship Type="http://schemas.openxmlformats.org/officeDocument/2006/relationships/worksheet" Target="/xl/worksheets/sheet7.xml" Id="R6e7dcbe4179f44e5" /></Relationships>
</file>

<file path=xl/tables/table1.xml><?xml version="1.0" encoding="utf-8"?>
<x:table xmlns:x="http://schemas.openxmlformats.org/spreadsheetml/2006/main" id="1" name="T_Don" displayName="T_Don" ref="A6:U106" headerRowCount="1" totalsRowCount="0" totalsRowShown="0">
  <x:autoFilter ref="A6:U106"/>
  <x:tableColumns count="21">
    <x:tableColumn id="1" name="Sàn"/>
    <x:tableColumn id="2" name="Shop"/>
    <x:tableColumn id="3" name="Mã đơn"/>
    <x:tableColumn id="4" name="Ngày ghi nhận bán"/>
    <x:tableColumn id="5" name="Tiền hàng gồm VAT"/>
    <x:tableColumn id="6" name="Bù giá sàn chưa cộng"/>
    <x:tableColumn id="7" name="Hoàn tiền lũy kế"/>
    <x:tableColumn id="8" name="Phí sàn dự kiến"/>
    <x:tableColumn id="9" name="Ship shop chịu dự kiến"/>
    <x:tableColumn id="10" name="Điều chỉnh dự kiến +/-"/>
    <x:tableColumn id="11" name="QT trước kỳ"/>
    <x:tableColumn id="12" name="Hạn quyết toán"/>
    <x:tableColumn id="13" name="Nguồn / ghi chú"/>
    <x:tableColumn id="14" name="Khóa đơn"/>
    <x:tableColumn id="15" name="Dự kiến nhận lũy kế"/>
    <x:tableColumn id="16" name="QT trong kỳ"/>
    <x:tableColumn id="17" name="QT lũy kế"/>
    <x:tableColumn id="18" name="Chênh QT"/>
    <x:tableColumn id="19" name="Tình trạng"/>
    <x:tableColumn id="20" name="Kiểm tra dữ liệu"/>
    <x:tableColumn id="21" name="Phải thu gộp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_GD" displayName="T_GD" ref="A6:T106" headerRowCount="1" totalsRowCount="0" totalsRowShown="0">
  <x:autoFilter ref="A6:T106"/>
  <x:tableColumns count="20">
    <x:tableColumn id="1" name="Sàn"/>
    <x:tableColumn id="2" name="Shop"/>
    <x:tableColumn id="3" name="Mã giao dịch"/>
    <x:tableColumn id="4" name="Mã đơn"/>
    <x:tableColumn id="5" name="Ngày giao dịch sàn"/>
    <x:tableColumn id="6" name="Nhóm giao dịch"/>
    <x:tableColumn id="7" name="Tiền hàng ghi có"/>
    <x:tableColumn id="8" name="Hỗ trợ ghi có"/>
    <x:tableColumn id="9" name="Hoàn tiền shop chịu"/>
    <x:tableColumn id="10" name="Phí sàn cấn trừ"/>
    <x:tableColumn id="11" name="Ship shop chịu"/>
    <x:tableColumn id="12" name="Điều chỉnh khác +/-"/>
    <x:tableColumn id="13" name="Nạp vào số dư"/>
    <x:tableColumn id="14" name="Thực ghi số dư +/-"/>
    <x:tableColumn id="15" name="Tính lại số dư"/>
    <x:tableColumn id="16" name="Chênh giao dịch"/>
    <x:tableColumn id="17" name="Khóa giao dịch"/>
    <x:tableColumn id="18" name="Khóa đơn"/>
    <x:tableColumn id="19" name="Mã sao kê / nguồn"/>
    <x:tableColumn id="20" name="Kiểm tra dữ liệu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_Chuyen" displayName="T_Chuyen" ref="A6:O106" headerRowCount="1" totalsRowCount="0" totalsRowShown="0">
  <x:autoFilter ref="A6:O106"/>
  <x:tableColumns count="15">
    <x:tableColumn id="1" name="Sàn"/>
    <x:tableColumn id="2" name="Shop"/>
    <x:tableColumn id="3" name="Mã đợt chuyển"/>
    <x:tableColumn id="4" name="Ngày trừ số dư"/>
    <x:tableColumn id="5" name="Tiền trừ số dư"/>
    <x:tableColumn id="6" name="Phí chuyển đã xác nhận"/>
    <x:tableColumn id="7" name="NH đã nhận trước kỳ"/>
    <x:tableColumn id="8" name="Nguồn / ghi chú"/>
    <x:tableColumn id="9" name="Khóa đợt chuyển"/>
    <x:tableColumn id="10" name="NH nhận trong kỳ"/>
    <x:tableColumn id="11" name="NH nhận lũy kế"/>
    <x:tableColumn id="12" name="Còn đang chuyển"/>
    <x:tableColumn id="13" name="Tình trạng"/>
    <x:tableColumn id="14" name="Kiểm tra dữ liệu"/>
    <x:tableColumn id="15" name="Dự kiến NH nhận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_NH" displayName="T_NH" ref="A6:L107" headerRowCount="1" totalsRowCount="0" totalsRowShown="0">
  <x:autoFilter ref="A6:L107"/>
  <x:tableColumns count="12">
    <x:tableColumn id="1" name="Sàn"/>
    <x:tableColumn id="2" name="Shop"/>
    <x:tableColumn id="3" name="Mã giao dịch NH"/>
    <x:tableColumn id="4" name="Mã đợt chuyển"/>
    <x:tableColumn id="5" name="Ngày báo Có"/>
    <x:tableColumn id="6" name="Tiền thực nhận"/>
    <x:tableColumn id="7" name="Tài khoản NH"/>
    <x:tableColumn id="8" name="Diễn giải / nguồn"/>
    <x:tableColumn id="9" name="Khóa đợt chuyển"/>
    <x:tableColumn id="10" name="Khóa giao dịch NH"/>
    <x:tableColumn id="11" name="Phạm vi kỳ"/>
    <x:tableColumn id="12" name="Kiểm tra dữ liệu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_SoDu" displayName="T_SoDu" ref="A6:AC106" headerRowCount="1" totalsRowCount="0" totalsRowShown="0">
  <x:autoFilter ref="A6:AC106"/>
  <x:tableColumns count="29">
    <x:tableColumn id="1" name="Sàn"/>
    <x:tableColumn id="2" name="Shop"/>
    <x:tableColumn id="3" name="Ngày chốt số dư"/>
    <x:tableColumn id="4" name="Công nợ đầu kỳ"/>
    <x:tableColumn id="5" name="Số dư ví đầu kỳ"/>
    <x:tableColumn id="6" name="Chờ QT theo BC net"/>
    <x:tableColumn id="7" name="Phí ước tính cộng lại"/>
    <x:tableColumn id="8" name="Khả dụng cuối kỳ"/>
    <x:tableColumn id="9" name="Giữ lại cuối kỳ"/>
    <x:tableColumn id="10" name="Đang chuyển theo BC"/>
    <x:tableColumn id="11" name="Công nợ sổ kế toán"/>
    <x:tableColumn id="12" name="Tổng QT theo BC sàn"/>
    <x:tableColumn id="13" name="Tổng rút theo BC sàn"/>
    <x:tableColumn id="14" name="Đủ nguồn dữ liệu"/>
    <x:tableColumn id="15" name="Nguồn / giải trình"/>
    <x:tableColumn id="16" name="Khóa shop"/>
    <x:tableColumn id="17" name="Công nợ theo nguồn"/>
    <x:tableColumn id="18" name="Kiểm tra dữ liệu"/>
    <x:tableColumn id="19" name="Bán gộp trong kỳ"/>
    <x:tableColumn id="20" name="Hoàn tiền trong kỳ"/>
    <x:tableColumn id="21" name="Phí trong kỳ"/>
    <x:tableColumn id="22" name="Điều chỉnh và nạp"/>
    <x:tableColumn id="23" name="NH nhận trong kỳ"/>
    <x:tableColumn id="24" name="Công nợ tính lại"/>
    <x:tableColumn id="25" name="QT thực tế trong kỳ"/>
    <x:tableColumn id="26" name="Số dư ví tính lại"/>
    <x:tableColumn id="27" name="Đang chuyển tính lại"/>
    <x:tableColumn id="28" name="Rút trong kỳ"/>
    <x:tableColumn id="29" name="Số lỗi đầu vào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41c36b4a46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b00fd22cd840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f155ecacaf4d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4732bcef9c4e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e21ee6d35c463b" /></Relationships>
</file>

<file path=xl/worksheets/sheet1.xml><?xml version="1.0" encoding="utf-8"?>
<x:worksheet xmlns:x="http://schemas.openxmlformats.org/spreadsheetml/2006/main">
  <x:sheetPr>
    <x:tabColor rgb="FF243B64"/>
  </x:sheetPr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5" hidden="0" customWidth="1"/>
    <x:col min="14" max="14" width="18" hidden="0" customWidth="1"/>
    <x:col min="15" max="15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ĐỐI SOÁT CÔNG NỢ SÀN THEO THÁNG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2" t="str">
        <x:v>Tháng chốt</x:v>
      </x:c>
      <x:c r="B4" s="2"/>
      <x:c r="C4" s="9" t="d">
        <x:v>2026-09-01T00:00:00.000Z</x:v>
      </x:c>
      <x:c r="D4" s="2"/>
      <x:c r="E4" s="2" t="str">
        <x:v>Đầu tháng sau</x:v>
      </x:c>
      <x:c r="F4" s="6" t="n">
        <x:f>EDATE(C4,1)</x:f>
        <x:v>46296</x:v>
      </x:c>
      <x:c r="G4" s="2"/>
      <x:c r="H4" s="2" t="str">
        <x:v>Dung sai VND</x:v>
      </x:c>
      <x:c r="I4" s="10" t="n">
        <x:v>0</x:v>
      </x:c>
      <x:c r="J4" s="2"/>
      <x:c r="K4" s="2"/>
      <x:c r="L4" s="2"/>
      <x:c r="M4" s="2"/>
      <x:c r="N4" s="2"/>
      <x:c r="O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A6" s="11" t="str">
        <x:v>DỮ LIỆU MINH HỌA tháng 09/2026. Thay dữ liệu mẫu trước khi dùng để chốt sổ.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2" customHeight="1">
      <x:c r="A8" s="2" t="str">
        <x:v>Công nợ theo sàn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50" customHeight="1">
      <x:c r="A9" s="30" t="str">
        <x:v>Sàn</x:v>
      </x:c>
      <x:c r="B9" s="30" t="str">
        <x:v>Đầu kỳ</x:v>
      </x:c>
      <x:c r="C9" s="30" t="str">
        <x:v>Bán gộp</x:v>
      </x:c>
      <x:c r="D9" s="30" t="str">
        <x:v>Hoàn tiền</x:v>
      </x:c>
      <x:c r="E9" s="30" t="str">
        <x:v>Phí cấn trừ</x:v>
      </x:c>
      <x:c r="F9" s="30" t="str">
        <x:v>Điều chỉnh / nạp</x:v>
      </x:c>
      <x:c r="G9" s="30" t="str">
        <x:v>NH thực nhận</x:v>
      </x:c>
      <x:c r="H9" s="30" t="str">
        <x:v>Cuối kỳ tính lại</x:v>
      </x:c>
      <x:c r="I9" s="30" t="str">
        <x:v>Cuối kỳ nguồn</x:v>
      </x:c>
      <x:c r="J9" s="30" t="str">
        <x:v>Cuối kỳ sổ KT</x:v>
      </x:c>
      <x:c r="K9" s="30" t="str">
        <x:v>Lệch nguồn</x:v>
      </x:c>
      <x:c r="L9" s="30" t="str">
        <x:v>Lệch sổ KT</x:v>
      </x:c>
      <x:c r="M9" s="30" t="str">
        <x:v>Nguồn dữ liệu</x:v>
      </x:c>
      <x:c r="N9" s="2"/>
      <x:c r="O9" s="2"/>
    </x:row>
    <x:row r="10" ht="30" customHeight="1">
      <x:c r="A10" s="2" t="str">
        <x:v>TikTok Shop</x:v>
      </x:c>
      <x:c r="B10" s="31" t="n">
        <x:f>IF(COUNTIFS(T_SoDu[Sàn],$A10)=0,"n.a.",IF(COUNTIFS(T_SoDu[Sàn],$A10,T_SoDu[Số lỗi đầu vào],"&gt;0")&gt;0,"n.a.",SUMIFS(T_SoDu[Công nợ đầu kỳ],T_SoDu[Sàn],$A10)))</x:f>
        <x:v>1000000</x:v>
      </x:c>
      <x:c r="C10" s="31" t="n">
        <x:f>IF(COUNTIFS(T_SoDu[Sàn],$A10)=0,"n.a.",IF(COUNTIFS(T_SoDu[Sàn],$A10,T_SoDu[Số lỗi đầu vào],"&gt;0")&gt;0,"n.a.",SUMIFS(T_SoDu[Bán gộp trong kỳ],T_SoDu[Sàn],$A10)))</x:f>
        <x:v>1520000</x:v>
      </x:c>
      <x:c r="D10" s="31" t="n">
        <x:f>IF(COUNTIFS(T_SoDu[Sàn],$A10)=0,"n.a.",IF(COUNTIFS(T_SoDu[Sàn],$A10,T_SoDu[Số lỗi đầu vào],"&gt;0")&gt;0,"n.a.",SUMIFS(T_SoDu[Hoàn tiền trong kỳ],T_SoDu[Sàn],$A10)))</x:f>
        <x:v>100000</x:v>
      </x:c>
      <x:c r="E10" s="31" t="n">
        <x:f>IF(COUNTIFS(T_SoDu[Sàn],$A10)=0,"n.a.",IF(COUNTIFS(T_SoDu[Sàn],$A10,T_SoDu[Số lỗi đầu vào],"&gt;0")&gt;0,"n.a.",SUMIFS(T_SoDu[Phí trong kỳ],T_SoDu[Sàn],$A10)))</x:f>
        <x:v>220000</x:v>
      </x:c>
      <x:c r="F10" s="31" t="n">
        <x:f>IF(COUNTIFS(T_SoDu[Sàn],$A10)=0,"n.a.",IF(COUNTIFS(T_SoDu[Sàn],$A10,T_SoDu[Số lỗi đầu vào],"&gt;0")&gt;0,"n.a.",SUMIFS(T_SoDu[Điều chỉnh và nạp],T_SoDu[Sàn],$A10)))</x:f>
        <x:v>50000</x:v>
      </x:c>
      <x:c r="G10" s="31" t="n">
        <x:f>IF(COUNTIFS(T_SoDu[Sàn],$A10)=0,"n.a.",IF(COUNTIFS(T_SoDu[Sàn],$A10,T_SoDu[Số lỗi đầu vào],"&gt;0")&gt;0,"n.a.",SUMIFS(T_SoDu[NH nhận trong kỳ],T_SoDu[Sàn],$A10)))</x:f>
        <x:v>1090000</x:v>
      </x:c>
      <x:c r="H10" s="31" t="n">
        <x:f>IF(COUNTIFS(T_SoDu[Sàn],$A10)=0,"n.a.",IF(COUNTIFS(T_SoDu[Sàn],$A10,T_SoDu[Số lỗi đầu vào],"&gt;0")&gt;0,"n.a.",SUMIFS(T_SoDu[Công nợ tính lại],T_SoDu[Sàn],$A10)))</x:f>
        <x:v>1160000</x:v>
      </x:c>
      <x:c r="I10" s="31" t="n">
        <x:f>IF(COUNTIFS(T_SoDu[Sàn],$A10)=0,"n.a.",IF(COUNTIFS(T_SoDu[Sàn],$A10,T_SoDu[Số lỗi đầu vào],"&gt;0")&gt;0,"n.a.",SUMIFS(T_SoDu[Công nợ theo nguồn],T_SoDu[Sàn],$A10)))</x:f>
        <x:v>1160000</x:v>
      </x:c>
      <x:c r="J10" s="31" t="n">
        <x:f>IF(COUNTIFS(T_SoDu[Sàn],$A10)=0,"n.a.",IF(COUNTIFS(T_SoDu[Sàn],$A10,T_SoDu[Số lỗi đầu vào],"&gt;0")&gt;0,"n.a.",SUMIFS(T_SoDu[Công nợ sổ kế toán],T_SoDu[Sàn],$A10)))</x:f>
        <x:v>1160000</x:v>
      </x:c>
      <x:c r="K10" s="32" t="n">
        <x:f>IF(COUNT(H10:I10)=2,H10-I10,"n.a.")</x:f>
        <x:v>0</x:v>
      </x:c>
      <x:c r="L10" s="32" t="n">
        <x:f>IF(AND(ISNUMBER(H10),ISNUMBER(J10)),H10-J10,"n.a.")</x:f>
        <x:v>0</x:v>
      </x:c>
      <x:c r="M10" s="2" t="str">
        <x:f>IF(COUNTIFS(T_SoDu[Sàn],A10)=0,"Chưa có shop",IF(COUNTIFS(T_SoDu[Sàn],A10,T_SoDu[Số lỗi đầu vào],"&gt;0")&gt;0,"Sửa dữ liệu",IF(COUNTIFS(T_SoDu[Sàn],A10,T_SoDu[Đủ nguồn dữ liệu],"&lt;&gt;Đã đủ")&gt;0,"Chưa đủ nguồn","Đã xác nhận đủ")))</x:f>
        <x:v>Đã xác nhận đủ</x:v>
      </x:c>
      <x:c r="N10" s="2"/>
      <x:c r="O10" s="2"/>
    </x:row>
    <x:row r="11" ht="30" customHeight="1">
      <x:c r="A11" s="2" t="str">
        <x:v>Shopee</x:v>
      </x:c>
      <x:c r="B11" s="31" t="n">
        <x:f>IF(COUNTIFS(T_SoDu[Sàn],$A11)=0,"n.a.",IF(COUNTIFS(T_SoDu[Sàn],$A11,T_SoDu[Số lỗi đầu vào],"&gt;0")&gt;0,"n.a.",SUMIFS(T_SoDu[Công nợ đầu kỳ],T_SoDu[Sàn],$A11)))</x:f>
        <x:v>800000</x:v>
      </x:c>
      <x:c r="C11" s="31" t="n">
        <x:f>IF(COUNTIFS(T_SoDu[Sàn],$A11)=0,"n.a.",IF(COUNTIFS(T_SoDu[Sàn],$A11,T_SoDu[Số lỗi đầu vào],"&gt;0")&gt;0,"n.a.",SUMIFS(T_SoDu[Bán gộp trong kỳ],T_SoDu[Sàn],$A11)))</x:f>
        <x:v>2750000</x:v>
      </x:c>
      <x:c r="D11" s="31" t="n">
        <x:f>IF(COUNTIFS(T_SoDu[Sàn],$A11)=0,"n.a.",IF(COUNTIFS(T_SoDu[Sàn],$A11,T_SoDu[Số lỗi đầu vào],"&gt;0")&gt;0,"n.a.",SUMIFS(T_SoDu[Hoàn tiền trong kỳ],T_SoDu[Sàn],$A11)))</x:f>
        <x:v>0</x:v>
      </x:c>
      <x:c r="E11" s="31" t="n">
        <x:f>IF(COUNTIFS(T_SoDu[Sàn],$A11)=0,"n.a.",IF(COUNTIFS(T_SoDu[Sàn],$A11,T_SoDu[Số lỗi đầu vào],"&gt;0")&gt;0,"n.a.",SUMIFS(T_SoDu[Phí trong kỳ],T_SoDu[Sàn],$A11)))</x:f>
        <x:v>267000</x:v>
      </x:c>
      <x:c r="F11" s="31" t="n">
        <x:f>IF(COUNTIFS(T_SoDu[Sàn],$A11)=0,"n.a.",IF(COUNTIFS(T_SoDu[Sàn],$A11,T_SoDu[Số lỗi đầu vào],"&gt;0")&gt;0,"n.a.",SUMIFS(T_SoDu[Điều chỉnh và nạp],T_SoDu[Sàn],$A11)))</x:f>
        <x:v>25000</x:v>
      </x:c>
      <x:c r="G11" s="31" t="n">
        <x:f>IF(COUNTIFS(T_SoDu[Sàn],$A11)=0,"n.a.",IF(COUNTIFS(T_SoDu[Sàn],$A11,T_SoDu[Số lỗi đầu vào],"&gt;0")&gt;0,"n.a.",SUMIFS(T_SoDu[NH nhận trong kỳ],T_SoDu[Sàn],$A11)))</x:f>
        <x:v>1900000</x:v>
      </x:c>
      <x:c r="H11" s="31" t="n">
        <x:f>IF(COUNTIFS(T_SoDu[Sàn],$A11)=0,"n.a.",IF(COUNTIFS(T_SoDu[Sàn],$A11,T_SoDu[Số lỗi đầu vào],"&gt;0")&gt;0,"n.a.",SUMIFS(T_SoDu[Công nợ tính lại],T_SoDu[Sàn],$A11)))</x:f>
        <x:v>1408000</x:v>
      </x:c>
      <x:c r="I11" s="31" t="n">
        <x:f>IF(COUNTIFS(T_SoDu[Sàn],$A11)=0,"n.a.",IF(COUNTIFS(T_SoDu[Sàn],$A11,T_SoDu[Số lỗi đầu vào],"&gt;0")&gt;0,"n.a.",SUMIFS(T_SoDu[Công nợ theo nguồn],T_SoDu[Sàn],$A11)))</x:f>
        <x:v>1408000</x:v>
      </x:c>
      <x:c r="J11" s="31" t="n">
        <x:f>IF(COUNTIFS(T_SoDu[Sàn],$A11)=0,"n.a.",IF(COUNTIFS(T_SoDu[Sàn],$A11,T_SoDu[Số lỗi đầu vào],"&gt;0")&gt;0,"n.a.",SUMIFS(T_SoDu[Công nợ sổ kế toán],T_SoDu[Sàn],$A11)))</x:f>
        <x:v>1408000</x:v>
      </x:c>
      <x:c r="K11" s="32" t="n">
        <x:f>IF(COUNT(H11:I11)=2,H11-I11,"n.a.")</x:f>
        <x:v>0</x:v>
      </x:c>
      <x:c r="L11" s="32" t="n">
        <x:f>IF(AND(ISNUMBER(H11),ISNUMBER(J11)),H11-J11,"n.a.")</x:f>
        <x:v>0</x:v>
      </x:c>
      <x:c r="M11" s="2" t="str">
        <x:f>IF(COUNTIFS(T_SoDu[Sàn],A11)=0,"Chưa có shop",IF(COUNTIFS(T_SoDu[Sàn],A11,T_SoDu[Số lỗi đầu vào],"&gt;0")&gt;0,"Sửa dữ liệu",IF(COUNTIFS(T_SoDu[Sàn],A11,T_SoDu[Đủ nguồn dữ liệu],"&lt;&gt;Đã đủ")&gt;0,"Chưa đủ nguồn","Đã xác nhận đủ")))</x:f>
        <x:v>Đã xác nhận đủ</x:v>
      </x:c>
      <x:c r="N11" s="2"/>
      <x:c r="O11" s="2"/>
    </x:row>
    <x:row r="12" ht="30" customHeight="1">
      <x:c r="A12" s="2" t="str">
        <x:v>Lazada</x:v>
      </x:c>
      <x:c r="B12" s="31" t="n">
        <x:f>IF(COUNTIFS(T_SoDu[Sàn],$A12)=0,"n.a.",IF(COUNTIFS(T_SoDu[Sàn],$A12,T_SoDu[Số lỗi đầu vào],"&gt;0")&gt;0,"n.a.",SUMIFS(T_SoDu[Công nợ đầu kỳ],T_SoDu[Sàn],$A12)))</x:f>
        <x:v>600000</x:v>
      </x:c>
      <x:c r="C12" s="31" t="n">
        <x:f>IF(COUNTIFS(T_SoDu[Sàn],$A12)=0,"n.a.",IF(COUNTIFS(T_SoDu[Sàn],$A12,T_SoDu[Số lỗi đầu vào],"&gt;0")&gt;0,"n.a.",SUMIFS(T_SoDu[Bán gộp trong kỳ],T_SoDu[Sàn],$A12)))</x:f>
        <x:v>2300000</x:v>
      </x:c>
      <x:c r="D12" s="31" t="n">
        <x:f>IF(COUNTIFS(T_SoDu[Sàn],$A12)=0,"n.a.",IF(COUNTIFS(T_SoDu[Sàn],$A12,T_SoDu[Số lỗi đầu vào],"&gt;0")&gt;0,"n.a.",SUMIFS(T_SoDu[Hoàn tiền trong kỳ],T_SoDu[Sàn],$A12)))</x:f>
        <x:v>200000</x:v>
      </x:c>
      <x:c r="E12" s="31" t="n">
        <x:f>IF(COUNTIFS(T_SoDu[Sàn],$A12)=0,"n.a.",IF(COUNTIFS(T_SoDu[Sàn],$A12,T_SoDu[Số lỗi đầu vào],"&gt;0")&gt;0,"n.a.",SUMIFS(T_SoDu[Phí trong kỳ],T_SoDu[Sàn],$A12)))</x:f>
        <x:v>215000</x:v>
      </x:c>
      <x:c r="F12" s="31" t="n">
        <x:f>IF(COUNTIFS(T_SoDu[Sàn],$A12)=0,"n.a.",IF(COUNTIFS(T_SoDu[Sàn],$A12,T_SoDu[Số lỗi đầu vào],"&gt;0")&gt;0,"n.a.",SUMIFS(T_SoDu[Điều chỉnh và nạp],T_SoDu[Sàn],$A12)))</x:f>
        <x:v>20000</x:v>
      </x:c>
      <x:c r="G12" s="31" t="n">
        <x:f>IF(COUNTIFS(T_SoDu[Sàn],$A12)=0,"n.a.",IF(COUNTIFS(T_SoDu[Sàn],$A12,T_SoDu[Số lỗi đầu vào],"&gt;0")&gt;0,"n.a.",SUMIFS(T_SoDu[NH nhận trong kỳ],T_SoDu[Sàn],$A12)))</x:f>
        <x:v>1099000</x:v>
      </x:c>
      <x:c r="H12" s="31" t="n">
        <x:f>IF(COUNTIFS(T_SoDu[Sàn],$A12)=0,"n.a.",IF(COUNTIFS(T_SoDu[Sàn],$A12,T_SoDu[Số lỗi đầu vào],"&gt;0")&gt;0,"n.a.",SUMIFS(T_SoDu[Công nợ tính lại],T_SoDu[Sàn],$A12)))</x:f>
        <x:v>1406000</x:v>
      </x:c>
      <x:c r="I12" s="31" t="n">
        <x:f>IF(COUNTIFS(T_SoDu[Sàn],$A12)=0,"n.a.",IF(COUNTIFS(T_SoDu[Sàn],$A12,T_SoDu[Số lỗi đầu vào],"&gt;0")&gt;0,"n.a.",SUMIFS(T_SoDu[Công nợ theo nguồn],T_SoDu[Sàn],$A12)))</x:f>
        <x:v>1405000</x:v>
      </x:c>
      <x:c r="J12" s="31" t="n">
        <x:f>IF(COUNTIFS(T_SoDu[Sàn],$A12)=0,"n.a.",IF(COUNTIFS(T_SoDu[Sàn],$A12,T_SoDu[Số lỗi đầu vào],"&gt;0")&gt;0,"n.a.",SUMIFS(T_SoDu[Công nợ sổ kế toán],T_SoDu[Sàn],$A12)))</x:f>
        <x:v>1406000</x:v>
      </x:c>
      <x:c r="K12" s="32" t="n">
        <x:f>IF(COUNT(H12:I12)=2,H12-I12,"n.a.")</x:f>
        <x:v>1000</x:v>
      </x:c>
      <x:c r="L12" s="32" t="n">
        <x:f>IF(AND(ISNUMBER(H12),ISNUMBER(J12)),H12-J12,"n.a.")</x:f>
        <x:v>0</x:v>
      </x:c>
      <x:c r="M12" s="2" t="str">
        <x:f>IF(COUNTIFS(T_SoDu[Sàn],A12)=0,"Chưa có shop",IF(COUNTIFS(T_SoDu[Sàn],A12,T_SoDu[Số lỗi đầu vào],"&gt;0")&gt;0,"Sửa dữ liệu",IF(COUNTIFS(T_SoDu[Sàn],A12,T_SoDu[Đủ nguồn dữ liệu],"&lt;&gt;Đã đủ")&gt;0,"Chưa đủ nguồn","Đã xác nhận đủ")))</x:f>
        <x:v>Đã xác nhận đủ</x:v>
      </x:c>
      <x:c r="N12" s="2"/>
      <x:c r="O12" s="2"/>
    </x:row>
    <x:row r="13" ht="28" customHeight="1">
      <x:c r="A13" s="39" t="str">
        <x:v>TỔNG</x:v>
      </x:c>
      <x:c r="B13" s="40" t="n">
        <x:f>IF(COUNT(B10:B12)=3,SUM(B10:B12),"n.a.")</x:f>
        <x:v>2400000</x:v>
      </x:c>
      <x:c r="C13" s="40" t="n">
        <x:f>IF(COUNT(C10:C12)=3,SUM(C10:C12),"n.a.")</x:f>
        <x:v>6570000</x:v>
      </x:c>
      <x:c r="D13" s="40" t="n">
        <x:f>IF(COUNT(D10:D12)=3,SUM(D10:D12),"n.a.")</x:f>
        <x:v>300000</x:v>
      </x:c>
      <x:c r="E13" s="40" t="n">
        <x:f>IF(COUNT(E10:E12)=3,SUM(E10:E12),"n.a.")</x:f>
        <x:v>702000</x:v>
      </x:c>
      <x:c r="F13" s="40" t="n">
        <x:f>IF(COUNT(F10:F12)=3,SUM(F10:F12),"n.a.")</x:f>
        <x:v>95000</x:v>
      </x:c>
      <x:c r="G13" s="40" t="n">
        <x:f>IF(COUNT(G10:G12)=3,SUM(G10:G12),"n.a.")</x:f>
        <x:v>4089000</x:v>
      </x:c>
      <x:c r="H13" s="40" t="n">
        <x:f>IF(COUNT(H10:H12)=3,SUM(H10:H12),"n.a.")</x:f>
        <x:v>3974000</x:v>
      </x:c>
      <x:c r="I13" s="40" t="n">
        <x:f>IF(COUNT(I10:I12)=3,SUM(I10:I12),"n.a.")</x:f>
        <x:v>3973000</x:v>
      </x:c>
      <x:c r="J13" s="40" t="n">
        <x:f>IF(COUNT(J10:J12)=3,SUM(J10:J12),"n.a.")</x:f>
        <x:v>3974000</x:v>
      </x:c>
      <x:c r="K13" s="41" t="n">
        <x:f>IF(COUNT(K10:K12)=3,SUM(K10:K12),"n.a.")</x:f>
        <x:v>1000</x:v>
      </x:c>
      <x:c r="L13" s="41" t="n">
        <x:f>IF(COUNT(L10:L12)=3,SUM(L10:L12),"n.a.")</x:f>
        <x:v>0</x:v>
      </x:c>
      <x:c r="M13" s="39"/>
      <x:c r="N13" s="2"/>
      <x:c r="O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2" t="str">
        <x:v>Đơn vị VND. Công nợ tính lại = đầu kỳ + bán gộp − hoàn tiền − phí + điều chỉnh/nạp − NH nhận.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 t="str">
        <x:v>Phí dự kiến ở Đơn hàng chỉ để kiểm tra quyết toán; chỉ phí đã cấn trừ mới giảm công nợ ở bảng trên.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A18" s="2" t="str">
        <x:v>Đối chiếu nguồn độc lập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50" customHeight="1">
      <x:c r="A19" s="30" t="str">
        <x:v>Sàn</x:v>
      </x:c>
      <x:c r="B19" s="30" t="str">
        <x:v>QT chi tiết</x:v>
      </x:c>
      <x:c r="C19" s="30" t="str">
        <x:v>QT theo BC</x:v>
      </x:c>
      <x:c r="D19" s="30" t="str">
        <x:v>Lệch QT</x:v>
      </x:c>
      <x:c r="E19" s="30" t="str">
        <x:v>Ví tính lại</x:v>
      </x:c>
      <x:c r="F19" s="30" t="str">
        <x:v>Ví theo BC</x:v>
      </x:c>
      <x:c r="G19" s="30" t="str">
        <x:v>Lệch ví</x:v>
      </x:c>
      <x:c r="H19" s="30" t="str">
        <x:v>Đang chuyển tính lại</x:v>
      </x:c>
      <x:c r="I19" s="30" t="str">
        <x:v>Đang chuyển BC</x:v>
      </x:c>
      <x:c r="J19" s="30" t="str">
        <x:v>Lệch đang chuyển</x:v>
      </x:c>
      <x:c r="K19" s="30" t="str">
        <x:v>Rút chi tiết</x:v>
      </x:c>
      <x:c r="L19" s="30" t="str">
        <x:v>Rút theo BC</x:v>
      </x:c>
      <x:c r="M19" s="30" t="str">
        <x:v>Lệch rút</x:v>
      </x:c>
      <x:c r="N19" s="2"/>
      <x:c r="O19" s="2"/>
    </x:row>
    <x:row r="20" ht="30" customHeight="1">
      <x:c r="A20" s="2" t="str">
        <x:f>A10</x:f>
        <x:v>TikTok Shop</x:v>
      </x:c>
      <x:c r="B20" s="31" t="n">
        <x:f>IF(COUNTIFS(T_SoDu[Sàn],$A20)=0,"n.a.",IF(COUNTIFS(T_SoDu[Sàn],$A20,T_SoDu[Số lỗi đầu vào],"&gt;0")&gt;0,"n.a.",SUMIFS(T_SoDu[QT thực tế trong kỳ],T_SoDu[Sàn],$A20)))</x:f>
        <x:v>1320000</x:v>
      </x:c>
      <x:c r="C20" s="31" t="n">
        <x:f>IF(COUNTIFS(T_SoDu[Sàn],$A20)=0,"n.a.",IF(COUNTIFS(T_SoDu[Sàn],$A20,T_SoDu[Số lỗi đầu vào],"&gt;0")&gt;0,"n.a.",SUMIFS(T_SoDu[Tổng QT theo BC sàn],T_SoDu[Sàn],$A20)))</x:f>
        <x:v>1320000</x:v>
      </x:c>
      <x:c r="D20" s="32" t="n">
        <x:f>IF(COUNT(B20:C20)=2,B20-C20,"n.a.")</x:f>
        <x:v>0</x:v>
      </x:c>
      <x:c r="E20" s="31" t="n">
        <x:f>IF(COUNTIFS(T_SoDu[Sàn],$A20)=0,"n.a.",IF(COUNTIFS(T_SoDu[Sàn],$A20,T_SoDu[Số lỗi đầu vào],"&gt;0")&gt;0,"n.a.",SUMIFS(T_SoDu[Số dư ví tính lại],T_SoDu[Sàn],$A20)))</x:f>
        <x:v>240000</x:v>
      </x:c>
      <x:c r="F20" s="31" t="n">
        <x:f>IF(COUNTIFS(T_SoDu[Sàn],$A20)=0,"n.a.",IF(COUNTIFS(T_SoDu[Sàn],$A20,T_SoDu[Số lỗi đầu vào],"&gt;0")&gt;0,"n.a.",SUMIFS(T_SoDu[Khả dụng cuối kỳ],T_SoDu[Sàn],$A20)+SUMIFS(T_SoDu[Giữ lại cuối kỳ],T_SoDu[Sàn],$A20)))</x:f>
        <x:v>240000</x:v>
      </x:c>
      <x:c r="G20" s="32" t="n">
        <x:f>IF(COUNT(E20:F20)=2,E20-F20,"n.a.")</x:f>
        <x:v>0</x:v>
      </x:c>
      <x:c r="H20" s="31" t="n">
        <x:f>IF(COUNTIFS(T_SoDu[Sàn],$A20)=0,"n.a.",IF(COUNTIFS(T_SoDu[Sàn],$A20,T_SoDu[Số lỗi đầu vào],"&gt;0")&gt;0,"n.a.",SUMIFS(T_SoDu[Đang chuyển tính lại],T_SoDu[Sàn],$A20)))</x:f>
        <x:v>400000</x:v>
      </x:c>
      <x:c r="I20" s="31" t="n">
        <x:f>IF(COUNTIFS(T_SoDu[Sàn],$A20)=0,"n.a.",IF(COUNTIFS(T_SoDu[Sàn],$A20,T_SoDu[Số lỗi đầu vào],"&gt;0")&gt;0,"n.a.",SUMIFS(T_SoDu[Đang chuyển theo BC],T_SoDu[Sàn],$A20)))</x:f>
        <x:v>400000</x:v>
      </x:c>
      <x:c r="J20" s="32" t="n">
        <x:f>IF(COUNT(H20:I20)=2,H20-I20,"n.a.")</x:f>
        <x:v>0</x:v>
      </x:c>
      <x:c r="K20" s="31" t="n">
        <x:f>IF(COUNTIFS(T_SoDu[Sàn],$A20)=0,"n.a.",IF(COUNTIFS(T_SoDu[Sàn],$A20,T_SoDu[Số lỗi đầu vào],"&gt;0")&gt;0,"n.a.",SUMIFS(T_SoDu[Rút trong kỳ],T_SoDu[Sàn],$A20)))</x:f>
        <x:v>1400000</x:v>
      </x:c>
      <x:c r="L20" s="31" t="n">
        <x:f>IF(COUNTIFS(T_SoDu[Sàn],$A20)=0,"n.a.",IF(COUNTIFS(T_SoDu[Sàn],$A20,T_SoDu[Số lỗi đầu vào],"&gt;0")&gt;0,"n.a.",SUMIFS(T_SoDu[Tổng rút theo BC sàn],T_SoDu[Sàn],$A20)))</x:f>
        <x:v>1400000</x:v>
      </x:c>
      <x:c r="M20" s="32" t="n">
        <x:f>IF(COUNT(K20:L20)=2,K20-L20,"n.a.")</x:f>
        <x:v>0</x:v>
      </x:c>
      <x:c r="N20" s="2"/>
      <x:c r="O20" s="2"/>
    </x:row>
    <x:row r="21" ht="30" customHeight="1">
      <x:c r="A21" s="2" t="str">
        <x:f>A11</x:f>
        <x:v>Shopee</x:v>
      </x:c>
      <x:c r="B21" s="31" t="n">
        <x:f>IF(COUNTIFS(T_SoDu[Sàn],$A21)=0,"n.a.",IF(COUNTIFS(T_SoDu[Sàn],$A21,T_SoDu[Số lỗi đầu vào],"&gt;0")&gt;0,"n.a.",SUMIFS(T_SoDu[QT thực tế trong kỳ],T_SoDu[Sàn],$A21)))</x:f>
        <x:v>2183000</x:v>
      </x:c>
      <x:c r="C21" s="31" t="n">
        <x:f>IF(COUNTIFS(T_SoDu[Sàn],$A21)=0,"n.a.",IF(COUNTIFS(T_SoDu[Sàn],$A21,T_SoDu[Số lỗi đầu vào],"&gt;0")&gt;0,"n.a.",SUMIFS(T_SoDu[Tổng QT theo BC sàn],T_SoDu[Sàn],$A21)))</x:f>
        <x:v>2183000</x:v>
      </x:c>
      <x:c r="D21" s="32" t="n">
        <x:f>IF(COUNT(B21:C21)=2,B21-C21,"n.a.")</x:f>
        <x:v>0</x:v>
      </x:c>
      <x:c r="E21" s="31" t="n">
        <x:f>IF(COUNTIFS(T_SoDu[Sàn],$A21)=0,"n.a.",IF(COUNTIFS(T_SoDu[Sàn],$A21,T_SoDu[Số lỗi đầu vào],"&gt;0")&gt;0,"n.a.",SUMIFS(T_SoDu[Số dư ví tính lại],T_SoDu[Sàn],$A21)))</x:f>
        <x:v>208000</x:v>
      </x:c>
      <x:c r="F21" s="31" t="n">
        <x:f>IF(COUNTIFS(T_SoDu[Sàn],$A21)=0,"n.a.",IF(COUNTIFS(T_SoDu[Sàn],$A21,T_SoDu[Số lỗi đầu vào],"&gt;0")&gt;0,"n.a.",SUMIFS(T_SoDu[Khả dụng cuối kỳ],T_SoDu[Sàn],$A21)+SUMIFS(T_SoDu[Giữ lại cuối kỳ],T_SoDu[Sàn],$A21)))</x:f>
        <x:v>208000</x:v>
      </x:c>
      <x:c r="G21" s="32" t="n">
        <x:f>IF(COUNT(E21:F21)=2,E21-F21,"n.a.")</x:f>
        <x:v>0</x:v>
      </x:c>
      <x:c r="H21" s="31" t="n">
        <x:f>IF(COUNTIFS(T_SoDu[Sàn],$A21)=0,"n.a.",IF(COUNTIFS(T_SoDu[Sàn],$A21,T_SoDu[Số lỗi đầu vào],"&gt;0")&gt;0,"n.a.",SUMIFS(T_SoDu[Đang chuyển tính lại],T_SoDu[Sàn],$A21)))</x:f>
        <x:v>500000</x:v>
      </x:c>
      <x:c r="I21" s="31" t="n">
        <x:f>IF(COUNTIFS(T_SoDu[Sàn],$A21)=0,"n.a.",IF(COUNTIFS(T_SoDu[Sàn],$A21,T_SoDu[Số lỗi đầu vào],"&gt;0")&gt;0,"n.a.",SUMIFS(T_SoDu[Đang chuyển theo BC],T_SoDu[Sàn],$A21)))</x:f>
        <x:v>500000</x:v>
      </x:c>
      <x:c r="J21" s="32" t="n">
        <x:f>IF(COUNT(H21:I21)=2,H21-I21,"n.a.")</x:f>
        <x:v>0</x:v>
      </x:c>
      <x:c r="K21" s="31" t="n">
        <x:f>IF(COUNTIFS(T_SoDu[Sàn],$A21)=0,"n.a.",IF(COUNTIFS(T_SoDu[Sàn],$A21,T_SoDu[Số lỗi đầu vào],"&gt;0")&gt;0,"n.a.",SUMIFS(T_SoDu[Rút trong kỳ],T_SoDu[Sàn],$A21)))</x:f>
        <x:v>2300000</x:v>
      </x:c>
      <x:c r="L21" s="31" t="n">
        <x:f>IF(COUNTIFS(T_SoDu[Sàn],$A21)=0,"n.a.",IF(COUNTIFS(T_SoDu[Sàn],$A21,T_SoDu[Số lỗi đầu vào],"&gt;0")&gt;0,"n.a.",SUMIFS(T_SoDu[Tổng rút theo BC sàn],T_SoDu[Sàn],$A21)))</x:f>
        <x:v>2300000</x:v>
      </x:c>
      <x:c r="M21" s="32" t="n">
        <x:f>IF(COUNT(K21:L21)=2,K21-L21,"n.a.")</x:f>
        <x:v>0</x:v>
      </x:c>
      <x:c r="N21" s="2"/>
      <x:c r="O21" s="2"/>
    </x:row>
    <x:row r="22" ht="30" customHeight="1">
      <x:c r="A22" s="2" t="str">
        <x:f>A12</x:f>
        <x:v>Lazada</x:v>
      </x:c>
      <x:c r="B22" s="31" t="n">
        <x:f>IF(COUNTIFS(T_SoDu[Sàn],$A22)=0,"n.a.",IF(COUNTIFS(T_SoDu[Sàn],$A22,T_SoDu[Số lỗi đầu vào],"&gt;0")&gt;0,"n.a.",SUMIFS(T_SoDu[QT thực tế trong kỳ],T_SoDu[Sàn],$A22)))</x:f>
        <x:v>1455000</x:v>
      </x:c>
      <x:c r="C22" s="31" t="n">
        <x:f>IF(COUNTIFS(T_SoDu[Sàn],$A22)=0,"n.a.",IF(COUNTIFS(T_SoDu[Sàn],$A22,T_SoDu[Số lỗi đầu vào],"&gt;0")&gt;0,"n.a.",SUMIFS(T_SoDu[Tổng QT theo BC sàn],T_SoDu[Sàn],$A22)))</x:f>
        <x:v>1455000</x:v>
      </x:c>
      <x:c r="D22" s="32" t="n">
        <x:f>IF(COUNT(B22:C22)=2,B22-C22,"n.a.")</x:f>
        <x:v>0</x:v>
      </x:c>
      <x:c r="E22" s="31" t="n">
        <x:f>IF(COUNTIFS(T_SoDu[Sàn],$A22)=0,"n.a.",IF(COUNTIFS(T_SoDu[Sàn],$A22,T_SoDu[Số lỗi đầu vào],"&gt;0")&gt;0,"n.a.",SUMIFS(T_SoDu[Số dư ví tính lại],T_SoDu[Sàn],$A22)))</x:f>
        <x:v>305000</x:v>
      </x:c>
      <x:c r="F22" s="31" t="n">
        <x:f>IF(COUNTIFS(T_SoDu[Sàn],$A22)=0,"n.a.",IF(COUNTIFS(T_SoDu[Sàn],$A22,T_SoDu[Số lỗi đầu vào],"&gt;0")&gt;0,"n.a.",SUMIFS(T_SoDu[Khả dụng cuối kỳ],T_SoDu[Sàn],$A22)+SUMIFS(T_SoDu[Giữ lại cuối kỳ],T_SoDu[Sàn],$A22)))</x:f>
        <x:v>305000</x:v>
      </x:c>
      <x:c r="G22" s="32" t="n">
        <x:f>IF(COUNT(E22:F22)=2,E22-F22,"n.a.")</x:f>
        <x:v>0</x:v>
      </x:c>
      <x:c r="H22" s="31" t="n">
        <x:f>IF(COUNTIFS(T_SoDu[Sàn],$A22)=0,"n.a.",IF(COUNTIFS(T_SoDu[Sàn],$A22,T_SoDu[Số lỗi đầu vào],"&gt;0")&gt;0,"n.a.",SUMIFS(T_SoDu[Đang chuyển tính lại],T_SoDu[Sàn],$A22)))</x:f>
        <x:v>301000</x:v>
      </x:c>
      <x:c r="I22" s="31" t="n">
        <x:f>IF(COUNTIFS(T_SoDu[Sàn],$A22)=0,"n.a.",IF(COUNTIFS(T_SoDu[Sàn],$A22,T_SoDu[Số lỗi đầu vào],"&gt;0")&gt;0,"n.a.",SUMIFS(T_SoDu[Đang chuyển theo BC],T_SoDu[Sàn],$A22)))</x:f>
        <x:v>300000</x:v>
      </x:c>
      <x:c r="J22" s="32" t="n">
        <x:f>IF(COUNT(H22:I22)=2,H22-I22,"n.a.")</x:f>
        <x:v>1000</x:v>
      </x:c>
      <x:c r="K22" s="31" t="n">
        <x:f>IF(COUNTIFS(T_SoDu[Sàn],$A22)=0,"n.a.",IF(COUNTIFS(T_SoDu[Sàn],$A22,T_SoDu[Số lỗi đầu vào],"&gt;0")&gt;0,"n.a.",SUMIFS(T_SoDu[Rút trong kỳ],T_SoDu[Sàn],$A22)))</x:f>
        <x:v>1300000</x:v>
      </x:c>
      <x:c r="L22" s="31" t="n">
        <x:f>IF(COUNTIFS(T_SoDu[Sàn],$A22)=0,"n.a.",IF(COUNTIFS(T_SoDu[Sàn],$A22,T_SoDu[Số lỗi đầu vào],"&gt;0")&gt;0,"n.a.",SUMIFS(T_SoDu[Tổng rút theo BC sàn],T_SoDu[Sàn],$A22)))</x:f>
        <x:v>1300000</x:v>
      </x:c>
      <x:c r="M22" s="32" t="n">
        <x:f>IF(COUNT(K22:L22)=2,K22-L22,"n.a.")</x:f>
        <x:v>0</x:v>
      </x:c>
      <x:c r="N22" s="2"/>
      <x:c r="O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2" customHeight="1">
      <x:c r="A25" s="2" t="str">
        <x:v>Các khoản cần kiểm tra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30" customHeight="1">
      <x:c r="A26" s="30" t="str">
        <x:v>Nội dung</x:v>
      </x:c>
      <x:c r="B26" s="30" t="str">
        <x:v>Số dòng</x:v>
      </x:c>
      <x:c r="C26" s="30" t="str">
        <x:v>Nơi xem</x:v>
      </x:c>
      <x:c r="D26" s="30"/>
      <x:c r="E26" s="30" t="str">
        <x:v>Cách xử lý</x:v>
      </x:c>
      <x:c r="F26" s="30"/>
      <x:c r="G26" s="30"/>
      <x:c r="H26" s="30"/>
      <x:c r="I26" s="30"/>
      <x:c r="J26" s="30"/>
      <x:c r="K26" s="30"/>
      <x:c r="L26" s="30"/>
      <x:c r="M26" s="30"/>
      <x:c r="N26" s="2"/>
      <x:c r="O26" s="2"/>
    </x:row>
    <x:row r="27" ht="32" customHeight="1">
      <x:c r="A27" s="42" t="str">
        <x:v>Lỗi dữ liệu số dư</x:v>
      </x:c>
      <x:c r="B27" s="2" t="n">
        <x:f>COUNTIFS(T_SoDu[Kiểm tra dữ liệu],"?*")</x:f>
        <x:v>0</x:v>
      </x:c>
      <x:c r="C27" s="2" t="str">
        <x:v>So_du / cột R</x:v>
      </x:c>
      <x:c r="D27" s="2"/>
      <x:c r="E27" s="42" t="str">
        <x:v>Nhập số 0 khi không phát sinh; đúng ngày chốt; shop không trùng.</x:v>
      </x:c>
      <x:c r="F27" s="42"/>
      <x:c r="G27" s="42"/>
      <x:c r="H27" s="42"/>
      <x:c r="I27" s="42"/>
      <x:c r="J27" s="42"/>
      <x:c r="K27" s="42"/>
      <x:c r="L27" s="42"/>
      <x:c r="M27" s="42"/>
      <x:c r="N27" s="2"/>
      <x:c r="O27" s="2"/>
    </x:row>
    <x:row r="28" ht="32" customHeight="1">
      <x:c r="A28" s="42" t="str">
        <x:v>Lỗi dữ liệu đơn hàng</x:v>
      </x:c>
      <x:c r="B28" s="2" t="n">
        <x:f>COUNTIFS(T_Don[Kiểm tra dữ liệu],"?*")</x:f>
        <x:v>0</x:v>
      </x:c>
      <x:c r="C28" s="2" t="str">
        <x:v>Don_hang / cột T</x:v>
      </x:c>
      <x:c r="D28" s="2"/>
      <x:c r="E28" s="42" t="str">
        <x:v>Bổ sung mã/ngày/giá trị; gộp các SKU thành một đơn.</x:v>
      </x:c>
      <x:c r="F28" s="42"/>
      <x:c r="G28" s="42"/>
      <x:c r="H28" s="42"/>
      <x:c r="I28" s="42"/>
      <x:c r="J28" s="42"/>
      <x:c r="K28" s="42"/>
      <x:c r="L28" s="42"/>
      <x:c r="M28" s="42"/>
      <x:c r="N28" s="2"/>
      <x:c r="O28" s="2"/>
    </x:row>
    <x:row r="29" ht="32" customHeight="1">
      <x:c r="A29" s="42" t="str">
        <x:v>Lỗi dữ liệu giao dịch</x:v>
      </x:c>
      <x:c r="B29" s="2" t="n">
        <x:f>COUNTIFS(T_GD[Kiểm tra dữ liệu],"?*")</x:f>
        <x:v>0</x:v>
      </x:c>
      <x:c r="C29" s="2" t="str">
        <x:v>Giao_dich_san / cột T</x:v>
      </x:c>
      <x:c r="D29" s="2"/>
      <x:c r="E29" s="42" t="str">
        <x:v>Kiểm tra mã trùng, shop, đơn gốc và số tiền.</x:v>
      </x:c>
      <x:c r="F29" s="42"/>
      <x:c r="G29" s="42"/>
      <x:c r="H29" s="42"/>
      <x:c r="I29" s="42"/>
      <x:c r="J29" s="42"/>
      <x:c r="K29" s="42"/>
      <x:c r="L29" s="42"/>
      <x:c r="M29" s="42"/>
      <x:c r="N29" s="2"/>
      <x:c r="O29" s="2"/>
    </x:row>
    <x:row r="30" ht="32" customHeight="1">
      <x:c r="A30" s="42" t="str">
        <x:v>Lỗi đợt chuyển tiền</x:v>
      </x:c>
      <x:c r="B30" s="2" t="n">
        <x:f>COUNTIFS(T_Chuyen[Kiểm tra dữ liệu],"?*")</x:f>
        <x:v>0</x:v>
      </x:c>
      <x:c r="C30" s="2" t="str">
        <x:v>Chuyen_tien / cột N</x:v>
      </x:c>
      <x:c r="D30" s="2"/>
      <x:c r="E30" s="42" t="str">
        <x:v>Kiểm tra mã đợt, ngày trừ số dư và khoản nhận trước kỳ.</x:v>
      </x:c>
      <x:c r="F30" s="42"/>
      <x:c r="G30" s="42"/>
      <x:c r="H30" s="42"/>
      <x:c r="I30" s="42"/>
      <x:c r="J30" s="42"/>
      <x:c r="K30" s="42"/>
      <x:c r="L30" s="42"/>
      <x:c r="M30" s="42"/>
      <x:c r="N30" s="2"/>
      <x:c r="O30" s="2"/>
    </x:row>
    <x:row r="31" ht="32" customHeight="1">
      <x:c r="A31" s="42" t="str">
        <x:v>Lỗi ghép ngân hàng</x:v>
      </x:c>
      <x:c r="B31" s="2" t="n">
        <x:f>COUNTIFS(T_NH[Kiểm tra dữ liệu],"?*")</x:f>
        <x:v>0</x:v>
      </x:c>
      <x:c r="C31" s="2" t="str">
        <x:v>Ngan_hang / cột L</x:v>
      </x:c>
      <x:c r="D31" s="2"/>
      <x:c r="E31" s="42" t="str">
        <x:v>Gắn đúng mã đợt chuyển; không ghi trùng báo Có.</x:v>
      </x:c>
      <x:c r="F31" s="42"/>
      <x:c r="G31" s="42"/>
      <x:c r="H31" s="42"/>
      <x:c r="I31" s="42"/>
      <x:c r="J31" s="42"/>
      <x:c r="K31" s="42"/>
      <x:c r="L31" s="42"/>
      <x:c r="M31" s="42"/>
      <x:c r="N31" s="2"/>
      <x:c r="O31" s="2"/>
    </x:row>
    <x:row r="32" ht="32" customHeight="1">
      <x:c r="A32" s="42" t="str">
        <x:v>Giao dịch tài chính lệch</x:v>
      </x:c>
      <x:c r="B32" s="2" t="n">
        <x:f>COUNTIFS(T_GD[Chênh giao dịch],"&gt;"&amp;'Tong_hop'!$I$4,T_GD[Ngày giao dịch sàn],"&gt;="&amp;'Tong_hop'!$C$4,T_GD[Ngày giao dịch sàn],"&lt;"&amp;'Tong_hop'!$F$4)+COUNTIFS(T_GD[Chênh giao dịch],"&lt;"&amp;-'Tong_hop'!$I$4,T_GD[Ngày giao dịch sàn],"&gt;="&amp;'Tong_hop'!$C$4,T_GD[Ngày giao dịch sàn],"&lt;"&amp;'Tong_hop'!$F$4)</x:f>
        <x:v>0</x:v>
      </x:c>
      <x:c r="C32" s="2" t="str">
        <x:v>Giao_dich_san / cột P</x:v>
      </x:c>
      <x:c r="D32" s="2"/>
      <x:c r="E32" s="42" t="str">
        <x:v>So thực ghi số dư với tổng cấu phần.</x:v>
      </x:c>
      <x:c r="F32" s="42"/>
      <x:c r="G32" s="42"/>
      <x:c r="H32" s="42"/>
      <x:c r="I32" s="42"/>
      <x:c r="J32" s="42"/>
      <x:c r="K32" s="42"/>
      <x:c r="L32" s="42"/>
      <x:c r="M32" s="42"/>
      <x:c r="N32" s="2"/>
      <x:c r="O32" s="2"/>
    </x:row>
    <x:row r="33" ht="32" customHeight="1">
      <x:c r="A33" s="42" t="str">
        <x:v>Đơn quá hạn / thiếu QT</x:v>
      </x:c>
      <x:c r="B33" s="2" t="n">
        <x:f>COUNTIFS(T_Don[Tình trạng],"Quá hạn / thiếu QT")</x:f>
        <x:v>1</x:v>
      </x:c>
      <x:c r="C33" s="2" t="str">
        <x:v>Don_hang / cột S</x:v>
      </x:c>
      <x:c r="D33" s="2"/>
      <x:c r="E33" s="42" t="str">
        <x:v>Kiểm tra phí, hoàn tiền, hạn QT và làm việc với sàn.</x:v>
      </x:c>
      <x:c r="F33" s="42"/>
      <x:c r="G33" s="42"/>
      <x:c r="H33" s="42"/>
      <x:c r="I33" s="42"/>
      <x:c r="J33" s="42"/>
      <x:c r="K33" s="42"/>
      <x:c r="L33" s="42"/>
      <x:c r="M33" s="42"/>
      <x:c r="N33" s="2"/>
      <x:c r="O33" s="2"/>
    </x:row>
    <x:row r="34" ht="32" customHeight="1">
      <x:c r="A34" s="42" t="str">
        <x:v>Đơn QT vượt dự kiến</x:v>
      </x:c>
      <x:c r="B34" s="2" t="n">
        <x:f>COUNTIFS(T_Don[Tình trạng],"QT vượt dự kiến")</x:f>
        <x:v>0</x:v>
      </x:c>
      <x:c r="C34" s="2" t="str">
        <x:v>Don_hang / cột S</x:v>
      </x:c>
      <x:c r="D34" s="2"/>
      <x:c r="E34" s="42" t="str">
        <x:v>Kiểm tra hỗ trợ, hoàn phí, giao dịch trùng và số dự kiến.</x:v>
      </x:c>
      <x:c r="F34" s="42"/>
      <x:c r="G34" s="42"/>
      <x:c r="H34" s="42"/>
      <x:c r="I34" s="42"/>
      <x:c r="J34" s="42"/>
      <x:c r="K34" s="42"/>
      <x:c r="L34" s="42"/>
      <x:c r="M34" s="42"/>
      <x:c r="N34" s="2"/>
      <x:c r="O34" s="2"/>
    </x:row>
    <x:row r="35" ht="32" customHeight="1">
      <x:c r="A35" s="42" t="str">
        <x:v>Đợt chuyển nhận thiếu</x:v>
      </x:c>
      <x:c r="B35" s="2" t="n">
        <x:f>COUNTIFS(T_Chuyen[Tình trạng],"Nhận thiếu")</x:f>
        <x:v>1</x:v>
      </x:c>
      <x:c r="C35" s="2" t="str">
        <x:v>Chuyen_tien / cột M</x:v>
      </x:c>
      <x:c r="D35" s="2"/>
      <x:c r="E35" s="42" t="str">
        <x:v>Đối chiếu báo Có và phí chuyển đã được xác nhận.</x:v>
      </x:c>
      <x:c r="F35" s="42"/>
      <x:c r="G35" s="42"/>
      <x:c r="H35" s="42"/>
      <x:c r="I35" s="42"/>
      <x:c r="J35" s="42"/>
      <x:c r="K35" s="42"/>
      <x:c r="L35" s="42"/>
      <x:c r="M35" s="42"/>
      <x:c r="N35" s="2"/>
      <x:c r="O35" s="2"/>
    </x:row>
    <x:row r="36" ht="32" customHeight="1">
      <x:c r="A36" s="42" t="str">
        <x:v>Đợt chuyển nhận vượt</x:v>
      </x:c>
      <x:c r="B36" s="2" t="n">
        <x:f>COUNTIFS(T_Chuyen[Tình trạng],"Nhận vượt")</x:f>
        <x:v>0</x:v>
      </x:c>
      <x:c r="C36" s="2" t="str">
        <x:v>Chuyen_tien / cột M</x:v>
      </x:c>
      <x:c r="D36" s="2"/>
      <x:c r="E36" s="42" t="str">
        <x:v>Kiểm tra ghép mã và giao dịch ngân hàng trùng.</x:v>
      </x:c>
      <x:c r="F36" s="42"/>
      <x:c r="G36" s="42"/>
      <x:c r="H36" s="42"/>
      <x:c r="I36" s="42"/>
      <x:c r="J36" s="42"/>
      <x:c r="K36" s="42"/>
      <x:c r="L36" s="42"/>
      <x:c r="M36" s="42"/>
      <x:c r="N36" s="2"/>
      <x:c r="O36" s="2"/>
    </x:row>
    <x:row r="37" ht="32" customHeight="1">
      <x:c r="A37" s="42" t="str">
        <x:v>Shop chưa xác nhận đủ nguồn</x:v>
      </x:c>
      <x:c r="B37" s="2" t="n">
        <x:f>COUNTIFS(T_SoDu[Khóa shop],"?*",T_SoDu[Đủ nguồn dữ liệu],"&lt;&gt;Đã đủ")</x:f>
        <x:v>0</x:v>
      </x:c>
      <x:c r="C37" s="2" t="str">
        <x:v>So_du / cột N</x:v>
      </x:c>
      <x:c r="D37" s="2"/>
      <x:c r="E37" s="42" t="str">
        <x:v>Chỉ xác nhận sau khi đã kiểm tra đủ phạm vi dữ liệu.</x:v>
      </x:c>
      <x:c r="F37" s="42"/>
      <x:c r="G37" s="42"/>
      <x:c r="H37" s="42"/>
      <x:c r="I37" s="42"/>
      <x:c r="J37" s="42"/>
      <x:c r="K37" s="42"/>
      <x:c r="L37" s="42"/>
      <x:c r="M37" s="42"/>
      <x:c r="N37" s="2"/>
      <x:c r="O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2" customHeight="1">
      <x:c r="A40" s="2" t="str">
        <x:v>Đọc kết quả mẫu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2" customHeight="1">
      <x:c r="A41" s="2" t="str">
        <x:v>TikTok: khớp. Shopee: SP-001 thiếu QT 2.000 do ship. Lazada: LZ-P1 thiếu NH 1.000.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2" customHeight="1">
      <x:c r="A43" s="2" t="str">
        <x:v>Dùng thực tế: thay ô vàng, giữ ô xám có công thức. Xem Huong_dan trước khi dán file sàn.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2" customHeight="1">
      <x:c r="A44" s="2" t="str">
        <x:v>Mẫu không tự nhập file gốc. Cần ánh xạ cột và cộng gộp theo đơn/giao dịch trước khi dán.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</x:sheetData>
  <x:mergeCells>
    <x:mergeCell ref="C26:D26"/>
    <x:mergeCell ref="E26:M26"/>
    <x:mergeCell ref="C27:D27"/>
    <x:mergeCell ref="E27:M27"/>
    <x:mergeCell ref="C28:D28"/>
    <x:mergeCell ref="E28:M28"/>
    <x:mergeCell ref="C29:D29"/>
    <x:mergeCell ref="E29:M29"/>
    <x:mergeCell ref="C30:D30"/>
    <x:mergeCell ref="E30:M30"/>
    <x:mergeCell ref="C31:D31"/>
    <x:mergeCell ref="E31:M31"/>
    <x:mergeCell ref="C32:D32"/>
    <x:mergeCell ref="E32:M32"/>
    <x:mergeCell ref="C33:D33"/>
    <x:mergeCell ref="E33:M33"/>
    <x:mergeCell ref="C34:D34"/>
    <x:mergeCell ref="E34:M34"/>
    <x:mergeCell ref="C35:D35"/>
    <x:mergeCell ref="E35:M35"/>
    <x:mergeCell ref="C36:D36"/>
    <x:mergeCell ref="E36:M36"/>
    <x:mergeCell ref="C37:D37"/>
    <x:mergeCell ref="E37:M37"/>
  </x:mergeCells>
  <x:conditionalFormatting sqref="K10:L13">
    <x:cfRule type="expression" dxfId="0" priority="1">
      <x:formula>AND(ISNUMBER(K10),ABS(K10)&gt;$I$4)</x:formula>
    </x:cfRule>
  </x:conditionalFormatting>
  <x:conditionalFormatting sqref="D20:D22">
    <x:cfRule type="expression" dxfId="1" priority="2">
      <x:formula>AND(ISNUMBER(D20),ABS(D20)&gt;$I$4)</x:formula>
    </x:cfRule>
  </x:conditionalFormatting>
  <x:conditionalFormatting sqref="G20:G22">
    <x:cfRule type="expression" dxfId="2" priority="3">
      <x:formula>AND(ISNUMBER(G20),ABS(G20)&gt;$I$4)</x:formula>
    </x:cfRule>
  </x:conditionalFormatting>
  <x:conditionalFormatting sqref="J20:J22">
    <x:cfRule type="expression" dxfId="3" priority="4">
      <x:formula>AND(ISNUMBER(J20),ABS(J20)&gt;$I$4)</x:formula>
    </x:cfRule>
  </x:conditionalFormatting>
  <x:conditionalFormatting sqref="M20:M22">
    <x:cfRule type="expression" dxfId="4" priority="5">
      <x:formula>AND(ISNUMBER(M20),ABS(M20)&gt;$I$4)</x:formula>
    </x:cfRule>
  </x:conditionalFormatting>
  <x:conditionalFormatting sqref="B27:B37">
    <x:cfRule type="expression" dxfId="5" priority="6">
      <x:formula>B27&gt;0</x:formula>
    </x:cfRule>
  </x:conditionalFormatting>
  <x:conditionalFormatting sqref="M10:M12">
    <x:cfRule type="expression" dxfId="6" priority="7">
      <x:formula>M10&lt;&gt;"Đã xác nhận đủ"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4" hidden="0" customWidth="1"/>
    <x:col min="14" max="14" width="3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6" hidden="0" customWidth="1"/>
    <x:col min="20" max="20" width="26" hidden="0" customWidth="1"/>
    <x:col min="21" max="21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2" customHeight="1">
      <x:c r="A2" s="3" t="str">
        <x:v>ĐƠN HÀNG VÀ SỐ TIỀN DỰ KIẾN NHẬN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2" customHeight="1">
      <x:c r="A4" s="2" t="str">
        <x:v>Một dòng / đơn. Cộng SKU trước khi nhập. Số tiền đã gồm VAT; bù giá chưa nằm trong tiền hàng mới nhập cột F.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58" customHeight="1">
      <x:c r="A6" s="20" t="str">
        <x:v>Sàn</x:v>
      </x:c>
      <x:c r="B6" s="21" t="str">
        <x:v>Shop</x:v>
      </x:c>
      <x:c r="C6" s="21" t="str">
        <x:v>Mã đơn</x:v>
      </x:c>
      <x:c r="D6" s="21" t="str">
        <x:v>Ngày ghi nhận bán</x:v>
      </x:c>
      <x:c r="E6" s="21" t="str">
        <x:v>Tiền hàng gồm VAT</x:v>
      </x:c>
      <x:c r="F6" s="21" t="str">
        <x:v>Bù giá sàn chưa cộng</x:v>
      </x:c>
      <x:c r="G6" s="21" t="str">
        <x:v>Hoàn tiền lũy kế</x:v>
      </x:c>
      <x:c r="H6" s="21" t="str">
        <x:v>Phí sàn dự kiến</x:v>
      </x:c>
      <x:c r="I6" s="21" t="str">
        <x:v>Ship shop chịu dự kiến</x:v>
      </x:c>
      <x:c r="J6" s="21" t="str">
        <x:v>Điều chỉnh dự kiến +/-</x:v>
      </x:c>
      <x:c r="K6" s="21" t="str">
        <x:v>QT trước kỳ</x:v>
      </x:c>
      <x:c r="L6" s="21" t="str">
        <x:v>Hạn quyết toán</x:v>
      </x:c>
      <x:c r="M6" s="21" t="str">
        <x:v>Nguồn / ghi chú</x:v>
      </x:c>
      <x:c r="N6" s="21" t="str">
        <x:v>Khóa đơn</x:v>
      </x:c>
      <x:c r="O6" s="21" t="str">
        <x:v>Dự kiến nhận lũy kế</x:v>
      </x:c>
      <x:c r="P6" s="21" t="str">
        <x:v>QT trong kỳ</x:v>
      </x:c>
      <x:c r="Q6" s="21" t="str">
        <x:v>QT lũy kế</x:v>
      </x:c>
      <x:c r="R6" s="21" t="str">
        <x:v>Chênh QT</x:v>
      </x:c>
      <x:c r="S6" s="21" t="str">
        <x:v>Tình trạng</x:v>
      </x:c>
      <x:c r="T6" s="21" t="str">
        <x:v>Kiểm tra dữ liệu</x:v>
      </x:c>
      <x:c r="U6" s="22" t="str">
        <x:v>Phải thu gộp</x:v>
      </x:c>
    </x:row>
    <x:row r="7" ht="22" customHeight="1">
      <x:c r="A7" s="10" t="str">
        <x:v>TikTok Shop</x:v>
      </x:c>
      <x:c r="B7" s="10" t="str">
        <x:v>DEMO_TT</x:v>
      </x:c>
      <x:c r="C7" s="24" t="str">
        <x:v>TT-OLD</x:v>
      </x:c>
      <x:c r="D7" s="25" t="d">
        <x:v>2026-08-28T00:00:00.000Z</x:v>
      </x:c>
      <x:c r="E7" s="26" t="n">
        <x:v>600000</x:v>
      </x:c>
      <x:c r="F7" s="26" t="n">
        <x:v>0</x:v>
      </x:c>
      <x:c r="G7" s="26" t="n">
        <x:v>0</x:v>
      </x:c>
      <x:c r="H7" s="26" t="n">
        <x:v>60000</x:v>
      </x:c>
      <x:c r="I7" s="26" t="n">
        <x:v>0</x:v>
      </x:c>
      <x:c r="J7" s="26" t="n">
        <x:v>0</x:v>
      </x:c>
      <x:c r="K7" s="26" t="n">
        <x:v>0</x:v>
      </x:c>
      <x:c r="L7" s="25" t="d">
        <x:v>2026-09-02T00:00:00.000Z</x:v>
      </x:c>
      <x:c r="M7" s="10" t="str">
        <x:v>Đơn cũ chưa QT đầu kỳ</x:v>
      </x:c>
      <x:c r="N7" s="23" t="str">
        <x:f>IF(C7="","",A7&amp;"|"&amp;B7&amp;"|"&amp;C7)</x:f>
        <x:v>TikTok Shop|DEMO_TT|TT-OLD</x:v>
      </x:c>
      <x:c r="O7" s="27" t="n">
        <x:f>IF(C7="","",IF(COUNT(E7:K7)=7,U7-SUM(G7:I7)+J7,"n.a."))</x:f>
        <x:v>540000</x:v>
      </x:c>
      <x:c r="P7" s="27" t="n">
        <x:f>IF(C7="","",SUMIFS(T_GD[Thực ghi số dư +/-],T_GD[Khóa đơn],N7,T_GD[Nhóm giao dịch],"Quyết toán",T_GD[Ngày giao dịch sàn],"&gt;="&amp;'Tong_hop'!$C$4,T_GD[Ngày giao dịch sàn],"&lt;"&amp;'Tong_hop'!$F$4))</x:f>
        <x:v>540000</x:v>
      </x:c>
      <x:c r="Q7" s="27" t="n">
        <x:f>IF(C7="","",IF(ISNUMBER(K7),K7+P7,"n.a."))</x:f>
        <x:v>540000</x:v>
      </x:c>
      <x:c r="R7" s="27" t="n">
        <x:f>IF(C7="","",IF(AND(ISNUMBER(O7),ISNUMBER(Q7)),Q7-O7,"n.a."))</x:f>
        <x:v>0</x:v>
      </x:c>
      <x:c r="S7" s="23" t="str">
        <x:f>IF(C7="","",IF(T7&lt;&gt;"","Sửa dữ liệu",IF(D7&gt;='Tong_hop'!$F$4,"Ngoài kỳ",IF(ABS(R7)&lt;='Tong_hop'!$I$4,"Khớp",IF(R7&gt;'Tong_hop'!$I$4,"QT vượt dự kiến",IF(L7&lt;'Tong_hop'!$F$4,"Quá hạn / thiếu QT",IF(Q7=0,"Chờ QT","Chờ QT một phần")))))))</x:f>
        <x:v>Khớp</x:v>
      </x:c>
      <x:c r="T7" s="23" t="str">
        <x:f>IF(COUNTA(A7:M7)=0,"",IF(OR(NOT(OR(A7="TikTok Shop",A7="Shopee",A7="Lazada")),B7="",C7="",NOT(ISNUMBER(D7)),COUNT(E7:K7)&lt;&gt;7,NOT(ISNUMBER(L7))),"Thiếu/sai dữ liệu",IF(NOT(COUNTIFS(T_SoDu[Khóa shop],A7&amp;"|"&amp;B7)=1),"Shop chưa khai báo",IF(COUNTIFS(T_Don[Khóa đơn],N7)&lt;&gt;1,"Trùng mã đơn",""))))</x:f>
      </x:c>
      <x:c r="U7" s="27" t="n">
        <x:f>IF(C7="","",IF(COUNT(E7:F7)=2,SUM(E7:F7),"n.a."))</x:f>
        <x:v>600000</x:v>
      </x:c>
    </x:row>
    <x:row r="8" ht="22" customHeight="1">
      <x:c r="A8" s="10" t="str">
        <x:v>TikTok Shop</x:v>
      </x:c>
      <x:c r="B8" s="10" t="str">
        <x:v>DEMO_TT</x:v>
      </x:c>
      <x:c r="C8" s="24" t="str">
        <x:v>TT-001</x:v>
      </x:c>
      <x:c r="D8" s="25" t="d">
        <x:v>2026-09-05T00:00:00.000Z</x:v>
      </x:c>
      <x:c r="E8" s="26" t="n">
        <x:v>1000000</x:v>
      </x:c>
      <x:c r="F8" s="26" t="n">
        <x:v>0</x:v>
      </x:c>
      <x:c r="G8" s="26" t="n">
        <x:v>100000</x:v>
      </x:c>
      <x:c r="H8" s="26" t="n">
        <x:v>100000</x:v>
      </x:c>
      <x:c r="I8" s="26" t="n">
        <x:v>20000</x:v>
      </x:c>
      <x:c r="J8" s="26" t="n">
        <x:v>0</x:v>
      </x:c>
      <x:c r="K8" s="26" t="n">
        <x:v>0</x:v>
      </x:c>
      <x:c r="L8" s="25" t="d">
        <x:v>2026-09-10T00:00:00.000Z</x:v>
      </x:c>
      <x:c r="M8" s="10" t="str">
        <x:v>Đã hoàn 100.000 trong tháng</x:v>
      </x:c>
      <x:c r="N8" s="23" t="str">
        <x:f>IF(C8="","",A8&amp;"|"&amp;B8&amp;"|"&amp;C8)</x:f>
        <x:v>TikTok Shop|DEMO_TT|TT-001</x:v>
      </x:c>
      <x:c r="O8" s="27" t="n">
        <x:f>IF(C8="","",IF(COUNT(E8:K8)=7,U8-SUM(G8:I8)+J8,"n.a."))</x:f>
        <x:v>780000</x:v>
      </x:c>
      <x:c r="P8" s="27" t="n">
        <x:f>IF(C8="","",SUMIFS(T_GD[Thực ghi số dư +/-],T_GD[Khóa đơn],N8,T_GD[Nhóm giao dịch],"Quyết toán",T_GD[Ngày giao dịch sàn],"&gt;="&amp;'Tong_hop'!$C$4,T_GD[Ngày giao dịch sàn],"&lt;"&amp;'Tong_hop'!$F$4))</x:f>
        <x:v>780000</x:v>
      </x:c>
      <x:c r="Q8" s="27" t="n">
        <x:f>IF(C8="","",IF(ISNUMBER(K8),K8+P8,"n.a."))</x:f>
        <x:v>780000</x:v>
      </x:c>
      <x:c r="R8" s="27" t="n">
        <x:f>IF(C8="","",IF(AND(ISNUMBER(O8),ISNUMBER(Q8)),Q8-O8,"n.a."))</x:f>
        <x:v>0</x:v>
      </x:c>
      <x:c r="S8" s="23" t="str">
        <x:f>IF(C8="","",IF(T8&lt;&gt;"","Sửa dữ liệu",IF(D8&gt;='Tong_hop'!$F$4,"Ngoài kỳ",IF(ABS(R8)&lt;='Tong_hop'!$I$4,"Khớp",IF(R8&gt;'Tong_hop'!$I$4,"QT vượt dự kiến",IF(L8&lt;'Tong_hop'!$F$4,"Quá hạn / thiếu QT",IF(Q8=0,"Chờ QT","Chờ QT một phần")))))))</x:f>
        <x:v>Khớp</x:v>
      </x:c>
      <x:c r="T8" s="23" t="str">
        <x:f>IF(COUNTA(A8:M8)=0,"",IF(OR(NOT(OR(A8="TikTok Shop",A8="Shopee",A8="Lazada")),B8="",C8="",NOT(ISNUMBER(D8)),COUNT(E8:K8)&lt;&gt;7,NOT(ISNUMBER(L8))),"Thiếu/sai dữ liệu",IF(NOT(COUNTIFS(T_SoDu[Khóa shop],A8&amp;"|"&amp;B8)=1),"Shop chưa khai báo",IF(COUNTIFS(T_Don[Khóa đơn],N8)&lt;&gt;1,"Trùng mã đơn",""))))</x:f>
      </x:c>
      <x:c r="U8" s="27" t="n">
        <x:f>IF(C8="","",IF(COUNT(E8:F8)=2,SUM(E8:F8),"n.a."))</x:f>
        <x:v>1000000</x:v>
      </x:c>
    </x:row>
    <x:row r="9" ht="22" customHeight="1">
      <x:c r="A9" s="10" t="str">
        <x:v>TikTok Shop</x:v>
      </x:c>
      <x:c r="B9" s="10" t="str">
        <x:v>DEMO_TT</x:v>
      </x:c>
      <x:c r="C9" s="24" t="str">
        <x:v>TT-002</x:v>
      </x:c>
      <x:c r="D9" s="25" t="d">
        <x:v>2026-09-28T00:00:00.000Z</x:v>
      </x:c>
      <x:c r="E9" s="26" t="n">
        <x:v>500000</x:v>
      </x:c>
      <x:c r="F9" s="26" t="n">
        <x:v>20000</x:v>
      </x:c>
      <x:c r="G9" s="26" t="n">
        <x:v>0</x:v>
      </x:c>
      <x:c r="H9" s="26" t="n">
        <x:v>50000</x:v>
      </x:c>
      <x:c r="I9" s="26" t="n">
        <x:v>10000</x:v>
      </x:c>
      <x:c r="J9" s="26" t="n">
        <x:v>0</x:v>
      </x:c>
      <x:c r="K9" s="26" t="n">
        <x:v>0</x:v>
      </x:c>
      <x:c r="L9" s="25" t="d">
        <x:v>2026-10-05T00:00:00.000Z</x:v>
      </x:c>
      <x:c r="M9" s="10" t="str">
        <x:v>Chưa đến hạn cuối T9</x:v>
      </x:c>
      <x:c r="N9" s="23" t="str">
        <x:f>IF(C9="","",A9&amp;"|"&amp;B9&amp;"|"&amp;C9)</x:f>
        <x:v>TikTok Shop|DEMO_TT|TT-002</x:v>
      </x:c>
      <x:c r="O9" s="27" t="n">
        <x:f>IF(C9="","",IF(COUNT(E9:K9)=7,U9-SUM(G9:I9)+J9,"n.a."))</x:f>
        <x:v>460000</x:v>
      </x:c>
      <x:c r="P9" s="27" t="n">
        <x:f>IF(C9="","",SUMIFS(T_GD[Thực ghi số dư +/-],T_GD[Khóa đơn],N9,T_GD[Nhóm giao dịch],"Quyết toán",T_GD[Ngày giao dịch sàn],"&gt;="&amp;'Tong_hop'!$C$4,T_GD[Ngày giao dịch sàn],"&lt;"&amp;'Tong_hop'!$F$4))</x:f>
        <x:v>0</x:v>
      </x:c>
      <x:c r="Q9" s="27" t="n">
        <x:f>IF(C9="","",IF(ISNUMBER(K9),K9+P9,"n.a."))</x:f>
        <x:v>0</x:v>
      </x:c>
      <x:c r="R9" s="27" t="n">
        <x:f>IF(C9="","",IF(AND(ISNUMBER(O9),ISNUMBER(Q9)),Q9-O9,"n.a."))</x:f>
        <x:v>-460000</x:v>
      </x:c>
      <x:c r="S9" s="23" t="str">
        <x:f>IF(C9="","",IF(T9&lt;&gt;"","Sửa dữ liệu",IF(D9&gt;='Tong_hop'!$F$4,"Ngoài kỳ",IF(ABS(R9)&lt;='Tong_hop'!$I$4,"Khớp",IF(R9&gt;'Tong_hop'!$I$4,"QT vượt dự kiến",IF(L9&lt;'Tong_hop'!$F$4,"Quá hạn / thiếu QT",IF(Q9=0,"Chờ QT","Chờ QT một phần")))))))</x:f>
        <x:v>Chờ QT</x:v>
      </x:c>
      <x:c r="T9" s="23" t="str">
        <x:f>IF(COUNTA(A9:M9)=0,"",IF(OR(NOT(OR(A9="TikTok Shop",A9="Shopee",A9="Lazada")),B9="",C9="",NOT(ISNUMBER(D9)),COUNT(E9:K9)&lt;&gt;7,NOT(ISNUMBER(L9))),"Thiếu/sai dữ liệu",IF(NOT(COUNTIFS(T_SoDu[Khóa shop],A9&amp;"|"&amp;B9)=1),"Shop chưa khai báo",IF(COUNTIFS(T_Don[Khóa đơn],N9)&lt;&gt;1,"Trùng mã đơn",""))))</x:f>
      </x:c>
      <x:c r="U9" s="27" t="n">
        <x:f>IF(C9="","",IF(COUNT(E9:F9)=2,SUM(E9:F9),"n.a."))</x:f>
        <x:v>520000</x:v>
      </x:c>
    </x:row>
    <x:row r="10" ht="22" customHeight="1">
      <x:c r="A10" s="10" t="str">
        <x:v>Shopee</x:v>
      </x:c>
      <x:c r="B10" s="10" t="str">
        <x:v>DEMO_SP</x:v>
      </x:c>
      <x:c r="C10" s="24" t="str">
        <x:v>SP-OLD</x:v>
      </x:c>
      <x:c r="D10" s="25" t="d">
        <x:v>2026-08-29T00:00:00.000Z</x:v>
      </x:c>
      <x:c r="E10" s="26" t="n">
        <x:v>400000</x:v>
      </x:c>
      <x:c r="F10" s="26" t="n">
        <x:v>0</x:v>
      </x:c>
      <x:c r="G10" s="26" t="n">
        <x:v>0</x:v>
      </x:c>
      <x:c r="H10" s="26" t="n">
        <x:v>40000</x:v>
      </x:c>
      <x:c r="I10" s="26" t="n">
        <x:v>0</x:v>
      </x:c>
      <x:c r="J10" s="26" t="n">
        <x:v>0</x:v>
      </x:c>
      <x:c r="K10" s="26" t="n">
        <x:v>0</x:v>
      </x:c>
      <x:c r="L10" s="25" t="d">
        <x:v>2026-09-03T00:00:00.000Z</x:v>
      </x:c>
      <x:c r="M10" s="10" t="str">
        <x:v>Đơn cũ chưa QT đầu kỳ</x:v>
      </x:c>
      <x:c r="N10" s="23" t="str">
        <x:f>IF(C10="","",A10&amp;"|"&amp;B10&amp;"|"&amp;C10)</x:f>
        <x:v>Shopee|DEMO_SP|SP-OLD</x:v>
      </x:c>
      <x:c r="O10" s="27" t="n">
        <x:f>IF(C10="","",IF(COUNT(E10:K10)=7,U10-SUM(G10:I10)+J10,"n.a."))</x:f>
        <x:v>360000</x:v>
      </x:c>
      <x:c r="P10" s="27" t="n">
        <x:f>IF(C10="","",SUMIFS(T_GD[Thực ghi số dư +/-],T_GD[Khóa đơn],N10,T_GD[Nhóm giao dịch],"Quyết toán",T_GD[Ngày giao dịch sàn],"&gt;="&amp;'Tong_hop'!$C$4,T_GD[Ngày giao dịch sàn],"&lt;"&amp;'Tong_hop'!$F$4))</x:f>
        <x:v>360000</x:v>
      </x:c>
      <x:c r="Q10" s="27" t="n">
        <x:f>IF(C10="","",IF(ISNUMBER(K10),K10+P10,"n.a."))</x:f>
        <x:v>360000</x:v>
      </x:c>
      <x:c r="R10" s="27" t="n">
        <x:f>IF(C10="","",IF(AND(ISNUMBER(O10),ISNUMBER(Q10)),Q10-O10,"n.a."))</x:f>
        <x:v>0</x:v>
      </x:c>
      <x:c r="S10" s="23" t="str">
        <x:f>IF(C10="","",IF(T10&lt;&gt;"","Sửa dữ liệu",IF(D10&gt;='Tong_hop'!$F$4,"Ngoài kỳ",IF(ABS(R10)&lt;='Tong_hop'!$I$4,"Khớp",IF(R10&gt;'Tong_hop'!$I$4,"QT vượt dự kiến",IF(L10&lt;'Tong_hop'!$F$4,"Quá hạn / thiếu QT",IF(Q10=0,"Chờ QT","Chờ QT một phần")))))))</x:f>
        <x:v>Khớp</x:v>
      </x:c>
      <x:c r="T10" s="23" t="str">
        <x:f>IF(COUNTA(A10:M10)=0,"",IF(OR(NOT(OR(A10="TikTok Shop",A10="Shopee",A10="Lazada")),B10="",C10="",NOT(ISNUMBER(D10)),COUNT(E10:K10)&lt;&gt;7,NOT(ISNUMBER(L10))),"Thiếu/sai dữ liệu",IF(NOT(COUNTIFS(T_SoDu[Khóa shop],A10&amp;"|"&amp;B10)=1),"Shop chưa khai báo",IF(COUNTIFS(T_Don[Khóa đơn],N10)&lt;&gt;1,"Trùng mã đơn",""))))</x:f>
      </x:c>
      <x:c r="U10" s="27" t="n">
        <x:f>IF(C10="","",IF(COUNT(E10:F10)=2,SUM(E10:F10),"n.a."))</x:f>
        <x:v>400000</x:v>
      </x:c>
    </x:row>
    <x:row r="11" ht="22" customHeight="1">
      <x:c r="A11" s="10" t="str">
        <x:v>Shopee</x:v>
      </x:c>
      <x:c r="B11" s="10" t="str">
        <x:v>DEMO_SP</x:v>
      </x:c>
      <x:c r="C11" s="24" t="str">
        <x:v>SP-001</x:v>
      </x:c>
      <x:c r="D11" s="25" t="d">
        <x:v>2026-09-07T00:00:00.000Z</x:v>
      </x:c>
      <x:c r="E11" s="26" t="n">
        <x:v>2000000</x:v>
      </x:c>
      <x:c r="F11" s="26" t="n">
        <x:v>50000</x:v>
      </x:c>
      <x:c r="G11" s="26" t="n">
        <x:v>0</x:v>
      </x:c>
      <x:c r="H11" s="26" t="n">
        <x:v>205000</x:v>
      </x:c>
      <x:c r="I11" s="26" t="n">
        <x:v>20000</x:v>
      </x:c>
      <x:c r="J11" s="26" t="n">
        <x:v>0</x:v>
      </x:c>
      <x:c r="K11" s="26" t="n">
        <x:v>0</x:v>
      </x:c>
      <x:c r="L11" s="25" t="d">
        <x:v>2026-09-15T00:00:00.000Z</x:v>
      </x:c>
      <x:c r="M11" s="10" t="str">
        <x:v>Cố ý lệch ship 2.000 để kiểm tra</x:v>
      </x:c>
      <x:c r="N11" s="23" t="str">
        <x:f>IF(C11="","",A11&amp;"|"&amp;B11&amp;"|"&amp;C11)</x:f>
        <x:v>Shopee|DEMO_SP|SP-001</x:v>
      </x:c>
      <x:c r="O11" s="27" t="n">
        <x:f>IF(C11="","",IF(COUNT(E11:K11)=7,U11-SUM(G11:I11)+J11,"n.a."))</x:f>
        <x:v>1825000</x:v>
      </x:c>
      <x:c r="P11" s="27" t="n">
        <x:f>IF(C11="","",SUMIFS(T_GD[Thực ghi số dư +/-],T_GD[Khóa đơn],N11,T_GD[Nhóm giao dịch],"Quyết toán",T_GD[Ngày giao dịch sàn],"&gt;="&amp;'Tong_hop'!$C$4,T_GD[Ngày giao dịch sàn],"&lt;"&amp;'Tong_hop'!$F$4))</x:f>
        <x:v>1823000</x:v>
      </x:c>
      <x:c r="Q11" s="27" t="n">
        <x:f>IF(C11="","",IF(ISNUMBER(K11),K11+P11,"n.a."))</x:f>
        <x:v>1823000</x:v>
      </x:c>
      <x:c r="R11" s="27" t="n">
        <x:f>IF(C11="","",IF(AND(ISNUMBER(O11),ISNUMBER(Q11)),Q11-O11,"n.a."))</x:f>
        <x:v>-2000</x:v>
      </x:c>
      <x:c r="S11" s="23" t="str">
        <x:f>IF(C11="","",IF(T11&lt;&gt;"","Sửa dữ liệu",IF(D11&gt;='Tong_hop'!$F$4,"Ngoài kỳ",IF(ABS(R11)&lt;='Tong_hop'!$I$4,"Khớp",IF(R11&gt;'Tong_hop'!$I$4,"QT vượt dự kiến",IF(L11&lt;'Tong_hop'!$F$4,"Quá hạn / thiếu QT",IF(Q11=0,"Chờ QT","Chờ QT một phần")))))))</x:f>
        <x:v>Quá hạn / thiếu QT</x:v>
      </x:c>
      <x:c r="T11" s="23" t="str">
        <x:f>IF(COUNTA(A11:M11)=0,"",IF(OR(NOT(OR(A11="TikTok Shop",A11="Shopee",A11="Lazada")),B11="",C11="",NOT(ISNUMBER(D11)),COUNT(E11:K11)&lt;&gt;7,NOT(ISNUMBER(L11))),"Thiếu/sai dữ liệu",IF(NOT(COUNTIFS(T_SoDu[Khóa shop],A11&amp;"|"&amp;B11)=1),"Shop chưa khai báo",IF(COUNTIFS(T_Don[Khóa đơn],N11)&lt;&gt;1,"Trùng mã đơn",""))))</x:f>
      </x:c>
      <x:c r="U11" s="27" t="n">
        <x:f>IF(C11="","",IF(COUNT(E11:F11)=2,SUM(E11:F11),"n.a."))</x:f>
        <x:v>2050000</x:v>
      </x:c>
    </x:row>
    <x:row r="12" ht="22" customHeight="1">
      <x:c r="A12" s="10" t="str">
        <x:v>Shopee</x:v>
      </x:c>
      <x:c r="B12" s="10" t="str">
        <x:v>DEMO_SP</x:v>
      </x:c>
      <x:c r="C12" s="24" t="str">
        <x:v>SP-002</x:v>
      </x:c>
      <x:c r="D12" s="25" t="d">
        <x:v>2026-09-27T00:00:00.000Z</x:v>
      </x:c>
      <x:c r="E12" s="26" t="n">
        <x:v>700000</x:v>
      </x:c>
      <x:c r="F12" s="26" t="n">
        <x:v>0</x:v>
      </x:c>
      <x:c r="G12" s="26" t="n">
        <x:v>0</x:v>
      </x:c>
      <x:c r="H12" s="26" t="n">
        <x:v>70000</x:v>
      </x:c>
      <x:c r="I12" s="26" t="n">
        <x:v>0</x:v>
      </x:c>
      <x:c r="J12" s="26" t="n">
        <x:v>0</x:v>
      </x:c>
      <x:c r="K12" s="26" t="n">
        <x:v>0</x:v>
      </x:c>
      <x:c r="L12" s="25" t="d">
        <x:v>2026-10-03T00:00:00.000Z</x:v>
      </x:c>
      <x:c r="M12" s="10" t="str">
        <x:v>Chưa đến hạn cuối T9</x:v>
      </x:c>
      <x:c r="N12" s="23" t="str">
        <x:f>IF(C12="","",A12&amp;"|"&amp;B12&amp;"|"&amp;C12)</x:f>
        <x:v>Shopee|DEMO_SP|SP-002</x:v>
      </x:c>
      <x:c r="O12" s="27" t="n">
        <x:f>IF(C12="","",IF(COUNT(E12:K12)=7,U12-SUM(G12:I12)+J12,"n.a."))</x:f>
        <x:v>630000</x:v>
      </x:c>
      <x:c r="P12" s="27" t="n">
        <x:f>IF(C12="","",SUMIFS(T_GD[Thực ghi số dư +/-],T_GD[Khóa đơn],N12,T_GD[Nhóm giao dịch],"Quyết toán",T_GD[Ngày giao dịch sàn],"&gt;="&amp;'Tong_hop'!$C$4,T_GD[Ngày giao dịch sàn],"&lt;"&amp;'Tong_hop'!$F$4))</x:f>
        <x:v>0</x:v>
      </x:c>
      <x:c r="Q12" s="27" t="n">
        <x:f>IF(C12="","",IF(ISNUMBER(K12),K12+P12,"n.a."))</x:f>
        <x:v>0</x:v>
      </x:c>
      <x:c r="R12" s="27" t="n">
        <x:f>IF(C12="","",IF(AND(ISNUMBER(O12),ISNUMBER(Q12)),Q12-O12,"n.a."))</x:f>
        <x:v>-630000</x:v>
      </x:c>
      <x:c r="S12" s="23" t="str">
        <x:f>IF(C12="","",IF(T12&lt;&gt;"","Sửa dữ liệu",IF(D12&gt;='Tong_hop'!$F$4,"Ngoài kỳ",IF(ABS(R12)&lt;='Tong_hop'!$I$4,"Khớp",IF(R12&gt;'Tong_hop'!$I$4,"QT vượt dự kiến",IF(L12&lt;'Tong_hop'!$F$4,"Quá hạn / thiếu QT",IF(Q12=0,"Chờ QT","Chờ QT một phần")))))))</x:f>
        <x:v>Chờ QT</x:v>
      </x:c>
      <x:c r="T12" s="23" t="str">
        <x:f>IF(COUNTA(A12:M12)=0,"",IF(OR(NOT(OR(A12="TikTok Shop",A12="Shopee",A12="Lazada")),B12="",C12="",NOT(ISNUMBER(D12)),COUNT(E12:K12)&lt;&gt;7,NOT(ISNUMBER(L12))),"Thiếu/sai dữ liệu",IF(NOT(COUNTIFS(T_SoDu[Khóa shop],A12&amp;"|"&amp;B12)=1),"Shop chưa khai báo",IF(COUNTIFS(T_Don[Khóa đơn],N12)&lt;&gt;1,"Trùng mã đơn",""))))</x:f>
      </x:c>
      <x:c r="U12" s="27" t="n">
        <x:f>IF(C12="","",IF(COUNT(E12:F12)=2,SUM(E12:F12),"n.a."))</x:f>
        <x:v>700000</x:v>
      </x:c>
    </x:row>
    <x:row r="13" ht="22" customHeight="1">
      <x:c r="A13" s="10" t="str">
        <x:v>Lazada</x:v>
      </x:c>
      <x:c r="B13" s="10" t="str">
        <x:v>DEMO_LZ</x:v>
      </x:c>
      <x:c r="C13" s="24" t="str">
        <x:v>LZ-OLD</x:v>
      </x:c>
      <x:c r="D13" s="25" t="d">
        <x:v>2026-08-29T00:00:00.000Z</x:v>
      </x:c>
      <x:c r="E13" s="26" t="n">
        <x:v>350000</x:v>
      </x:c>
      <x:c r="F13" s="26" t="n">
        <x:v>0</x:v>
      </x:c>
      <x:c r="G13" s="26" t="n">
        <x:v>0</x:v>
      </x:c>
      <x:c r="H13" s="26" t="n">
        <x:v>35000</x:v>
      </x:c>
      <x:c r="I13" s="26" t="n">
        <x:v>0</x:v>
      </x:c>
      <x:c r="J13" s="26" t="n">
        <x:v>0</x:v>
      </x:c>
      <x:c r="K13" s="26" t="n">
        <x:v>0</x:v>
      </x:c>
      <x:c r="L13" s="25" t="d">
        <x:v>2026-09-02T00:00:00.000Z</x:v>
      </x:c>
      <x:c r="M13" s="10" t="str">
        <x:v>Đơn cũ chưa QT đầu kỳ</x:v>
      </x:c>
      <x:c r="N13" s="23" t="str">
        <x:f>IF(C13="","",A13&amp;"|"&amp;B13&amp;"|"&amp;C13)</x:f>
        <x:v>Lazada|DEMO_LZ|LZ-OLD</x:v>
      </x:c>
      <x:c r="O13" s="27" t="n">
        <x:f>IF(C13="","",IF(COUNT(E13:K13)=7,U13-SUM(G13:I13)+J13,"n.a."))</x:f>
        <x:v>315000</x:v>
      </x:c>
      <x:c r="P13" s="27" t="n">
        <x:f>IF(C13="","",SUMIFS(T_GD[Thực ghi số dư +/-],T_GD[Khóa đơn],N13,T_GD[Nhóm giao dịch],"Quyết toán",T_GD[Ngày giao dịch sàn],"&gt;="&amp;'Tong_hop'!$C$4,T_GD[Ngày giao dịch sàn],"&lt;"&amp;'Tong_hop'!$F$4))</x:f>
        <x:v>315000</x:v>
      </x:c>
      <x:c r="Q13" s="27" t="n">
        <x:f>IF(C13="","",IF(ISNUMBER(K13),K13+P13,"n.a."))</x:f>
        <x:v>315000</x:v>
      </x:c>
      <x:c r="R13" s="27" t="n">
        <x:f>IF(C13="","",IF(AND(ISNUMBER(O13),ISNUMBER(Q13)),Q13-O13,"n.a."))</x:f>
        <x:v>0</x:v>
      </x:c>
      <x:c r="S13" s="23" t="str">
        <x:f>IF(C13="","",IF(T13&lt;&gt;"","Sửa dữ liệu",IF(D13&gt;='Tong_hop'!$F$4,"Ngoài kỳ",IF(ABS(R13)&lt;='Tong_hop'!$I$4,"Khớp",IF(R13&gt;'Tong_hop'!$I$4,"QT vượt dự kiến",IF(L13&lt;'Tong_hop'!$F$4,"Quá hạn / thiếu QT",IF(Q13=0,"Chờ QT","Chờ QT một phần")))))))</x:f>
        <x:v>Khớp</x:v>
      </x:c>
      <x:c r="T13" s="23" t="str">
        <x:f>IF(COUNTA(A13:M13)=0,"",IF(OR(NOT(OR(A13="TikTok Shop",A13="Shopee",A13="Lazada")),B13="",C13="",NOT(ISNUMBER(D13)),COUNT(E13:K13)&lt;&gt;7,NOT(ISNUMBER(L13))),"Thiếu/sai dữ liệu",IF(NOT(COUNTIFS(T_SoDu[Khóa shop],A13&amp;"|"&amp;B13)=1),"Shop chưa khai báo",IF(COUNTIFS(T_Don[Khóa đơn],N13)&lt;&gt;1,"Trùng mã đơn",""))))</x:f>
      </x:c>
      <x:c r="U13" s="27" t="n">
        <x:f>IF(C13="","",IF(COUNT(E13:F13)=2,SUM(E13:F13),"n.a."))</x:f>
        <x:v>350000</x:v>
      </x:c>
    </x:row>
    <x:row r="14" ht="22" customHeight="1">
      <x:c r="A14" s="10" t="str">
        <x:v>Lazada</x:v>
      </x:c>
      <x:c r="B14" s="10" t="str">
        <x:v>DEMO_LZ</x:v>
      </x:c>
      <x:c r="C14" s="24" t="str">
        <x:v>LZ-001</x:v>
      </x:c>
      <x:c r="D14" s="25" t="d">
        <x:v>2026-09-04T00:00:00.000Z</x:v>
      </x:c>
      <x:c r="E14" s="26" t="n">
        <x:v>1500000</x:v>
      </x:c>
      <x:c r="F14" s="26" t="n">
        <x:v>0</x:v>
      </x:c>
      <x:c r="G14" s="26" t="n">
        <x:v>200000</x:v>
      </x:c>
      <x:c r="H14" s="26" t="n">
        <x:v>150000</x:v>
      </x:c>
      <x:c r="I14" s="26" t="n">
        <x:v>30000</x:v>
      </x:c>
      <x:c r="J14" s="26" t="n">
        <x:v>20000</x:v>
      </x:c>
      <x:c r="K14" s="26" t="n">
        <x:v>0</x:v>
      </x:c>
      <x:c r="L14" s="25" t="d">
        <x:v>2026-09-12T00:00:00.000Z</x:v>
      </x:c>
      <x:c r="M14" s="10" t="str">
        <x:v>Hoàn tiền 200.000, hoàn phí 20.000</x:v>
      </x:c>
      <x:c r="N14" s="23" t="str">
        <x:f>IF(C14="","",A14&amp;"|"&amp;B14&amp;"|"&amp;C14)</x:f>
        <x:v>Lazada|DEMO_LZ|LZ-001</x:v>
      </x:c>
      <x:c r="O14" s="27" t="n">
        <x:f>IF(C14="","",IF(COUNT(E14:K14)=7,U14-SUM(G14:I14)+J14,"n.a."))</x:f>
        <x:v>1140000</x:v>
      </x:c>
      <x:c r="P14" s="27" t="n">
        <x:f>IF(C14="","",SUMIFS(T_GD[Thực ghi số dư +/-],T_GD[Khóa đơn],N14,T_GD[Nhóm giao dịch],"Quyết toán",T_GD[Ngày giao dịch sàn],"&gt;="&amp;'Tong_hop'!$C$4,T_GD[Ngày giao dịch sàn],"&lt;"&amp;'Tong_hop'!$F$4))</x:f>
        <x:v>1140000</x:v>
      </x:c>
      <x:c r="Q14" s="27" t="n">
        <x:f>IF(C14="","",IF(ISNUMBER(K14),K14+P14,"n.a."))</x:f>
        <x:v>1140000</x:v>
      </x:c>
      <x:c r="R14" s="27" t="n">
        <x:f>IF(C14="","",IF(AND(ISNUMBER(O14),ISNUMBER(Q14)),Q14-O14,"n.a."))</x:f>
        <x:v>0</x:v>
      </x:c>
      <x:c r="S14" s="23" t="str">
        <x:f>IF(C14="","",IF(T14&lt;&gt;"","Sửa dữ liệu",IF(D14&gt;='Tong_hop'!$F$4,"Ngoài kỳ",IF(ABS(R14)&lt;='Tong_hop'!$I$4,"Khớp",IF(R14&gt;'Tong_hop'!$I$4,"QT vượt dự kiến",IF(L14&lt;'Tong_hop'!$F$4,"Quá hạn / thiếu QT",IF(Q14=0,"Chờ QT","Chờ QT một phần")))))))</x:f>
        <x:v>Khớp</x:v>
      </x:c>
      <x:c r="T14" s="23" t="str">
        <x:f>IF(COUNTA(A14:M14)=0,"",IF(OR(NOT(OR(A14="TikTok Shop",A14="Shopee",A14="Lazada")),B14="",C14="",NOT(ISNUMBER(D14)),COUNT(E14:K14)&lt;&gt;7,NOT(ISNUMBER(L14))),"Thiếu/sai dữ liệu",IF(NOT(COUNTIFS(T_SoDu[Khóa shop],A14&amp;"|"&amp;B14)=1),"Shop chưa khai báo",IF(COUNTIFS(T_Don[Khóa đơn],N14)&lt;&gt;1,"Trùng mã đơn",""))))</x:f>
      </x:c>
      <x:c r="U14" s="27" t="n">
        <x:f>IF(C14="","",IF(COUNT(E14:F14)=2,SUM(E14:F14),"n.a."))</x:f>
        <x:v>1500000</x:v>
      </x:c>
    </x:row>
    <x:row r="15" ht="22" customHeight="1">
      <x:c r="A15" s="10" t="str">
        <x:v>Lazada</x:v>
      </x:c>
      <x:c r="B15" s="10" t="str">
        <x:v>DEMO_LZ</x:v>
      </x:c>
      <x:c r="C15" s="24" t="str">
        <x:v>LZ-002</x:v>
      </x:c>
      <x:c r="D15" s="25" t="d">
        <x:v>2026-09-28T00:00:00.000Z</x:v>
      </x:c>
      <x:c r="E15" s="26" t="n">
        <x:v>800000</x:v>
      </x:c>
      <x:c r="F15" s="26" t="n">
        <x:v>0</x:v>
      </x:c>
      <x:c r="G15" s="26" t="n">
        <x:v>0</x:v>
      </x:c>
      <x:c r="H15" s="26" t="n">
        <x:v>80000</x:v>
      </x:c>
      <x:c r="I15" s="26" t="n">
        <x:v>0</x:v>
      </x:c>
      <x:c r="J15" s="26" t="n">
        <x:v>0</x:v>
      </x:c>
      <x:c r="K15" s="26" t="n">
        <x:v>0</x:v>
      </x:c>
      <x:c r="L15" s="25" t="d">
        <x:v>2026-10-06T00:00:00.000Z</x:v>
      </x:c>
      <x:c r="M15" s="10" t="str">
        <x:v>Chưa đến hạn cuối T9</x:v>
      </x:c>
      <x:c r="N15" s="23" t="str">
        <x:f>IF(C15="","",A15&amp;"|"&amp;B15&amp;"|"&amp;C15)</x:f>
        <x:v>Lazada|DEMO_LZ|LZ-002</x:v>
      </x:c>
      <x:c r="O15" s="27" t="n">
        <x:f>IF(C15="","",IF(COUNT(E15:K15)=7,U15-SUM(G15:I15)+J15,"n.a."))</x:f>
        <x:v>720000</x:v>
      </x:c>
      <x:c r="P15" s="27" t="n">
        <x:f>IF(C15="","",SUMIFS(T_GD[Thực ghi số dư +/-],T_GD[Khóa đơn],N15,T_GD[Nhóm giao dịch],"Quyết toán",T_GD[Ngày giao dịch sàn],"&gt;="&amp;'Tong_hop'!$C$4,T_GD[Ngày giao dịch sàn],"&lt;"&amp;'Tong_hop'!$F$4))</x:f>
        <x:v>0</x:v>
      </x:c>
      <x:c r="Q15" s="27" t="n">
        <x:f>IF(C15="","",IF(ISNUMBER(K15),K15+P15,"n.a."))</x:f>
        <x:v>0</x:v>
      </x:c>
      <x:c r="R15" s="27" t="n">
        <x:f>IF(C15="","",IF(AND(ISNUMBER(O15),ISNUMBER(Q15)),Q15-O15,"n.a."))</x:f>
        <x:v>-720000</x:v>
      </x:c>
      <x:c r="S15" s="23" t="str">
        <x:f>IF(C15="","",IF(T15&lt;&gt;"","Sửa dữ liệu",IF(D15&gt;='Tong_hop'!$F$4,"Ngoài kỳ",IF(ABS(R15)&lt;='Tong_hop'!$I$4,"Khớp",IF(R15&gt;'Tong_hop'!$I$4,"QT vượt dự kiến",IF(L15&lt;'Tong_hop'!$F$4,"Quá hạn / thiếu QT",IF(Q15=0,"Chờ QT","Chờ QT một phần")))))))</x:f>
        <x:v>Chờ QT</x:v>
      </x:c>
      <x:c r="T15" s="23" t="str">
        <x:f>IF(COUNTA(A15:M15)=0,"",IF(OR(NOT(OR(A15="TikTok Shop",A15="Shopee",A15="Lazada")),B15="",C15="",NOT(ISNUMBER(D15)),COUNT(E15:K15)&lt;&gt;7,NOT(ISNUMBER(L15))),"Thiếu/sai dữ liệu",IF(NOT(COUNTIFS(T_SoDu[Khóa shop],A15&amp;"|"&amp;B15)=1),"Shop chưa khai báo",IF(COUNTIFS(T_Don[Khóa đơn],N15)&lt;&gt;1,"Trùng mã đơn",""))))</x:f>
      </x:c>
      <x:c r="U15" s="27" t="n">
        <x:f>IF(C15="","",IF(COUNT(E15:F15)=2,SUM(E15:F15),"n.a."))</x:f>
        <x:v>800000</x:v>
      </x:c>
    </x:row>
    <x:row r="16" ht="22" customHeight="1">
      <x:c r="A16" s="10"/>
      <x:c r="B16" s="10"/>
      <x:c r="C16" s="24"/>
      <x:c r="D16" s="25"/>
      <x:c r="E16" s="26"/>
      <x:c r="F16" s="26"/>
      <x:c r="G16" s="26"/>
      <x:c r="H16" s="26"/>
      <x:c r="I16" s="26"/>
      <x:c r="J16" s="26"/>
      <x:c r="K16" s="26"/>
      <x:c r="L16" s="25"/>
      <x:c r="M16" s="10"/>
      <x:c r="N16" s="23" t="str">
        <x:f>IF(C16="","",A16&amp;"|"&amp;B16&amp;"|"&amp;C16)</x:f>
      </x:c>
      <x:c r="O16" s="27" t="str">
        <x:f>IF(C16="","",IF(COUNT(E16:K16)=7,U16-SUM(G16:I16)+J16,"n.a."))</x:f>
      </x:c>
      <x:c r="P16" s="27" t="str">
        <x:f>IF(C16="","",SUMIFS(T_GD[Thực ghi số dư +/-],T_GD[Khóa đơn],N16,T_GD[Nhóm giao dịch],"Quyết toán",T_GD[Ngày giao dịch sàn],"&gt;="&amp;'Tong_hop'!$C$4,T_GD[Ngày giao dịch sàn],"&lt;"&amp;'Tong_hop'!$F$4))</x:f>
      </x:c>
      <x:c r="Q16" s="27" t="str">
        <x:f>IF(C16="","",IF(ISNUMBER(K16),K16+P16,"n.a."))</x:f>
      </x:c>
      <x:c r="R16" s="27" t="str">
        <x:f>IF(C16="","",IF(AND(ISNUMBER(O16),ISNUMBER(Q16)),Q16-O16,"n.a."))</x:f>
      </x:c>
      <x:c r="S16" s="23" t="str">
        <x:f>IF(C16="","",IF(T16&lt;&gt;"","Sửa dữ liệu",IF(D16&gt;='Tong_hop'!$F$4,"Ngoài kỳ",IF(ABS(R16)&lt;='Tong_hop'!$I$4,"Khớp",IF(R16&gt;'Tong_hop'!$I$4,"QT vượt dự kiến",IF(L16&lt;'Tong_hop'!$F$4,"Quá hạn / thiếu QT",IF(Q16=0,"Chờ QT","Chờ QT một phần")))))))</x:f>
      </x:c>
      <x:c r="T16" s="23" t="str">
        <x:f>IF(COUNTA(A16:M16)=0,"",IF(OR(NOT(OR(A16="TikTok Shop",A16="Shopee",A16="Lazada")),B16="",C16="",NOT(ISNUMBER(D16)),COUNT(E16:K16)&lt;&gt;7,NOT(ISNUMBER(L16))),"Thiếu/sai dữ liệu",IF(NOT(COUNTIFS(T_SoDu[Khóa shop],A16&amp;"|"&amp;B16)=1),"Shop chưa khai báo",IF(COUNTIFS(T_Don[Khóa đơn],N16)&lt;&gt;1,"Trùng mã đơn",""))))</x:f>
      </x:c>
      <x:c r="U16" s="27" t="str">
        <x:f>IF(C16="","",IF(COUNT(E16:F16)=2,SUM(E16:F16),"n.a."))</x:f>
      </x:c>
    </x:row>
    <x:row r="17" ht="22" customHeight="1">
      <x:c r="A17" s="10"/>
      <x:c r="B17" s="10"/>
      <x:c r="C17" s="24"/>
      <x:c r="D17" s="25"/>
      <x:c r="E17" s="26"/>
      <x:c r="F17" s="26"/>
      <x:c r="G17" s="26"/>
      <x:c r="H17" s="26"/>
      <x:c r="I17" s="26"/>
      <x:c r="J17" s="26"/>
      <x:c r="K17" s="26"/>
      <x:c r="L17" s="25"/>
      <x:c r="M17" s="10"/>
      <x:c r="N17" s="23" t="str">
        <x:f>IF(C17="","",A17&amp;"|"&amp;B17&amp;"|"&amp;C17)</x:f>
      </x:c>
      <x:c r="O17" s="27" t="str">
        <x:f>IF(C17="","",IF(COUNT(E17:K17)=7,U17-SUM(G17:I17)+J17,"n.a."))</x:f>
      </x:c>
      <x:c r="P17" s="27" t="str">
        <x:f>IF(C17="","",SUMIFS(T_GD[Thực ghi số dư +/-],T_GD[Khóa đơn],N17,T_GD[Nhóm giao dịch],"Quyết toán",T_GD[Ngày giao dịch sàn],"&gt;="&amp;'Tong_hop'!$C$4,T_GD[Ngày giao dịch sàn],"&lt;"&amp;'Tong_hop'!$F$4))</x:f>
      </x:c>
      <x:c r="Q17" s="27" t="str">
        <x:f>IF(C17="","",IF(ISNUMBER(K17),K17+P17,"n.a."))</x:f>
      </x:c>
      <x:c r="R17" s="27" t="str">
        <x:f>IF(C17="","",IF(AND(ISNUMBER(O17),ISNUMBER(Q17)),Q17-O17,"n.a."))</x:f>
      </x:c>
      <x:c r="S17" s="23" t="str">
        <x:f>IF(C17="","",IF(T17&lt;&gt;"","Sửa dữ liệu",IF(D17&gt;='Tong_hop'!$F$4,"Ngoài kỳ",IF(ABS(R17)&lt;='Tong_hop'!$I$4,"Khớp",IF(R17&gt;'Tong_hop'!$I$4,"QT vượt dự kiến",IF(L17&lt;'Tong_hop'!$F$4,"Quá hạn / thiếu QT",IF(Q17=0,"Chờ QT","Chờ QT một phần")))))))</x:f>
      </x:c>
      <x:c r="T17" s="23" t="str">
        <x:f>IF(COUNTA(A17:M17)=0,"",IF(OR(NOT(OR(A17="TikTok Shop",A17="Shopee",A17="Lazada")),B17="",C17="",NOT(ISNUMBER(D17)),COUNT(E17:K17)&lt;&gt;7,NOT(ISNUMBER(L17))),"Thiếu/sai dữ liệu",IF(NOT(COUNTIFS(T_SoDu[Khóa shop],A17&amp;"|"&amp;B17)=1),"Shop chưa khai báo",IF(COUNTIFS(T_Don[Khóa đơn],N17)&lt;&gt;1,"Trùng mã đơn",""))))</x:f>
      </x:c>
      <x:c r="U17" s="27" t="str">
        <x:f>IF(C17="","",IF(COUNT(E17:F17)=2,SUM(E17:F17),"n.a."))</x:f>
      </x:c>
    </x:row>
    <x:row r="18" ht="22" customHeight="1">
      <x:c r="A18" s="10"/>
      <x:c r="B18" s="10"/>
      <x:c r="C18" s="24"/>
      <x:c r="D18" s="25"/>
      <x:c r="E18" s="26"/>
      <x:c r="F18" s="26"/>
      <x:c r="G18" s="26"/>
      <x:c r="H18" s="26"/>
      <x:c r="I18" s="26"/>
      <x:c r="J18" s="26"/>
      <x:c r="K18" s="26"/>
      <x:c r="L18" s="25"/>
      <x:c r="M18" s="10"/>
      <x:c r="N18" s="23" t="str">
        <x:f>IF(C18="","",A18&amp;"|"&amp;B18&amp;"|"&amp;C18)</x:f>
      </x:c>
      <x:c r="O18" s="27" t="str">
        <x:f>IF(C18="","",IF(COUNT(E18:K18)=7,U18-SUM(G18:I18)+J18,"n.a."))</x:f>
      </x:c>
      <x:c r="P18" s="27" t="str">
        <x:f>IF(C18="","",SUMIFS(T_GD[Thực ghi số dư +/-],T_GD[Khóa đơn],N18,T_GD[Nhóm giao dịch],"Quyết toán",T_GD[Ngày giao dịch sàn],"&gt;="&amp;'Tong_hop'!$C$4,T_GD[Ngày giao dịch sàn],"&lt;"&amp;'Tong_hop'!$F$4))</x:f>
      </x:c>
      <x:c r="Q18" s="27" t="str">
        <x:f>IF(C18="","",IF(ISNUMBER(K18),K18+P18,"n.a."))</x:f>
      </x:c>
      <x:c r="R18" s="27" t="str">
        <x:f>IF(C18="","",IF(AND(ISNUMBER(O18),ISNUMBER(Q18)),Q18-O18,"n.a."))</x:f>
      </x:c>
      <x:c r="S18" s="23" t="str">
        <x:f>IF(C18="","",IF(T18&lt;&gt;"","Sửa dữ liệu",IF(D18&gt;='Tong_hop'!$F$4,"Ngoài kỳ",IF(ABS(R18)&lt;='Tong_hop'!$I$4,"Khớp",IF(R18&gt;'Tong_hop'!$I$4,"QT vượt dự kiến",IF(L18&lt;'Tong_hop'!$F$4,"Quá hạn / thiếu QT",IF(Q18=0,"Chờ QT","Chờ QT một phần")))))))</x:f>
      </x:c>
      <x:c r="T18" s="23" t="str">
        <x:f>IF(COUNTA(A18:M18)=0,"",IF(OR(NOT(OR(A18="TikTok Shop",A18="Shopee",A18="Lazada")),B18="",C18="",NOT(ISNUMBER(D18)),COUNT(E18:K18)&lt;&gt;7,NOT(ISNUMBER(L18))),"Thiếu/sai dữ liệu",IF(NOT(COUNTIFS(T_SoDu[Khóa shop],A18&amp;"|"&amp;B18)=1),"Shop chưa khai báo",IF(COUNTIFS(T_Don[Khóa đơn],N18)&lt;&gt;1,"Trùng mã đơn",""))))</x:f>
      </x:c>
      <x:c r="U18" s="27" t="str">
        <x:f>IF(C18="","",IF(COUNT(E18:F18)=2,SUM(E18:F18),"n.a."))</x:f>
      </x:c>
    </x:row>
    <x:row r="19" ht="22" customHeight="1">
      <x:c r="A19" s="10"/>
      <x:c r="B19" s="10"/>
      <x:c r="C19" s="24"/>
      <x:c r="D19" s="25"/>
      <x:c r="E19" s="26"/>
      <x:c r="F19" s="26"/>
      <x:c r="G19" s="26"/>
      <x:c r="H19" s="26"/>
      <x:c r="I19" s="26"/>
      <x:c r="J19" s="26"/>
      <x:c r="K19" s="26"/>
      <x:c r="L19" s="25"/>
      <x:c r="M19" s="10"/>
      <x:c r="N19" s="23" t="str">
        <x:f>IF(C19="","",A19&amp;"|"&amp;B19&amp;"|"&amp;C19)</x:f>
      </x:c>
      <x:c r="O19" s="27" t="str">
        <x:f>IF(C19="","",IF(COUNT(E19:K19)=7,U19-SUM(G19:I19)+J19,"n.a."))</x:f>
      </x:c>
      <x:c r="P19" s="27" t="str">
        <x:f>IF(C19="","",SUMIFS(T_GD[Thực ghi số dư +/-],T_GD[Khóa đơn],N19,T_GD[Nhóm giao dịch],"Quyết toán",T_GD[Ngày giao dịch sàn],"&gt;="&amp;'Tong_hop'!$C$4,T_GD[Ngày giao dịch sàn],"&lt;"&amp;'Tong_hop'!$F$4))</x:f>
      </x:c>
      <x:c r="Q19" s="27" t="str">
        <x:f>IF(C19="","",IF(ISNUMBER(K19),K19+P19,"n.a."))</x:f>
      </x:c>
      <x:c r="R19" s="27" t="str">
        <x:f>IF(C19="","",IF(AND(ISNUMBER(O19),ISNUMBER(Q19)),Q19-O19,"n.a."))</x:f>
      </x:c>
      <x:c r="S19" s="23" t="str">
        <x:f>IF(C19="","",IF(T19&lt;&gt;"","Sửa dữ liệu",IF(D19&gt;='Tong_hop'!$F$4,"Ngoài kỳ",IF(ABS(R19)&lt;='Tong_hop'!$I$4,"Khớp",IF(R19&gt;'Tong_hop'!$I$4,"QT vượt dự kiến",IF(L19&lt;'Tong_hop'!$F$4,"Quá hạn / thiếu QT",IF(Q19=0,"Chờ QT","Chờ QT một phần")))))))</x:f>
      </x:c>
      <x:c r="T19" s="23" t="str">
        <x:f>IF(COUNTA(A19:M19)=0,"",IF(OR(NOT(OR(A19="TikTok Shop",A19="Shopee",A19="Lazada")),B19="",C19="",NOT(ISNUMBER(D19)),COUNT(E19:K19)&lt;&gt;7,NOT(ISNUMBER(L19))),"Thiếu/sai dữ liệu",IF(NOT(COUNTIFS(T_SoDu[Khóa shop],A19&amp;"|"&amp;B19)=1),"Shop chưa khai báo",IF(COUNTIFS(T_Don[Khóa đơn],N19)&lt;&gt;1,"Trùng mã đơn",""))))</x:f>
      </x:c>
      <x:c r="U19" s="27" t="str">
        <x:f>IF(C19="","",IF(COUNT(E19:F19)=2,SUM(E19:F19),"n.a."))</x:f>
      </x:c>
    </x:row>
    <x:row r="20" ht="22" customHeight="1">
      <x:c r="A20" s="10"/>
      <x:c r="B20" s="10"/>
      <x:c r="C20" s="24"/>
      <x:c r="D20" s="25"/>
      <x:c r="E20" s="26"/>
      <x:c r="F20" s="26"/>
      <x:c r="G20" s="26"/>
      <x:c r="H20" s="26"/>
      <x:c r="I20" s="26"/>
      <x:c r="J20" s="26"/>
      <x:c r="K20" s="26"/>
      <x:c r="L20" s="25"/>
      <x:c r="M20" s="10"/>
      <x:c r="N20" s="23" t="str">
        <x:f>IF(C20="","",A20&amp;"|"&amp;B20&amp;"|"&amp;C20)</x:f>
      </x:c>
      <x:c r="O20" s="27" t="str">
        <x:f>IF(C20="","",IF(COUNT(E20:K20)=7,U20-SUM(G20:I20)+J20,"n.a."))</x:f>
      </x:c>
      <x:c r="P20" s="27" t="str">
        <x:f>IF(C20="","",SUMIFS(T_GD[Thực ghi số dư +/-],T_GD[Khóa đơn],N20,T_GD[Nhóm giao dịch],"Quyết toán",T_GD[Ngày giao dịch sàn],"&gt;="&amp;'Tong_hop'!$C$4,T_GD[Ngày giao dịch sàn],"&lt;"&amp;'Tong_hop'!$F$4))</x:f>
      </x:c>
      <x:c r="Q20" s="27" t="str">
        <x:f>IF(C20="","",IF(ISNUMBER(K20),K20+P20,"n.a."))</x:f>
      </x:c>
      <x:c r="R20" s="27" t="str">
        <x:f>IF(C20="","",IF(AND(ISNUMBER(O20),ISNUMBER(Q20)),Q20-O20,"n.a."))</x:f>
      </x:c>
      <x:c r="S20" s="23" t="str">
        <x:f>IF(C20="","",IF(T20&lt;&gt;"","Sửa dữ liệu",IF(D20&gt;='Tong_hop'!$F$4,"Ngoài kỳ",IF(ABS(R20)&lt;='Tong_hop'!$I$4,"Khớp",IF(R20&gt;'Tong_hop'!$I$4,"QT vượt dự kiến",IF(L20&lt;'Tong_hop'!$F$4,"Quá hạn / thiếu QT",IF(Q20=0,"Chờ QT","Chờ QT một phần")))))))</x:f>
      </x:c>
      <x:c r="T20" s="23" t="str">
        <x:f>IF(COUNTA(A20:M20)=0,"",IF(OR(NOT(OR(A20="TikTok Shop",A20="Shopee",A20="Lazada")),B20="",C20="",NOT(ISNUMBER(D20)),COUNT(E20:K20)&lt;&gt;7,NOT(ISNUMBER(L20))),"Thiếu/sai dữ liệu",IF(NOT(COUNTIFS(T_SoDu[Khóa shop],A20&amp;"|"&amp;B20)=1),"Shop chưa khai báo",IF(COUNTIFS(T_Don[Khóa đơn],N20)&lt;&gt;1,"Trùng mã đơn",""))))</x:f>
      </x:c>
      <x:c r="U20" s="27" t="str">
        <x:f>IF(C20="","",IF(COUNT(E20:F20)=2,SUM(E20:F20),"n.a."))</x:f>
      </x:c>
    </x:row>
    <x:row r="21" ht="22" customHeight="1">
      <x:c r="A21" s="10"/>
      <x:c r="B21" s="10"/>
      <x:c r="C21" s="24"/>
      <x:c r="D21" s="25"/>
      <x:c r="E21" s="26"/>
      <x:c r="F21" s="26"/>
      <x:c r="G21" s="26"/>
      <x:c r="H21" s="26"/>
      <x:c r="I21" s="26"/>
      <x:c r="J21" s="26"/>
      <x:c r="K21" s="26"/>
      <x:c r="L21" s="25"/>
      <x:c r="M21" s="10"/>
      <x:c r="N21" s="23" t="str">
        <x:f>IF(C21="","",A21&amp;"|"&amp;B21&amp;"|"&amp;C21)</x:f>
      </x:c>
      <x:c r="O21" s="27" t="str">
        <x:f>IF(C21="","",IF(COUNT(E21:K21)=7,U21-SUM(G21:I21)+J21,"n.a."))</x:f>
      </x:c>
      <x:c r="P21" s="27" t="str">
        <x:f>IF(C21="","",SUMIFS(T_GD[Thực ghi số dư +/-],T_GD[Khóa đơn],N21,T_GD[Nhóm giao dịch],"Quyết toán",T_GD[Ngày giao dịch sàn],"&gt;="&amp;'Tong_hop'!$C$4,T_GD[Ngày giao dịch sàn],"&lt;"&amp;'Tong_hop'!$F$4))</x:f>
      </x:c>
      <x:c r="Q21" s="27" t="str">
        <x:f>IF(C21="","",IF(ISNUMBER(K21),K21+P21,"n.a."))</x:f>
      </x:c>
      <x:c r="R21" s="27" t="str">
        <x:f>IF(C21="","",IF(AND(ISNUMBER(O21),ISNUMBER(Q21)),Q21-O21,"n.a."))</x:f>
      </x:c>
      <x:c r="S21" s="23" t="str">
        <x:f>IF(C21="","",IF(T21&lt;&gt;"","Sửa dữ liệu",IF(D21&gt;='Tong_hop'!$F$4,"Ngoài kỳ",IF(ABS(R21)&lt;='Tong_hop'!$I$4,"Khớp",IF(R21&gt;'Tong_hop'!$I$4,"QT vượt dự kiến",IF(L21&lt;'Tong_hop'!$F$4,"Quá hạn / thiếu QT",IF(Q21=0,"Chờ QT","Chờ QT một phần")))))))</x:f>
      </x:c>
      <x:c r="T21" s="23" t="str">
        <x:f>IF(COUNTA(A21:M21)=0,"",IF(OR(NOT(OR(A21="TikTok Shop",A21="Shopee",A21="Lazada")),B21="",C21="",NOT(ISNUMBER(D21)),COUNT(E21:K21)&lt;&gt;7,NOT(ISNUMBER(L21))),"Thiếu/sai dữ liệu",IF(NOT(COUNTIFS(T_SoDu[Khóa shop],A21&amp;"|"&amp;B21)=1),"Shop chưa khai báo",IF(COUNTIFS(T_Don[Khóa đơn],N21)&lt;&gt;1,"Trùng mã đơn",""))))</x:f>
      </x:c>
      <x:c r="U21" s="27" t="str">
        <x:f>IF(C21="","",IF(COUNT(E21:F21)=2,SUM(E21:F21),"n.a."))</x:f>
      </x:c>
    </x:row>
    <x:row r="22" ht="22" customHeight="1">
      <x:c r="A22" s="10"/>
      <x:c r="B22" s="10"/>
      <x:c r="C22" s="24"/>
      <x:c r="D22" s="25"/>
      <x:c r="E22" s="26"/>
      <x:c r="F22" s="26"/>
      <x:c r="G22" s="26"/>
      <x:c r="H22" s="26"/>
      <x:c r="I22" s="26"/>
      <x:c r="J22" s="26"/>
      <x:c r="K22" s="26"/>
      <x:c r="L22" s="25"/>
      <x:c r="M22" s="10"/>
      <x:c r="N22" s="23" t="str">
        <x:f>IF(C22="","",A22&amp;"|"&amp;B22&amp;"|"&amp;C22)</x:f>
      </x:c>
      <x:c r="O22" s="27" t="str">
        <x:f>IF(C22="","",IF(COUNT(E22:K22)=7,U22-SUM(G22:I22)+J22,"n.a."))</x:f>
      </x:c>
      <x:c r="P22" s="27" t="str">
        <x:f>IF(C22="","",SUMIFS(T_GD[Thực ghi số dư +/-],T_GD[Khóa đơn],N22,T_GD[Nhóm giao dịch],"Quyết toán",T_GD[Ngày giao dịch sàn],"&gt;="&amp;'Tong_hop'!$C$4,T_GD[Ngày giao dịch sàn],"&lt;"&amp;'Tong_hop'!$F$4))</x:f>
      </x:c>
      <x:c r="Q22" s="27" t="str">
        <x:f>IF(C22="","",IF(ISNUMBER(K22),K22+P22,"n.a."))</x:f>
      </x:c>
      <x:c r="R22" s="27" t="str">
        <x:f>IF(C22="","",IF(AND(ISNUMBER(O22),ISNUMBER(Q22)),Q22-O22,"n.a."))</x:f>
      </x:c>
      <x:c r="S22" s="23" t="str">
        <x:f>IF(C22="","",IF(T22&lt;&gt;"","Sửa dữ liệu",IF(D22&gt;='Tong_hop'!$F$4,"Ngoài kỳ",IF(ABS(R22)&lt;='Tong_hop'!$I$4,"Khớp",IF(R22&gt;'Tong_hop'!$I$4,"QT vượt dự kiến",IF(L22&lt;'Tong_hop'!$F$4,"Quá hạn / thiếu QT",IF(Q22=0,"Chờ QT","Chờ QT một phần")))))))</x:f>
      </x:c>
      <x:c r="T22" s="23" t="str">
        <x:f>IF(COUNTA(A22:M22)=0,"",IF(OR(NOT(OR(A22="TikTok Shop",A22="Shopee",A22="Lazada")),B22="",C22="",NOT(ISNUMBER(D22)),COUNT(E22:K22)&lt;&gt;7,NOT(ISNUMBER(L22))),"Thiếu/sai dữ liệu",IF(NOT(COUNTIFS(T_SoDu[Khóa shop],A22&amp;"|"&amp;B22)=1),"Shop chưa khai báo",IF(COUNTIFS(T_Don[Khóa đơn],N22)&lt;&gt;1,"Trùng mã đơn",""))))</x:f>
      </x:c>
      <x:c r="U22" s="27" t="str">
        <x:f>IF(C22="","",IF(COUNT(E22:F22)=2,SUM(E22:F22),"n.a."))</x:f>
      </x:c>
    </x:row>
    <x:row r="23" ht="22" customHeight="1">
      <x:c r="A23" s="10"/>
      <x:c r="B23" s="10"/>
      <x:c r="C23" s="24"/>
      <x:c r="D23" s="25"/>
      <x:c r="E23" s="26"/>
      <x:c r="F23" s="26"/>
      <x:c r="G23" s="26"/>
      <x:c r="H23" s="26"/>
      <x:c r="I23" s="26"/>
      <x:c r="J23" s="26"/>
      <x:c r="K23" s="26"/>
      <x:c r="L23" s="25"/>
      <x:c r="M23" s="10"/>
      <x:c r="N23" s="23" t="str">
        <x:f>IF(C23="","",A23&amp;"|"&amp;B23&amp;"|"&amp;C23)</x:f>
      </x:c>
      <x:c r="O23" s="27" t="str">
        <x:f>IF(C23="","",IF(COUNT(E23:K23)=7,U23-SUM(G23:I23)+J23,"n.a."))</x:f>
      </x:c>
      <x:c r="P23" s="27" t="str">
        <x:f>IF(C23="","",SUMIFS(T_GD[Thực ghi số dư +/-],T_GD[Khóa đơn],N23,T_GD[Nhóm giao dịch],"Quyết toán",T_GD[Ngày giao dịch sàn],"&gt;="&amp;'Tong_hop'!$C$4,T_GD[Ngày giao dịch sàn],"&lt;"&amp;'Tong_hop'!$F$4))</x:f>
      </x:c>
      <x:c r="Q23" s="27" t="str">
        <x:f>IF(C23="","",IF(ISNUMBER(K23),K23+P23,"n.a."))</x:f>
      </x:c>
      <x:c r="R23" s="27" t="str">
        <x:f>IF(C23="","",IF(AND(ISNUMBER(O23),ISNUMBER(Q23)),Q23-O23,"n.a."))</x:f>
      </x:c>
      <x:c r="S23" s="23" t="str">
        <x:f>IF(C23="","",IF(T23&lt;&gt;"","Sửa dữ liệu",IF(D23&gt;='Tong_hop'!$F$4,"Ngoài kỳ",IF(ABS(R23)&lt;='Tong_hop'!$I$4,"Khớp",IF(R23&gt;'Tong_hop'!$I$4,"QT vượt dự kiến",IF(L23&lt;'Tong_hop'!$F$4,"Quá hạn / thiếu QT",IF(Q23=0,"Chờ QT","Chờ QT một phần")))))))</x:f>
      </x:c>
      <x:c r="T23" s="23" t="str">
        <x:f>IF(COUNTA(A23:M23)=0,"",IF(OR(NOT(OR(A23="TikTok Shop",A23="Shopee",A23="Lazada")),B23="",C23="",NOT(ISNUMBER(D23)),COUNT(E23:K23)&lt;&gt;7,NOT(ISNUMBER(L23))),"Thiếu/sai dữ liệu",IF(NOT(COUNTIFS(T_SoDu[Khóa shop],A23&amp;"|"&amp;B23)=1),"Shop chưa khai báo",IF(COUNTIFS(T_Don[Khóa đơn],N23)&lt;&gt;1,"Trùng mã đơn",""))))</x:f>
      </x:c>
      <x:c r="U23" s="27" t="str">
        <x:f>IF(C23="","",IF(COUNT(E23:F23)=2,SUM(E23:F23),"n.a."))</x:f>
      </x:c>
    </x:row>
    <x:row r="24" ht="22" customHeight="1">
      <x:c r="A24" s="10"/>
      <x:c r="B24" s="10"/>
      <x:c r="C24" s="24"/>
      <x:c r="D24" s="25"/>
      <x:c r="E24" s="26"/>
      <x:c r="F24" s="26"/>
      <x:c r="G24" s="26"/>
      <x:c r="H24" s="26"/>
      <x:c r="I24" s="26"/>
      <x:c r="J24" s="26"/>
      <x:c r="K24" s="26"/>
      <x:c r="L24" s="25"/>
      <x:c r="M24" s="10"/>
      <x:c r="N24" s="23" t="str">
        <x:f>IF(C24="","",A24&amp;"|"&amp;B24&amp;"|"&amp;C24)</x:f>
      </x:c>
      <x:c r="O24" s="27" t="str">
        <x:f>IF(C24="","",IF(COUNT(E24:K24)=7,U24-SUM(G24:I24)+J24,"n.a."))</x:f>
      </x:c>
      <x:c r="P24" s="27" t="str">
        <x:f>IF(C24="","",SUMIFS(T_GD[Thực ghi số dư +/-],T_GD[Khóa đơn],N24,T_GD[Nhóm giao dịch],"Quyết toán",T_GD[Ngày giao dịch sàn],"&gt;="&amp;'Tong_hop'!$C$4,T_GD[Ngày giao dịch sàn],"&lt;"&amp;'Tong_hop'!$F$4))</x:f>
      </x:c>
      <x:c r="Q24" s="27" t="str">
        <x:f>IF(C24="","",IF(ISNUMBER(K24),K24+P24,"n.a."))</x:f>
      </x:c>
      <x:c r="R24" s="27" t="str">
        <x:f>IF(C24="","",IF(AND(ISNUMBER(O24),ISNUMBER(Q24)),Q24-O24,"n.a."))</x:f>
      </x:c>
      <x:c r="S24" s="23" t="str">
        <x:f>IF(C24="","",IF(T24&lt;&gt;"","Sửa dữ liệu",IF(D24&gt;='Tong_hop'!$F$4,"Ngoài kỳ",IF(ABS(R24)&lt;='Tong_hop'!$I$4,"Khớp",IF(R24&gt;'Tong_hop'!$I$4,"QT vượt dự kiến",IF(L24&lt;'Tong_hop'!$F$4,"Quá hạn / thiếu QT",IF(Q24=0,"Chờ QT","Chờ QT một phần")))))))</x:f>
      </x:c>
      <x:c r="T24" s="23" t="str">
        <x:f>IF(COUNTA(A24:M24)=0,"",IF(OR(NOT(OR(A24="TikTok Shop",A24="Shopee",A24="Lazada")),B24="",C24="",NOT(ISNUMBER(D24)),COUNT(E24:K24)&lt;&gt;7,NOT(ISNUMBER(L24))),"Thiếu/sai dữ liệu",IF(NOT(COUNTIFS(T_SoDu[Khóa shop],A24&amp;"|"&amp;B24)=1),"Shop chưa khai báo",IF(COUNTIFS(T_Don[Khóa đơn],N24)&lt;&gt;1,"Trùng mã đơn",""))))</x:f>
      </x:c>
      <x:c r="U24" s="27" t="str">
        <x:f>IF(C24="","",IF(COUNT(E24:F24)=2,SUM(E24:F24),"n.a."))</x:f>
      </x:c>
    </x:row>
    <x:row r="25" ht="22" customHeight="1">
      <x:c r="A25" s="10"/>
      <x:c r="B25" s="10"/>
      <x:c r="C25" s="24"/>
      <x:c r="D25" s="25"/>
      <x:c r="E25" s="26"/>
      <x:c r="F25" s="26"/>
      <x:c r="G25" s="26"/>
      <x:c r="H25" s="26"/>
      <x:c r="I25" s="26"/>
      <x:c r="J25" s="26"/>
      <x:c r="K25" s="26"/>
      <x:c r="L25" s="25"/>
      <x:c r="M25" s="10"/>
      <x:c r="N25" s="23" t="str">
        <x:f>IF(C25="","",A25&amp;"|"&amp;B25&amp;"|"&amp;C25)</x:f>
      </x:c>
      <x:c r="O25" s="27" t="str">
        <x:f>IF(C25="","",IF(COUNT(E25:K25)=7,U25-SUM(G25:I25)+J25,"n.a."))</x:f>
      </x:c>
      <x:c r="P25" s="27" t="str">
        <x:f>IF(C25="","",SUMIFS(T_GD[Thực ghi số dư +/-],T_GD[Khóa đơn],N25,T_GD[Nhóm giao dịch],"Quyết toán",T_GD[Ngày giao dịch sàn],"&gt;="&amp;'Tong_hop'!$C$4,T_GD[Ngày giao dịch sàn],"&lt;"&amp;'Tong_hop'!$F$4))</x:f>
      </x:c>
      <x:c r="Q25" s="27" t="str">
        <x:f>IF(C25="","",IF(ISNUMBER(K25),K25+P25,"n.a."))</x:f>
      </x:c>
      <x:c r="R25" s="27" t="str">
        <x:f>IF(C25="","",IF(AND(ISNUMBER(O25),ISNUMBER(Q25)),Q25-O25,"n.a."))</x:f>
      </x:c>
      <x:c r="S25" s="23" t="str">
        <x:f>IF(C25="","",IF(T25&lt;&gt;"","Sửa dữ liệu",IF(D25&gt;='Tong_hop'!$F$4,"Ngoài kỳ",IF(ABS(R25)&lt;='Tong_hop'!$I$4,"Khớp",IF(R25&gt;'Tong_hop'!$I$4,"QT vượt dự kiến",IF(L25&lt;'Tong_hop'!$F$4,"Quá hạn / thiếu QT",IF(Q25=0,"Chờ QT","Chờ QT một phần")))))))</x:f>
      </x:c>
      <x:c r="T25" s="23" t="str">
        <x:f>IF(COUNTA(A25:M25)=0,"",IF(OR(NOT(OR(A25="TikTok Shop",A25="Shopee",A25="Lazada")),B25="",C25="",NOT(ISNUMBER(D25)),COUNT(E25:K25)&lt;&gt;7,NOT(ISNUMBER(L25))),"Thiếu/sai dữ liệu",IF(NOT(COUNTIFS(T_SoDu[Khóa shop],A25&amp;"|"&amp;B25)=1),"Shop chưa khai báo",IF(COUNTIFS(T_Don[Khóa đơn],N25)&lt;&gt;1,"Trùng mã đơn",""))))</x:f>
      </x:c>
      <x:c r="U25" s="27" t="str">
        <x:f>IF(C25="","",IF(COUNT(E25:F25)=2,SUM(E25:F25),"n.a."))</x:f>
      </x:c>
    </x:row>
    <x:row r="26" ht="22" customHeight="1">
      <x:c r="A26" s="10"/>
      <x:c r="B26" s="10"/>
      <x:c r="C26" s="24"/>
      <x:c r="D26" s="25"/>
      <x:c r="E26" s="26"/>
      <x:c r="F26" s="26"/>
      <x:c r="G26" s="26"/>
      <x:c r="H26" s="26"/>
      <x:c r="I26" s="26"/>
      <x:c r="J26" s="26"/>
      <x:c r="K26" s="26"/>
      <x:c r="L26" s="25"/>
      <x:c r="M26" s="10"/>
      <x:c r="N26" s="23" t="str">
        <x:f>IF(C26="","",A26&amp;"|"&amp;B26&amp;"|"&amp;C26)</x:f>
      </x:c>
      <x:c r="O26" s="27" t="str">
        <x:f>IF(C26="","",IF(COUNT(E26:K26)=7,U26-SUM(G26:I26)+J26,"n.a."))</x:f>
      </x:c>
      <x:c r="P26" s="27" t="str">
        <x:f>IF(C26="","",SUMIFS(T_GD[Thực ghi số dư +/-],T_GD[Khóa đơn],N26,T_GD[Nhóm giao dịch],"Quyết toán",T_GD[Ngày giao dịch sàn],"&gt;="&amp;'Tong_hop'!$C$4,T_GD[Ngày giao dịch sàn],"&lt;"&amp;'Tong_hop'!$F$4))</x:f>
      </x:c>
      <x:c r="Q26" s="27" t="str">
        <x:f>IF(C26="","",IF(ISNUMBER(K26),K26+P26,"n.a."))</x:f>
      </x:c>
      <x:c r="R26" s="27" t="str">
        <x:f>IF(C26="","",IF(AND(ISNUMBER(O26),ISNUMBER(Q26)),Q26-O26,"n.a."))</x:f>
      </x:c>
      <x:c r="S26" s="23" t="str">
        <x:f>IF(C26="","",IF(T26&lt;&gt;"","Sửa dữ liệu",IF(D26&gt;='Tong_hop'!$F$4,"Ngoài kỳ",IF(ABS(R26)&lt;='Tong_hop'!$I$4,"Khớp",IF(R26&gt;'Tong_hop'!$I$4,"QT vượt dự kiến",IF(L26&lt;'Tong_hop'!$F$4,"Quá hạn / thiếu QT",IF(Q26=0,"Chờ QT","Chờ QT một phần")))))))</x:f>
      </x:c>
      <x:c r="T26" s="23" t="str">
        <x:f>IF(COUNTA(A26:M26)=0,"",IF(OR(NOT(OR(A26="TikTok Shop",A26="Shopee",A26="Lazada")),B26="",C26="",NOT(ISNUMBER(D26)),COUNT(E26:K26)&lt;&gt;7,NOT(ISNUMBER(L26))),"Thiếu/sai dữ liệu",IF(NOT(COUNTIFS(T_SoDu[Khóa shop],A26&amp;"|"&amp;B26)=1),"Shop chưa khai báo",IF(COUNTIFS(T_Don[Khóa đơn],N26)&lt;&gt;1,"Trùng mã đơn",""))))</x:f>
      </x:c>
      <x:c r="U26" s="27" t="str">
        <x:f>IF(C26="","",IF(COUNT(E26:F26)=2,SUM(E26:F26),"n.a."))</x:f>
      </x:c>
    </x:row>
    <x:row r="27" ht="22" customHeight="1">
      <x:c r="A27" s="10"/>
      <x:c r="B27" s="10"/>
      <x:c r="C27" s="24"/>
      <x:c r="D27" s="25"/>
      <x:c r="E27" s="26"/>
      <x:c r="F27" s="26"/>
      <x:c r="G27" s="26"/>
      <x:c r="H27" s="26"/>
      <x:c r="I27" s="26"/>
      <x:c r="J27" s="26"/>
      <x:c r="K27" s="26"/>
      <x:c r="L27" s="25"/>
      <x:c r="M27" s="10"/>
      <x:c r="N27" s="23" t="str">
        <x:f>IF(C27="","",A27&amp;"|"&amp;B27&amp;"|"&amp;C27)</x:f>
      </x:c>
      <x:c r="O27" s="27" t="str">
        <x:f>IF(C27="","",IF(COUNT(E27:K27)=7,U27-SUM(G27:I27)+J27,"n.a."))</x:f>
      </x:c>
      <x:c r="P27" s="27" t="str">
        <x:f>IF(C27="","",SUMIFS(T_GD[Thực ghi số dư +/-],T_GD[Khóa đơn],N27,T_GD[Nhóm giao dịch],"Quyết toán",T_GD[Ngày giao dịch sàn],"&gt;="&amp;'Tong_hop'!$C$4,T_GD[Ngày giao dịch sàn],"&lt;"&amp;'Tong_hop'!$F$4))</x:f>
      </x:c>
      <x:c r="Q27" s="27" t="str">
        <x:f>IF(C27="","",IF(ISNUMBER(K27),K27+P27,"n.a."))</x:f>
      </x:c>
      <x:c r="R27" s="27" t="str">
        <x:f>IF(C27="","",IF(AND(ISNUMBER(O27),ISNUMBER(Q27)),Q27-O27,"n.a."))</x:f>
      </x:c>
      <x:c r="S27" s="23" t="str">
        <x:f>IF(C27="","",IF(T27&lt;&gt;"","Sửa dữ liệu",IF(D27&gt;='Tong_hop'!$F$4,"Ngoài kỳ",IF(ABS(R27)&lt;='Tong_hop'!$I$4,"Khớp",IF(R27&gt;'Tong_hop'!$I$4,"QT vượt dự kiến",IF(L27&lt;'Tong_hop'!$F$4,"Quá hạn / thiếu QT",IF(Q27=0,"Chờ QT","Chờ QT một phần")))))))</x:f>
      </x:c>
      <x:c r="T27" s="23" t="str">
        <x:f>IF(COUNTA(A27:M27)=0,"",IF(OR(NOT(OR(A27="TikTok Shop",A27="Shopee",A27="Lazada")),B27="",C27="",NOT(ISNUMBER(D27)),COUNT(E27:K27)&lt;&gt;7,NOT(ISNUMBER(L27))),"Thiếu/sai dữ liệu",IF(NOT(COUNTIFS(T_SoDu[Khóa shop],A27&amp;"|"&amp;B27)=1),"Shop chưa khai báo",IF(COUNTIFS(T_Don[Khóa đơn],N27)&lt;&gt;1,"Trùng mã đơn",""))))</x:f>
      </x:c>
      <x:c r="U27" s="27" t="str">
        <x:f>IF(C27="","",IF(COUNT(E27:F27)=2,SUM(E27:F27),"n.a."))</x:f>
      </x:c>
    </x:row>
    <x:row r="28" ht="22" customHeight="1">
      <x:c r="A28" s="10"/>
      <x:c r="B28" s="10"/>
      <x:c r="C28" s="24"/>
      <x:c r="D28" s="25"/>
      <x:c r="E28" s="26"/>
      <x:c r="F28" s="26"/>
      <x:c r="G28" s="26"/>
      <x:c r="H28" s="26"/>
      <x:c r="I28" s="26"/>
      <x:c r="J28" s="26"/>
      <x:c r="K28" s="26"/>
      <x:c r="L28" s="25"/>
      <x:c r="M28" s="10"/>
      <x:c r="N28" s="23" t="str">
        <x:f>IF(C28="","",A28&amp;"|"&amp;B28&amp;"|"&amp;C28)</x:f>
      </x:c>
      <x:c r="O28" s="27" t="str">
        <x:f>IF(C28="","",IF(COUNT(E28:K28)=7,U28-SUM(G28:I28)+J28,"n.a."))</x:f>
      </x:c>
      <x:c r="P28" s="27" t="str">
        <x:f>IF(C28="","",SUMIFS(T_GD[Thực ghi số dư +/-],T_GD[Khóa đơn],N28,T_GD[Nhóm giao dịch],"Quyết toán",T_GD[Ngày giao dịch sàn],"&gt;="&amp;'Tong_hop'!$C$4,T_GD[Ngày giao dịch sàn],"&lt;"&amp;'Tong_hop'!$F$4))</x:f>
      </x:c>
      <x:c r="Q28" s="27" t="str">
        <x:f>IF(C28="","",IF(ISNUMBER(K28),K28+P28,"n.a."))</x:f>
      </x:c>
      <x:c r="R28" s="27" t="str">
        <x:f>IF(C28="","",IF(AND(ISNUMBER(O28),ISNUMBER(Q28)),Q28-O28,"n.a."))</x:f>
      </x:c>
      <x:c r="S28" s="23" t="str">
        <x:f>IF(C28="","",IF(T28&lt;&gt;"","Sửa dữ liệu",IF(D28&gt;='Tong_hop'!$F$4,"Ngoài kỳ",IF(ABS(R28)&lt;='Tong_hop'!$I$4,"Khớp",IF(R28&gt;'Tong_hop'!$I$4,"QT vượt dự kiến",IF(L28&lt;'Tong_hop'!$F$4,"Quá hạn / thiếu QT",IF(Q28=0,"Chờ QT","Chờ QT một phần")))))))</x:f>
      </x:c>
      <x:c r="T28" s="23" t="str">
        <x:f>IF(COUNTA(A28:M28)=0,"",IF(OR(NOT(OR(A28="TikTok Shop",A28="Shopee",A28="Lazada")),B28="",C28="",NOT(ISNUMBER(D28)),COUNT(E28:K28)&lt;&gt;7,NOT(ISNUMBER(L28))),"Thiếu/sai dữ liệu",IF(NOT(COUNTIFS(T_SoDu[Khóa shop],A28&amp;"|"&amp;B28)=1),"Shop chưa khai báo",IF(COUNTIFS(T_Don[Khóa đơn],N28)&lt;&gt;1,"Trùng mã đơn",""))))</x:f>
      </x:c>
      <x:c r="U28" s="27" t="str">
        <x:f>IF(C28="","",IF(COUNT(E28:F28)=2,SUM(E28:F28),"n.a."))</x:f>
      </x:c>
    </x:row>
    <x:row r="29" ht="22" customHeight="1">
      <x:c r="A29" s="10"/>
      <x:c r="B29" s="10"/>
      <x:c r="C29" s="24"/>
      <x:c r="D29" s="25"/>
      <x:c r="E29" s="26"/>
      <x:c r="F29" s="26"/>
      <x:c r="G29" s="26"/>
      <x:c r="H29" s="26"/>
      <x:c r="I29" s="26"/>
      <x:c r="J29" s="26"/>
      <x:c r="K29" s="26"/>
      <x:c r="L29" s="25"/>
      <x:c r="M29" s="10"/>
      <x:c r="N29" s="23" t="str">
        <x:f>IF(C29="","",A29&amp;"|"&amp;B29&amp;"|"&amp;C29)</x:f>
      </x:c>
      <x:c r="O29" s="27" t="str">
        <x:f>IF(C29="","",IF(COUNT(E29:K29)=7,U29-SUM(G29:I29)+J29,"n.a."))</x:f>
      </x:c>
      <x:c r="P29" s="27" t="str">
        <x:f>IF(C29="","",SUMIFS(T_GD[Thực ghi số dư +/-],T_GD[Khóa đơn],N29,T_GD[Nhóm giao dịch],"Quyết toán",T_GD[Ngày giao dịch sàn],"&gt;="&amp;'Tong_hop'!$C$4,T_GD[Ngày giao dịch sàn],"&lt;"&amp;'Tong_hop'!$F$4))</x:f>
      </x:c>
      <x:c r="Q29" s="27" t="str">
        <x:f>IF(C29="","",IF(ISNUMBER(K29),K29+P29,"n.a."))</x:f>
      </x:c>
      <x:c r="R29" s="27" t="str">
        <x:f>IF(C29="","",IF(AND(ISNUMBER(O29),ISNUMBER(Q29)),Q29-O29,"n.a."))</x:f>
      </x:c>
      <x:c r="S29" s="23" t="str">
        <x:f>IF(C29="","",IF(T29&lt;&gt;"","Sửa dữ liệu",IF(D29&gt;='Tong_hop'!$F$4,"Ngoài kỳ",IF(ABS(R29)&lt;='Tong_hop'!$I$4,"Khớp",IF(R29&gt;'Tong_hop'!$I$4,"QT vượt dự kiến",IF(L29&lt;'Tong_hop'!$F$4,"Quá hạn / thiếu QT",IF(Q29=0,"Chờ QT","Chờ QT một phần")))))))</x:f>
      </x:c>
      <x:c r="T29" s="23" t="str">
        <x:f>IF(COUNTA(A29:M29)=0,"",IF(OR(NOT(OR(A29="TikTok Shop",A29="Shopee",A29="Lazada")),B29="",C29="",NOT(ISNUMBER(D29)),COUNT(E29:K29)&lt;&gt;7,NOT(ISNUMBER(L29))),"Thiếu/sai dữ liệu",IF(NOT(COUNTIFS(T_SoDu[Khóa shop],A29&amp;"|"&amp;B29)=1),"Shop chưa khai báo",IF(COUNTIFS(T_Don[Khóa đơn],N29)&lt;&gt;1,"Trùng mã đơn",""))))</x:f>
      </x:c>
      <x:c r="U29" s="27" t="str">
        <x:f>IF(C29="","",IF(COUNT(E29:F29)=2,SUM(E29:F29),"n.a."))</x:f>
      </x:c>
    </x:row>
    <x:row r="30" ht="22" customHeight="1">
      <x:c r="A30" s="10"/>
      <x:c r="B30" s="10"/>
      <x:c r="C30" s="24"/>
      <x:c r="D30" s="25"/>
      <x:c r="E30" s="26"/>
      <x:c r="F30" s="26"/>
      <x:c r="G30" s="26"/>
      <x:c r="H30" s="26"/>
      <x:c r="I30" s="26"/>
      <x:c r="J30" s="26"/>
      <x:c r="K30" s="26"/>
      <x:c r="L30" s="25"/>
      <x:c r="M30" s="10"/>
      <x:c r="N30" s="23" t="str">
        <x:f>IF(C30="","",A30&amp;"|"&amp;B30&amp;"|"&amp;C30)</x:f>
      </x:c>
      <x:c r="O30" s="27" t="str">
        <x:f>IF(C30="","",IF(COUNT(E30:K30)=7,U30-SUM(G30:I30)+J30,"n.a."))</x:f>
      </x:c>
      <x:c r="P30" s="27" t="str">
        <x:f>IF(C30="","",SUMIFS(T_GD[Thực ghi số dư +/-],T_GD[Khóa đơn],N30,T_GD[Nhóm giao dịch],"Quyết toán",T_GD[Ngày giao dịch sàn],"&gt;="&amp;'Tong_hop'!$C$4,T_GD[Ngày giao dịch sàn],"&lt;"&amp;'Tong_hop'!$F$4))</x:f>
      </x:c>
      <x:c r="Q30" s="27" t="str">
        <x:f>IF(C30="","",IF(ISNUMBER(K30),K30+P30,"n.a."))</x:f>
      </x:c>
      <x:c r="R30" s="27" t="str">
        <x:f>IF(C30="","",IF(AND(ISNUMBER(O30),ISNUMBER(Q30)),Q30-O30,"n.a."))</x:f>
      </x:c>
      <x:c r="S30" s="23" t="str">
        <x:f>IF(C30="","",IF(T30&lt;&gt;"","Sửa dữ liệu",IF(D30&gt;='Tong_hop'!$F$4,"Ngoài kỳ",IF(ABS(R30)&lt;='Tong_hop'!$I$4,"Khớp",IF(R30&gt;'Tong_hop'!$I$4,"QT vượt dự kiến",IF(L30&lt;'Tong_hop'!$F$4,"Quá hạn / thiếu QT",IF(Q30=0,"Chờ QT","Chờ QT một phần")))))))</x:f>
      </x:c>
      <x:c r="T30" s="23" t="str">
        <x:f>IF(COUNTA(A30:M30)=0,"",IF(OR(NOT(OR(A30="TikTok Shop",A30="Shopee",A30="Lazada")),B30="",C30="",NOT(ISNUMBER(D30)),COUNT(E30:K30)&lt;&gt;7,NOT(ISNUMBER(L30))),"Thiếu/sai dữ liệu",IF(NOT(COUNTIFS(T_SoDu[Khóa shop],A30&amp;"|"&amp;B30)=1),"Shop chưa khai báo",IF(COUNTIFS(T_Don[Khóa đơn],N30)&lt;&gt;1,"Trùng mã đơn",""))))</x:f>
      </x:c>
      <x:c r="U30" s="27" t="str">
        <x:f>IF(C30="","",IF(COUNT(E30:F30)=2,SUM(E30:F30),"n.a."))</x:f>
      </x:c>
    </x:row>
    <x:row r="31" ht="22" customHeight="1">
      <x:c r="A31" s="10"/>
      <x:c r="B31" s="10"/>
      <x:c r="C31" s="24"/>
      <x:c r="D31" s="25"/>
      <x:c r="E31" s="26"/>
      <x:c r="F31" s="26"/>
      <x:c r="G31" s="26"/>
      <x:c r="H31" s="26"/>
      <x:c r="I31" s="26"/>
      <x:c r="J31" s="26"/>
      <x:c r="K31" s="26"/>
      <x:c r="L31" s="25"/>
      <x:c r="M31" s="10"/>
      <x:c r="N31" s="23" t="str">
        <x:f>IF(C31="","",A31&amp;"|"&amp;B31&amp;"|"&amp;C31)</x:f>
      </x:c>
      <x:c r="O31" s="27" t="str">
        <x:f>IF(C31="","",IF(COUNT(E31:K31)=7,U31-SUM(G31:I31)+J31,"n.a."))</x:f>
      </x:c>
      <x:c r="P31" s="27" t="str">
        <x:f>IF(C31="","",SUMIFS(T_GD[Thực ghi số dư +/-],T_GD[Khóa đơn],N31,T_GD[Nhóm giao dịch],"Quyết toán",T_GD[Ngày giao dịch sàn],"&gt;="&amp;'Tong_hop'!$C$4,T_GD[Ngày giao dịch sàn],"&lt;"&amp;'Tong_hop'!$F$4))</x:f>
      </x:c>
      <x:c r="Q31" s="27" t="str">
        <x:f>IF(C31="","",IF(ISNUMBER(K31),K31+P31,"n.a."))</x:f>
      </x:c>
      <x:c r="R31" s="27" t="str">
        <x:f>IF(C31="","",IF(AND(ISNUMBER(O31),ISNUMBER(Q31)),Q31-O31,"n.a."))</x:f>
      </x:c>
      <x:c r="S31" s="23" t="str">
        <x:f>IF(C31="","",IF(T31&lt;&gt;"","Sửa dữ liệu",IF(D31&gt;='Tong_hop'!$F$4,"Ngoài kỳ",IF(ABS(R31)&lt;='Tong_hop'!$I$4,"Khớp",IF(R31&gt;'Tong_hop'!$I$4,"QT vượt dự kiến",IF(L31&lt;'Tong_hop'!$F$4,"Quá hạn / thiếu QT",IF(Q31=0,"Chờ QT","Chờ QT một phần")))))))</x:f>
      </x:c>
      <x:c r="T31" s="23" t="str">
        <x:f>IF(COUNTA(A31:M31)=0,"",IF(OR(NOT(OR(A31="TikTok Shop",A31="Shopee",A31="Lazada")),B31="",C31="",NOT(ISNUMBER(D31)),COUNT(E31:K31)&lt;&gt;7,NOT(ISNUMBER(L31))),"Thiếu/sai dữ liệu",IF(NOT(COUNTIFS(T_SoDu[Khóa shop],A31&amp;"|"&amp;B31)=1),"Shop chưa khai báo",IF(COUNTIFS(T_Don[Khóa đơn],N31)&lt;&gt;1,"Trùng mã đơn",""))))</x:f>
      </x:c>
      <x:c r="U31" s="27" t="str">
        <x:f>IF(C31="","",IF(COUNT(E31:F31)=2,SUM(E31:F31),"n.a."))</x:f>
      </x:c>
    </x:row>
    <x:row r="32" ht="22" customHeight="1">
      <x:c r="A32" s="10"/>
      <x:c r="B32" s="10"/>
      <x:c r="C32" s="24"/>
      <x:c r="D32" s="25"/>
      <x:c r="E32" s="26"/>
      <x:c r="F32" s="26"/>
      <x:c r="G32" s="26"/>
      <x:c r="H32" s="26"/>
      <x:c r="I32" s="26"/>
      <x:c r="J32" s="26"/>
      <x:c r="K32" s="26"/>
      <x:c r="L32" s="25"/>
      <x:c r="M32" s="10"/>
      <x:c r="N32" s="23" t="str">
        <x:f>IF(C32="","",A32&amp;"|"&amp;B32&amp;"|"&amp;C32)</x:f>
      </x:c>
      <x:c r="O32" s="27" t="str">
        <x:f>IF(C32="","",IF(COUNT(E32:K32)=7,U32-SUM(G32:I32)+J32,"n.a."))</x:f>
      </x:c>
      <x:c r="P32" s="27" t="str">
        <x:f>IF(C32="","",SUMIFS(T_GD[Thực ghi số dư +/-],T_GD[Khóa đơn],N32,T_GD[Nhóm giao dịch],"Quyết toán",T_GD[Ngày giao dịch sàn],"&gt;="&amp;'Tong_hop'!$C$4,T_GD[Ngày giao dịch sàn],"&lt;"&amp;'Tong_hop'!$F$4))</x:f>
      </x:c>
      <x:c r="Q32" s="27" t="str">
        <x:f>IF(C32="","",IF(ISNUMBER(K32),K32+P32,"n.a."))</x:f>
      </x:c>
      <x:c r="R32" s="27" t="str">
        <x:f>IF(C32="","",IF(AND(ISNUMBER(O32),ISNUMBER(Q32)),Q32-O32,"n.a."))</x:f>
      </x:c>
      <x:c r="S32" s="23" t="str">
        <x:f>IF(C32="","",IF(T32&lt;&gt;"","Sửa dữ liệu",IF(D32&gt;='Tong_hop'!$F$4,"Ngoài kỳ",IF(ABS(R32)&lt;='Tong_hop'!$I$4,"Khớp",IF(R32&gt;'Tong_hop'!$I$4,"QT vượt dự kiến",IF(L32&lt;'Tong_hop'!$F$4,"Quá hạn / thiếu QT",IF(Q32=0,"Chờ QT","Chờ QT một phần")))))))</x:f>
      </x:c>
      <x:c r="T32" s="23" t="str">
        <x:f>IF(COUNTA(A32:M32)=0,"",IF(OR(NOT(OR(A32="TikTok Shop",A32="Shopee",A32="Lazada")),B32="",C32="",NOT(ISNUMBER(D32)),COUNT(E32:K32)&lt;&gt;7,NOT(ISNUMBER(L32))),"Thiếu/sai dữ liệu",IF(NOT(COUNTIFS(T_SoDu[Khóa shop],A32&amp;"|"&amp;B32)=1),"Shop chưa khai báo",IF(COUNTIFS(T_Don[Khóa đơn],N32)&lt;&gt;1,"Trùng mã đơn",""))))</x:f>
      </x:c>
      <x:c r="U32" s="27" t="str">
        <x:f>IF(C32="","",IF(COUNT(E32:F32)=2,SUM(E32:F32),"n.a."))</x:f>
      </x:c>
    </x:row>
    <x:row r="33" ht="22" customHeight="1">
      <x:c r="A33" s="10"/>
      <x:c r="B33" s="10"/>
      <x:c r="C33" s="24"/>
      <x:c r="D33" s="25"/>
      <x:c r="E33" s="26"/>
      <x:c r="F33" s="26"/>
      <x:c r="G33" s="26"/>
      <x:c r="H33" s="26"/>
      <x:c r="I33" s="26"/>
      <x:c r="J33" s="26"/>
      <x:c r="K33" s="26"/>
      <x:c r="L33" s="25"/>
      <x:c r="M33" s="10"/>
      <x:c r="N33" s="23" t="str">
        <x:f>IF(C33="","",A33&amp;"|"&amp;B33&amp;"|"&amp;C33)</x:f>
      </x:c>
      <x:c r="O33" s="27" t="str">
        <x:f>IF(C33="","",IF(COUNT(E33:K33)=7,U33-SUM(G33:I33)+J33,"n.a."))</x:f>
      </x:c>
      <x:c r="P33" s="27" t="str">
        <x:f>IF(C33="","",SUMIFS(T_GD[Thực ghi số dư +/-],T_GD[Khóa đơn],N33,T_GD[Nhóm giao dịch],"Quyết toán",T_GD[Ngày giao dịch sàn],"&gt;="&amp;'Tong_hop'!$C$4,T_GD[Ngày giao dịch sàn],"&lt;"&amp;'Tong_hop'!$F$4))</x:f>
      </x:c>
      <x:c r="Q33" s="27" t="str">
        <x:f>IF(C33="","",IF(ISNUMBER(K33),K33+P33,"n.a."))</x:f>
      </x:c>
      <x:c r="R33" s="27" t="str">
        <x:f>IF(C33="","",IF(AND(ISNUMBER(O33),ISNUMBER(Q33)),Q33-O33,"n.a."))</x:f>
      </x:c>
      <x:c r="S33" s="23" t="str">
        <x:f>IF(C33="","",IF(T33&lt;&gt;"","Sửa dữ liệu",IF(D33&gt;='Tong_hop'!$F$4,"Ngoài kỳ",IF(ABS(R33)&lt;='Tong_hop'!$I$4,"Khớp",IF(R33&gt;'Tong_hop'!$I$4,"QT vượt dự kiến",IF(L33&lt;'Tong_hop'!$F$4,"Quá hạn / thiếu QT",IF(Q33=0,"Chờ QT","Chờ QT một phần")))))))</x:f>
      </x:c>
      <x:c r="T33" s="23" t="str">
        <x:f>IF(COUNTA(A33:M33)=0,"",IF(OR(NOT(OR(A33="TikTok Shop",A33="Shopee",A33="Lazada")),B33="",C33="",NOT(ISNUMBER(D33)),COUNT(E33:K33)&lt;&gt;7,NOT(ISNUMBER(L33))),"Thiếu/sai dữ liệu",IF(NOT(COUNTIFS(T_SoDu[Khóa shop],A33&amp;"|"&amp;B33)=1),"Shop chưa khai báo",IF(COUNTIFS(T_Don[Khóa đơn],N33)&lt;&gt;1,"Trùng mã đơn",""))))</x:f>
      </x:c>
      <x:c r="U33" s="27" t="str">
        <x:f>IF(C33="","",IF(COUNT(E33:F33)=2,SUM(E33:F33),"n.a."))</x:f>
      </x:c>
    </x:row>
    <x:row r="34" ht="22" customHeight="1">
      <x:c r="A34" s="10"/>
      <x:c r="B34" s="10"/>
      <x:c r="C34" s="24"/>
      <x:c r="D34" s="25"/>
      <x:c r="E34" s="26"/>
      <x:c r="F34" s="26"/>
      <x:c r="G34" s="26"/>
      <x:c r="H34" s="26"/>
      <x:c r="I34" s="26"/>
      <x:c r="J34" s="26"/>
      <x:c r="K34" s="26"/>
      <x:c r="L34" s="25"/>
      <x:c r="M34" s="10"/>
      <x:c r="N34" s="23" t="str">
        <x:f>IF(C34="","",A34&amp;"|"&amp;B34&amp;"|"&amp;C34)</x:f>
      </x:c>
      <x:c r="O34" s="27" t="str">
        <x:f>IF(C34="","",IF(COUNT(E34:K34)=7,U34-SUM(G34:I34)+J34,"n.a."))</x:f>
      </x:c>
      <x:c r="P34" s="27" t="str">
        <x:f>IF(C34="","",SUMIFS(T_GD[Thực ghi số dư +/-],T_GD[Khóa đơn],N34,T_GD[Nhóm giao dịch],"Quyết toán",T_GD[Ngày giao dịch sàn],"&gt;="&amp;'Tong_hop'!$C$4,T_GD[Ngày giao dịch sàn],"&lt;"&amp;'Tong_hop'!$F$4))</x:f>
      </x:c>
      <x:c r="Q34" s="27" t="str">
        <x:f>IF(C34="","",IF(ISNUMBER(K34),K34+P34,"n.a."))</x:f>
      </x:c>
      <x:c r="R34" s="27" t="str">
        <x:f>IF(C34="","",IF(AND(ISNUMBER(O34),ISNUMBER(Q34)),Q34-O34,"n.a."))</x:f>
      </x:c>
      <x:c r="S34" s="23" t="str">
        <x:f>IF(C34="","",IF(T34&lt;&gt;"","Sửa dữ liệu",IF(D34&gt;='Tong_hop'!$F$4,"Ngoài kỳ",IF(ABS(R34)&lt;='Tong_hop'!$I$4,"Khớp",IF(R34&gt;'Tong_hop'!$I$4,"QT vượt dự kiến",IF(L34&lt;'Tong_hop'!$F$4,"Quá hạn / thiếu QT",IF(Q34=0,"Chờ QT","Chờ QT một phần")))))))</x:f>
      </x:c>
      <x:c r="T34" s="23" t="str">
        <x:f>IF(COUNTA(A34:M34)=0,"",IF(OR(NOT(OR(A34="TikTok Shop",A34="Shopee",A34="Lazada")),B34="",C34="",NOT(ISNUMBER(D34)),COUNT(E34:K34)&lt;&gt;7,NOT(ISNUMBER(L34))),"Thiếu/sai dữ liệu",IF(NOT(COUNTIFS(T_SoDu[Khóa shop],A34&amp;"|"&amp;B34)=1),"Shop chưa khai báo",IF(COUNTIFS(T_Don[Khóa đơn],N34)&lt;&gt;1,"Trùng mã đơn",""))))</x:f>
      </x:c>
      <x:c r="U34" s="27" t="str">
        <x:f>IF(C34="","",IF(COUNT(E34:F34)=2,SUM(E34:F34),"n.a."))</x:f>
      </x:c>
    </x:row>
    <x:row r="35" ht="22" customHeight="1">
      <x:c r="A35" s="10"/>
      <x:c r="B35" s="10"/>
      <x:c r="C35" s="24"/>
      <x:c r="D35" s="25"/>
      <x:c r="E35" s="26"/>
      <x:c r="F35" s="26"/>
      <x:c r="G35" s="26"/>
      <x:c r="H35" s="26"/>
      <x:c r="I35" s="26"/>
      <x:c r="J35" s="26"/>
      <x:c r="K35" s="26"/>
      <x:c r="L35" s="25"/>
      <x:c r="M35" s="10"/>
      <x:c r="N35" s="23" t="str">
        <x:f>IF(C35="","",A35&amp;"|"&amp;B35&amp;"|"&amp;C35)</x:f>
      </x:c>
      <x:c r="O35" s="27" t="str">
        <x:f>IF(C35="","",IF(COUNT(E35:K35)=7,U35-SUM(G35:I35)+J35,"n.a."))</x:f>
      </x:c>
      <x:c r="P35" s="27" t="str">
        <x:f>IF(C35="","",SUMIFS(T_GD[Thực ghi số dư +/-],T_GD[Khóa đơn],N35,T_GD[Nhóm giao dịch],"Quyết toán",T_GD[Ngày giao dịch sàn],"&gt;="&amp;'Tong_hop'!$C$4,T_GD[Ngày giao dịch sàn],"&lt;"&amp;'Tong_hop'!$F$4))</x:f>
      </x:c>
      <x:c r="Q35" s="27" t="str">
        <x:f>IF(C35="","",IF(ISNUMBER(K35),K35+P35,"n.a."))</x:f>
      </x:c>
      <x:c r="R35" s="27" t="str">
        <x:f>IF(C35="","",IF(AND(ISNUMBER(O35),ISNUMBER(Q35)),Q35-O35,"n.a."))</x:f>
      </x:c>
      <x:c r="S35" s="23" t="str">
        <x:f>IF(C35="","",IF(T35&lt;&gt;"","Sửa dữ liệu",IF(D35&gt;='Tong_hop'!$F$4,"Ngoài kỳ",IF(ABS(R35)&lt;='Tong_hop'!$I$4,"Khớp",IF(R35&gt;'Tong_hop'!$I$4,"QT vượt dự kiến",IF(L35&lt;'Tong_hop'!$F$4,"Quá hạn / thiếu QT",IF(Q35=0,"Chờ QT","Chờ QT một phần")))))))</x:f>
      </x:c>
      <x:c r="T35" s="23" t="str">
        <x:f>IF(COUNTA(A35:M35)=0,"",IF(OR(NOT(OR(A35="TikTok Shop",A35="Shopee",A35="Lazada")),B35="",C35="",NOT(ISNUMBER(D35)),COUNT(E35:K35)&lt;&gt;7,NOT(ISNUMBER(L35))),"Thiếu/sai dữ liệu",IF(NOT(COUNTIFS(T_SoDu[Khóa shop],A35&amp;"|"&amp;B35)=1),"Shop chưa khai báo",IF(COUNTIFS(T_Don[Khóa đơn],N35)&lt;&gt;1,"Trùng mã đơn",""))))</x:f>
      </x:c>
      <x:c r="U35" s="27" t="str">
        <x:f>IF(C35="","",IF(COUNT(E35:F35)=2,SUM(E35:F35),"n.a."))</x:f>
      </x:c>
    </x:row>
    <x:row r="36" ht="22" customHeight="1">
      <x:c r="A36" s="10"/>
      <x:c r="B36" s="10"/>
      <x:c r="C36" s="24"/>
      <x:c r="D36" s="25"/>
      <x:c r="E36" s="26"/>
      <x:c r="F36" s="26"/>
      <x:c r="G36" s="26"/>
      <x:c r="H36" s="26"/>
      <x:c r="I36" s="26"/>
      <x:c r="J36" s="26"/>
      <x:c r="K36" s="26"/>
      <x:c r="L36" s="25"/>
      <x:c r="M36" s="10"/>
      <x:c r="N36" s="23" t="str">
        <x:f>IF(C36="","",A36&amp;"|"&amp;B36&amp;"|"&amp;C36)</x:f>
      </x:c>
      <x:c r="O36" s="27" t="str">
        <x:f>IF(C36="","",IF(COUNT(E36:K36)=7,U36-SUM(G36:I36)+J36,"n.a."))</x:f>
      </x:c>
      <x:c r="P36" s="27" t="str">
        <x:f>IF(C36="","",SUMIFS(T_GD[Thực ghi số dư +/-],T_GD[Khóa đơn],N36,T_GD[Nhóm giao dịch],"Quyết toán",T_GD[Ngày giao dịch sàn],"&gt;="&amp;'Tong_hop'!$C$4,T_GD[Ngày giao dịch sàn],"&lt;"&amp;'Tong_hop'!$F$4))</x:f>
      </x:c>
      <x:c r="Q36" s="27" t="str">
        <x:f>IF(C36="","",IF(ISNUMBER(K36),K36+P36,"n.a."))</x:f>
      </x:c>
      <x:c r="R36" s="27" t="str">
        <x:f>IF(C36="","",IF(AND(ISNUMBER(O36),ISNUMBER(Q36)),Q36-O36,"n.a."))</x:f>
      </x:c>
      <x:c r="S36" s="23" t="str">
        <x:f>IF(C36="","",IF(T36&lt;&gt;"","Sửa dữ liệu",IF(D36&gt;='Tong_hop'!$F$4,"Ngoài kỳ",IF(ABS(R36)&lt;='Tong_hop'!$I$4,"Khớp",IF(R36&gt;'Tong_hop'!$I$4,"QT vượt dự kiến",IF(L36&lt;'Tong_hop'!$F$4,"Quá hạn / thiếu QT",IF(Q36=0,"Chờ QT","Chờ QT một phần")))))))</x:f>
      </x:c>
      <x:c r="T36" s="23" t="str">
        <x:f>IF(COUNTA(A36:M36)=0,"",IF(OR(NOT(OR(A36="TikTok Shop",A36="Shopee",A36="Lazada")),B36="",C36="",NOT(ISNUMBER(D36)),COUNT(E36:K36)&lt;&gt;7,NOT(ISNUMBER(L36))),"Thiếu/sai dữ liệu",IF(NOT(COUNTIFS(T_SoDu[Khóa shop],A36&amp;"|"&amp;B36)=1),"Shop chưa khai báo",IF(COUNTIFS(T_Don[Khóa đơn],N36)&lt;&gt;1,"Trùng mã đơn",""))))</x:f>
      </x:c>
      <x:c r="U36" s="27" t="str">
        <x:f>IF(C36="","",IF(COUNT(E36:F36)=2,SUM(E36:F36),"n.a."))</x:f>
      </x:c>
    </x:row>
    <x:row r="37" ht="22" customHeight="1">
      <x:c r="A37" s="10"/>
      <x:c r="B37" s="10"/>
      <x:c r="C37" s="24"/>
      <x:c r="D37" s="25"/>
      <x:c r="E37" s="26"/>
      <x:c r="F37" s="26"/>
      <x:c r="G37" s="26"/>
      <x:c r="H37" s="26"/>
      <x:c r="I37" s="26"/>
      <x:c r="J37" s="26"/>
      <x:c r="K37" s="26"/>
      <x:c r="L37" s="25"/>
      <x:c r="M37" s="10"/>
      <x:c r="N37" s="23" t="str">
        <x:f>IF(C37="","",A37&amp;"|"&amp;B37&amp;"|"&amp;C37)</x:f>
      </x:c>
      <x:c r="O37" s="27" t="str">
        <x:f>IF(C37="","",IF(COUNT(E37:K37)=7,U37-SUM(G37:I37)+J37,"n.a."))</x:f>
      </x:c>
      <x:c r="P37" s="27" t="str">
        <x:f>IF(C37="","",SUMIFS(T_GD[Thực ghi số dư +/-],T_GD[Khóa đơn],N37,T_GD[Nhóm giao dịch],"Quyết toán",T_GD[Ngày giao dịch sàn],"&gt;="&amp;'Tong_hop'!$C$4,T_GD[Ngày giao dịch sàn],"&lt;"&amp;'Tong_hop'!$F$4))</x:f>
      </x:c>
      <x:c r="Q37" s="27" t="str">
        <x:f>IF(C37="","",IF(ISNUMBER(K37),K37+P37,"n.a."))</x:f>
      </x:c>
      <x:c r="R37" s="27" t="str">
        <x:f>IF(C37="","",IF(AND(ISNUMBER(O37),ISNUMBER(Q37)),Q37-O37,"n.a."))</x:f>
      </x:c>
      <x:c r="S37" s="23" t="str">
        <x:f>IF(C37="","",IF(T37&lt;&gt;"","Sửa dữ liệu",IF(D37&gt;='Tong_hop'!$F$4,"Ngoài kỳ",IF(ABS(R37)&lt;='Tong_hop'!$I$4,"Khớp",IF(R37&gt;'Tong_hop'!$I$4,"QT vượt dự kiến",IF(L37&lt;'Tong_hop'!$F$4,"Quá hạn / thiếu QT",IF(Q37=0,"Chờ QT","Chờ QT một phần")))))))</x:f>
      </x:c>
      <x:c r="T37" s="23" t="str">
        <x:f>IF(COUNTA(A37:M37)=0,"",IF(OR(NOT(OR(A37="TikTok Shop",A37="Shopee",A37="Lazada")),B37="",C37="",NOT(ISNUMBER(D37)),COUNT(E37:K37)&lt;&gt;7,NOT(ISNUMBER(L37))),"Thiếu/sai dữ liệu",IF(NOT(COUNTIFS(T_SoDu[Khóa shop],A37&amp;"|"&amp;B37)=1),"Shop chưa khai báo",IF(COUNTIFS(T_Don[Khóa đơn],N37)&lt;&gt;1,"Trùng mã đơn",""))))</x:f>
      </x:c>
      <x:c r="U37" s="27" t="str">
        <x:f>IF(C37="","",IF(COUNT(E37:F37)=2,SUM(E37:F37),"n.a."))</x:f>
      </x:c>
    </x:row>
    <x:row r="38" ht="22" customHeight="1">
      <x:c r="A38" s="10"/>
      <x:c r="B38" s="10"/>
      <x:c r="C38" s="24"/>
      <x:c r="D38" s="25"/>
      <x:c r="E38" s="26"/>
      <x:c r="F38" s="26"/>
      <x:c r="G38" s="26"/>
      <x:c r="H38" s="26"/>
      <x:c r="I38" s="26"/>
      <x:c r="J38" s="26"/>
      <x:c r="K38" s="26"/>
      <x:c r="L38" s="25"/>
      <x:c r="M38" s="10"/>
      <x:c r="N38" s="23" t="str">
        <x:f>IF(C38="","",A38&amp;"|"&amp;B38&amp;"|"&amp;C38)</x:f>
      </x:c>
      <x:c r="O38" s="27" t="str">
        <x:f>IF(C38="","",IF(COUNT(E38:K38)=7,U38-SUM(G38:I38)+J38,"n.a."))</x:f>
      </x:c>
      <x:c r="P38" s="27" t="str">
        <x:f>IF(C38="","",SUMIFS(T_GD[Thực ghi số dư +/-],T_GD[Khóa đơn],N38,T_GD[Nhóm giao dịch],"Quyết toán",T_GD[Ngày giao dịch sàn],"&gt;="&amp;'Tong_hop'!$C$4,T_GD[Ngày giao dịch sàn],"&lt;"&amp;'Tong_hop'!$F$4))</x:f>
      </x:c>
      <x:c r="Q38" s="27" t="str">
        <x:f>IF(C38="","",IF(ISNUMBER(K38),K38+P38,"n.a."))</x:f>
      </x:c>
      <x:c r="R38" s="27" t="str">
        <x:f>IF(C38="","",IF(AND(ISNUMBER(O38),ISNUMBER(Q38)),Q38-O38,"n.a."))</x:f>
      </x:c>
      <x:c r="S38" s="23" t="str">
        <x:f>IF(C38="","",IF(T38&lt;&gt;"","Sửa dữ liệu",IF(D38&gt;='Tong_hop'!$F$4,"Ngoài kỳ",IF(ABS(R38)&lt;='Tong_hop'!$I$4,"Khớp",IF(R38&gt;'Tong_hop'!$I$4,"QT vượt dự kiến",IF(L38&lt;'Tong_hop'!$F$4,"Quá hạn / thiếu QT",IF(Q38=0,"Chờ QT","Chờ QT một phần")))))))</x:f>
      </x:c>
      <x:c r="T38" s="23" t="str">
        <x:f>IF(COUNTA(A38:M38)=0,"",IF(OR(NOT(OR(A38="TikTok Shop",A38="Shopee",A38="Lazada")),B38="",C38="",NOT(ISNUMBER(D38)),COUNT(E38:K38)&lt;&gt;7,NOT(ISNUMBER(L38))),"Thiếu/sai dữ liệu",IF(NOT(COUNTIFS(T_SoDu[Khóa shop],A38&amp;"|"&amp;B38)=1),"Shop chưa khai báo",IF(COUNTIFS(T_Don[Khóa đơn],N38)&lt;&gt;1,"Trùng mã đơn",""))))</x:f>
      </x:c>
      <x:c r="U38" s="27" t="str">
        <x:f>IF(C38="","",IF(COUNT(E38:F38)=2,SUM(E38:F38),"n.a."))</x:f>
      </x:c>
    </x:row>
    <x:row r="39" ht="22" customHeight="1">
      <x:c r="A39" s="10"/>
      <x:c r="B39" s="10"/>
      <x:c r="C39" s="24"/>
      <x:c r="D39" s="25"/>
      <x:c r="E39" s="26"/>
      <x:c r="F39" s="26"/>
      <x:c r="G39" s="26"/>
      <x:c r="H39" s="26"/>
      <x:c r="I39" s="26"/>
      <x:c r="J39" s="26"/>
      <x:c r="K39" s="26"/>
      <x:c r="L39" s="25"/>
      <x:c r="M39" s="10"/>
      <x:c r="N39" s="23" t="str">
        <x:f>IF(C39="","",A39&amp;"|"&amp;B39&amp;"|"&amp;C39)</x:f>
      </x:c>
      <x:c r="O39" s="27" t="str">
        <x:f>IF(C39="","",IF(COUNT(E39:K39)=7,U39-SUM(G39:I39)+J39,"n.a."))</x:f>
      </x:c>
      <x:c r="P39" s="27" t="str">
        <x:f>IF(C39="","",SUMIFS(T_GD[Thực ghi số dư +/-],T_GD[Khóa đơn],N39,T_GD[Nhóm giao dịch],"Quyết toán",T_GD[Ngày giao dịch sàn],"&gt;="&amp;'Tong_hop'!$C$4,T_GD[Ngày giao dịch sàn],"&lt;"&amp;'Tong_hop'!$F$4))</x:f>
      </x:c>
      <x:c r="Q39" s="27" t="str">
        <x:f>IF(C39="","",IF(ISNUMBER(K39),K39+P39,"n.a."))</x:f>
      </x:c>
      <x:c r="R39" s="27" t="str">
        <x:f>IF(C39="","",IF(AND(ISNUMBER(O39),ISNUMBER(Q39)),Q39-O39,"n.a."))</x:f>
      </x:c>
      <x:c r="S39" s="23" t="str">
        <x:f>IF(C39="","",IF(T39&lt;&gt;"","Sửa dữ liệu",IF(D39&gt;='Tong_hop'!$F$4,"Ngoài kỳ",IF(ABS(R39)&lt;='Tong_hop'!$I$4,"Khớp",IF(R39&gt;'Tong_hop'!$I$4,"QT vượt dự kiến",IF(L39&lt;'Tong_hop'!$F$4,"Quá hạn / thiếu QT",IF(Q39=0,"Chờ QT","Chờ QT một phần")))))))</x:f>
      </x:c>
      <x:c r="T39" s="23" t="str">
        <x:f>IF(COUNTA(A39:M39)=0,"",IF(OR(NOT(OR(A39="TikTok Shop",A39="Shopee",A39="Lazada")),B39="",C39="",NOT(ISNUMBER(D39)),COUNT(E39:K39)&lt;&gt;7,NOT(ISNUMBER(L39))),"Thiếu/sai dữ liệu",IF(NOT(COUNTIFS(T_SoDu[Khóa shop],A39&amp;"|"&amp;B39)=1),"Shop chưa khai báo",IF(COUNTIFS(T_Don[Khóa đơn],N39)&lt;&gt;1,"Trùng mã đơn",""))))</x:f>
      </x:c>
      <x:c r="U39" s="27" t="str">
        <x:f>IF(C39="","",IF(COUNT(E39:F39)=2,SUM(E39:F39),"n.a."))</x:f>
      </x:c>
    </x:row>
    <x:row r="40" ht="22" customHeight="1">
      <x:c r="A40" s="10"/>
      <x:c r="B40" s="10"/>
      <x:c r="C40" s="24"/>
      <x:c r="D40" s="25"/>
      <x:c r="E40" s="26"/>
      <x:c r="F40" s="26"/>
      <x:c r="G40" s="26"/>
      <x:c r="H40" s="26"/>
      <x:c r="I40" s="26"/>
      <x:c r="J40" s="26"/>
      <x:c r="K40" s="26"/>
      <x:c r="L40" s="25"/>
      <x:c r="M40" s="10"/>
      <x:c r="N40" s="23" t="str">
        <x:f>IF(C40="","",A40&amp;"|"&amp;B40&amp;"|"&amp;C40)</x:f>
      </x:c>
      <x:c r="O40" s="27" t="str">
        <x:f>IF(C40="","",IF(COUNT(E40:K40)=7,U40-SUM(G40:I40)+J40,"n.a."))</x:f>
      </x:c>
      <x:c r="P40" s="27" t="str">
        <x:f>IF(C40="","",SUMIFS(T_GD[Thực ghi số dư +/-],T_GD[Khóa đơn],N40,T_GD[Nhóm giao dịch],"Quyết toán",T_GD[Ngày giao dịch sàn],"&gt;="&amp;'Tong_hop'!$C$4,T_GD[Ngày giao dịch sàn],"&lt;"&amp;'Tong_hop'!$F$4))</x:f>
      </x:c>
      <x:c r="Q40" s="27" t="str">
        <x:f>IF(C40="","",IF(ISNUMBER(K40),K40+P40,"n.a."))</x:f>
      </x:c>
      <x:c r="R40" s="27" t="str">
        <x:f>IF(C40="","",IF(AND(ISNUMBER(O40),ISNUMBER(Q40)),Q40-O40,"n.a."))</x:f>
      </x:c>
      <x:c r="S40" s="23" t="str">
        <x:f>IF(C40="","",IF(T40&lt;&gt;"","Sửa dữ liệu",IF(D40&gt;='Tong_hop'!$F$4,"Ngoài kỳ",IF(ABS(R40)&lt;='Tong_hop'!$I$4,"Khớp",IF(R40&gt;'Tong_hop'!$I$4,"QT vượt dự kiến",IF(L40&lt;'Tong_hop'!$F$4,"Quá hạn / thiếu QT",IF(Q40=0,"Chờ QT","Chờ QT một phần")))))))</x:f>
      </x:c>
      <x:c r="T40" s="23" t="str">
        <x:f>IF(COUNTA(A40:M40)=0,"",IF(OR(NOT(OR(A40="TikTok Shop",A40="Shopee",A40="Lazada")),B40="",C40="",NOT(ISNUMBER(D40)),COUNT(E40:K40)&lt;&gt;7,NOT(ISNUMBER(L40))),"Thiếu/sai dữ liệu",IF(NOT(COUNTIFS(T_SoDu[Khóa shop],A40&amp;"|"&amp;B40)=1),"Shop chưa khai báo",IF(COUNTIFS(T_Don[Khóa đơn],N40)&lt;&gt;1,"Trùng mã đơn",""))))</x:f>
      </x:c>
      <x:c r="U40" s="27" t="str">
        <x:f>IF(C40="","",IF(COUNT(E40:F40)=2,SUM(E40:F40),"n.a."))</x:f>
      </x:c>
    </x:row>
    <x:row r="41" ht="22" customHeight="1">
      <x:c r="A41" s="10"/>
      <x:c r="B41" s="10"/>
      <x:c r="C41" s="24"/>
      <x:c r="D41" s="25"/>
      <x:c r="E41" s="26"/>
      <x:c r="F41" s="26"/>
      <x:c r="G41" s="26"/>
      <x:c r="H41" s="26"/>
      <x:c r="I41" s="26"/>
      <x:c r="J41" s="26"/>
      <x:c r="K41" s="26"/>
      <x:c r="L41" s="25"/>
      <x:c r="M41" s="10"/>
      <x:c r="N41" s="23" t="str">
        <x:f>IF(C41="","",A41&amp;"|"&amp;B41&amp;"|"&amp;C41)</x:f>
      </x:c>
      <x:c r="O41" s="27" t="str">
        <x:f>IF(C41="","",IF(COUNT(E41:K41)=7,U41-SUM(G41:I41)+J41,"n.a."))</x:f>
      </x:c>
      <x:c r="P41" s="27" t="str">
        <x:f>IF(C41="","",SUMIFS(T_GD[Thực ghi số dư +/-],T_GD[Khóa đơn],N41,T_GD[Nhóm giao dịch],"Quyết toán",T_GD[Ngày giao dịch sàn],"&gt;="&amp;'Tong_hop'!$C$4,T_GD[Ngày giao dịch sàn],"&lt;"&amp;'Tong_hop'!$F$4))</x:f>
      </x:c>
      <x:c r="Q41" s="27" t="str">
        <x:f>IF(C41="","",IF(ISNUMBER(K41),K41+P41,"n.a."))</x:f>
      </x:c>
      <x:c r="R41" s="27" t="str">
        <x:f>IF(C41="","",IF(AND(ISNUMBER(O41),ISNUMBER(Q41)),Q41-O41,"n.a."))</x:f>
      </x:c>
      <x:c r="S41" s="23" t="str">
        <x:f>IF(C41="","",IF(T41&lt;&gt;"","Sửa dữ liệu",IF(D41&gt;='Tong_hop'!$F$4,"Ngoài kỳ",IF(ABS(R41)&lt;='Tong_hop'!$I$4,"Khớp",IF(R41&gt;'Tong_hop'!$I$4,"QT vượt dự kiến",IF(L41&lt;'Tong_hop'!$F$4,"Quá hạn / thiếu QT",IF(Q41=0,"Chờ QT","Chờ QT một phần")))))))</x:f>
      </x:c>
      <x:c r="T41" s="23" t="str">
        <x:f>IF(COUNTA(A41:M41)=0,"",IF(OR(NOT(OR(A41="TikTok Shop",A41="Shopee",A41="Lazada")),B41="",C41="",NOT(ISNUMBER(D41)),COUNT(E41:K41)&lt;&gt;7,NOT(ISNUMBER(L41))),"Thiếu/sai dữ liệu",IF(NOT(COUNTIFS(T_SoDu[Khóa shop],A41&amp;"|"&amp;B41)=1),"Shop chưa khai báo",IF(COUNTIFS(T_Don[Khóa đơn],N41)&lt;&gt;1,"Trùng mã đơn",""))))</x:f>
      </x:c>
      <x:c r="U41" s="27" t="str">
        <x:f>IF(C41="","",IF(COUNT(E41:F41)=2,SUM(E41:F41),"n.a."))</x:f>
      </x:c>
    </x:row>
    <x:row r="42" ht="22" customHeight="1">
      <x:c r="A42" s="10"/>
      <x:c r="B42" s="10"/>
      <x:c r="C42" s="24"/>
      <x:c r="D42" s="25"/>
      <x:c r="E42" s="26"/>
      <x:c r="F42" s="26"/>
      <x:c r="G42" s="26"/>
      <x:c r="H42" s="26"/>
      <x:c r="I42" s="26"/>
      <x:c r="J42" s="26"/>
      <x:c r="K42" s="26"/>
      <x:c r="L42" s="25"/>
      <x:c r="M42" s="10"/>
      <x:c r="N42" s="23" t="str">
        <x:f>IF(C42="","",A42&amp;"|"&amp;B42&amp;"|"&amp;C42)</x:f>
      </x:c>
      <x:c r="O42" s="27" t="str">
        <x:f>IF(C42="","",IF(COUNT(E42:K42)=7,U42-SUM(G42:I42)+J42,"n.a."))</x:f>
      </x:c>
      <x:c r="P42" s="27" t="str">
        <x:f>IF(C42="","",SUMIFS(T_GD[Thực ghi số dư +/-],T_GD[Khóa đơn],N42,T_GD[Nhóm giao dịch],"Quyết toán",T_GD[Ngày giao dịch sàn],"&gt;="&amp;'Tong_hop'!$C$4,T_GD[Ngày giao dịch sàn],"&lt;"&amp;'Tong_hop'!$F$4))</x:f>
      </x:c>
      <x:c r="Q42" s="27" t="str">
        <x:f>IF(C42="","",IF(ISNUMBER(K42),K42+P42,"n.a."))</x:f>
      </x:c>
      <x:c r="R42" s="27" t="str">
        <x:f>IF(C42="","",IF(AND(ISNUMBER(O42),ISNUMBER(Q42)),Q42-O42,"n.a."))</x:f>
      </x:c>
      <x:c r="S42" s="23" t="str">
        <x:f>IF(C42="","",IF(T42&lt;&gt;"","Sửa dữ liệu",IF(D42&gt;='Tong_hop'!$F$4,"Ngoài kỳ",IF(ABS(R42)&lt;='Tong_hop'!$I$4,"Khớp",IF(R42&gt;'Tong_hop'!$I$4,"QT vượt dự kiến",IF(L42&lt;'Tong_hop'!$F$4,"Quá hạn / thiếu QT",IF(Q42=0,"Chờ QT","Chờ QT một phần")))))))</x:f>
      </x:c>
      <x:c r="T42" s="23" t="str">
        <x:f>IF(COUNTA(A42:M42)=0,"",IF(OR(NOT(OR(A42="TikTok Shop",A42="Shopee",A42="Lazada")),B42="",C42="",NOT(ISNUMBER(D42)),COUNT(E42:K42)&lt;&gt;7,NOT(ISNUMBER(L42))),"Thiếu/sai dữ liệu",IF(NOT(COUNTIFS(T_SoDu[Khóa shop],A42&amp;"|"&amp;B42)=1),"Shop chưa khai báo",IF(COUNTIFS(T_Don[Khóa đơn],N42)&lt;&gt;1,"Trùng mã đơn",""))))</x:f>
      </x:c>
      <x:c r="U42" s="27" t="str">
        <x:f>IF(C42="","",IF(COUNT(E42:F42)=2,SUM(E42:F42),"n.a."))</x:f>
      </x:c>
    </x:row>
    <x:row r="43" ht="22" customHeight="1">
      <x:c r="A43" s="10"/>
      <x:c r="B43" s="10"/>
      <x:c r="C43" s="24"/>
      <x:c r="D43" s="25"/>
      <x:c r="E43" s="26"/>
      <x:c r="F43" s="26"/>
      <x:c r="G43" s="26"/>
      <x:c r="H43" s="26"/>
      <x:c r="I43" s="26"/>
      <x:c r="J43" s="26"/>
      <x:c r="K43" s="26"/>
      <x:c r="L43" s="25"/>
      <x:c r="M43" s="10"/>
      <x:c r="N43" s="23" t="str">
        <x:f>IF(C43="","",A43&amp;"|"&amp;B43&amp;"|"&amp;C43)</x:f>
      </x:c>
      <x:c r="O43" s="27" t="str">
        <x:f>IF(C43="","",IF(COUNT(E43:K43)=7,U43-SUM(G43:I43)+J43,"n.a."))</x:f>
      </x:c>
      <x:c r="P43" s="27" t="str">
        <x:f>IF(C43="","",SUMIFS(T_GD[Thực ghi số dư +/-],T_GD[Khóa đơn],N43,T_GD[Nhóm giao dịch],"Quyết toán",T_GD[Ngày giao dịch sàn],"&gt;="&amp;'Tong_hop'!$C$4,T_GD[Ngày giao dịch sàn],"&lt;"&amp;'Tong_hop'!$F$4))</x:f>
      </x:c>
      <x:c r="Q43" s="27" t="str">
        <x:f>IF(C43="","",IF(ISNUMBER(K43),K43+P43,"n.a."))</x:f>
      </x:c>
      <x:c r="R43" s="27" t="str">
        <x:f>IF(C43="","",IF(AND(ISNUMBER(O43),ISNUMBER(Q43)),Q43-O43,"n.a."))</x:f>
      </x:c>
      <x:c r="S43" s="23" t="str">
        <x:f>IF(C43="","",IF(T43&lt;&gt;"","Sửa dữ liệu",IF(D43&gt;='Tong_hop'!$F$4,"Ngoài kỳ",IF(ABS(R43)&lt;='Tong_hop'!$I$4,"Khớp",IF(R43&gt;'Tong_hop'!$I$4,"QT vượt dự kiến",IF(L43&lt;'Tong_hop'!$F$4,"Quá hạn / thiếu QT",IF(Q43=0,"Chờ QT","Chờ QT một phần")))))))</x:f>
      </x:c>
      <x:c r="T43" s="23" t="str">
        <x:f>IF(COUNTA(A43:M43)=0,"",IF(OR(NOT(OR(A43="TikTok Shop",A43="Shopee",A43="Lazada")),B43="",C43="",NOT(ISNUMBER(D43)),COUNT(E43:K43)&lt;&gt;7,NOT(ISNUMBER(L43))),"Thiếu/sai dữ liệu",IF(NOT(COUNTIFS(T_SoDu[Khóa shop],A43&amp;"|"&amp;B43)=1),"Shop chưa khai báo",IF(COUNTIFS(T_Don[Khóa đơn],N43)&lt;&gt;1,"Trùng mã đơn",""))))</x:f>
      </x:c>
      <x:c r="U43" s="27" t="str">
        <x:f>IF(C43="","",IF(COUNT(E43:F43)=2,SUM(E43:F43),"n.a."))</x:f>
      </x:c>
    </x:row>
    <x:row r="44" ht="22" customHeight="1">
      <x:c r="A44" s="10"/>
      <x:c r="B44" s="10"/>
      <x:c r="C44" s="24"/>
      <x:c r="D44" s="25"/>
      <x:c r="E44" s="26"/>
      <x:c r="F44" s="26"/>
      <x:c r="G44" s="26"/>
      <x:c r="H44" s="26"/>
      <x:c r="I44" s="26"/>
      <x:c r="J44" s="26"/>
      <x:c r="K44" s="26"/>
      <x:c r="L44" s="25"/>
      <x:c r="M44" s="10"/>
      <x:c r="N44" s="23" t="str">
        <x:f>IF(C44="","",A44&amp;"|"&amp;B44&amp;"|"&amp;C44)</x:f>
      </x:c>
      <x:c r="O44" s="27" t="str">
        <x:f>IF(C44="","",IF(COUNT(E44:K44)=7,U44-SUM(G44:I44)+J44,"n.a."))</x:f>
      </x:c>
      <x:c r="P44" s="27" t="str">
        <x:f>IF(C44="","",SUMIFS(T_GD[Thực ghi số dư +/-],T_GD[Khóa đơn],N44,T_GD[Nhóm giao dịch],"Quyết toán",T_GD[Ngày giao dịch sàn],"&gt;="&amp;'Tong_hop'!$C$4,T_GD[Ngày giao dịch sàn],"&lt;"&amp;'Tong_hop'!$F$4))</x:f>
      </x:c>
      <x:c r="Q44" s="27" t="str">
        <x:f>IF(C44="","",IF(ISNUMBER(K44),K44+P44,"n.a."))</x:f>
      </x:c>
      <x:c r="R44" s="27" t="str">
        <x:f>IF(C44="","",IF(AND(ISNUMBER(O44),ISNUMBER(Q44)),Q44-O44,"n.a."))</x:f>
      </x:c>
      <x:c r="S44" s="23" t="str">
        <x:f>IF(C44="","",IF(T44&lt;&gt;"","Sửa dữ liệu",IF(D44&gt;='Tong_hop'!$F$4,"Ngoài kỳ",IF(ABS(R44)&lt;='Tong_hop'!$I$4,"Khớp",IF(R44&gt;'Tong_hop'!$I$4,"QT vượt dự kiến",IF(L44&lt;'Tong_hop'!$F$4,"Quá hạn / thiếu QT",IF(Q44=0,"Chờ QT","Chờ QT một phần")))))))</x:f>
      </x:c>
      <x:c r="T44" s="23" t="str">
        <x:f>IF(COUNTA(A44:M44)=0,"",IF(OR(NOT(OR(A44="TikTok Shop",A44="Shopee",A44="Lazada")),B44="",C44="",NOT(ISNUMBER(D44)),COUNT(E44:K44)&lt;&gt;7,NOT(ISNUMBER(L44))),"Thiếu/sai dữ liệu",IF(NOT(COUNTIFS(T_SoDu[Khóa shop],A44&amp;"|"&amp;B44)=1),"Shop chưa khai báo",IF(COUNTIFS(T_Don[Khóa đơn],N44)&lt;&gt;1,"Trùng mã đơn",""))))</x:f>
      </x:c>
      <x:c r="U44" s="27" t="str">
        <x:f>IF(C44="","",IF(COUNT(E44:F44)=2,SUM(E44:F44),"n.a."))</x:f>
      </x:c>
    </x:row>
    <x:row r="45" ht="22" customHeight="1">
      <x:c r="A45" s="10"/>
      <x:c r="B45" s="10"/>
      <x:c r="C45" s="24"/>
      <x:c r="D45" s="25"/>
      <x:c r="E45" s="26"/>
      <x:c r="F45" s="26"/>
      <x:c r="G45" s="26"/>
      <x:c r="H45" s="26"/>
      <x:c r="I45" s="26"/>
      <x:c r="J45" s="26"/>
      <x:c r="K45" s="26"/>
      <x:c r="L45" s="25"/>
      <x:c r="M45" s="10"/>
      <x:c r="N45" s="23" t="str">
        <x:f>IF(C45="","",A45&amp;"|"&amp;B45&amp;"|"&amp;C45)</x:f>
      </x:c>
      <x:c r="O45" s="27" t="str">
        <x:f>IF(C45="","",IF(COUNT(E45:K45)=7,U45-SUM(G45:I45)+J45,"n.a."))</x:f>
      </x:c>
      <x:c r="P45" s="27" t="str">
        <x:f>IF(C45="","",SUMIFS(T_GD[Thực ghi số dư +/-],T_GD[Khóa đơn],N45,T_GD[Nhóm giao dịch],"Quyết toán",T_GD[Ngày giao dịch sàn],"&gt;="&amp;'Tong_hop'!$C$4,T_GD[Ngày giao dịch sàn],"&lt;"&amp;'Tong_hop'!$F$4))</x:f>
      </x:c>
      <x:c r="Q45" s="27" t="str">
        <x:f>IF(C45="","",IF(ISNUMBER(K45),K45+P45,"n.a."))</x:f>
      </x:c>
      <x:c r="R45" s="27" t="str">
        <x:f>IF(C45="","",IF(AND(ISNUMBER(O45),ISNUMBER(Q45)),Q45-O45,"n.a."))</x:f>
      </x:c>
      <x:c r="S45" s="23" t="str">
        <x:f>IF(C45="","",IF(T45&lt;&gt;"","Sửa dữ liệu",IF(D45&gt;='Tong_hop'!$F$4,"Ngoài kỳ",IF(ABS(R45)&lt;='Tong_hop'!$I$4,"Khớp",IF(R45&gt;'Tong_hop'!$I$4,"QT vượt dự kiến",IF(L45&lt;'Tong_hop'!$F$4,"Quá hạn / thiếu QT",IF(Q45=0,"Chờ QT","Chờ QT một phần")))))))</x:f>
      </x:c>
      <x:c r="T45" s="23" t="str">
        <x:f>IF(COUNTA(A45:M45)=0,"",IF(OR(NOT(OR(A45="TikTok Shop",A45="Shopee",A45="Lazada")),B45="",C45="",NOT(ISNUMBER(D45)),COUNT(E45:K45)&lt;&gt;7,NOT(ISNUMBER(L45))),"Thiếu/sai dữ liệu",IF(NOT(COUNTIFS(T_SoDu[Khóa shop],A45&amp;"|"&amp;B45)=1),"Shop chưa khai báo",IF(COUNTIFS(T_Don[Khóa đơn],N45)&lt;&gt;1,"Trùng mã đơn",""))))</x:f>
      </x:c>
      <x:c r="U45" s="27" t="str">
        <x:f>IF(C45="","",IF(COUNT(E45:F45)=2,SUM(E45:F45),"n.a."))</x:f>
      </x:c>
    </x:row>
    <x:row r="46" ht="22" customHeight="1">
      <x:c r="A46" s="10"/>
      <x:c r="B46" s="10"/>
      <x:c r="C46" s="24"/>
      <x:c r="D46" s="25"/>
      <x:c r="E46" s="26"/>
      <x:c r="F46" s="26"/>
      <x:c r="G46" s="26"/>
      <x:c r="H46" s="26"/>
      <x:c r="I46" s="26"/>
      <x:c r="J46" s="26"/>
      <x:c r="K46" s="26"/>
      <x:c r="L46" s="25"/>
      <x:c r="M46" s="10"/>
      <x:c r="N46" s="23" t="str">
        <x:f>IF(C46="","",A46&amp;"|"&amp;B46&amp;"|"&amp;C46)</x:f>
      </x:c>
      <x:c r="O46" s="27" t="str">
        <x:f>IF(C46="","",IF(COUNT(E46:K46)=7,U46-SUM(G46:I46)+J46,"n.a."))</x:f>
      </x:c>
      <x:c r="P46" s="27" t="str">
        <x:f>IF(C46="","",SUMIFS(T_GD[Thực ghi số dư +/-],T_GD[Khóa đơn],N46,T_GD[Nhóm giao dịch],"Quyết toán",T_GD[Ngày giao dịch sàn],"&gt;="&amp;'Tong_hop'!$C$4,T_GD[Ngày giao dịch sàn],"&lt;"&amp;'Tong_hop'!$F$4))</x:f>
      </x:c>
      <x:c r="Q46" s="27" t="str">
        <x:f>IF(C46="","",IF(ISNUMBER(K46),K46+P46,"n.a."))</x:f>
      </x:c>
      <x:c r="R46" s="27" t="str">
        <x:f>IF(C46="","",IF(AND(ISNUMBER(O46),ISNUMBER(Q46)),Q46-O46,"n.a."))</x:f>
      </x:c>
      <x:c r="S46" s="23" t="str">
        <x:f>IF(C46="","",IF(T46&lt;&gt;"","Sửa dữ liệu",IF(D46&gt;='Tong_hop'!$F$4,"Ngoài kỳ",IF(ABS(R46)&lt;='Tong_hop'!$I$4,"Khớp",IF(R46&gt;'Tong_hop'!$I$4,"QT vượt dự kiến",IF(L46&lt;'Tong_hop'!$F$4,"Quá hạn / thiếu QT",IF(Q46=0,"Chờ QT","Chờ QT một phần")))))))</x:f>
      </x:c>
      <x:c r="T46" s="23" t="str">
        <x:f>IF(COUNTA(A46:M46)=0,"",IF(OR(NOT(OR(A46="TikTok Shop",A46="Shopee",A46="Lazada")),B46="",C46="",NOT(ISNUMBER(D46)),COUNT(E46:K46)&lt;&gt;7,NOT(ISNUMBER(L46))),"Thiếu/sai dữ liệu",IF(NOT(COUNTIFS(T_SoDu[Khóa shop],A46&amp;"|"&amp;B46)=1),"Shop chưa khai báo",IF(COUNTIFS(T_Don[Khóa đơn],N46)&lt;&gt;1,"Trùng mã đơn",""))))</x:f>
      </x:c>
      <x:c r="U46" s="27" t="str">
        <x:f>IF(C46="","",IF(COUNT(E46:F46)=2,SUM(E46:F46),"n.a."))</x:f>
      </x:c>
    </x:row>
    <x:row r="47" ht="22" customHeight="1">
      <x:c r="A47" s="10"/>
      <x:c r="B47" s="10"/>
      <x:c r="C47" s="24"/>
      <x:c r="D47" s="25"/>
      <x:c r="E47" s="26"/>
      <x:c r="F47" s="26"/>
      <x:c r="G47" s="26"/>
      <x:c r="H47" s="26"/>
      <x:c r="I47" s="26"/>
      <x:c r="J47" s="26"/>
      <x:c r="K47" s="26"/>
      <x:c r="L47" s="25"/>
      <x:c r="M47" s="10"/>
      <x:c r="N47" s="23" t="str">
        <x:f>IF(C47="","",A47&amp;"|"&amp;B47&amp;"|"&amp;C47)</x:f>
      </x:c>
      <x:c r="O47" s="27" t="str">
        <x:f>IF(C47="","",IF(COUNT(E47:K47)=7,U47-SUM(G47:I47)+J47,"n.a."))</x:f>
      </x:c>
      <x:c r="P47" s="27" t="str">
        <x:f>IF(C47="","",SUMIFS(T_GD[Thực ghi số dư +/-],T_GD[Khóa đơn],N47,T_GD[Nhóm giao dịch],"Quyết toán",T_GD[Ngày giao dịch sàn],"&gt;="&amp;'Tong_hop'!$C$4,T_GD[Ngày giao dịch sàn],"&lt;"&amp;'Tong_hop'!$F$4))</x:f>
      </x:c>
      <x:c r="Q47" s="27" t="str">
        <x:f>IF(C47="","",IF(ISNUMBER(K47),K47+P47,"n.a."))</x:f>
      </x:c>
      <x:c r="R47" s="27" t="str">
        <x:f>IF(C47="","",IF(AND(ISNUMBER(O47),ISNUMBER(Q47)),Q47-O47,"n.a."))</x:f>
      </x:c>
      <x:c r="S47" s="23" t="str">
        <x:f>IF(C47="","",IF(T47&lt;&gt;"","Sửa dữ liệu",IF(D47&gt;='Tong_hop'!$F$4,"Ngoài kỳ",IF(ABS(R47)&lt;='Tong_hop'!$I$4,"Khớp",IF(R47&gt;'Tong_hop'!$I$4,"QT vượt dự kiến",IF(L47&lt;'Tong_hop'!$F$4,"Quá hạn / thiếu QT",IF(Q47=0,"Chờ QT","Chờ QT một phần")))))))</x:f>
      </x:c>
      <x:c r="T47" s="23" t="str">
        <x:f>IF(COUNTA(A47:M47)=0,"",IF(OR(NOT(OR(A47="TikTok Shop",A47="Shopee",A47="Lazada")),B47="",C47="",NOT(ISNUMBER(D47)),COUNT(E47:K47)&lt;&gt;7,NOT(ISNUMBER(L47))),"Thiếu/sai dữ liệu",IF(NOT(COUNTIFS(T_SoDu[Khóa shop],A47&amp;"|"&amp;B47)=1),"Shop chưa khai báo",IF(COUNTIFS(T_Don[Khóa đơn],N47)&lt;&gt;1,"Trùng mã đơn",""))))</x:f>
      </x:c>
      <x:c r="U47" s="27" t="str">
        <x:f>IF(C47="","",IF(COUNT(E47:F47)=2,SUM(E47:F47),"n.a."))</x:f>
      </x:c>
    </x:row>
    <x:row r="48" ht="22" customHeight="1">
      <x:c r="A48" s="10"/>
      <x:c r="B48" s="10"/>
      <x:c r="C48" s="24"/>
      <x:c r="D48" s="25"/>
      <x:c r="E48" s="26"/>
      <x:c r="F48" s="26"/>
      <x:c r="G48" s="26"/>
      <x:c r="H48" s="26"/>
      <x:c r="I48" s="26"/>
      <x:c r="J48" s="26"/>
      <x:c r="K48" s="26"/>
      <x:c r="L48" s="25"/>
      <x:c r="M48" s="10"/>
      <x:c r="N48" s="23" t="str">
        <x:f>IF(C48="","",A48&amp;"|"&amp;B48&amp;"|"&amp;C48)</x:f>
      </x:c>
      <x:c r="O48" s="27" t="str">
        <x:f>IF(C48="","",IF(COUNT(E48:K48)=7,U48-SUM(G48:I48)+J48,"n.a."))</x:f>
      </x:c>
      <x:c r="P48" s="27" t="str">
        <x:f>IF(C48="","",SUMIFS(T_GD[Thực ghi số dư +/-],T_GD[Khóa đơn],N48,T_GD[Nhóm giao dịch],"Quyết toán",T_GD[Ngày giao dịch sàn],"&gt;="&amp;'Tong_hop'!$C$4,T_GD[Ngày giao dịch sàn],"&lt;"&amp;'Tong_hop'!$F$4))</x:f>
      </x:c>
      <x:c r="Q48" s="27" t="str">
        <x:f>IF(C48="","",IF(ISNUMBER(K48),K48+P48,"n.a."))</x:f>
      </x:c>
      <x:c r="R48" s="27" t="str">
        <x:f>IF(C48="","",IF(AND(ISNUMBER(O48),ISNUMBER(Q48)),Q48-O48,"n.a."))</x:f>
      </x:c>
      <x:c r="S48" s="23" t="str">
        <x:f>IF(C48="","",IF(T48&lt;&gt;"","Sửa dữ liệu",IF(D48&gt;='Tong_hop'!$F$4,"Ngoài kỳ",IF(ABS(R48)&lt;='Tong_hop'!$I$4,"Khớp",IF(R48&gt;'Tong_hop'!$I$4,"QT vượt dự kiến",IF(L48&lt;'Tong_hop'!$F$4,"Quá hạn / thiếu QT",IF(Q48=0,"Chờ QT","Chờ QT một phần")))))))</x:f>
      </x:c>
      <x:c r="T48" s="23" t="str">
        <x:f>IF(COUNTA(A48:M48)=0,"",IF(OR(NOT(OR(A48="TikTok Shop",A48="Shopee",A48="Lazada")),B48="",C48="",NOT(ISNUMBER(D48)),COUNT(E48:K48)&lt;&gt;7,NOT(ISNUMBER(L48))),"Thiếu/sai dữ liệu",IF(NOT(COUNTIFS(T_SoDu[Khóa shop],A48&amp;"|"&amp;B48)=1),"Shop chưa khai báo",IF(COUNTIFS(T_Don[Khóa đơn],N48)&lt;&gt;1,"Trùng mã đơn",""))))</x:f>
      </x:c>
      <x:c r="U48" s="27" t="str">
        <x:f>IF(C48="","",IF(COUNT(E48:F48)=2,SUM(E48:F48),"n.a."))</x:f>
      </x:c>
    </x:row>
    <x:row r="49" ht="22" customHeight="1">
      <x:c r="A49" s="10"/>
      <x:c r="B49" s="10"/>
      <x:c r="C49" s="24"/>
      <x:c r="D49" s="25"/>
      <x:c r="E49" s="26"/>
      <x:c r="F49" s="26"/>
      <x:c r="G49" s="26"/>
      <x:c r="H49" s="26"/>
      <x:c r="I49" s="26"/>
      <x:c r="J49" s="26"/>
      <x:c r="K49" s="26"/>
      <x:c r="L49" s="25"/>
      <x:c r="M49" s="10"/>
      <x:c r="N49" s="23" t="str">
        <x:f>IF(C49="","",A49&amp;"|"&amp;B49&amp;"|"&amp;C49)</x:f>
      </x:c>
      <x:c r="O49" s="27" t="str">
        <x:f>IF(C49="","",IF(COUNT(E49:K49)=7,U49-SUM(G49:I49)+J49,"n.a."))</x:f>
      </x:c>
      <x:c r="P49" s="27" t="str">
        <x:f>IF(C49="","",SUMIFS(T_GD[Thực ghi số dư +/-],T_GD[Khóa đơn],N49,T_GD[Nhóm giao dịch],"Quyết toán",T_GD[Ngày giao dịch sàn],"&gt;="&amp;'Tong_hop'!$C$4,T_GD[Ngày giao dịch sàn],"&lt;"&amp;'Tong_hop'!$F$4))</x:f>
      </x:c>
      <x:c r="Q49" s="27" t="str">
        <x:f>IF(C49="","",IF(ISNUMBER(K49),K49+P49,"n.a."))</x:f>
      </x:c>
      <x:c r="R49" s="27" t="str">
        <x:f>IF(C49="","",IF(AND(ISNUMBER(O49),ISNUMBER(Q49)),Q49-O49,"n.a."))</x:f>
      </x:c>
      <x:c r="S49" s="23" t="str">
        <x:f>IF(C49="","",IF(T49&lt;&gt;"","Sửa dữ liệu",IF(D49&gt;='Tong_hop'!$F$4,"Ngoài kỳ",IF(ABS(R49)&lt;='Tong_hop'!$I$4,"Khớp",IF(R49&gt;'Tong_hop'!$I$4,"QT vượt dự kiến",IF(L49&lt;'Tong_hop'!$F$4,"Quá hạn / thiếu QT",IF(Q49=0,"Chờ QT","Chờ QT một phần")))))))</x:f>
      </x:c>
      <x:c r="T49" s="23" t="str">
        <x:f>IF(COUNTA(A49:M49)=0,"",IF(OR(NOT(OR(A49="TikTok Shop",A49="Shopee",A49="Lazada")),B49="",C49="",NOT(ISNUMBER(D49)),COUNT(E49:K49)&lt;&gt;7,NOT(ISNUMBER(L49))),"Thiếu/sai dữ liệu",IF(NOT(COUNTIFS(T_SoDu[Khóa shop],A49&amp;"|"&amp;B49)=1),"Shop chưa khai báo",IF(COUNTIFS(T_Don[Khóa đơn],N49)&lt;&gt;1,"Trùng mã đơn",""))))</x:f>
      </x:c>
      <x:c r="U49" s="27" t="str">
        <x:f>IF(C49="","",IF(COUNT(E49:F49)=2,SUM(E49:F49),"n.a."))</x:f>
      </x:c>
    </x:row>
    <x:row r="50" ht="22" customHeight="1">
      <x:c r="A50" s="10"/>
      <x:c r="B50" s="10"/>
      <x:c r="C50" s="24"/>
      <x:c r="D50" s="25"/>
      <x:c r="E50" s="26"/>
      <x:c r="F50" s="26"/>
      <x:c r="G50" s="26"/>
      <x:c r="H50" s="26"/>
      <x:c r="I50" s="26"/>
      <x:c r="J50" s="26"/>
      <x:c r="K50" s="26"/>
      <x:c r="L50" s="25"/>
      <x:c r="M50" s="10"/>
      <x:c r="N50" s="23" t="str">
        <x:f>IF(C50="","",A50&amp;"|"&amp;B50&amp;"|"&amp;C50)</x:f>
      </x:c>
      <x:c r="O50" s="27" t="str">
        <x:f>IF(C50="","",IF(COUNT(E50:K50)=7,U50-SUM(G50:I50)+J50,"n.a."))</x:f>
      </x:c>
      <x:c r="P50" s="27" t="str">
        <x:f>IF(C50="","",SUMIFS(T_GD[Thực ghi số dư +/-],T_GD[Khóa đơn],N50,T_GD[Nhóm giao dịch],"Quyết toán",T_GD[Ngày giao dịch sàn],"&gt;="&amp;'Tong_hop'!$C$4,T_GD[Ngày giao dịch sàn],"&lt;"&amp;'Tong_hop'!$F$4))</x:f>
      </x:c>
      <x:c r="Q50" s="27" t="str">
        <x:f>IF(C50="","",IF(ISNUMBER(K50),K50+P50,"n.a."))</x:f>
      </x:c>
      <x:c r="R50" s="27" t="str">
        <x:f>IF(C50="","",IF(AND(ISNUMBER(O50),ISNUMBER(Q50)),Q50-O50,"n.a."))</x:f>
      </x:c>
      <x:c r="S50" s="23" t="str">
        <x:f>IF(C50="","",IF(T50&lt;&gt;"","Sửa dữ liệu",IF(D50&gt;='Tong_hop'!$F$4,"Ngoài kỳ",IF(ABS(R50)&lt;='Tong_hop'!$I$4,"Khớp",IF(R50&gt;'Tong_hop'!$I$4,"QT vượt dự kiến",IF(L50&lt;'Tong_hop'!$F$4,"Quá hạn / thiếu QT",IF(Q50=0,"Chờ QT","Chờ QT một phần")))))))</x:f>
      </x:c>
      <x:c r="T50" s="23" t="str">
        <x:f>IF(COUNTA(A50:M50)=0,"",IF(OR(NOT(OR(A50="TikTok Shop",A50="Shopee",A50="Lazada")),B50="",C50="",NOT(ISNUMBER(D50)),COUNT(E50:K50)&lt;&gt;7,NOT(ISNUMBER(L50))),"Thiếu/sai dữ liệu",IF(NOT(COUNTIFS(T_SoDu[Khóa shop],A50&amp;"|"&amp;B50)=1),"Shop chưa khai báo",IF(COUNTIFS(T_Don[Khóa đơn],N50)&lt;&gt;1,"Trùng mã đơn",""))))</x:f>
      </x:c>
      <x:c r="U50" s="27" t="str">
        <x:f>IF(C50="","",IF(COUNT(E50:F50)=2,SUM(E50:F50),"n.a."))</x:f>
      </x:c>
    </x:row>
    <x:row r="51" ht="22" customHeight="1">
      <x:c r="A51" s="10"/>
      <x:c r="B51" s="10"/>
      <x:c r="C51" s="24"/>
      <x:c r="D51" s="25"/>
      <x:c r="E51" s="26"/>
      <x:c r="F51" s="26"/>
      <x:c r="G51" s="26"/>
      <x:c r="H51" s="26"/>
      <x:c r="I51" s="26"/>
      <x:c r="J51" s="26"/>
      <x:c r="K51" s="26"/>
      <x:c r="L51" s="25"/>
      <x:c r="M51" s="10"/>
      <x:c r="N51" s="23" t="str">
        <x:f>IF(C51="","",A51&amp;"|"&amp;B51&amp;"|"&amp;C51)</x:f>
      </x:c>
      <x:c r="O51" s="27" t="str">
        <x:f>IF(C51="","",IF(COUNT(E51:K51)=7,U51-SUM(G51:I51)+J51,"n.a."))</x:f>
      </x:c>
      <x:c r="P51" s="27" t="str">
        <x:f>IF(C51="","",SUMIFS(T_GD[Thực ghi số dư +/-],T_GD[Khóa đơn],N51,T_GD[Nhóm giao dịch],"Quyết toán",T_GD[Ngày giao dịch sàn],"&gt;="&amp;'Tong_hop'!$C$4,T_GD[Ngày giao dịch sàn],"&lt;"&amp;'Tong_hop'!$F$4))</x:f>
      </x:c>
      <x:c r="Q51" s="27" t="str">
        <x:f>IF(C51="","",IF(ISNUMBER(K51),K51+P51,"n.a."))</x:f>
      </x:c>
      <x:c r="R51" s="27" t="str">
        <x:f>IF(C51="","",IF(AND(ISNUMBER(O51),ISNUMBER(Q51)),Q51-O51,"n.a."))</x:f>
      </x:c>
      <x:c r="S51" s="23" t="str">
        <x:f>IF(C51="","",IF(T51&lt;&gt;"","Sửa dữ liệu",IF(D51&gt;='Tong_hop'!$F$4,"Ngoài kỳ",IF(ABS(R51)&lt;='Tong_hop'!$I$4,"Khớp",IF(R51&gt;'Tong_hop'!$I$4,"QT vượt dự kiến",IF(L51&lt;'Tong_hop'!$F$4,"Quá hạn / thiếu QT",IF(Q51=0,"Chờ QT","Chờ QT một phần")))))))</x:f>
      </x:c>
      <x:c r="T51" s="23" t="str">
        <x:f>IF(COUNTA(A51:M51)=0,"",IF(OR(NOT(OR(A51="TikTok Shop",A51="Shopee",A51="Lazada")),B51="",C51="",NOT(ISNUMBER(D51)),COUNT(E51:K51)&lt;&gt;7,NOT(ISNUMBER(L51))),"Thiếu/sai dữ liệu",IF(NOT(COUNTIFS(T_SoDu[Khóa shop],A51&amp;"|"&amp;B51)=1),"Shop chưa khai báo",IF(COUNTIFS(T_Don[Khóa đơn],N51)&lt;&gt;1,"Trùng mã đơn",""))))</x:f>
      </x:c>
      <x:c r="U51" s="27" t="str">
        <x:f>IF(C51="","",IF(COUNT(E51:F51)=2,SUM(E51:F51),"n.a."))</x:f>
      </x:c>
    </x:row>
    <x:row r="52" ht="22" customHeight="1">
      <x:c r="A52" s="10"/>
      <x:c r="B52" s="10"/>
      <x:c r="C52" s="24"/>
      <x:c r="D52" s="25"/>
      <x:c r="E52" s="26"/>
      <x:c r="F52" s="26"/>
      <x:c r="G52" s="26"/>
      <x:c r="H52" s="26"/>
      <x:c r="I52" s="26"/>
      <x:c r="J52" s="26"/>
      <x:c r="K52" s="26"/>
      <x:c r="L52" s="25"/>
      <x:c r="M52" s="10"/>
      <x:c r="N52" s="23" t="str">
        <x:f>IF(C52="","",A52&amp;"|"&amp;B52&amp;"|"&amp;C52)</x:f>
      </x:c>
      <x:c r="O52" s="27" t="str">
        <x:f>IF(C52="","",IF(COUNT(E52:K52)=7,U52-SUM(G52:I52)+J52,"n.a."))</x:f>
      </x:c>
      <x:c r="P52" s="27" t="str">
        <x:f>IF(C52="","",SUMIFS(T_GD[Thực ghi số dư +/-],T_GD[Khóa đơn],N52,T_GD[Nhóm giao dịch],"Quyết toán",T_GD[Ngày giao dịch sàn],"&gt;="&amp;'Tong_hop'!$C$4,T_GD[Ngày giao dịch sàn],"&lt;"&amp;'Tong_hop'!$F$4))</x:f>
      </x:c>
      <x:c r="Q52" s="27" t="str">
        <x:f>IF(C52="","",IF(ISNUMBER(K52),K52+P52,"n.a."))</x:f>
      </x:c>
      <x:c r="R52" s="27" t="str">
        <x:f>IF(C52="","",IF(AND(ISNUMBER(O52),ISNUMBER(Q52)),Q52-O52,"n.a."))</x:f>
      </x:c>
      <x:c r="S52" s="23" t="str">
        <x:f>IF(C52="","",IF(T52&lt;&gt;"","Sửa dữ liệu",IF(D52&gt;='Tong_hop'!$F$4,"Ngoài kỳ",IF(ABS(R52)&lt;='Tong_hop'!$I$4,"Khớp",IF(R52&gt;'Tong_hop'!$I$4,"QT vượt dự kiến",IF(L52&lt;'Tong_hop'!$F$4,"Quá hạn / thiếu QT",IF(Q52=0,"Chờ QT","Chờ QT một phần")))))))</x:f>
      </x:c>
      <x:c r="T52" s="23" t="str">
        <x:f>IF(COUNTA(A52:M52)=0,"",IF(OR(NOT(OR(A52="TikTok Shop",A52="Shopee",A52="Lazada")),B52="",C52="",NOT(ISNUMBER(D52)),COUNT(E52:K52)&lt;&gt;7,NOT(ISNUMBER(L52))),"Thiếu/sai dữ liệu",IF(NOT(COUNTIFS(T_SoDu[Khóa shop],A52&amp;"|"&amp;B52)=1),"Shop chưa khai báo",IF(COUNTIFS(T_Don[Khóa đơn],N52)&lt;&gt;1,"Trùng mã đơn",""))))</x:f>
      </x:c>
      <x:c r="U52" s="27" t="str">
        <x:f>IF(C52="","",IF(COUNT(E52:F52)=2,SUM(E52:F52),"n.a."))</x:f>
      </x:c>
    </x:row>
    <x:row r="53" ht="22" customHeight="1">
      <x:c r="A53" s="10"/>
      <x:c r="B53" s="10"/>
      <x:c r="C53" s="24"/>
      <x:c r="D53" s="25"/>
      <x:c r="E53" s="26"/>
      <x:c r="F53" s="26"/>
      <x:c r="G53" s="26"/>
      <x:c r="H53" s="26"/>
      <x:c r="I53" s="26"/>
      <x:c r="J53" s="26"/>
      <x:c r="K53" s="26"/>
      <x:c r="L53" s="25"/>
      <x:c r="M53" s="10"/>
      <x:c r="N53" s="23" t="str">
        <x:f>IF(C53="","",A53&amp;"|"&amp;B53&amp;"|"&amp;C53)</x:f>
      </x:c>
      <x:c r="O53" s="27" t="str">
        <x:f>IF(C53="","",IF(COUNT(E53:K53)=7,U53-SUM(G53:I53)+J53,"n.a."))</x:f>
      </x:c>
      <x:c r="P53" s="27" t="str">
        <x:f>IF(C53="","",SUMIFS(T_GD[Thực ghi số dư +/-],T_GD[Khóa đơn],N53,T_GD[Nhóm giao dịch],"Quyết toán",T_GD[Ngày giao dịch sàn],"&gt;="&amp;'Tong_hop'!$C$4,T_GD[Ngày giao dịch sàn],"&lt;"&amp;'Tong_hop'!$F$4))</x:f>
      </x:c>
      <x:c r="Q53" s="27" t="str">
        <x:f>IF(C53="","",IF(ISNUMBER(K53),K53+P53,"n.a."))</x:f>
      </x:c>
      <x:c r="R53" s="27" t="str">
        <x:f>IF(C53="","",IF(AND(ISNUMBER(O53),ISNUMBER(Q53)),Q53-O53,"n.a."))</x:f>
      </x:c>
      <x:c r="S53" s="23" t="str">
        <x:f>IF(C53="","",IF(T53&lt;&gt;"","Sửa dữ liệu",IF(D53&gt;='Tong_hop'!$F$4,"Ngoài kỳ",IF(ABS(R53)&lt;='Tong_hop'!$I$4,"Khớp",IF(R53&gt;'Tong_hop'!$I$4,"QT vượt dự kiến",IF(L53&lt;'Tong_hop'!$F$4,"Quá hạn / thiếu QT",IF(Q53=0,"Chờ QT","Chờ QT một phần")))))))</x:f>
      </x:c>
      <x:c r="T53" s="23" t="str">
        <x:f>IF(COUNTA(A53:M53)=0,"",IF(OR(NOT(OR(A53="TikTok Shop",A53="Shopee",A53="Lazada")),B53="",C53="",NOT(ISNUMBER(D53)),COUNT(E53:K53)&lt;&gt;7,NOT(ISNUMBER(L53))),"Thiếu/sai dữ liệu",IF(NOT(COUNTIFS(T_SoDu[Khóa shop],A53&amp;"|"&amp;B53)=1),"Shop chưa khai báo",IF(COUNTIFS(T_Don[Khóa đơn],N53)&lt;&gt;1,"Trùng mã đơn",""))))</x:f>
      </x:c>
      <x:c r="U53" s="27" t="str">
        <x:f>IF(C53="","",IF(COUNT(E53:F53)=2,SUM(E53:F53),"n.a."))</x:f>
      </x:c>
    </x:row>
    <x:row r="54" ht="22" customHeight="1">
      <x:c r="A54" s="10"/>
      <x:c r="B54" s="10"/>
      <x:c r="C54" s="24"/>
      <x:c r="D54" s="25"/>
      <x:c r="E54" s="26"/>
      <x:c r="F54" s="26"/>
      <x:c r="G54" s="26"/>
      <x:c r="H54" s="26"/>
      <x:c r="I54" s="26"/>
      <x:c r="J54" s="26"/>
      <x:c r="K54" s="26"/>
      <x:c r="L54" s="25"/>
      <x:c r="M54" s="10"/>
      <x:c r="N54" s="23" t="str">
        <x:f>IF(C54="","",A54&amp;"|"&amp;B54&amp;"|"&amp;C54)</x:f>
      </x:c>
      <x:c r="O54" s="27" t="str">
        <x:f>IF(C54="","",IF(COUNT(E54:K54)=7,U54-SUM(G54:I54)+J54,"n.a."))</x:f>
      </x:c>
      <x:c r="P54" s="27" t="str">
        <x:f>IF(C54="","",SUMIFS(T_GD[Thực ghi số dư +/-],T_GD[Khóa đơn],N54,T_GD[Nhóm giao dịch],"Quyết toán",T_GD[Ngày giao dịch sàn],"&gt;="&amp;'Tong_hop'!$C$4,T_GD[Ngày giao dịch sàn],"&lt;"&amp;'Tong_hop'!$F$4))</x:f>
      </x:c>
      <x:c r="Q54" s="27" t="str">
        <x:f>IF(C54="","",IF(ISNUMBER(K54),K54+P54,"n.a."))</x:f>
      </x:c>
      <x:c r="R54" s="27" t="str">
        <x:f>IF(C54="","",IF(AND(ISNUMBER(O54),ISNUMBER(Q54)),Q54-O54,"n.a."))</x:f>
      </x:c>
      <x:c r="S54" s="23" t="str">
        <x:f>IF(C54="","",IF(T54&lt;&gt;"","Sửa dữ liệu",IF(D54&gt;='Tong_hop'!$F$4,"Ngoài kỳ",IF(ABS(R54)&lt;='Tong_hop'!$I$4,"Khớp",IF(R54&gt;'Tong_hop'!$I$4,"QT vượt dự kiến",IF(L54&lt;'Tong_hop'!$F$4,"Quá hạn / thiếu QT",IF(Q54=0,"Chờ QT","Chờ QT một phần")))))))</x:f>
      </x:c>
      <x:c r="T54" s="23" t="str">
        <x:f>IF(COUNTA(A54:M54)=0,"",IF(OR(NOT(OR(A54="TikTok Shop",A54="Shopee",A54="Lazada")),B54="",C54="",NOT(ISNUMBER(D54)),COUNT(E54:K54)&lt;&gt;7,NOT(ISNUMBER(L54))),"Thiếu/sai dữ liệu",IF(NOT(COUNTIFS(T_SoDu[Khóa shop],A54&amp;"|"&amp;B54)=1),"Shop chưa khai báo",IF(COUNTIFS(T_Don[Khóa đơn],N54)&lt;&gt;1,"Trùng mã đơn",""))))</x:f>
      </x:c>
      <x:c r="U54" s="27" t="str">
        <x:f>IF(C54="","",IF(COUNT(E54:F54)=2,SUM(E54:F54),"n.a."))</x:f>
      </x:c>
    </x:row>
    <x:row r="55" ht="22" customHeight="1">
      <x:c r="A55" s="10"/>
      <x:c r="B55" s="10"/>
      <x:c r="C55" s="24"/>
      <x:c r="D55" s="25"/>
      <x:c r="E55" s="26"/>
      <x:c r="F55" s="26"/>
      <x:c r="G55" s="26"/>
      <x:c r="H55" s="26"/>
      <x:c r="I55" s="26"/>
      <x:c r="J55" s="26"/>
      <x:c r="K55" s="26"/>
      <x:c r="L55" s="25"/>
      <x:c r="M55" s="10"/>
      <x:c r="N55" s="23" t="str">
        <x:f>IF(C55="","",A55&amp;"|"&amp;B55&amp;"|"&amp;C55)</x:f>
      </x:c>
      <x:c r="O55" s="27" t="str">
        <x:f>IF(C55="","",IF(COUNT(E55:K55)=7,U55-SUM(G55:I55)+J55,"n.a."))</x:f>
      </x:c>
      <x:c r="P55" s="27" t="str">
        <x:f>IF(C55="","",SUMIFS(T_GD[Thực ghi số dư +/-],T_GD[Khóa đơn],N55,T_GD[Nhóm giao dịch],"Quyết toán",T_GD[Ngày giao dịch sàn],"&gt;="&amp;'Tong_hop'!$C$4,T_GD[Ngày giao dịch sàn],"&lt;"&amp;'Tong_hop'!$F$4))</x:f>
      </x:c>
      <x:c r="Q55" s="27" t="str">
        <x:f>IF(C55="","",IF(ISNUMBER(K55),K55+P55,"n.a."))</x:f>
      </x:c>
      <x:c r="R55" s="27" t="str">
        <x:f>IF(C55="","",IF(AND(ISNUMBER(O55),ISNUMBER(Q55)),Q55-O55,"n.a."))</x:f>
      </x:c>
      <x:c r="S55" s="23" t="str">
        <x:f>IF(C55="","",IF(T55&lt;&gt;"","Sửa dữ liệu",IF(D55&gt;='Tong_hop'!$F$4,"Ngoài kỳ",IF(ABS(R55)&lt;='Tong_hop'!$I$4,"Khớp",IF(R55&gt;'Tong_hop'!$I$4,"QT vượt dự kiến",IF(L55&lt;'Tong_hop'!$F$4,"Quá hạn / thiếu QT",IF(Q55=0,"Chờ QT","Chờ QT một phần")))))))</x:f>
      </x:c>
      <x:c r="T55" s="23" t="str">
        <x:f>IF(COUNTA(A55:M55)=0,"",IF(OR(NOT(OR(A55="TikTok Shop",A55="Shopee",A55="Lazada")),B55="",C55="",NOT(ISNUMBER(D55)),COUNT(E55:K55)&lt;&gt;7,NOT(ISNUMBER(L55))),"Thiếu/sai dữ liệu",IF(NOT(COUNTIFS(T_SoDu[Khóa shop],A55&amp;"|"&amp;B55)=1),"Shop chưa khai báo",IF(COUNTIFS(T_Don[Khóa đơn],N55)&lt;&gt;1,"Trùng mã đơn",""))))</x:f>
      </x:c>
      <x:c r="U55" s="27" t="str">
        <x:f>IF(C55="","",IF(COUNT(E55:F55)=2,SUM(E55:F55),"n.a."))</x:f>
      </x:c>
    </x:row>
    <x:row r="56" ht="22" customHeight="1">
      <x:c r="A56" s="10"/>
      <x:c r="B56" s="10"/>
      <x:c r="C56" s="24"/>
      <x:c r="D56" s="25"/>
      <x:c r="E56" s="26"/>
      <x:c r="F56" s="26"/>
      <x:c r="G56" s="26"/>
      <x:c r="H56" s="26"/>
      <x:c r="I56" s="26"/>
      <x:c r="J56" s="26"/>
      <x:c r="K56" s="26"/>
      <x:c r="L56" s="25"/>
      <x:c r="M56" s="10"/>
      <x:c r="N56" s="23" t="str">
        <x:f>IF(C56="","",A56&amp;"|"&amp;B56&amp;"|"&amp;C56)</x:f>
      </x:c>
      <x:c r="O56" s="27" t="str">
        <x:f>IF(C56="","",IF(COUNT(E56:K56)=7,U56-SUM(G56:I56)+J56,"n.a."))</x:f>
      </x:c>
      <x:c r="P56" s="27" t="str">
        <x:f>IF(C56="","",SUMIFS(T_GD[Thực ghi số dư +/-],T_GD[Khóa đơn],N56,T_GD[Nhóm giao dịch],"Quyết toán",T_GD[Ngày giao dịch sàn],"&gt;="&amp;'Tong_hop'!$C$4,T_GD[Ngày giao dịch sàn],"&lt;"&amp;'Tong_hop'!$F$4))</x:f>
      </x:c>
      <x:c r="Q56" s="27" t="str">
        <x:f>IF(C56="","",IF(ISNUMBER(K56),K56+P56,"n.a."))</x:f>
      </x:c>
      <x:c r="R56" s="27" t="str">
        <x:f>IF(C56="","",IF(AND(ISNUMBER(O56),ISNUMBER(Q56)),Q56-O56,"n.a."))</x:f>
      </x:c>
      <x:c r="S56" s="23" t="str">
        <x:f>IF(C56="","",IF(T56&lt;&gt;"","Sửa dữ liệu",IF(D56&gt;='Tong_hop'!$F$4,"Ngoài kỳ",IF(ABS(R56)&lt;='Tong_hop'!$I$4,"Khớp",IF(R56&gt;'Tong_hop'!$I$4,"QT vượt dự kiến",IF(L56&lt;'Tong_hop'!$F$4,"Quá hạn / thiếu QT",IF(Q56=0,"Chờ QT","Chờ QT một phần")))))))</x:f>
      </x:c>
      <x:c r="T56" s="23" t="str">
        <x:f>IF(COUNTA(A56:M56)=0,"",IF(OR(NOT(OR(A56="TikTok Shop",A56="Shopee",A56="Lazada")),B56="",C56="",NOT(ISNUMBER(D56)),COUNT(E56:K56)&lt;&gt;7,NOT(ISNUMBER(L56))),"Thiếu/sai dữ liệu",IF(NOT(COUNTIFS(T_SoDu[Khóa shop],A56&amp;"|"&amp;B56)=1),"Shop chưa khai báo",IF(COUNTIFS(T_Don[Khóa đơn],N56)&lt;&gt;1,"Trùng mã đơn",""))))</x:f>
      </x:c>
      <x:c r="U56" s="27" t="str">
        <x:f>IF(C56="","",IF(COUNT(E56:F56)=2,SUM(E56:F56),"n.a."))</x:f>
      </x:c>
    </x:row>
    <x:row r="57" ht="22" customHeight="1">
      <x:c r="A57" s="10"/>
      <x:c r="B57" s="10"/>
      <x:c r="C57" s="24"/>
      <x:c r="D57" s="25"/>
      <x:c r="E57" s="26"/>
      <x:c r="F57" s="26"/>
      <x:c r="G57" s="26"/>
      <x:c r="H57" s="26"/>
      <x:c r="I57" s="26"/>
      <x:c r="J57" s="26"/>
      <x:c r="K57" s="26"/>
      <x:c r="L57" s="25"/>
      <x:c r="M57" s="10"/>
      <x:c r="N57" s="23" t="str">
        <x:f>IF(C57="","",A57&amp;"|"&amp;B57&amp;"|"&amp;C57)</x:f>
      </x:c>
      <x:c r="O57" s="27" t="str">
        <x:f>IF(C57="","",IF(COUNT(E57:K57)=7,U57-SUM(G57:I57)+J57,"n.a."))</x:f>
      </x:c>
      <x:c r="P57" s="27" t="str">
        <x:f>IF(C57="","",SUMIFS(T_GD[Thực ghi số dư +/-],T_GD[Khóa đơn],N57,T_GD[Nhóm giao dịch],"Quyết toán",T_GD[Ngày giao dịch sàn],"&gt;="&amp;'Tong_hop'!$C$4,T_GD[Ngày giao dịch sàn],"&lt;"&amp;'Tong_hop'!$F$4))</x:f>
      </x:c>
      <x:c r="Q57" s="27" t="str">
        <x:f>IF(C57="","",IF(ISNUMBER(K57),K57+P57,"n.a."))</x:f>
      </x:c>
      <x:c r="R57" s="27" t="str">
        <x:f>IF(C57="","",IF(AND(ISNUMBER(O57),ISNUMBER(Q57)),Q57-O57,"n.a."))</x:f>
      </x:c>
      <x:c r="S57" s="23" t="str">
        <x:f>IF(C57="","",IF(T57&lt;&gt;"","Sửa dữ liệu",IF(D57&gt;='Tong_hop'!$F$4,"Ngoài kỳ",IF(ABS(R57)&lt;='Tong_hop'!$I$4,"Khớp",IF(R57&gt;'Tong_hop'!$I$4,"QT vượt dự kiến",IF(L57&lt;'Tong_hop'!$F$4,"Quá hạn / thiếu QT",IF(Q57=0,"Chờ QT","Chờ QT một phần")))))))</x:f>
      </x:c>
      <x:c r="T57" s="23" t="str">
        <x:f>IF(COUNTA(A57:M57)=0,"",IF(OR(NOT(OR(A57="TikTok Shop",A57="Shopee",A57="Lazada")),B57="",C57="",NOT(ISNUMBER(D57)),COUNT(E57:K57)&lt;&gt;7,NOT(ISNUMBER(L57))),"Thiếu/sai dữ liệu",IF(NOT(COUNTIFS(T_SoDu[Khóa shop],A57&amp;"|"&amp;B57)=1),"Shop chưa khai báo",IF(COUNTIFS(T_Don[Khóa đơn],N57)&lt;&gt;1,"Trùng mã đơn",""))))</x:f>
      </x:c>
      <x:c r="U57" s="27" t="str">
        <x:f>IF(C57="","",IF(COUNT(E57:F57)=2,SUM(E57:F57),"n.a."))</x:f>
      </x:c>
    </x:row>
    <x:row r="58" ht="22" customHeight="1">
      <x:c r="A58" s="10"/>
      <x:c r="B58" s="10"/>
      <x:c r="C58" s="24"/>
      <x:c r="D58" s="25"/>
      <x:c r="E58" s="26"/>
      <x:c r="F58" s="26"/>
      <x:c r="G58" s="26"/>
      <x:c r="H58" s="26"/>
      <x:c r="I58" s="26"/>
      <x:c r="J58" s="26"/>
      <x:c r="K58" s="26"/>
      <x:c r="L58" s="25"/>
      <x:c r="M58" s="10"/>
      <x:c r="N58" s="23" t="str">
        <x:f>IF(C58="","",A58&amp;"|"&amp;B58&amp;"|"&amp;C58)</x:f>
      </x:c>
      <x:c r="O58" s="27" t="str">
        <x:f>IF(C58="","",IF(COUNT(E58:K58)=7,U58-SUM(G58:I58)+J58,"n.a."))</x:f>
      </x:c>
      <x:c r="P58" s="27" t="str">
        <x:f>IF(C58="","",SUMIFS(T_GD[Thực ghi số dư +/-],T_GD[Khóa đơn],N58,T_GD[Nhóm giao dịch],"Quyết toán",T_GD[Ngày giao dịch sàn],"&gt;="&amp;'Tong_hop'!$C$4,T_GD[Ngày giao dịch sàn],"&lt;"&amp;'Tong_hop'!$F$4))</x:f>
      </x:c>
      <x:c r="Q58" s="27" t="str">
        <x:f>IF(C58="","",IF(ISNUMBER(K58),K58+P58,"n.a."))</x:f>
      </x:c>
      <x:c r="R58" s="27" t="str">
        <x:f>IF(C58="","",IF(AND(ISNUMBER(O58),ISNUMBER(Q58)),Q58-O58,"n.a."))</x:f>
      </x:c>
      <x:c r="S58" s="23" t="str">
        <x:f>IF(C58="","",IF(T58&lt;&gt;"","Sửa dữ liệu",IF(D58&gt;='Tong_hop'!$F$4,"Ngoài kỳ",IF(ABS(R58)&lt;='Tong_hop'!$I$4,"Khớp",IF(R58&gt;'Tong_hop'!$I$4,"QT vượt dự kiến",IF(L58&lt;'Tong_hop'!$F$4,"Quá hạn / thiếu QT",IF(Q58=0,"Chờ QT","Chờ QT một phần")))))))</x:f>
      </x:c>
      <x:c r="T58" s="23" t="str">
        <x:f>IF(COUNTA(A58:M58)=0,"",IF(OR(NOT(OR(A58="TikTok Shop",A58="Shopee",A58="Lazada")),B58="",C58="",NOT(ISNUMBER(D58)),COUNT(E58:K58)&lt;&gt;7,NOT(ISNUMBER(L58))),"Thiếu/sai dữ liệu",IF(NOT(COUNTIFS(T_SoDu[Khóa shop],A58&amp;"|"&amp;B58)=1),"Shop chưa khai báo",IF(COUNTIFS(T_Don[Khóa đơn],N58)&lt;&gt;1,"Trùng mã đơn",""))))</x:f>
      </x:c>
      <x:c r="U58" s="27" t="str">
        <x:f>IF(C58="","",IF(COUNT(E58:F58)=2,SUM(E58:F58),"n.a."))</x:f>
      </x:c>
    </x:row>
    <x:row r="59" ht="22" customHeight="1">
      <x:c r="A59" s="10"/>
      <x:c r="B59" s="10"/>
      <x:c r="C59" s="24"/>
      <x:c r="D59" s="25"/>
      <x:c r="E59" s="26"/>
      <x:c r="F59" s="26"/>
      <x:c r="G59" s="26"/>
      <x:c r="H59" s="26"/>
      <x:c r="I59" s="26"/>
      <x:c r="J59" s="26"/>
      <x:c r="K59" s="26"/>
      <x:c r="L59" s="25"/>
      <x:c r="M59" s="10"/>
      <x:c r="N59" s="23" t="str">
        <x:f>IF(C59="","",A59&amp;"|"&amp;B59&amp;"|"&amp;C59)</x:f>
      </x:c>
      <x:c r="O59" s="27" t="str">
        <x:f>IF(C59="","",IF(COUNT(E59:K59)=7,U59-SUM(G59:I59)+J59,"n.a."))</x:f>
      </x:c>
      <x:c r="P59" s="27" t="str">
        <x:f>IF(C59="","",SUMIFS(T_GD[Thực ghi số dư +/-],T_GD[Khóa đơn],N59,T_GD[Nhóm giao dịch],"Quyết toán",T_GD[Ngày giao dịch sàn],"&gt;="&amp;'Tong_hop'!$C$4,T_GD[Ngày giao dịch sàn],"&lt;"&amp;'Tong_hop'!$F$4))</x:f>
      </x:c>
      <x:c r="Q59" s="27" t="str">
        <x:f>IF(C59="","",IF(ISNUMBER(K59),K59+P59,"n.a."))</x:f>
      </x:c>
      <x:c r="R59" s="27" t="str">
        <x:f>IF(C59="","",IF(AND(ISNUMBER(O59),ISNUMBER(Q59)),Q59-O59,"n.a."))</x:f>
      </x:c>
      <x:c r="S59" s="23" t="str">
        <x:f>IF(C59="","",IF(T59&lt;&gt;"","Sửa dữ liệu",IF(D59&gt;='Tong_hop'!$F$4,"Ngoài kỳ",IF(ABS(R59)&lt;='Tong_hop'!$I$4,"Khớp",IF(R59&gt;'Tong_hop'!$I$4,"QT vượt dự kiến",IF(L59&lt;'Tong_hop'!$F$4,"Quá hạn / thiếu QT",IF(Q59=0,"Chờ QT","Chờ QT một phần")))))))</x:f>
      </x:c>
      <x:c r="T59" s="23" t="str">
        <x:f>IF(COUNTA(A59:M59)=0,"",IF(OR(NOT(OR(A59="TikTok Shop",A59="Shopee",A59="Lazada")),B59="",C59="",NOT(ISNUMBER(D59)),COUNT(E59:K59)&lt;&gt;7,NOT(ISNUMBER(L59))),"Thiếu/sai dữ liệu",IF(NOT(COUNTIFS(T_SoDu[Khóa shop],A59&amp;"|"&amp;B59)=1),"Shop chưa khai báo",IF(COUNTIFS(T_Don[Khóa đơn],N59)&lt;&gt;1,"Trùng mã đơn",""))))</x:f>
      </x:c>
      <x:c r="U59" s="27" t="str">
        <x:f>IF(C59="","",IF(COUNT(E59:F59)=2,SUM(E59:F59),"n.a."))</x:f>
      </x:c>
    </x:row>
    <x:row r="60" ht="22" customHeight="1">
      <x:c r="A60" s="10"/>
      <x:c r="B60" s="10"/>
      <x:c r="C60" s="24"/>
      <x:c r="D60" s="25"/>
      <x:c r="E60" s="26"/>
      <x:c r="F60" s="26"/>
      <x:c r="G60" s="26"/>
      <x:c r="H60" s="26"/>
      <x:c r="I60" s="26"/>
      <x:c r="J60" s="26"/>
      <x:c r="K60" s="26"/>
      <x:c r="L60" s="25"/>
      <x:c r="M60" s="10"/>
      <x:c r="N60" s="23" t="str">
        <x:f>IF(C60="","",A60&amp;"|"&amp;B60&amp;"|"&amp;C60)</x:f>
      </x:c>
      <x:c r="O60" s="27" t="str">
        <x:f>IF(C60="","",IF(COUNT(E60:K60)=7,U60-SUM(G60:I60)+J60,"n.a."))</x:f>
      </x:c>
      <x:c r="P60" s="27" t="str">
        <x:f>IF(C60="","",SUMIFS(T_GD[Thực ghi số dư +/-],T_GD[Khóa đơn],N60,T_GD[Nhóm giao dịch],"Quyết toán",T_GD[Ngày giao dịch sàn],"&gt;="&amp;'Tong_hop'!$C$4,T_GD[Ngày giao dịch sàn],"&lt;"&amp;'Tong_hop'!$F$4))</x:f>
      </x:c>
      <x:c r="Q60" s="27" t="str">
        <x:f>IF(C60="","",IF(ISNUMBER(K60),K60+P60,"n.a."))</x:f>
      </x:c>
      <x:c r="R60" s="27" t="str">
        <x:f>IF(C60="","",IF(AND(ISNUMBER(O60),ISNUMBER(Q60)),Q60-O60,"n.a."))</x:f>
      </x:c>
      <x:c r="S60" s="23" t="str">
        <x:f>IF(C60="","",IF(T60&lt;&gt;"","Sửa dữ liệu",IF(D60&gt;='Tong_hop'!$F$4,"Ngoài kỳ",IF(ABS(R60)&lt;='Tong_hop'!$I$4,"Khớp",IF(R60&gt;'Tong_hop'!$I$4,"QT vượt dự kiến",IF(L60&lt;'Tong_hop'!$F$4,"Quá hạn / thiếu QT",IF(Q60=0,"Chờ QT","Chờ QT một phần")))))))</x:f>
      </x:c>
      <x:c r="T60" s="23" t="str">
        <x:f>IF(COUNTA(A60:M60)=0,"",IF(OR(NOT(OR(A60="TikTok Shop",A60="Shopee",A60="Lazada")),B60="",C60="",NOT(ISNUMBER(D60)),COUNT(E60:K60)&lt;&gt;7,NOT(ISNUMBER(L60))),"Thiếu/sai dữ liệu",IF(NOT(COUNTIFS(T_SoDu[Khóa shop],A60&amp;"|"&amp;B60)=1),"Shop chưa khai báo",IF(COUNTIFS(T_Don[Khóa đơn],N60)&lt;&gt;1,"Trùng mã đơn",""))))</x:f>
      </x:c>
      <x:c r="U60" s="27" t="str">
        <x:f>IF(C60="","",IF(COUNT(E60:F60)=2,SUM(E60:F60),"n.a."))</x:f>
      </x:c>
    </x:row>
    <x:row r="61" ht="22" customHeight="1">
      <x:c r="A61" s="10"/>
      <x:c r="B61" s="10"/>
      <x:c r="C61" s="24"/>
      <x:c r="D61" s="25"/>
      <x:c r="E61" s="26"/>
      <x:c r="F61" s="26"/>
      <x:c r="G61" s="26"/>
      <x:c r="H61" s="26"/>
      <x:c r="I61" s="26"/>
      <x:c r="J61" s="26"/>
      <x:c r="K61" s="26"/>
      <x:c r="L61" s="25"/>
      <x:c r="M61" s="10"/>
      <x:c r="N61" s="23" t="str">
        <x:f>IF(C61="","",A61&amp;"|"&amp;B61&amp;"|"&amp;C61)</x:f>
      </x:c>
      <x:c r="O61" s="27" t="str">
        <x:f>IF(C61="","",IF(COUNT(E61:K61)=7,U61-SUM(G61:I61)+J61,"n.a."))</x:f>
      </x:c>
      <x:c r="P61" s="27" t="str">
        <x:f>IF(C61="","",SUMIFS(T_GD[Thực ghi số dư +/-],T_GD[Khóa đơn],N61,T_GD[Nhóm giao dịch],"Quyết toán",T_GD[Ngày giao dịch sàn],"&gt;="&amp;'Tong_hop'!$C$4,T_GD[Ngày giao dịch sàn],"&lt;"&amp;'Tong_hop'!$F$4))</x:f>
      </x:c>
      <x:c r="Q61" s="27" t="str">
        <x:f>IF(C61="","",IF(ISNUMBER(K61),K61+P61,"n.a."))</x:f>
      </x:c>
      <x:c r="R61" s="27" t="str">
        <x:f>IF(C61="","",IF(AND(ISNUMBER(O61),ISNUMBER(Q61)),Q61-O61,"n.a."))</x:f>
      </x:c>
      <x:c r="S61" s="23" t="str">
        <x:f>IF(C61="","",IF(T61&lt;&gt;"","Sửa dữ liệu",IF(D61&gt;='Tong_hop'!$F$4,"Ngoài kỳ",IF(ABS(R61)&lt;='Tong_hop'!$I$4,"Khớp",IF(R61&gt;'Tong_hop'!$I$4,"QT vượt dự kiến",IF(L61&lt;'Tong_hop'!$F$4,"Quá hạn / thiếu QT",IF(Q61=0,"Chờ QT","Chờ QT một phần")))))))</x:f>
      </x:c>
      <x:c r="T61" s="23" t="str">
        <x:f>IF(COUNTA(A61:M61)=0,"",IF(OR(NOT(OR(A61="TikTok Shop",A61="Shopee",A61="Lazada")),B61="",C61="",NOT(ISNUMBER(D61)),COUNT(E61:K61)&lt;&gt;7,NOT(ISNUMBER(L61))),"Thiếu/sai dữ liệu",IF(NOT(COUNTIFS(T_SoDu[Khóa shop],A61&amp;"|"&amp;B61)=1),"Shop chưa khai báo",IF(COUNTIFS(T_Don[Khóa đơn],N61)&lt;&gt;1,"Trùng mã đơn",""))))</x:f>
      </x:c>
      <x:c r="U61" s="27" t="str">
        <x:f>IF(C61="","",IF(COUNT(E61:F61)=2,SUM(E61:F61),"n.a."))</x:f>
      </x:c>
    </x:row>
    <x:row r="62" ht="22" customHeight="1">
      <x:c r="A62" s="10"/>
      <x:c r="B62" s="10"/>
      <x:c r="C62" s="24"/>
      <x:c r="D62" s="25"/>
      <x:c r="E62" s="26"/>
      <x:c r="F62" s="26"/>
      <x:c r="G62" s="26"/>
      <x:c r="H62" s="26"/>
      <x:c r="I62" s="26"/>
      <x:c r="J62" s="26"/>
      <x:c r="K62" s="26"/>
      <x:c r="L62" s="25"/>
      <x:c r="M62" s="10"/>
      <x:c r="N62" s="23" t="str">
        <x:f>IF(C62="","",A62&amp;"|"&amp;B62&amp;"|"&amp;C62)</x:f>
      </x:c>
      <x:c r="O62" s="27" t="str">
        <x:f>IF(C62="","",IF(COUNT(E62:K62)=7,U62-SUM(G62:I62)+J62,"n.a."))</x:f>
      </x:c>
      <x:c r="P62" s="27" t="str">
        <x:f>IF(C62="","",SUMIFS(T_GD[Thực ghi số dư +/-],T_GD[Khóa đơn],N62,T_GD[Nhóm giao dịch],"Quyết toán",T_GD[Ngày giao dịch sàn],"&gt;="&amp;'Tong_hop'!$C$4,T_GD[Ngày giao dịch sàn],"&lt;"&amp;'Tong_hop'!$F$4))</x:f>
      </x:c>
      <x:c r="Q62" s="27" t="str">
        <x:f>IF(C62="","",IF(ISNUMBER(K62),K62+P62,"n.a."))</x:f>
      </x:c>
      <x:c r="R62" s="27" t="str">
        <x:f>IF(C62="","",IF(AND(ISNUMBER(O62),ISNUMBER(Q62)),Q62-O62,"n.a."))</x:f>
      </x:c>
      <x:c r="S62" s="23" t="str">
        <x:f>IF(C62="","",IF(T62&lt;&gt;"","Sửa dữ liệu",IF(D62&gt;='Tong_hop'!$F$4,"Ngoài kỳ",IF(ABS(R62)&lt;='Tong_hop'!$I$4,"Khớp",IF(R62&gt;'Tong_hop'!$I$4,"QT vượt dự kiến",IF(L62&lt;'Tong_hop'!$F$4,"Quá hạn / thiếu QT",IF(Q62=0,"Chờ QT","Chờ QT một phần")))))))</x:f>
      </x:c>
      <x:c r="T62" s="23" t="str">
        <x:f>IF(COUNTA(A62:M62)=0,"",IF(OR(NOT(OR(A62="TikTok Shop",A62="Shopee",A62="Lazada")),B62="",C62="",NOT(ISNUMBER(D62)),COUNT(E62:K62)&lt;&gt;7,NOT(ISNUMBER(L62))),"Thiếu/sai dữ liệu",IF(NOT(COUNTIFS(T_SoDu[Khóa shop],A62&amp;"|"&amp;B62)=1),"Shop chưa khai báo",IF(COUNTIFS(T_Don[Khóa đơn],N62)&lt;&gt;1,"Trùng mã đơn",""))))</x:f>
      </x:c>
      <x:c r="U62" s="27" t="str">
        <x:f>IF(C62="","",IF(COUNT(E62:F62)=2,SUM(E62:F62),"n.a."))</x:f>
      </x:c>
    </x:row>
    <x:row r="63" ht="22" customHeight="1">
      <x:c r="A63" s="10"/>
      <x:c r="B63" s="10"/>
      <x:c r="C63" s="24"/>
      <x:c r="D63" s="25"/>
      <x:c r="E63" s="26"/>
      <x:c r="F63" s="26"/>
      <x:c r="G63" s="26"/>
      <x:c r="H63" s="26"/>
      <x:c r="I63" s="26"/>
      <x:c r="J63" s="26"/>
      <x:c r="K63" s="26"/>
      <x:c r="L63" s="25"/>
      <x:c r="M63" s="10"/>
      <x:c r="N63" s="23" t="str">
        <x:f>IF(C63="","",A63&amp;"|"&amp;B63&amp;"|"&amp;C63)</x:f>
      </x:c>
      <x:c r="O63" s="27" t="str">
        <x:f>IF(C63="","",IF(COUNT(E63:K63)=7,U63-SUM(G63:I63)+J63,"n.a."))</x:f>
      </x:c>
      <x:c r="P63" s="27" t="str">
        <x:f>IF(C63="","",SUMIFS(T_GD[Thực ghi số dư +/-],T_GD[Khóa đơn],N63,T_GD[Nhóm giao dịch],"Quyết toán",T_GD[Ngày giao dịch sàn],"&gt;="&amp;'Tong_hop'!$C$4,T_GD[Ngày giao dịch sàn],"&lt;"&amp;'Tong_hop'!$F$4))</x:f>
      </x:c>
      <x:c r="Q63" s="27" t="str">
        <x:f>IF(C63="","",IF(ISNUMBER(K63),K63+P63,"n.a."))</x:f>
      </x:c>
      <x:c r="R63" s="27" t="str">
        <x:f>IF(C63="","",IF(AND(ISNUMBER(O63),ISNUMBER(Q63)),Q63-O63,"n.a."))</x:f>
      </x:c>
      <x:c r="S63" s="23" t="str">
        <x:f>IF(C63="","",IF(T63&lt;&gt;"","Sửa dữ liệu",IF(D63&gt;='Tong_hop'!$F$4,"Ngoài kỳ",IF(ABS(R63)&lt;='Tong_hop'!$I$4,"Khớp",IF(R63&gt;'Tong_hop'!$I$4,"QT vượt dự kiến",IF(L63&lt;'Tong_hop'!$F$4,"Quá hạn / thiếu QT",IF(Q63=0,"Chờ QT","Chờ QT một phần")))))))</x:f>
      </x:c>
      <x:c r="T63" s="23" t="str">
        <x:f>IF(COUNTA(A63:M63)=0,"",IF(OR(NOT(OR(A63="TikTok Shop",A63="Shopee",A63="Lazada")),B63="",C63="",NOT(ISNUMBER(D63)),COUNT(E63:K63)&lt;&gt;7,NOT(ISNUMBER(L63))),"Thiếu/sai dữ liệu",IF(NOT(COUNTIFS(T_SoDu[Khóa shop],A63&amp;"|"&amp;B63)=1),"Shop chưa khai báo",IF(COUNTIFS(T_Don[Khóa đơn],N63)&lt;&gt;1,"Trùng mã đơn",""))))</x:f>
      </x:c>
      <x:c r="U63" s="27" t="str">
        <x:f>IF(C63="","",IF(COUNT(E63:F63)=2,SUM(E63:F63),"n.a."))</x:f>
      </x:c>
    </x:row>
    <x:row r="64" ht="22" customHeight="1">
      <x:c r="A64" s="10"/>
      <x:c r="B64" s="10"/>
      <x:c r="C64" s="24"/>
      <x:c r="D64" s="25"/>
      <x:c r="E64" s="26"/>
      <x:c r="F64" s="26"/>
      <x:c r="G64" s="26"/>
      <x:c r="H64" s="26"/>
      <x:c r="I64" s="26"/>
      <x:c r="J64" s="26"/>
      <x:c r="K64" s="26"/>
      <x:c r="L64" s="25"/>
      <x:c r="M64" s="10"/>
      <x:c r="N64" s="23" t="str">
        <x:f>IF(C64="","",A64&amp;"|"&amp;B64&amp;"|"&amp;C64)</x:f>
      </x:c>
      <x:c r="O64" s="27" t="str">
        <x:f>IF(C64="","",IF(COUNT(E64:K64)=7,U64-SUM(G64:I64)+J64,"n.a."))</x:f>
      </x:c>
      <x:c r="P64" s="27" t="str">
        <x:f>IF(C64="","",SUMIFS(T_GD[Thực ghi số dư +/-],T_GD[Khóa đơn],N64,T_GD[Nhóm giao dịch],"Quyết toán",T_GD[Ngày giao dịch sàn],"&gt;="&amp;'Tong_hop'!$C$4,T_GD[Ngày giao dịch sàn],"&lt;"&amp;'Tong_hop'!$F$4))</x:f>
      </x:c>
      <x:c r="Q64" s="27" t="str">
        <x:f>IF(C64="","",IF(ISNUMBER(K64),K64+P64,"n.a."))</x:f>
      </x:c>
      <x:c r="R64" s="27" t="str">
        <x:f>IF(C64="","",IF(AND(ISNUMBER(O64),ISNUMBER(Q64)),Q64-O64,"n.a."))</x:f>
      </x:c>
      <x:c r="S64" s="23" t="str">
        <x:f>IF(C64="","",IF(T64&lt;&gt;"","Sửa dữ liệu",IF(D64&gt;='Tong_hop'!$F$4,"Ngoài kỳ",IF(ABS(R64)&lt;='Tong_hop'!$I$4,"Khớp",IF(R64&gt;'Tong_hop'!$I$4,"QT vượt dự kiến",IF(L64&lt;'Tong_hop'!$F$4,"Quá hạn / thiếu QT",IF(Q64=0,"Chờ QT","Chờ QT một phần")))))))</x:f>
      </x:c>
      <x:c r="T64" s="23" t="str">
        <x:f>IF(COUNTA(A64:M64)=0,"",IF(OR(NOT(OR(A64="TikTok Shop",A64="Shopee",A64="Lazada")),B64="",C64="",NOT(ISNUMBER(D64)),COUNT(E64:K64)&lt;&gt;7,NOT(ISNUMBER(L64))),"Thiếu/sai dữ liệu",IF(NOT(COUNTIFS(T_SoDu[Khóa shop],A64&amp;"|"&amp;B64)=1),"Shop chưa khai báo",IF(COUNTIFS(T_Don[Khóa đơn],N64)&lt;&gt;1,"Trùng mã đơn",""))))</x:f>
      </x:c>
      <x:c r="U64" s="27" t="str">
        <x:f>IF(C64="","",IF(COUNT(E64:F64)=2,SUM(E64:F64),"n.a."))</x:f>
      </x:c>
    </x:row>
    <x:row r="65" ht="22" customHeight="1">
      <x:c r="A65" s="10"/>
      <x:c r="B65" s="10"/>
      <x:c r="C65" s="24"/>
      <x:c r="D65" s="25"/>
      <x:c r="E65" s="26"/>
      <x:c r="F65" s="26"/>
      <x:c r="G65" s="26"/>
      <x:c r="H65" s="26"/>
      <x:c r="I65" s="26"/>
      <x:c r="J65" s="26"/>
      <x:c r="K65" s="26"/>
      <x:c r="L65" s="25"/>
      <x:c r="M65" s="10"/>
      <x:c r="N65" s="23" t="str">
        <x:f>IF(C65="","",A65&amp;"|"&amp;B65&amp;"|"&amp;C65)</x:f>
      </x:c>
      <x:c r="O65" s="27" t="str">
        <x:f>IF(C65="","",IF(COUNT(E65:K65)=7,U65-SUM(G65:I65)+J65,"n.a."))</x:f>
      </x:c>
      <x:c r="P65" s="27" t="str">
        <x:f>IF(C65="","",SUMIFS(T_GD[Thực ghi số dư +/-],T_GD[Khóa đơn],N65,T_GD[Nhóm giao dịch],"Quyết toán",T_GD[Ngày giao dịch sàn],"&gt;="&amp;'Tong_hop'!$C$4,T_GD[Ngày giao dịch sàn],"&lt;"&amp;'Tong_hop'!$F$4))</x:f>
      </x:c>
      <x:c r="Q65" s="27" t="str">
        <x:f>IF(C65="","",IF(ISNUMBER(K65),K65+P65,"n.a."))</x:f>
      </x:c>
      <x:c r="R65" s="27" t="str">
        <x:f>IF(C65="","",IF(AND(ISNUMBER(O65),ISNUMBER(Q65)),Q65-O65,"n.a."))</x:f>
      </x:c>
      <x:c r="S65" s="23" t="str">
        <x:f>IF(C65="","",IF(T65&lt;&gt;"","Sửa dữ liệu",IF(D65&gt;='Tong_hop'!$F$4,"Ngoài kỳ",IF(ABS(R65)&lt;='Tong_hop'!$I$4,"Khớp",IF(R65&gt;'Tong_hop'!$I$4,"QT vượt dự kiến",IF(L65&lt;'Tong_hop'!$F$4,"Quá hạn / thiếu QT",IF(Q65=0,"Chờ QT","Chờ QT một phần")))))))</x:f>
      </x:c>
      <x:c r="T65" s="23" t="str">
        <x:f>IF(COUNTA(A65:M65)=0,"",IF(OR(NOT(OR(A65="TikTok Shop",A65="Shopee",A65="Lazada")),B65="",C65="",NOT(ISNUMBER(D65)),COUNT(E65:K65)&lt;&gt;7,NOT(ISNUMBER(L65))),"Thiếu/sai dữ liệu",IF(NOT(COUNTIFS(T_SoDu[Khóa shop],A65&amp;"|"&amp;B65)=1),"Shop chưa khai báo",IF(COUNTIFS(T_Don[Khóa đơn],N65)&lt;&gt;1,"Trùng mã đơn",""))))</x:f>
      </x:c>
      <x:c r="U65" s="27" t="str">
        <x:f>IF(C65="","",IF(COUNT(E65:F65)=2,SUM(E65:F65),"n.a."))</x:f>
      </x:c>
    </x:row>
    <x:row r="66" ht="22" customHeight="1">
      <x:c r="A66" s="10"/>
      <x:c r="B66" s="10"/>
      <x:c r="C66" s="24"/>
      <x:c r="D66" s="25"/>
      <x:c r="E66" s="26"/>
      <x:c r="F66" s="26"/>
      <x:c r="G66" s="26"/>
      <x:c r="H66" s="26"/>
      <x:c r="I66" s="26"/>
      <x:c r="J66" s="26"/>
      <x:c r="K66" s="26"/>
      <x:c r="L66" s="25"/>
      <x:c r="M66" s="10"/>
      <x:c r="N66" s="23" t="str">
        <x:f>IF(C66="","",A66&amp;"|"&amp;B66&amp;"|"&amp;C66)</x:f>
      </x:c>
      <x:c r="O66" s="27" t="str">
        <x:f>IF(C66="","",IF(COUNT(E66:K66)=7,U66-SUM(G66:I66)+J66,"n.a."))</x:f>
      </x:c>
      <x:c r="P66" s="27" t="str">
        <x:f>IF(C66="","",SUMIFS(T_GD[Thực ghi số dư +/-],T_GD[Khóa đơn],N66,T_GD[Nhóm giao dịch],"Quyết toán",T_GD[Ngày giao dịch sàn],"&gt;="&amp;'Tong_hop'!$C$4,T_GD[Ngày giao dịch sàn],"&lt;"&amp;'Tong_hop'!$F$4))</x:f>
      </x:c>
      <x:c r="Q66" s="27" t="str">
        <x:f>IF(C66="","",IF(ISNUMBER(K66),K66+P66,"n.a."))</x:f>
      </x:c>
      <x:c r="R66" s="27" t="str">
        <x:f>IF(C66="","",IF(AND(ISNUMBER(O66),ISNUMBER(Q66)),Q66-O66,"n.a."))</x:f>
      </x:c>
      <x:c r="S66" s="23" t="str">
        <x:f>IF(C66="","",IF(T66&lt;&gt;"","Sửa dữ liệu",IF(D66&gt;='Tong_hop'!$F$4,"Ngoài kỳ",IF(ABS(R66)&lt;='Tong_hop'!$I$4,"Khớp",IF(R66&gt;'Tong_hop'!$I$4,"QT vượt dự kiến",IF(L66&lt;'Tong_hop'!$F$4,"Quá hạn / thiếu QT",IF(Q66=0,"Chờ QT","Chờ QT một phần")))))))</x:f>
      </x:c>
      <x:c r="T66" s="23" t="str">
        <x:f>IF(COUNTA(A66:M66)=0,"",IF(OR(NOT(OR(A66="TikTok Shop",A66="Shopee",A66="Lazada")),B66="",C66="",NOT(ISNUMBER(D66)),COUNT(E66:K66)&lt;&gt;7,NOT(ISNUMBER(L66))),"Thiếu/sai dữ liệu",IF(NOT(COUNTIFS(T_SoDu[Khóa shop],A66&amp;"|"&amp;B66)=1),"Shop chưa khai báo",IF(COUNTIFS(T_Don[Khóa đơn],N66)&lt;&gt;1,"Trùng mã đơn",""))))</x:f>
      </x:c>
      <x:c r="U66" s="27" t="str">
        <x:f>IF(C66="","",IF(COUNT(E66:F66)=2,SUM(E66:F66),"n.a."))</x:f>
      </x:c>
    </x:row>
    <x:row r="67" ht="22" customHeight="1">
      <x:c r="A67" s="10"/>
      <x:c r="B67" s="10"/>
      <x:c r="C67" s="24"/>
      <x:c r="D67" s="25"/>
      <x:c r="E67" s="26"/>
      <x:c r="F67" s="26"/>
      <x:c r="G67" s="26"/>
      <x:c r="H67" s="26"/>
      <x:c r="I67" s="26"/>
      <x:c r="J67" s="26"/>
      <x:c r="K67" s="26"/>
      <x:c r="L67" s="25"/>
      <x:c r="M67" s="10"/>
      <x:c r="N67" s="23" t="str">
        <x:f>IF(C67="","",A67&amp;"|"&amp;B67&amp;"|"&amp;C67)</x:f>
      </x:c>
      <x:c r="O67" s="27" t="str">
        <x:f>IF(C67="","",IF(COUNT(E67:K67)=7,U67-SUM(G67:I67)+J67,"n.a."))</x:f>
      </x:c>
      <x:c r="P67" s="27" t="str">
        <x:f>IF(C67="","",SUMIFS(T_GD[Thực ghi số dư +/-],T_GD[Khóa đơn],N67,T_GD[Nhóm giao dịch],"Quyết toán",T_GD[Ngày giao dịch sàn],"&gt;="&amp;'Tong_hop'!$C$4,T_GD[Ngày giao dịch sàn],"&lt;"&amp;'Tong_hop'!$F$4))</x:f>
      </x:c>
      <x:c r="Q67" s="27" t="str">
        <x:f>IF(C67="","",IF(ISNUMBER(K67),K67+P67,"n.a."))</x:f>
      </x:c>
      <x:c r="R67" s="27" t="str">
        <x:f>IF(C67="","",IF(AND(ISNUMBER(O67),ISNUMBER(Q67)),Q67-O67,"n.a."))</x:f>
      </x:c>
      <x:c r="S67" s="23" t="str">
        <x:f>IF(C67="","",IF(T67&lt;&gt;"","Sửa dữ liệu",IF(D67&gt;='Tong_hop'!$F$4,"Ngoài kỳ",IF(ABS(R67)&lt;='Tong_hop'!$I$4,"Khớp",IF(R67&gt;'Tong_hop'!$I$4,"QT vượt dự kiến",IF(L67&lt;'Tong_hop'!$F$4,"Quá hạn / thiếu QT",IF(Q67=0,"Chờ QT","Chờ QT một phần")))))))</x:f>
      </x:c>
      <x:c r="T67" s="23" t="str">
        <x:f>IF(COUNTA(A67:M67)=0,"",IF(OR(NOT(OR(A67="TikTok Shop",A67="Shopee",A67="Lazada")),B67="",C67="",NOT(ISNUMBER(D67)),COUNT(E67:K67)&lt;&gt;7,NOT(ISNUMBER(L67))),"Thiếu/sai dữ liệu",IF(NOT(COUNTIFS(T_SoDu[Khóa shop],A67&amp;"|"&amp;B67)=1),"Shop chưa khai báo",IF(COUNTIFS(T_Don[Khóa đơn],N67)&lt;&gt;1,"Trùng mã đơn",""))))</x:f>
      </x:c>
      <x:c r="U67" s="27" t="str">
        <x:f>IF(C67="","",IF(COUNT(E67:F67)=2,SUM(E67:F67),"n.a."))</x:f>
      </x:c>
    </x:row>
    <x:row r="68" ht="22" customHeight="1">
      <x:c r="A68" s="10"/>
      <x:c r="B68" s="10"/>
      <x:c r="C68" s="24"/>
      <x:c r="D68" s="25"/>
      <x:c r="E68" s="26"/>
      <x:c r="F68" s="26"/>
      <x:c r="G68" s="26"/>
      <x:c r="H68" s="26"/>
      <x:c r="I68" s="26"/>
      <x:c r="J68" s="26"/>
      <x:c r="K68" s="26"/>
      <x:c r="L68" s="25"/>
      <x:c r="M68" s="10"/>
      <x:c r="N68" s="23" t="str">
        <x:f>IF(C68="","",A68&amp;"|"&amp;B68&amp;"|"&amp;C68)</x:f>
      </x:c>
      <x:c r="O68" s="27" t="str">
        <x:f>IF(C68="","",IF(COUNT(E68:K68)=7,U68-SUM(G68:I68)+J68,"n.a."))</x:f>
      </x:c>
      <x:c r="P68" s="27" t="str">
        <x:f>IF(C68="","",SUMIFS(T_GD[Thực ghi số dư +/-],T_GD[Khóa đơn],N68,T_GD[Nhóm giao dịch],"Quyết toán",T_GD[Ngày giao dịch sàn],"&gt;="&amp;'Tong_hop'!$C$4,T_GD[Ngày giao dịch sàn],"&lt;"&amp;'Tong_hop'!$F$4))</x:f>
      </x:c>
      <x:c r="Q68" s="27" t="str">
        <x:f>IF(C68="","",IF(ISNUMBER(K68),K68+P68,"n.a."))</x:f>
      </x:c>
      <x:c r="R68" s="27" t="str">
        <x:f>IF(C68="","",IF(AND(ISNUMBER(O68),ISNUMBER(Q68)),Q68-O68,"n.a."))</x:f>
      </x:c>
      <x:c r="S68" s="23" t="str">
        <x:f>IF(C68="","",IF(T68&lt;&gt;"","Sửa dữ liệu",IF(D68&gt;='Tong_hop'!$F$4,"Ngoài kỳ",IF(ABS(R68)&lt;='Tong_hop'!$I$4,"Khớp",IF(R68&gt;'Tong_hop'!$I$4,"QT vượt dự kiến",IF(L68&lt;'Tong_hop'!$F$4,"Quá hạn / thiếu QT",IF(Q68=0,"Chờ QT","Chờ QT một phần")))))))</x:f>
      </x:c>
      <x:c r="T68" s="23" t="str">
        <x:f>IF(COUNTA(A68:M68)=0,"",IF(OR(NOT(OR(A68="TikTok Shop",A68="Shopee",A68="Lazada")),B68="",C68="",NOT(ISNUMBER(D68)),COUNT(E68:K68)&lt;&gt;7,NOT(ISNUMBER(L68))),"Thiếu/sai dữ liệu",IF(NOT(COUNTIFS(T_SoDu[Khóa shop],A68&amp;"|"&amp;B68)=1),"Shop chưa khai báo",IF(COUNTIFS(T_Don[Khóa đơn],N68)&lt;&gt;1,"Trùng mã đơn",""))))</x:f>
      </x:c>
      <x:c r="U68" s="27" t="str">
        <x:f>IF(C68="","",IF(COUNT(E68:F68)=2,SUM(E68:F68),"n.a."))</x:f>
      </x:c>
    </x:row>
    <x:row r="69" ht="22" customHeight="1">
      <x:c r="A69" s="10"/>
      <x:c r="B69" s="10"/>
      <x:c r="C69" s="24"/>
      <x:c r="D69" s="25"/>
      <x:c r="E69" s="26"/>
      <x:c r="F69" s="26"/>
      <x:c r="G69" s="26"/>
      <x:c r="H69" s="26"/>
      <x:c r="I69" s="26"/>
      <x:c r="J69" s="26"/>
      <x:c r="K69" s="26"/>
      <x:c r="L69" s="25"/>
      <x:c r="M69" s="10"/>
      <x:c r="N69" s="23" t="str">
        <x:f>IF(C69="","",A69&amp;"|"&amp;B69&amp;"|"&amp;C69)</x:f>
      </x:c>
      <x:c r="O69" s="27" t="str">
        <x:f>IF(C69="","",IF(COUNT(E69:K69)=7,U69-SUM(G69:I69)+J69,"n.a."))</x:f>
      </x:c>
      <x:c r="P69" s="27" t="str">
        <x:f>IF(C69="","",SUMIFS(T_GD[Thực ghi số dư +/-],T_GD[Khóa đơn],N69,T_GD[Nhóm giao dịch],"Quyết toán",T_GD[Ngày giao dịch sàn],"&gt;="&amp;'Tong_hop'!$C$4,T_GD[Ngày giao dịch sàn],"&lt;"&amp;'Tong_hop'!$F$4))</x:f>
      </x:c>
      <x:c r="Q69" s="27" t="str">
        <x:f>IF(C69="","",IF(ISNUMBER(K69),K69+P69,"n.a."))</x:f>
      </x:c>
      <x:c r="R69" s="27" t="str">
        <x:f>IF(C69="","",IF(AND(ISNUMBER(O69),ISNUMBER(Q69)),Q69-O69,"n.a."))</x:f>
      </x:c>
      <x:c r="S69" s="23" t="str">
        <x:f>IF(C69="","",IF(T69&lt;&gt;"","Sửa dữ liệu",IF(D69&gt;='Tong_hop'!$F$4,"Ngoài kỳ",IF(ABS(R69)&lt;='Tong_hop'!$I$4,"Khớp",IF(R69&gt;'Tong_hop'!$I$4,"QT vượt dự kiến",IF(L69&lt;'Tong_hop'!$F$4,"Quá hạn / thiếu QT",IF(Q69=0,"Chờ QT","Chờ QT một phần")))))))</x:f>
      </x:c>
      <x:c r="T69" s="23" t="str">
        <x:f>IF(COUNTA(A69:M69)=0,"",IF(OR(NOT(OR(A69="TikTok Shop",A69="Shopee",A69="Lazada")),B69="",C69="",NOT(ISNUMBER(D69)),COUNT(E69:K69)&lt;&gt;7,NOT(ISNUMBER(L69))),"Thiếu/sai dữ liệu",IF(NOT(COUNTIFS(T_SoDu[Khóa shop],A69&amp;"|"&amp;B69)=1),"Shop chưa khai báo",IF(COUNTIFS(T_Don[Khóa đơn],N69)&lt;&gt;1,"Trùng mã đơn",""))))</x:f>
      </x:c>
      <x:c r="U69" s="27" t="str">
        <x:f>IF(C69="","",IF(COUNT(E69:F69)=2,SUM(E69:F69),"n.a."))</x:f>
      </x:c>
    </x:row>
    <x:row r="70" ht="22" customHeight="1">
      <x:c r="A70" s="10"/>
      <x:c r="B70" s="10"/>
      <x:c r="C70" s="24"/>
      <x:c r="D70" s="25"/>
      <x:c r="E70" s="26"/>
      <x:c r="F70" s="26"/>
      <x:c r="G70" s="26"/>
      <x:c r="H70" s="26"/>
      <x:c r="I70" s="26"/>
      <x:c r="J70" s="26"/>
      <x:c r="K70" s="26"/>
      <x:c r="L70" s="25"/>
      <x:c r="M70" s="10"/>
      <x:c r="N70" s="23" t="str">
        <x:f>IF(C70="","",A70&amp;"|"&amp;B70&amp;"|"&amp;C70)</x:f>
      </x:c>
      <x:c r="O70" s="27" t="str">
        <x:f>IF(C70="","",IF(COUNT(E70:K70)=7,U70-SUM(G70:I70)+J70,"n.a."))</x:f>
      </x:c>
      <x:c r="P70" s="27" t="str">
        <x:f>IF(C70="","",SUMIFS(T_GD[Thực ghi số dư +/-],T_GD[Khóa đơn],N70,T_GD[Nhóm giao dịch],"Quyết toán",T_GD[Ngày giao dịch sàn],"&gt;="&amp;'Tong_hop'!$C$4,T_GD[Ngày giao dịch sàn],"&lt;"&amp;'Tong_hop'!$F$4))</x:f>
      </x:c>
      <x:c r="Q70" s="27" t="str">
        <x:f>IF(C70="","",IF(ISNUMBER(K70),K70+P70,"n.a."))</x:f>
      </x:c>
      <x:c r="R70" s="27" t="str">
        <x:f>IF(C70="","",IF(AND(ISNUMBER(O70),ISNUMBER(Q70)),Q70-O70,"n.a."))</x:f>
      </x:c>
      <x:c r="S70" s="23" t="str">
        <x:f>IF(C70="","",IF(T70&lt;&gt;"","Sửa dữ liệu",IF(D70&gt;='Tong_hop'!$F$4,"Ngoài kỳ",IF(ABS(R70)&lt;='Tong_hop'!$I$4,"Khớp",IF(R70&gt;'Tong_hop'!$I$4,"QT vượt dự kiến",IF(L70&lt;'Tong_hop'!$F$4,"Quá hạn / thiếu QT",IF(Q70=0,"Chờ QT","Chờ QT một phần")))))))</x:f>
      </x:c>
      <x:c r="T70" s="23" t="str">
        <x:f>IF(COUNTA(A70:M70)=0,"",IF(OR(NOT(OR(A70="TikTok Shop",A70="Shopee",A70="Lazada")),B70="",C70="",NOT(ISNUMBER(D70)),COUNT(E70:K70)&lt;&gt;7,NOT(ISNUMBER(L70))),"Thiếu/sai dữ liệu",IF(NOT(COUNTIFS(T_SoDu[Khóa shop],A70&amp;"|"&amp;B70)=1),"Shop chưa khai báo",IF(COUNTIFS(T_Don[Khóa đơn],N70)&lt;&gt;1,"Trùng mã đơn",""))))</x:f>
      </x:c>
      <x:c r="U70" s="27" t="str">
        <x:f>IF(C70="","",IF(COUNT(E70:F70)=2,SUM(E70:F70),"n.a."))</x:f>
      </x:c>
    </x:row>
    <x:row r="71" ht="22" customHeight="1">
      <x:c r="A71" s="10"/>
      <x:c r="B71" s="10"/>
      <x:c r="C71" s="24"/>
      <x:c r="D71" s="25"/>
      <x:c r="E71" s="26"/>
      <x:c r="F71" s="26"/>
      <x:c r="G71" s="26"/>
      <x:c r="H71" s="26"/>
      <x:c r="I71" s="26"/>
      <x:c r="J71" s="26"/>
      <x:c r="K71" s="26"/>
      <x:c r="L71" s="25"/>
      <x:c r="M71" s="10"/>
      <x:c r="N71" s="23" t="str">
        <x:f>IF(C71="","",A71&amp;"|"&amp;B71&amp;"|"&amp;C71)</x:f>
      </x:c>
      <x:c r="O71" s="27" t="str">
        <x:f>IF(C71="","",IF(COUNT(E71:K71)=7,U71-SUM(G71:I71)+J71,"n.a."))</x:f>
      </x:c>
      <x:c r="P71" s="27" t="str">
        <x:f>IF(C71="","",SUMIFS(T_GD[Thực ghi số dư +/-],T_GD[Khóa đơn],N71,T_GD[Nhóm giao dịch],"Quyết toán",T_GD[Ngày giao dịch sàn],"&gt;="&amp;'Tong_hop'!$C$4,T_GD[Ngày giao dịch sàn],"&lt;"&amp;'Tong_hop'!$F$4))</x:f>
      </x:c>
      <x:c r="Q71" s="27" t="str">
        <x:f>IF(C71="","",IF(ISNUMBER(K71),K71+P71,"n.a."))</x:f>
      </x:c>
      <x:c r="R71" s="27" t="str">
        <x:f>IF(C71="","",IF(AND(ISNUMBER(O71),ISNUMBER(Q71)),Q71-O71,"n.a."))</x:f>
      </x:c>
      <x:c r="S71" s="23" t="str">
        <x:f>IF(C71="","",IF(T71&lt;&gt;"","Sửa dữ liệu",IF(D71&gt;='Tong_hop'!$F$4,"Ngoài kỳ",IF(ABS(R71)&lt;='Tong_hop'!$I$4,"Khớp",IF(R71&gt;'Tong_hop'!$I$4,"QT vượt dự kiến",IF(L71&lt;'Tong_hop'!$F$4,"Quá hạn / thiếu QT",IF(Q71=0,"Chờ QT","Chờ QT một phần")))))))</x:f>
      </x:c>
      <x:c r="T71" s="23" t="str">
        <x:f>IF(COUNTA(A71:M71)=0,"",IF(OR(NOT(OR(A71="TikTok Shop",A71="Shopee",A71="Lazada")),B71="",C71="",NOT(ISNUMBER(D71)),COUNT(E71:K71)&lt;&gt;7,NOT(ISNUMBER(L71))),"Thiếu/sai dữ liệu",IF(NOT(COUNTIFS(T_SoDu[Khóa shop],A71&amp;"|"&amp;B71)=1),"Shop chưa khai báo",IF(COUNTIFS(T_Don[Khóa đơn],N71)&lt;&gt;1,"Trùng mã đơn",""))))</x:f>
      </x:c>
      <x:c r="U71" s="27" t="str">
        <x:f>IF(C71="","",IF(COUNT(E71:F71)=2,SUM(E71:F71),"n.a."))</x:f>
      </x:c>
    </x:row>
    <x:row r="72" ht="22" customHeight="1">
      <x:c r="A72" s="10"/>
      <x:c r="B72" s="10"/>
      <x:c r="C72" s="24"/>
      <x:c r="D72" s="25"/>
      <x:c r="E72" s="26"/>
      <x:c r="F72" s="26"/>
      <x:c r="G72" s="26"/>
      <x:c r="H72" s="26"/>
      <x:c r="I72" s="26"/>
      <x:c r="J72" s="26"/>
      <x:c r="K72" s="26"/>
      <x:c r="L72" s="25"/>
      <x:c r="M72" s="10"/>
      <x:c r="N72" s="23" t="str">
        <x:f>IF(C72="","",A72&amp;"|"&amp;B72&amp;"|"&amp;C72)</x:f>
      </x:c>
      <x:c r="O72" s="27" t="str">
        <x:f>IF(C72="","",IF(COUNT(E72:K72)=7,U72-SUM(G72:I72)+J72,"n.a."))</x:f>
      </x:c>
      <x:c r="P72" s="27" t="str">
        <x:f>IF(C72="","",SUMIFS(T_GD[Thực ghi số dư +/-],T_GD[Khóa đơn],N72,T_GD[Nhóm giao dịch],"Quyết toán",T_GD[Ngày giao dịch sàn],"&gt;="&amp;'Tong_hop'!$C$4,T_GD[Ngày giao dịch sàn],"&lt;"&amp;'Tong_hop'!$F$4))</x:f>
      </x:c>
      <x:c r="Q72" s="27" t="str">
        <x:f>IF(C72="","",IF(ISNUMBER(K72),K72+P72,"n.a."))</x:f>
      </x:c>
      <x:c r="R72" s="27" t="str">
        <x:f>IF(C72="","",IF(AND(ISNUMBER(O72),ISNUMBER(Q72)),Q72-O72,"n.a."))</x:f>
      </x:c>
      <x:c r="S72" s="23" t="str">
        <x:f>IF(C72="","",IF(T72&lt;&gt;"","Sửa dữ liệu",IF(D72&gt;='Tong_hop'!$F$4,"Ngoài kỳ",IF(ABS(R72)&lt;='Tong_hop'!$I$4,"Khớp",IF(R72&gt;'Tong_hop'!$I$4,"QT vượt dự kiến",IF(L72&lt;'Tong_hop'!$F$4,"Quá hạn / thiếu QT",IF(Q72=0,"Chờ QT","Chờ QT một phần")))))))</x:f>
      </x:c>
      <x:c r="T72" s="23" t="str">
        <x:f>IF(COUNTA(A72:M72)=0,"",IF(OR(NOT(OR(A72="TikTok Shop",A72="Shopee",A72="Lazada")),B72="",C72="",NOT(ISNUMBER(D72)),COUNT(E72:K72)&lt;&gt;7,NOT(ISNUMBER(L72))),"Thiếu/sai dữ liệu",IF(NOT(COUNTIFS(T_SoDu[Khóa shop],A72&amp;"|"&amp;B72)=1),"Shop chưa khai báo",IF(COUNTIFS(T_Don[Khóa đơn],N72)&lt;&gt;1,"Trùng mã đơn",""))))</x:f>
      </x:c>
      <x:c r="U72" s="27" t="str">
        <x:f>IF(C72="","",IF(COUNT(E72:F72)=2,SUM(E72:F72),"n.a."))</x:f>
      </x:c>
    </x:row>
    <x:row r="73" ht="22" customHeight="1">
      <x:c r="A73" s="10"/>
      <x:c r="B73" s="10"/>
      <x:c r="C73" s="24"/>
      <x:c r="D73" s="25"/>
      <x:c r="E73" s="26"/>
      <x:c r="F73" s="26"/>
      <x:c r="G73" s="26"/>
      <x:c r="H73" s="26"/>
      <x:c r="I73" s="26"/>
      <x:c r="J73" s="26"/>
      <x:c r="K73" s="26"/>
      <x:c r="L73" s="25"/>
      <x:c r="M73" s="10"/>
      <x:c r="N73" s="23" t="str">
        <x:f>IF(C73="","",A73&amp;"|"&amp;B73&amp;"|"&amp;C73)</x:f>
      </x:c>
      <x:c r="O73" s="27" t="str">
        <x:f>IF(C73="","",IF(COUNT(E73:K73)=7,U73-SUM(G73:I73)+J73,"n.a."))</x:f>
      </x:c>
      <x:c r="P73" s="27" t="str">
        <x:f>IF(C73="","",SUMIFS(T_GD[Thực ghi số dư +/-],T_GD[Khóa đơn],N73,T_GD[Nhóm giao dịch],"Quyết toán",T_GD[Ngày giao dịch sàn],"&gt;="&amp;'Tong_hop'!$C$4,T_GD[Ngày giao dịch sàn],"&lt;"&amp;'Tong_hop'!$F$4))</x:f>
      </x:c>
      <x:c r="Q73" s="27" t="str">
        <x:f>IF(C73="","",IF(ISNUMBER(K73),K73+P73,"n.a."))</x:f>
      </x:c>
      <x:c r="R73" s="27" t="str">
        <x:f>IF(C73="","",IF(AND(ISNUMBER(O73),ISNUMBER(Q73)),Q73-O73,"n.a."))</x:f>
      </x:c>
      <x:c r="S73" s="23" t="str">
        <x:f>IF(C73="","",IF(T73&lt;&gt;"","Sửa dữ liệu",IF(D73&gt;='Tong_hop'!$F$4,"Ngoài kỳ",IF(ABS(R73)&lt;='Tong_hop'!$I$4,"Khớp",IF(R73&gt;'Tong_hop'!$I$4,"QT vượt dự kiến",IF(L73&lt;'Tong_hop'!$F$4,"Quá hạn / thiếu QT",IF(Q73=0,"Chờ QT","Chờ QT một phần")))))))</x:f>
      </x:c>
      <x:c r="T73" s="23" t="str">
        <x:f>IF(COUNTA(A73:M73)=0,"",IF(OR(NOT(OR(A73="TikTok Shop",A73="Shopee",A73="Lazada")),B73="",C73="",NOT(ISNUMBER(D73)),COUNT(E73:K73)&lt;&gt;7,NOT(ISNUMBER(L73))),"Thiếu/sai dữ liệu",IF(NOT(COUNTIFS(T_SoDu[Khóa shop],A73&amp;"|"&amp;B73)=1),"Shop chưa khai báo",IF(COUNTIFS(T_Don[Khóa đơn],N73)&lt;&gt;1,"Trùng mã đơn",""))))</x:f>
      </x:c>
      <x:c r="U73" s="27" t="str">
        <x:f>IF(C73="","",IF(COUNT(E73:F73)=2,SUM(E73:F73),"n.a."))</x:f>
      </x:c>
    </x:row>
    <x:row r="74" ht="22" customHeight="1">
      <x:c r="A74" s="10"/>
      <x:c r="B74" s="10"/>
      <x:c r="C74" s="24"/>
      <x:c r="D74" s="25"/>
      <x:c r="E74" s="26"/>
      <x:c r="F74" s="26"/>
      <x:c r="G74" s="26"/>
      <x:c r="H74" s="26"/>
      <x:c r="I74" s="26"/>
      <x:c r="J74" s="26"/>
      <x:c r="K74" s="26"/>
      <x:c r="L74" s="25"/>
      <x:c r="M74" s="10"/>
      <x:c r="N74" s="23" t="str">
        <x:f>IF(C74="","",A74&amp;"|"&amp;B74&amp;"|"&amp;C74)</x:f>
      </x:c>
      <x:c r="O74" s="27" t="str">
        <x:f>IF(C74="","",IF(COUNT(E74:K74)=7,U74-SUM(G74:I74)+J74,"n.a."))</x:f>
      </x:c>
      <x:c r="P74" s="27" t="str">
        <x:f>IF(C74="","",SUMIFS(T_GD[Thực ghi số dư +/-],T_GD[Khóa đơn],N74,T_GD[Nhóm giao dịch],"Quyết toán",T_GD[Ngày giao dịch sàn],"&gt;="&amp;'Tong_hop'!$C$4,T_GD[Ngày giao dịch sàn],"&lt;"&amp;'Tong_hop'!$F$4))</x:f>
      </x:c>
      <x:c r="Q74" s="27" t="str">
        <x:f>IF(C74="","",IF(ISNUMBER(K74),K74+P74,"n.a."))</x:f>
      </x:c>
      <x:c r="R74" s="27" t="str">
        <x:f>IF(C74="","",IF(AND(ISNUMBER(O74),ISNUMBER(Q74)),Q74-O74,"n.a."))</x:f>
      </x:c>
      <x:c r="S74" s="23" t="str">
        <x:f>IF(C74="","",IF(T74&lt;&gt;"","Sửa dữ liệu",IF(D74&gt;='Tong_hop'!$F$4,"Ngoài kỳ",IF(ABS(R74)&lt;='Tong_hop'!$I$4,"Khớp",IF(R74&gt;'Tong_hop'!$I$4,"QT vượt dự kiến",IF(L74&lt;'Tong_hop'!$F$4,"Quá hạn / thiếu QT",IF(Q74=0,"Chờ QT","Chờ QT một phần")))))))</x:f>
      </x:c>
      <x:c r="T74" s="23" t="str">
        <x:f>IF(COUNTA(A74:M74)=0,"",IF(OR(NOT(OR(A74="TikTok Shop",A74="Shopee",A74="Lazada")),B74="",C74="",NOT(ISNUMBER(D74)),COUNT(E74:K74)&lt;&gt;7,NOT(ISNUMBER(L74))),"Thiếu/sai dữ liệu",IF(NOT(COUNTIFS(T_SoDu[Khóa shop],A74&amp;"|"&amp;B74)=1),"Shop chưa khai báo",IF(COUNTIFS(T_Don[Khóa đơn],N74)&lt;&gt;1,"Trùng mã đơn",""))))</x:f>
      </x:c>
      <x:c r="U74" s="27" t="str">
        <x:f>IF(C74="","",IF(COUNT(E74:F74)=2,SUM(E74:F74),"n.a."))</x:f>
      </x:c>
    </x:row>
    <x:row r="75" ht="22" customHeight="1">
      <x:c r="A75" s="10"/>
      <x:c r="B75" s="10"/>
      <x:c r="C75" s="24"/>
      <x:c r="D75" s="25"/>
      <x:c r="E75" s="26"/>
      <x:c r="F75" s="26"/>
      <x:c r="G75" s="26"/>
      <x:c r="H75" s="26"/>
      <x:c r="I75" s="26"/>
      <x:c r="J75" s="26"/>
      <x:c r="K75" s="26"/>
      <x:c r="L75" s="25"/>
      <x:c r="M75" s="10"/>
      <x:c r="N75" s="23" t="str">
        <x:f>IF(C75="","",A75&amp;"|"&amp;B75&amp;"|"&amp;C75)</x:f>
      </x:c>
      <x:c r="O75" s="27" t="str">
        <x:f>IF(C75="","",IF(COUNT(E75:K75)=7,U75-SUM(G75:I75)+J75,"n.a."))</x:f>
      </x:c>
      <x:c r="P75" s="27" t="str">
        <x:f>IF(C75="","",SUMIFS(T_GD[Thực ghi số dư +/-],T_GD[Khóa đơn],N75,T_GD[Nhóm giao dịch],"Quyết toán",T_GD[Ngày giao dịch sàn],"&gt;="&amp;'Tong_hop'!$C$4,T_GD[Ngày giao dịch sàn],"&lt;"&amp;'Tong_hop'!$F$4))</x:f>
      </x:c>
      <x:c r="Q75" s="27" t="str">
        <x:f>IF(C75="","",IF(ISNUMBER(K75),K75+P75,"n.a."))</x:f>
      </x:c>
      <x:c r="R75" s="27" t="str">
        <x:f>IF(C75="","",IF(AND(ISNUMBER(O75),ISNUMBER(Q75)),Q75-O75,"n.a."))</x:f>
      </x:c>
      <x:c r="S75" s="23" t="str">
        <x:f>IF(C75="","",IF(T75&lt;&gt;"","Sửa dữ liệu",IF(D75&gt;='Tong_hop'!$F$4,"Ngoài kỳ",IF(ABS(R75)&lt;='Tong_hop'!$I$4,"Khớp",IF(R75&gt;'Tong_hop'!$I$4,"QT vượt dự kiến",IF(L75&lt;'Tong_hop'!$F$4,"Quá hạn / thiếu QT",IF(Q75=0,"Chờ QT","Chờ QT một phần")))))))</x:f>
      </x:c>
      <x:c r="T75" s="23" t="str">
        <x:f>IF(COUNTA(A75:M75)=0,"",IF(OR(NOT(OR(A75="TikTok Shop",A75="Shopee",A75="Lazada")),B75="",C75="",NOT(ISNUMBER(D75)),COUNT(E75:K75)&lt;&gt;7,NOT(ISNUMBER(L75))),"Thiếu/sai dữ liệu",IF(NOT(COUNTIFS(T_SoDu[Khóa shop],A75&amp;"|"&amp;B75)=1),"Shop chưa khai báo",IF(COUNTIFS(T_Don[Khóa đơn],N75)&lt;&gt;1,"Trùng mã đơn",""))))</x:f>
      </x:c>
      <x:c r="U75" s="27" t="str">
        <x:f>IF(C75="","",IF(COUNT(E75:F75)=2,SUM(E75:F75),"n.a."))</x:f>
      </x:c>
    </x:row>
    <x:row r="76" ht="22" customHeight="1">
      <x:c r="A76" s="10"/>
      <x:c r="B76" s="10"/>
      <x:c r="C76" s="24"/>
      <x:c r="D76" s="25"/>
      <x:c r="E76" s="26"/>
      <x:c r="F76" s="26"/>
      <x:c r="G76" s="26"/>
      <x:c r="H76" s="26"/>
      <x:c r="I76" s="26"/>
      <x:c r="J76" s="26"/>
      <x:c r="K76" s="26"/>
      <x:c r="L76" s="25"/>
      <x:c r="M76" s="10"/>
      <x:c r="N76" s="23" t="str">
        <x:f>IF(C76="","",A76&amp;"|"&amp;B76&amp;"|"&amp;C76)</x:f>
      </x:c>
      <x:c r="O76" s="27" t="str">
        <x:f>IF(C76="","",IF(COUNT(E76:K76)=7,U76-SUM(G76:I76)+J76,"n.a."))</x:f>
      </x:c>
      <x:c r="P76" s="27" t="str">
        <x:f>IF(C76="","",SUMIFS(T_GD[Thực ghi số dư +/-],T_GD[Khóa đơn],N76,T_GD[Nhóm giao dịch],"Quyết toán",T_GD[Ngày giao dịch sàn],"&gt;="&amp;'Tong_hop'!$C$4,T_GD[Ngày giao dịch sàn],"&lt;"&amp;'Tong_hop'!$F$4))</x:f>
      </x:c>
      <x:c r="Q76" s="27" t="str">
        <x:f>IF(C76="","",IF(ISNUMBER(K76),K76+P76,"n.a."))</x:f>
      </x:c>
      <x:c r="R76" s="27" t="str">
        <x:f>IF(C76="","",IF(AND(ISNUMBER(O76),ISNUMBER(Q76)),Q76-O76,"n.a."))</x:f>
      </x:c>
      <x:c r="S76" s="23" t="str">
        <x:f>IF(C76="","",IF(T76&lt;&gt;"","Sửa dữ liệu",IF(D76&gt;='Tong_hop'!$F$4,"Ngoài kỳ",IF(ABS(R76)&lt;='Tong_hop'!$I$4,"Khớp",IF(R76&gt;'Tong_hop'!$I$4,"QT vượt dự kiến",IF(L76&lt;'Tong_hop'!$F$4,"Quá hạn / thiếu QT",IF(Q76=0,"Chờ QT","Chờ QT một phần")))))))</x:f>
      </x:c>
      <x:c r="T76" s="23" t="str">
        <x:f>IF(COUNTA(A76:M76)=0,"",IF(OR(NOT(OR(A76="TikTok Shop",A76="Shopee",A76="Lazada")),B76="",C76="",NOT(ISNUMBER(D76)),COUNT(E76:K76)&lt;&gt;7,NOT(ISNUMBER(L76))),"Thiếu/sai dữ liệu",IF(NOT(COUNTIFS(T_SoDu[Khóa shop],A76&amp;"|"&amp;B76)=1),"Shop chưa khai báo",IF(COUNTIFS(T_Don[Khóa đơn],N76)&lt;&gt;1,"Trùng mã đơn",""))))</x:f>
      </x:c>
      <x:c r="U76" s="27" t="str">
        <x:f>IF(C76="","",IF(COUNT(E76:F76)=2,SUM(E76:F76),"n.a."))</x:f>
      </x:c>
    </x:row>
    <x:row r="77" ht="22" customHeight="1">
      <x:c r="A77" s="10"/>
      <x:c r="B77" s="10"/>
      <x:c r="C77" s="24"/>
      <x:c r="D77" s="25"/>
      <x:c r="E77" s="26"/>
      <x:c r="F77" s="26"/>
      <x:c r="G77" s="26"/>
      <x:c r="H77" s="26"/>
      <x:c r="I77" s="26"/>
      <x:c r="J77" s="26"/>
      <x:c r="K77" s="26"/>
      <x:c r="L77" s="25"/>
      <x:c r="M77" s="10"/>
      <x:c r="N77" s="23" t="str">
        <x:f>IF(C77="","",A77&amp;"|"&amp;B77&amp;"|"&amp;C77)</x:f>
      </x:c>
      <x:c r="O77" s="27" t="str">
        <x:f>IF(C77="","",IF(COUNT(E77:K77)=7,U77-SUM(G77:I77)+J77,"n.a."))</x:f>
      </x:c>
      <x:c r="P77" s="27" t="str">
        <x:f>IF(C77="","",SUMIFS(T_GD[Thực ghi số dư +/-],T_GD[Khóa đơn],N77,T_GD[Nhóm giao dịch],"Quyết toán",T_GD[Ngày giao dịch sàn],"&gt;="&amp;'Tong_hop'!$C$4,T_GD[Ngày giao dịch sàn],"&lt;"&amp;'Tong_hop'!$F$4))</x:f>
      </x:c>
      <x:c r="Q77" s="27" t="str">
        <x:f>IF(C77="","",IF(ISNUMBER(K77),K77+P77,"n.a."))</x:f>
      </x:c>
      <x:c r="R77" s="27" t="str">
        <x:f>IF(C77="","",IF(AND(ISNUMBER(O77),ISNUMBER(Q77)),Q77-O77,"n.a."))</x:f>
      </x:c>
      <x:c r="S77" s="23" t="str">
        <x:f>IF(C77="","",IF(T77&lt;&gt;"","Sửa dữ liệu",IF(D77&gt;='Tong_hop'!$F$4,"Ngoài kỳ",IF(ABS(R77)&lt;='Tong_hop'!$I$4,"Khớp",IF(R77&gt;'Tong_hop'!$I$4,"QT vượt dự kiến",IF(L77&lt;'Tong_hop'!$F$4,"Quá hạn / thiếu QT",IF(Q77=0,"Chờ QT","Chờ QT một phần")))))))</x:f>
      </x:c>
      <x:c r="T77" s="23" t="str">
        <x:f>IF(COUNTA(A77:M77)=0,"",IF(OR(NOT(OR(A77="TikTok Shop",A77="Shopee",A77="Lazada")),B77="",C77="",NOT(ISNUMBER(D77)),COUNT(E77:K77)&lt;&gt;7,NOT(ISNUMBER(L77))),"Thiếu/sai dữ liệu",IF(NOT(COUNTIFS(T_SoDu[Khóa shop],A77&amp;"|"&amp;B77)=1),"Shop chưa khai báo",IF(COUNTIFS(T_Don[Khóa đơn],N77)&lt;&gt;1,"Trùng mã đơn",""))))</x:f>
      </x:c>
      <x:c r="U77" s="27" t="str">
        <x:f>IF(C77="","",IF(COUNT(E77:F77)=2,SUM(E77:F77),"n.a."))</x:f>
      </x:c>
    </x:row>
    <x:row r="78" ht="22" customHeight="1">
      <x:c r="A78" s="10"/>
      <x:c r="B78" s="10"/>
      <x:c r="C78" s="24"/>
      <x:c r="D78" s="25"/>
      <x:c r="E78" s="26"/>
      <x:c r="F78" s="26"/>
      <x:c r="G78" s="26"/>
      <x:c r="H78" s="26"/>
      <x:c r="I78" s="26"/>
      <x:c r="J78" s="26"/>
      <x:c r="K78" s="26"/>
      <x:c r="L78" s="25"/>
      <x:c r="M78" s="10"/>
      <x:c r="N78" s="23" t="str">
        <x:f>IF(C78="","",A78&amp;"|"&amp;B78&amp;"|"&amp;C78)</x:f>
      </x:c>
      <x:c r="O78" s="27" t="str">
        <x:f>IF(C78="","",IF(COUNT(E78:K78)=7,U78-SUM(G78:I78)+J78,"n.a."))</x:f>
      </x:c>
      <x:c r="P78" s="27" t="str">
        <x:f>IF(C78="","",SUMIFS(T_GD[Thực ghi số dư +/-],T_GD[Khóa đơn],N78,T_GD[Nhóm giao dịch],"Quyết toán",T_GD[Ngày giao dịch sàn],"&gt;="&amp;'Tong_hop'!$C$4,T_GD[Ngày giao dịch sàn],"&lt;"&amp;'Tong_hop'!$F$4))</x:f>
      </x:c>
      <x:c r="Q78" s="27" t="str">
        <x:f>IF(C78="","",IF(ISNUMBER(K78),K78+P78,"n.a."))</x:f>
      </x:c>
      <x:c r="R78" s="27" t="str">
        <x:f>IF(C78="","",IF(AND(ISNUMBER(O78),ISNUMBER(Q78)),Q78-O78,"n.a."))</x:f>
      </x:c>
      <x:c r="S78" s="23" t="str">
        <x:f>IF(C78="","",IF(T78&lt;&gt;"","Sửa dữ liệu",IF(D78&gt;='Tong_hop'!$F$4,"Ngoài kỳ",IF(ABS(R78)&lt;='Tong_hop'!$I$4,"Khớp",IF(R78&gt;'Tong_hop'!$I$4,"QT vượt dự kiến",IF(L78&lt;'Tong_hop'!$F$4,"Quá hạn / thiếu QT",IF(Q78=0,"Chờ QT","Chờ QT một phần")))))))</x:f>
      </x:c>
      <x:c r="T78" s="23" t="str">
        <x:f>IF(COUNTA(A78:M78)=0,"",IF(OR(NOT(OR(A78="TikTok Shop",A78="Shopee",A78="Lazada")),B78="",C78="",NOT(ISNUMBER(D78)),COUNT(E78:K78)&lt;&gt;7,NOT(ISNUMBER(L78))),"Thiếu/sai dữ liệu",IF(NOT(COUNTIFS(T_SoDu[Khóa shop],A78&amp;"|"&amp;B78)=1),"Shop chưa khai báo",IF(COUNTIFS(T_Don[Khóa đơn],N78)&lt;&gt;1,"Trùng mã đơn",""))))</x:f>
      </x:c>
      <x:c r="U78" s="27" t="str">
        <x:f>IF(C78="","",IF(COUNT(E78:F78)=2,SUM(E78:F78),"n.a."))</x:f>
      </x:c>
    </x:row>
    <x:row r="79" ht="22" customHeight="1">
      <x:c r="A79" s="10"/>
      <x:c r="B79" s="10"/>
      <x:c r="C79" s="24"/>
      <x:c r="D79" s="25"/>
      <x:c r="E79" s="26"/>
      <x:c r="F79" s="26"/>
      <x:c r="G79" s="26"/>
      <x:c r="H79" s="26"/>
      <x:c r="I79" s="26"/>
      <x:c r="J79" s="26"/>
      <x:c r="K79" s="26"/>
      <x:c r="L79" s="25"/>
      <x:c r="M79" s="10"/>
      <x:c r="N79" s="23" t="str">
        <x:f>IF(C79="","",A79&amp;"|"&amp;B79&amp;"|"&amp;C79)</x:f>
      </x:c>
      <x:c r="O79" s="27" t="str">
        <x:f>IF(C79="","",IF(COUNT(E79:K79)=7,U79-SUM(G79:I79)+J79,"n.a."))</x:f>
      </x:c>
      <x:c r="P79" s="27" t="str">
        <x:f>IF(C79="","",SUMIFS(T_GD[Thực ghi số dư +/-],T_GD[Khóa đơn],N79,T_GD[Nhóm giao dịch],"Quyết toán",T_GD[Ngày giao dịch sàn],"&gt;="&amp;'Tong_hop'!$C$4,T_GD[Ngày giao dịch sàn],"&lt;"&amp;'Tong_hop'!$F$4))</x:f>
      </x:c>
      <x:c r="Q79" s="27" t="str">
        <x:f>IF(C79="","",IF(ISNUMBER(K79),K79+P79,"n.a."))</x:f>
      </x:c>
      <x:c r="R79" s="27" t="str">
        <x:f>IF(C79="","",IF(AND(ISNUMBER(O79),ISNUMBER(Q79)),Q79-O79,"n.a."))</x:f>
      </x:c>
      <x:c r="S79" s="23" t="str">
        <x:f>IF(C79="","",IF(T79&lt;&gt;"","Sửa dữ liệu",IF(D79&gt;='Tong_hop'!$F$4,"Ngoài kỳ",IF(ABS(R79)&lt;='Tong_hop'!$I$4,"Khớp",IF(R79&gt;'Tong_hop'!$I$4,"QT vượt dự kiến",IF(L79&lt;'Tong_hop'!$F$4,"Quá hạn / thiếu QT",IF(Q79=0,"Chờ QT","Chờ QT một phần")))))))</x:f>
      </x:c>
      <x:c r="T79" s="23" t="str">
        <x:f>IF(COUNTA(A79:M79)=0,"",IF(OR(NOT(OR(A79="TikTok Shop",A79="Shopee",A79="Lazada")),B79="",C79="",NOT(ISNUMBER(D79)),COUNT(E79:K79)&lt;&gt;7,NOT(ISNUMBER(L79))),"Thiếu/sai dữ liệu",IF(NOT(COUNTIFS(T_SoDu[Khóa shop],A79&amp;"|"&amp;B79)=1),"Shop chưa khai báo",IF(COUNTIFS(T_Don[Khóa đơn],N79)&lt;&gt;1,"Trùng mã đơn",""))))</x:f>
      </x:c>
      <x:c r="U79" s="27" t="str">
        <x:f>IF(C79="","",IF(COUNT(E79:F79)=2,SUM(E79:F79),"n.a."))</x:f>
      </x:c>
    </x:row>
    <x:row r="80" ht="22" customHeight="1">
      <x:c r="A80" s="10"/>
      <x:c r="B80" s="10"/>
      <x:c r="C80" s="24"/>
      <x:c r="D80" s="25"/>
      <x:c r="E80" s="26"/>
      <x:c r="F80" s="26"/>
      <x:c r="G80" s="26"/>
      <x:c r="H80" s="26"/>
      <x:c r="I80" s="26"/>
      <x:c r="J80" s="26"/>
      <x:c r="K80" s="26"/>
      <x:c r="L80" s="25"/>
      <x:c r="M80" s="10"/>
      <x:c r="N80" s="23" t="str">
        <x:f>IF(C80="","",A80&amp;"|"&amp;B80&amp;"|"&amp;C80)</x:f>
      </x:c>
      <x:c r="O80" s="27" t="str">
        <x:f>IF(C80="","",IF(COUNT(E80:K80)=7,U80-SUM(G80:I80)+J80,"n.a."))</x:f>
      </x:c>
      <x:c r="P80" s="27" t="str">
        <x:f>IF(C80="","",SUMIFS(T_GD[Thực ghi số dư +/-],T_GD[Khóa đơn],N80,T_GD[Nhóm giao dịch],"Quyết toán",T_GD[Ngày giao dịch sàn],"&gt;="&amp;'Tong_hop'!$C$4,T_GD[Ngày giao dịch sàn],"&lt;"&amp;'Tong_hop'!$F$4))</x:f>
      </x:c>
      <x:c r="Q80" s="27" t="str">
        <x:f>IF(C80="","",IF(ISNUMBER(K80),K80+P80,"n.a."))</x:f>
      </x:c>
      <x:c r="R80" s="27" t="str">
        <x:f>IF(C80="","",IF(AND(ISNUMBER(O80),ISNUMBER(Q80)),Q80-O80,"n.a."))</x:f>
      </x:c>
      <x:c r="S80" s="23" t="str">
        <x:f>IF(C80="","",IF(T80&lt;&gt;"","Sửa dữ liệu",IF(D80&gt;='Tong_hop'!$F$4,"Ngoài kỳ",IF(ABS(R80)&lt;='Tong_hop'!$I$4,"Khớp",IF(R80&gt;'Tong_hop'!$I$4,"QT vượt dự kiến",IF(L80&lt;'Tong_hop'!$F$4,"Quá hạn / thiếu QT",IF(Q80=0,"Chờ QT","Chờ QT một phần")))))))</x:f>
      </x:c>
      <x:c r="T80" s="23" t="str">
        <x:f>IF(COUNTA(A80:M80)=0,"",IF(OR(NOT(OR(A80="TikTok Shop",A80="Shopee",A80="Lazada")),B80="",C80="",NOT(ISNUMBER(D80)),COUNT(E80:K80)&lt;&gt;7,NOT(ISNUMBER(L80))),"Thiếu/sai dữ liệu",IF(NOT(COUNTIFS(T_SoDu[Khóa shop],A80&amp;"|"&amp;B80)=1),"Shop chưa khai báo",IF(COUNTIFS(T_Don[Khóa đơn],N80)&lt;&gt;1,"Trùng mã đơn",""))))</x:f>
      </x:c>
      <x:c r="U80" s="27" t="str">
        <x:f>IF(C80="","",IF(COUNT(E80:F80)=2,SUM(E80:F80),"n.a."))</x:f>
      </x:c>
    </x:row>
    <x:row r="81" ht="22" customHeight="1">
      <x:c r="A81" s="10"/>
      <x:c r="B81" s="10"/>
      <x:c r="C81" s="24"/>
      <x:c r="D81" s="25"/>
      <x:c r="E81" s="26"/>
      <x:c r="F81" s="26"/>
      <x:c r="G81" s="26"/>
      <x:c r="H81" s="26"/>
      <x:c r="I81" s="26"/>
      <x:c r="J81" s="26"/>
      <x:c r="K81" s="26"/>
      <x:c r="L81" s="25"/>
      <x:c r="M81" s="10"/>
      <x:c r="N81" s="23" t="str">
        <x:f>IF(C81="","",A81&amp;"|"&amp;B81&amp;"|"&amp;C81)</x:f>
      </x:c>
      <x:c r="O81" s="27" t="str">
        <x:f>IF(C81="","",IF(COUNT(E81:K81)=7,U81-SUM(G81:I81)+J81,"n.a."))</x:f>
      </x:c>
      <x:c r="P81" s="27" t="str">
        <x:f>IF(C81="","",SUMIFS(T_GD[Thực ghi số dư +/-],T_GD[Khóa đơn],N81,T_GD[Nhóm giao dịch],"Quyết toán",T_GD[Ngày giao dịch sàn],"&gt;="&amp;'Tong_hop'!$C$4,T_GD[Ngày giao dịch sàn],"&lt;"&amp;'Tong_hop'!$F$4))</x:f>
      </x:c>
      <x:c r="Q81" s="27" t="str">
        <x:f>IF(C81="","",IF(ISNUMBER(K81),K81+P81,"n.a."))</x:f>
      </x:c>
      <x:c r="R81" s="27" t="str">
        <x:f>IF(C81="","",IF(AND(ISNUMBER(O81),ISNUMBER(Q81)),Q81-O81,"n.a."))</x:f>
      </x:c>
      <x:c r="S81" s="23" t="str">
        <x:f>IF(C81="","",IF(T81&lt;&gt;"","Sửa dữ liệu",IF(D81&gt;='Tong_hop'!$F$4,"Ngoài kỳ",IF(ABS(R81)&lt;='Tong_hop'!$I$4,"Khớp",IF(R81&gt;'Tong_hop'!$I$4,"QT vượt dự kiến",IF(L81&lt;'Tong_hop'!$F$4,"Quá hạn / thiếu QT",IF(Q81=0,"Chờ QT","Chờ QT một phần")))))))</x:f>
      </x:c>
      <x:c r="T81" s="23" t="str">
        <x:f>IF(COUNTA(A81:M81)=0,"",IF(OR(NOT(OR(A81="TikTok Shop",A81="Shopee",A81="Lazada")),B81="",C81="",NOT(ISNUMBER(D81)),COUNT(E81:K81)&lt;&gt;7,NOT(ISNUMBER(L81))),"Thiếu/sai dữ liệu",IF(NOT(COUNTIFS(T_SoDu[Khóa shop],A81&amp;"|"&amp;B81)=1),"Shop chưa khai báo",IF(COUNTIFS(T_Don[Khóa đơn],N81)&lt;&gt;1,"Trùng mã đơn",""))))</x:f>
      </x:c>
      <x:c r="U81" s="27" t="str">
        <x:f>IF(C81="","",IF(COUNT(E81:F81)=2,SUM(E81:F81),"n.a."))</x:f>
      </x:c>
    </x:row>
    <x:row r="82" ht="22" customHeight="1">
      <x:c r="A82" s="10"/>
      <x:c r="B82" s="10"/>
      <x:c r="C82" s="24"/>
      <x:c r="D82" s="25"/>
      <x:c r="E82" s="26"/>
      <x:c r="F82" s="26"/>
      <x:c r="G82" s="26"/>
      <x:c r="H82" s="26"/>
      <x:c r="I82" s="26"/>
      <x:c r="J82" s="26"/>
      <x:c r="K82" s="26"/>
      <x:c r="L82" s="25"/>
      <x:c r="M82" s="10"/>
      <x:c r="N82" s="23" t="str">
        <x:f>IF(C82="","",A82&amp;"|"&amp;B82&amp;"|"&amp;C82)</x:f>
      </x:c>
      <x:c r="O82" s="27" t="str">
        <x:f>IF(C82="","",IF(COUNT(E82:K82)=7,U82-SUM(G82:I82)+J82,"n.a."))</x:f>
      </x:c>
      <x:c r="P82" s="27" t="str">
        <x:f>IF(C82="","",SUMIFS(T_GD[Thực ghi số dư +/-],T_GD[Khóa đơn],N82,T_GD[Nhóm giao dịch],"Quyết toán",T_GD[Ngày giao dịch sàn],"&gt;="&amp;'Tong_hop'!$C$4,T_GD[Ngày giao dịch sàn],"&lt;"&amp;'Tong_hop'!$F$4))</x:f>
      </x:c>
      <x:c r="Q82" s="27" t="str">
        <x:f>IF(C82="","",IF(ISNUMBER(K82),K82+P82,"n.a."))</x:f>
      </x:c>
      <x:c r="R82" s="27" t="str">
        <x:f>IF(C82="","",IF(AND(ISNUMBER(O82),ISNUMBER(Q82)),Q82-O82,"n.a."))</x:f>
      </x:c>
      <x:c r="S82" s="23" t="str">
        <x:f>IF(C82="","",IF(T82&lt;&gt;"","Sửa dữ liệu",IF(D82&gt;='Tong_hop'!$F$4,"Ngoài kỳ",IF(ABS(R82)&lt;='Tong_hop'!$I$4,"Khớp",IF(R82&gt;'Tong_hop'!$I$4,"QT vượt dự kiến",IF(L82&lt;'Tong_hop'!$F$4,"Quá hạn / thiếu QT",IF(Q82=0,"Chờ QT","Chờ QT một phần")))))))</x:f>
      </x:c>
      <x:c r="T82" s="23" t="str">
        <x:f>IF(COUNTA(A82:M82)=0,"",IF(OR(NOT(OR(A82="TikTok Shop",A82="Shopee",A82="Lazada")),B82="",C82="",NOT(ISNUMBER(D82)),COUNT(E82:K82)&lt;&gt;7,NOT(ISNUMBER(L82))),"Thiếu/sai dữ liệu",IF(NOT(COUNTIFS(T_SoDu[Khóa shop],A82&amp;"|"&amp;B82)=1),"Shop chưa khai báo",IF(COUNTIFS(T_Don[Khóa đơn],N82)&lt;&gt;1,"Trùng mã đơn",""))))</x:f>
      </x:c>
      <x:c r="U82" s="27" t="str">
        <x:f>IF(C82="","",IF(COUNT(E82:F82)=2,SUM(E82:F82),"n.a."))</x:f>
      </x:c>
    </x:row>
    <x:row r="83" ht="22" customHeight="1">
      <x:c r="A83" s="10"/>
      <x:c r="B83" s="10"/>
      <x:c r="C83" s="24"/>
      <x:c r="D83" s="25"/>
      <x:c r="E83" s="26"/>
      <x:c r="F83" s="26"/>
      <x:c r="G83" s="26"/>
      <x:c r="H83" s="26"/>
      <x:c r="I83" s="26"/>
      <x:c r="J83" s="26"/>
      <x:c r="K83" s="26"/>
      <x:c r="L83" s="25"/>
      <x:c r="M83" s="10"/>
      <x:c r="N83" s="23" t="str">
        <x:f>IF(C83="","",A83&amp;"|"&amp;B83&amp;"|"&amp;C83)</x:f>
      </x:c>
      <x:c r="O83" s="27" t="str">
        <x:f>IF(C83="","",IF(COUNT(E83:K83)=7,U83-SUM(G83:I83)+J83,"n.a."))</x:f>
      </x:c>
      <x:c r="P83" s="27" t="str">
        <x:f>IF(C83="","",SUMIFS(T_GD[Thực ghi số dư +/-],T_GD[Khóa đơn],N83,T_GD[Nhóm giao dịch],"Quyết toán",T_GD[Ngày giao dịch sàn],"&gt;="&amp;'Tong_hop'!$C$4,T_GD[Ngày giao dịch sàn],"&lt;"&amp;'Tong_hop'!$F$4))</x:f>
      </x:c>
      <x:c r="Q83" s="27" t="str">
        <x:f>IF(C83="","",IF(ISNUMBER(K83),K83+P83,"n.a."))</x:f>
      </x:c>
      <x:c r="R83" s="27" t="str">
        <x:f>IF(C83="","",IF(AND(ISNUMBER(O83),ISNUMBER(Q83)),Q83-O83,"n.a."))</x:f>
      </x:c>
      <x:c r="S83" s="23" t="str">
        <x:f>IF(C83="","",IF(T83&lt;&gt;"","Sửa dữ liệu",IF(D83&gt;='Tong_hop'!$F$4,"Ngoài kỳ",IF(ABS(R83)&lt;='Tong_hop'!$I$4,"Khớp",IF(R83&gt;'Tong_hop'!$I$4,"QT vượt dự kiến",IF(L83&lt;'Tong_hop'!$F$4,"Quá hạn / thiếu QT",IF(Q83=0,"Chờ QT","Chờ QT một phần")))))))</x:f>
      </x:c>
      <x:c r="T83" s="23" t="str">
        <x:f>IF(COUNTA(A83:M83)=0,"",IF(OR(NOT(OR(A83="TikTok Shop",A83="Shopee",A83="Lazada")),B83="",C83="",NOT(ISNUMBER(D83)),COUNT(E83:K83)&lt;&gt;7,NOT(ISNUMBER(L83))),"Thiếu/sai dữ liệu",IF(NOT(COUNTIFS(T_SoDu[Khóa shop],A83&amp;"|"&amp;B83)=1),"Shop chưa khai báo",IF(COUNTIFS(T_Don[Khóa đơn],N83)&lt;&gt;1,"Trùng mã đơn",""))))</x:f>
      </x:c>
      <x:c r="U83" s="27" t="str">
        <x:f>IF(C83="","",IF(COUNT(E83:F83)=2,SUM(E83:F83),"n.a."))</x:f>
      </x:c>
    </x:row>
    <x:row r="84" ht="22" customHeight="1">
      <x:c r="A84" s="10"/>
      <x:c r="B84" s="10"/>
      <x:c r="C84" s="24"/>
      <x:c r="D84" s="25"/>
      <x:c r="E84" s="26"/>
      <x:c r="F84" s="26"/>
      <x:c r="G84" s="26"/>
      <x:c r="H84" s="26"/>
      <x:c r="I84" s="26"/>
      <x:c r="J84" s="26"/>
      <x:c r="K84" s="26"/>
      <x:c r="L84" s="25"/>
      <x:c r="M84" s="10"/>
      <x:c r="N84" s="23" t="str">
        <x:f>IF(C84="","",A84&amp;"|"&amp;B84&amp;"|"&amp;C84)</x:f>
      </x:c>
      <x:c r="O84" s="27" t="str">
        <x:f>IF(C84="","",IF(COUNT(E84:K84)=7,U84-SUM(G84:I84)+J84,"n.a."))</x:f>
      </x:c>
      <x:c r="P84" s="27" t="str">
        <x:f>IF(C84="","",SUMIFS(T_GD[Thực ghi số dư +/-],T_GD[Khóa đơn],N84,T_GD[Nhóm giao dịch],"Quyết toán",T_GD[Ngày giao dịch sàn],"&gt;="&amp;'Tong_hop'!$C$4,T_GD[Ngày giao dịch sàn],"&lt;"&amp;'Tong_hop'!$F$4))</x:f>
      </x:c>
      <x:c r="Q84" s="27" t="str">
        <x:f>IF(C84="","",IF(ISNUMBER(K84),K84+P84,"n.a."))</x:f>
      </x:c>
      <x:c r="R84" s="27" t="str">
        <x:f>IF(C84="","",IF(AND(ISNUMBER(O84),ISNUMBER(Q84)),Q84-O84,"n.a."))</x:f>
      </x:c>
      <x:c r="S84" s="23" t="str">
        <x:f>IF(C84="","",IF(T84&lt;&gt;"","Sửa dữ liệu",IF(D84&gt;='Tong_hop'!$F$4,"Ngoài kỳ",IF(ABS(R84)&lt;='Tong_hop'!$I$4,"Khớp",IF(R84&gt;'Tong_hop'!$I$4,"QT vượt dự kiến",IF(L84&lt;'Tong_hop'!$F$4,"Quá hạn / thiếu QT",IF(Q84=0,"Chờ QT","Chờ QT một phần")))))))</x:f>
      </x:c>
      <x:c r="T84" s="23" t="str">
        <x:f>IF(COUNTA(A84:M84)=0,"",IF(OR(NOT(OR(A84="TikTok Shop",A84="Shopee",A84="Lazada")),B84="",C84="",NOT(ISNUMBER(D84)),COUNT(E84:K84)&lt;&gt;7,NOT(ISNUMBER(L84))),"Thiếu/sai dữ liệu",IF(NOT(COUNTIFS(T_SoDu[Khóa shop],A84&amp;"|"&amp;B84)=1),"Shop chưa khai báo",IF(COUNTIFS(T_Don[Khóa đơn],N84)&lt;&gt;1,"Trùng mã đơn",""))))</x:f>
      </x:c>
      <x:c r="U84" s="27" t="str">
        <x:f>IF(C84="","",IF(COUNT(E84:F84)=2,SUM(E84:F84),"n.a."))</x:f>
      </x:c>
    </x:row>
    <x:row r="85" ht="22" customHeight="1">
      <x:c r="A85" s="10"/>
      <x:c r="B85" s="10"/>
      <x:c r="C85" s="24"/>
      <x:c r="D85" s="25"/>
      <x:c r="E85" s="26"/>
      <x:c r="F85" s="26"/>
      <x:c r="G85" s="26"/>
      <x:c r="H85" s="26"/>
      <x:c r="I85" s="26"/>
      <x:c r="J85" s="26"/>
      <x:c r="K85" s="26"/>
      <x:c r="L85" s="25"/>
      <x:c r="M85" s="10"/>
      <x:c r="N85" s="23" t="str">
        <x:f>IF(C85="","",A85&amp;"|"&amp;B85&amp;"|"&amp;C85)</x:f>
      </x:c>
      <x:c r="O85" s="27" t="str">
        <x:f>IF(C85="","",IF(COUNT(E85:K85)=7,U85-SUM(G85:I85)+J85,"n.a."))</x:f>
      </x:c>
      <x:c r="P85" s="27" t="str">
        <x:f>IF(C85="","",SUMIFS(T_GD[Thực ghi số dư +/-],T_GD[Khóa đơn],N85,T_GD[Nhóm giao dịch],"Quyết toán",T_GD[Ngày giao dịch sàn],"&gt;="&amp;'Tong_hop'!$C$4,T_GD[Ngày giao dịch sàn],"&lt;"&amp;'Tong_hop'!$F$4))</x:f>
      </x:c>
      <x:c r="Q85" s="27" t="str">
        <x:f>IF(C85="","",IF(ISNUMBER(K85),K85+P85,"n.a."))</x:f>
      </x:c>
      <x:c r="R85" s="27" t="str">
        <x:f>IF(C85="","",IF(AND(ISNUMBER(O85),ISNUMBER(Q85)),Q85-O85,"n.a."))</x:f>
      </x:c>
      <x:c r="S85" s="23" t="str">
        <x:f>IF(C85="","",IF(T85&lt;&gt;"","Sửa dữ liệu",IF(D85&gt;='Tong_hop'!$F$4,"Ngoài kỳ",IF(ABS(R85)&lt;='Tong_hop'!$I$4,"Khớp",IF(R85&gt;'Tong_hop'!$I$4,"QT vượt dự kiến",IF(L85&lt;'Tong_hop'!$F$4,"Quá hạn / thiếu QT",IF(Q85=0,"Chờ QT","Chờ QT một phần")))))))</x:f>
      </x:c>
      <x:c r="T85" s="23" t="str">
        <x:f>IF(COUNTA(A85:M85)=0,"",IF(OR(NOT(OR(A85="TikTok Shop",A85="Shopee",A85="Lazada")),B85="",C85="",NOT(ISNUMBER(D85)),COUNT(E85:K85)&lt;&gt;7,NOT(ISNUMBER(L85))),"Thiếu/sai dữ liệu",IF(NOT(COUNTIFS(T_SoDu[Khóa shop],A85&amp;"|"&amp;B85)=1),"Shop chưa khai báo",IF(COUNTIFS(T_Don[Khóa đơn],N85)&lt;&gt;1,"Trùng mã đơn",""))))</x:f>
      </x:c>
      <x:c r="U85" s="27" t="str">
        <x:f>IF(C85="","",IF(COUNT(E85:F85)=2,SUM(E85:F85),"n.a."))</x:f>
      </x:c>
    </x:row>
    <x:row r="86" ht="22" customHeight="1">
      <x:c r="A86" s="10"/>
      <x:c r="B86" s="10"/>
      <x:c r="C86" s="24"/>
      <x:c r="D86" s="25"/>
      <x:c r="E86" s="26"/>
      <x:c r="F86" s="26"/>
      <x:c r="G86" s="26"/>
      <x:c r="H86" s="26"/>
      <x:c r="I86" s="26"/>
      <x:c r="J86" s="26"/>
      <x:c r="K86" s="26"/>
      <x:c r="L86" s="25"/>
      <x:c r="M86" s="10"/>
      <x:c r="N86" s="23" t="str">
        <x:f>IF(C86="","",A86&amp;"|"&amp;B86&amp;"|"&amp;C86)</x:f>
      </x:c>
      <x:c r="O86" s="27" t="str">
        <x:f>IF(C86="","",IF(COUNT(E86:K86)=7,U86-SUM(G86:I86)+J86,"n.a."))</x:f>
      </x:c>
      <x:c r="P86" s="27" t="str">
        <x:f>IF(C86="","",SUMIFS(T_GD[Thực ghi số dư +/-],T_GD[Khóa đơn],N86,T_GD[Nhóm giao dịch],"Quyết toán",T_GD[Ngày giao dịch sàn],"&gt;="&amp;'Tong_hop'!$C$4,T_GD[Ngày giao dịch sàn],"&lt;"&amp;'Tong_hop'!$F$4))</x:f>
      </x:c>
      <x:c r="Q86" s="27" t="str">
        <x:f>IF(C86="","",IF(ISNUMBER(K86),K86+P86,"n.a."))</x:f>
      </x:c>
      <x:c r="R86" s="27" t="str">
        <x:f>IF(C86="","",IF(AND(ISNUMBER(O86),ISNUMBER(Q86)),Q86-O86,"n.a."))</x:f>
      </x:c>
      <x:c r="S86" s="23" t="str">
        <x:f>IF(C86="","",IF(T86&lt;&gt;"","Sửa dữ liệu",IF(D86&gt;='Tong_hop'!$F$4,"Ngoài kỳ",IF(ABS(R86)&lt;='Tong_hop'!$I$4,"Khớp",IF(R86&gt;'Tong_hop'!$I$4,"QT vượt dự kiến",IF(L86&lt;'Tong_hop'!$F$4,"Quá hạn / thiếu QT",IF(Q86=0,"Chờ QT","Chờ QT một phần")))))))</x:f>
      </x:c>
      <x:c r="T86" s="23" t="str">
        <x:f>IF(COUNTA(A86:M86)=0,"",IF(OR(NOT(OR(A86="TikTok Shop",A86="Shopee",A86="Lazada")),B86="",C86="",NOT(ISNUMBER(D86)),COUNT(E86:K86)&lt;&gt;7,NOT(ISNUMBER(L86))),"Thiếu/sai dữ liệu",IF(NOT(COUNTIFS(T_SoDu[Khóa shop],A86&amp;"|"&amp;B86)=1),"Shop chưa khai báo",IF(COUNTIFS(T_Don[Khóa đơn],N86)&lt;&gt;1,"Trùng mã đơn",""))))</x:f>
      </x:c>
      <x:c r="U86" s="27" t="str">
        <x:f>IF(C86="","",IF(COUNT(E86:F86)=2,SUM(E86:F86),"n.a."))</x:f>
      </x:c>
    </x:row>
    <x:row r="87" ht="22" customHeight="1">
      <x:c r="A87" s="10"/>
      <x:c r="B87" s="10"/>
      <x:c r="C87" s="24"/>
      <x:c r="D87" s="25"/>
      <x:c r="E87" s="26"/>
      <x:c r="F87" s="26"/>
      <x:c r="G87" s="26"/>
      <x:c r="H87" s="26"/>
      <x:c r="I87" s="26"/>
      <x:c r="J87" s="26"/>
      <x:c r="K87" s="26"/>
      <x:c r="L87" s="25"/>
      <x:c r="M87" s="10"/>
      <x:c r="N87" s="23" t="str">
        <x:f>IF(C87="","",A87&amp;"|"&amp;B87&amp;"|"&amp;C87)</x:f>
      </x:c>
      <x:c r="O87" s="27" t="str">
        <x:f>IF(C87="","",IF(COUNT(E87:K87)=7,U87-SUM(G87:I87)+J87,"n.a."))</x:f>
      </x:c>
      <x:c r="P87" s="27" t="str">
        <x:f>IF(C87="","",SUMIFS(T_GD[Thực ghi số dư +/-],T_GD[Khóa đơn],N87,T_GD[Nhóm giao dịch],"Quyết toán",T_GD[Ngày giao dịch sàn],"&gt;="&amp;'Tong_hop'!$C$4,T_GD[Ngày giao dịch sàn],"&lt;"&amp;'Tong_hop'!$F$4))</x:f>
      </x:c>
      <x:c r="Q87" s="27" t="str">
        <x:f>IF(C87="","",IF(ISNUMBER(K87),K87+P87,"n.a."))</x:f>
      </x:c>
      <x:c r="R87" s="27" t="str">
        <x:f>IF(C87="","",IF(AND(ISNUMBER(O87),ISNUMBER(Q87)),Q87-O87,"n.a."))</x:f>
      </x:c>
      <x:c r="S87" s="23" t="str">
        <x:f>IF(C87="","",IF(T87&lt;&gt;"","Sửa dữ liệu",IF(D87&gt;='Tong_hop'!$F$4,"Ngoài kỳ",IF(ABS(R87)&lt;='Tong_hop'!$I$4,"Khớp",IF(R87&gt;'Tong_hop'!$I$4,"QT vượt dự kiến",IF(L87&lt;'Tong_hop'!$F$4,"Quá hạn / thiếu QT",IF(Q87=0,"Chờ QT","Chờ QT một phần")))))))</x:f>
      </x:c>
      <x:c r="T87" s="23" t="str">
        <x:f>IF(COUNTA(A87:M87)=0,"",IF(OR(NOT(OR(A87="TikTok Shop",A87="Shopee",A87="Lazada")),B87="",C87="",NOT(ISNUMBER(D87)),COUNT(E87:K87)&lt;&gt;7,NOT(ISNUMBER(L87))),"Thiếu/sai dữ liệu",IF(NOT(COUNTIFS(T_SoDu[Khóa shop],A87&amp;"|"&amp;B87)=1),"Shop chưa khai báo",IF(COUNTIFS(T_Don[Khóa đơn],N87)&lt;&gt;1,"Trùng mã đơn",""))))</x:f>
      </x:c>
      <x:c r="U87" s="27" t="str">
        <x:f>IF(C87="","",IF(COUNT(E87:F87)=2,SUM(E87:F87),"n.a."))</x:f>
      </x:c>
    </x:row>
    <x:row r="88" ht="22" customHeight="1">
      <x:c r="A88" s="10"/>
      <x:c r="B88" s="10"/>
      <x:c r="C88" s="24"/>
      <x:c r="D88" s="25"/>
      <x:c r="E88" s="26"/>
      <x:c r="F88" s="26"/>
      <x:c r="G88" s="26"/>
      <x:c r="H88" s="26"/>
      <x:c r="I88" s="26"/>
      <x:c r="J88" s="26"/>
      <x:c r="K88" s="26"/>
      <x:c r="L88" s="25"/>
      <x:c r="M88" s="10"/>
      <x:c r="N88" s="23" t="str">
        <x:f>IF(C88="","",A88&amp;"|"&amp;B88&amp;"|"&amp;C88)</x:f>
      </x:c>
      <x:c r="O88" s="27" t="str">
        <x:f>IF(C88="","",IF(COUNT(E88:K88)=7,U88-SUM(G88:I88)+J88,"n.a."))</x:f>
      </x:c>
      <x:c r="P88" s="27" t="str">
        <x:f>IF(C88="","",SUMIFS(T_GD[Thực ghi số dư +/-],T_GD[Khóa đơn],N88,T_GD[Nhóm giao dịch],"Quyết toán",T_GD[Ngày giao dịch sàn],"&gt;="&amp;'Tong_hop'!$C$4,T_GD[Ngày giao dịch sàn],"&lt;"&amp;'Tong_hop'!$F$4))</x:f>
      </x:c>
      <x:c r="Q88" s="27" t="str">
        <x:f>IF(C88="","",IF(ISNUMBER(K88),K88+P88,"n.a."))</x:f>
      </x:c>
      <x:c r="R88" s="27" t="str">
        <x:f>IF(C88="","",IF(AND(ISNUMBER(O88),ISNUMBER(Q88)),Q88-O88,"n.a."))</x:f>
      </x:c>
      <x:c r="S88" s="23" t="str">
        <x:f>IF(C88="","",IF(T88&lt;&gt;"","Sửa dữ liệu",IF(D88&gt;='Tong_hop'!$F$4,"Ngoài kỳ",IF(ABS(R88)&lt;='Tong_hop'!$I$4,"Khớp",IF(R88&gt;'Tong_hop'!$I$4,"QT vượt dự kiến",IF(L88&lt;'Tong_hop'!$F$4,"Quá hạn / thiếu QT",IF(Q88=0,"Chờ QT","Chờ QT một phần")))))))</x:f>
      </x:c>
      <x:c r="T88" s="23" t="str">
        <x:f>IF(COUNTA(A88:M88)=0,"",IF(OR(NOT(OR(A88="TikTok Shop",A88="Shopee",A88="Lazada")),B88="",C88="",NOT(ISNUMBER(D88)),COUNT(E88:K88)&lt;&gt;7,NOT(ISNUMBER(L88))),"Thiếu/sai dữ liệu",IF(NOT(COUNTIFS(T_SoDu[Khóa shop],A88&amp;"|"&amp;B88)=1),"Shop chưa khai báo",IF(COUNTIFS(T_Don[Khóa đơn],N88)&lt;&gt;1,"Trùng mã đơn",""))))</x:f>
      </x:c>
      <x:c r="U88" s="27" t="str">
        <x:f>IF(C88="","",IF(COUNT(E88:F88)=2,SUM(E88:F88),"n.a."))</x:f>
      </x:c>
    </x:row>
    <x:row r="89" ht="22" customHeight="1">
      <x:c r="A89" s="10"/>
      <x:c r="B89" s="10"/>
      <x:c r="C89" s="24"/>
      <x:c r="D89" s="25"/>
      <x:c r="E89" s="26"/>
      <x:c r="F89" s="26"/>
      <x:c r="G89" s="26"/>
      <x:c r="H89" s="26"/>
      <x:c r="I89" s="26"/>
      <x:c r="J89" s="26"/>
      <x:c r="K89" s="26"/>
      <x:c r="L89" s="25"/>
      <x:c r="M89" s="10"/>
      <x:c r="N89" s="23" t="str">
        <x:f>IF(C89="","",A89&amp;"|"&amp;B89&amp;"|"&amp;C89)</x:f>
      </x:c>
      <x:c r="O89" s="27" t="str">
        <x:f>IF(C89="","",IF(COUNT(E89:K89)=7,U89-SUM(G89:I89)+J89,"n.a."))</x:f>
      </x:c>
      <x:c r="P89" s="27" t="str">
        <x:f>IF(C89="","",SUMIFS(T_GD[Thực ghi số dư +/-],T_GD[Khóa đơn],N89,T_GD[Nhóm giao dịch],"Quyết toán",T_GD[Ngày giao dịch sàn],"&gt;="&amp;'Tong_hop'!$C$4,T_GD[Ngày giao dịch sàn],"&lt;"&amp;'Tong_hop'!$F$4))</x:f>
      </x:c>
      <x:c r="Q89" s="27" t="str">
        <x:f>IF(C89="","",IF(ISNUMBER(K89),K89+P89,"n.a."))</x:f>
      </x:c>
      <x:c r="R89" s="27" t="str">
        <x:f>IF(C89="","",IF(AND(ISNUMBER(O89),ISNUMBER(Q89)),Q89-O89,"n.a."))</x:f>
      </x:c>
      <x:c r="S89" s="23" t="str">
        <x:f>IF(C89="","",IF(T89&lt;&gt;"","Sửa dữ liệu",IF(D89&gt;='Tong_hop'!$F$4,"Ngoài kỳ",IF(ABS(R89)&lt;='Tong_hop'!$I$4,"Khớp",IF(R89&gt;'Tong_hop'!$I$4,"QT vượt dự kiến",IF(L89&lt;'Tong_hop'!$F$4,"Quá hạn / thiếu QT",IF(Q89=0,"Chờ QT","Chờ QT một phần")))))))</x:f>
      </x:c>
      <x:c r="T89" s="23" t="str">
        <x:f>IF(COUNTA(A89:M89)=0,"",IF(OR(NOT(OR(A89="TikTok Shop",A89="Shopee",A89="Lazada")),B89="",C89="",NOT(ISNUMBER(D89)),COUNT(E89:K89)&lt;&gt;7,NOT(ISNUMBER(L89))),"Thiếu/sai dữ liệu",IF(NOT(COUNTIFS(T_SoDu[Khóa shop],A89&amp;"|"&amp;B89)=1),"Shop chưa khai báo",IF(COUNTIFS(T_Don[Khóa đơn],N89)&lt;&gt;1,"Trùng mã đơn",""))))</x:f>
      </x:c>
      <x:c r="U89" s="27" t="str">
        <x:f>IF(C89="","",IF(COUNT(E89:F89)=2,SUM(E89:F89),"n.a."))</x:f>
      </x:c>
    </x:row>
    <x:row r="90" ht="22" customHeight="1">
      <x:c r="A90" s="10"/>
      <x:c r="B90" s="10"/>
      <x:c r="C90" s="24"/>
      <x:c r="D90" s="25"/>
      <x:c r="E90" s="26"/>
      <x:c r="F90" s="26"/>
      <x:c r="G90" s="26"/>
      <x:c r="H90" s="26"/>
      <x:c r="I90" s="26"/>
      <x:c r="J90" s="26"/>
      <x:c r="K90" s="26"/>
      <x:c r="L90" s="25"/>
      <x:c r="M90" s="10"/>
      <x:c r="N90" s="23" t="str">
        <x:f>IF(C90="","",A90&amp;"|"&amp;B90&amp;"|"&amp;C90)</x:f>
      </x:c>
      <x:c r="O90" s="27" t="str">
        <x:f>IF(C90="","",IF(COUNT(E90:K90)=7,U90-SUM(G90:I90)+J90,"n.a."))</x:f>
      </x:c>
      <x:c r="P90" s="27" t="str">
        <x:f>IF(C90="","",SUMIFS(T_GD[Thực ghi số dư +/-],T_GD[Khóa đơn],N90,T_GD[Nhóm giao dịch],"Quyết toán",T_GD[Ngày giao dịch sàn],"&gt;="&amp;'Tong_hop'!$C$4,T_GD[Ngày giao dịch sàn],"&lt;"&amp;'Tong_hop'!$F$4))</x:f>
      </x:c>
      <x:c r="Q90" s="27" t="str">
        <x:f>IF(C90="","",IF(ISNUMBER(K90),K90+P90,"n.a."))</x:f>
      </x:c>
      <x:c r="R90" s="27" t="str">
        <x:f>IF(C90="","",IF(AND(ISNUMBER(O90),ISNUMBER(Q90)),Q90-O90,"n.a."))</x:f>
      </x:c>
      <x:c r="S90" s="23" t="str">
        <x:f>IF(C90="","",IF(T90&lt;&gt;"","Sửa dữ liệu",IF(D90&gt;='Tong_hop'!$F$4,"Ngoài kỳ",IF(ABS(R90)&lt;='Tong_hop'!$I$4,"Khớp",IF(R90&gt;'Tong_hop'!$I$4,"QT vượt dự kiến",IF(L90&lt;'Tong_hop'!$F$4,"Quá hạn / thiếu QT",IF(Q90=0,"Chờ QT","Chờ QT một phần")))))))</x:f>
      </x:c>
      <x:c r="T90" s="23" t="str">
        <x:f>IF(COUNTA(A90:M90)=0,"",IF(OR(NOT(OR(A90="TikTok Shop",A90="Shopee",A90="Lazada")),B90="",C90="",NOT(ISNUMBER(D90)),COUNT(E90:K90)&lt;&gt;7,NOT(ISNUMBER(L90))),"Thiếu/sai dữ liệu",IF(NOT(COUNTIFS(T_SoDu[Khóa shop],A90&amp;"|"&amp;B90)=1),"Shop chưa khai báo",IF(COUNTIFS(T_Don[Khóa đơn],N90)&lt;&gt;1,"Trùng mã đơn",""))))</x:f>
      </x:c>
      <x:c r="U90" s="27" t="str">
        <x:f>IF(C90="","",IF(COUNT(E90:F90)=2,SUM(E90:F90),"n.a."))</x:f>
      </x:c>
    </x:row>
    <x:row r="91" ht="22" customHeight="1">
      <x:c r="A91" s="10"/>
      <x:c r="B91" s="10"/>
      <x:c r="C91" s="24"/>
      <x:c r="D91" s="25"/>
      <x:c r="E91" s="26"/>
      <x:c r="F91" s="26"/>
      <x:c r="G91" s="26"/>
      <x:c r="H91" s="26"/>
      <x:c r="I91" s="26"/>
      <x:c r="J91" s="26"/>
      <x:c r="K91" s="26"/>
      <x:c r="L91" s="25"/>
      <x:c r="M91" s="10"/>
      <x:c r="N91" s="23" t="str">
        <x:f>IF(C91="","",A91&amp;"|"&amp;B91&amp;"|"&amp;C91)</x:f>
      </x:c>
      <x:c r="O91" s="27" t="str">
        <x:f>IF(C91="","",IF(COUNT(E91:K91)=7,U91-SUM(G91:I91)+J91,"n.a."))</x:f>
      </x:c>
      <x:c r="P91" s="27" t="str">
        <x:f>IF(C91="","",SUMIFS(T_GD[Thực ghi số dư +/-],T_GD[Khóa đơn],N91,T_GD[Nhóm giao dịch],"Quyết toán",T_GD[Ngày giao dịch sàn],"&gt;="&amp;'Tong_hop'!$C$4,T_GD[Ngày giao dịch sàn],"&lt;"&amp;'Tong_hop'!$F$4))</x:f>
      </x:c>
      <x:c r="Q91" s="27" t="str">
        <x:f>IF(C91="","",IF(ISNUMBER(K91),K91+P91,"n.a."))</x:f>
      </x:c>
      <x:c r="R91" s="27" t="str">
        <x:f>IF(C91="","",IF(AND(ISNUMBER(O91),ISNUMBER(Q91)),Q91-O91,"n.a."))</x:f>
      </x:c>
      <x:c r="S91" s="23" t="str">
        <x:f>IF(C91="","",IF(T91&lt;&gt;"","Sửa dữ liệu",IF(D91&gt;='Tong_hop'!$F$4,"Ngoài kỳ",IF(ABS(R91)&lt;='Tong_hop'!$I$4,"Khớp",IF(R91&gt;'Tong_hop'!$I$4,"QT vượt dự kiến",IF(L91&lt;'Tong_hop'!$F$4,"Quá hạn / thiếu QT",IF(Q91=0,"Chờ QT","Chờ QT một phần")))))))</x:f>
      </x:c>
      <x:c r="T91" s="23" t="str">
        <x:f>IF(COUNTA(A91:M91)=0,"",IF(OR(NOT(OR(A91="TikTok Shop",A91="Shopee",A91="Lazada")),B91="",C91="",NOT(ISNUMBER(D91)),COUNT(E91:K91)&lt;&gt;7,NOT(ISNUMBER(L91))),"Thiếu/sai dữ liệu",IF(NOT(COUNTIFS(T_SoDu[Khóa shop],A91&amp;"|"&amp;B91)=1),"Shop chưa khai báo",IF(COUNTIFS(T_Don[Khóa đơn],N91)&lt;&gt;1,"Trùng mã đơn",""))))</x:f>
      </x:c>
      <x:c r="U91" s="27" t="str">
        <x:f>IF(C91="","",IF(COUNT(E91:F91)=2,SUM(E91:F91),"n.a."))</x:f>
      </x:c>
    </x:row>
    <x:row r="92" ht="22" customHeight="1">
      <x:c r="A92" s="10"/>
      <x:c r="B92" s="10"/>
      <x:c r="C92" s="24"/>
      <x:c r="D92" s="25"/>
      <x:c r="E92" s="26"/>
      <x:c r="F92" s="26"/>
      <x:c r="G92" s="26"/>
      <x:c r="H92" s="26"/>
      <x:c r="I92" s="26"/>
      <x:c r="J92" s="26"/>
      <x:c r="K92" s="26"/>
      <x:c r="L92" s="25"/>
      <x:c r="M92" s="10"/>
      <x:c r="N92" s="23" t="str">
        <x:f>IF(C92="","",A92&amp;"|"&amp;B92&amp;"|"&amp;C92)</x:f>
      </x:c>
      <x:c r="O92" s="27" t="str">
        <x:f>IF(C92="","",IF(COUNT(E92:K92)=7,U92-SUM(G92:I92)+J92,"n.a."))</x:f>
      </x:c>
      <x:c r="P92" s="27" t="str">
        <x:f>IF(C92="","",SUMIFS(T_GD[Thực ghi số dư +/-],T_GD[Khóa đơn],N92,T_GD[Nhóm giao dịch],"Quyết toán",T_GD[Ngày giao dịch sàn],"&gt;="&amp;'Tong_hop'!$C$4,T_GD[Ngày giao dịch sàn],"&lt;"&amp;'Tong_hop'!$F$4))</x:f>
      </x:c>
      <x:c r="Q92" s="27" t="str">
        <x:f>IF(C92="","",IF(ISNUMBER(K92),K92+P92,"n.a."))</x:f>
      </x:c>
      <x:c r="R92" s="27" t="str">
        <x:f>IF(C92="","",IF(AND(ISNUMBER(O92),ISNUMBER(Q92)),Q92-O92,"n.a."))</x:f>
      </x:c>
      <x:c r="S92" s="23" t="str">
        <x:f>IF(C92="","",IF(T92&lt;&gt;"","Sửa dữ liệu",IF(D92&gt;='Tong_hop'!$F$4,"Ngoài kỳ",IF(ABS(R92)&lt;='Tong_hop'!$I$4,"Khớp",IF(R92&gt;'Tong_hop'!$I$4,"QT vượt dự kiến",IF(L92&lt;'Tong_hop'!$F$4,"Quá hạn / thiếu QT",IF(Q92=0,"Chờ QT","Chờ QT một phần")))))))</x:f>
      </x:c>
      <x:c r="T92" s="23" t="str">
        <x:f>IF(COUNTA(A92:M92)=0,"",IF(OR(NOT(OR(A92="TikTok Shop",A92="Shopee",A92="Lazada")),B92="",C92="",NOT(ISNUMBER(D92)),COUNT(E92:K92)&lt;&gt;7,NOT(ISNUMBER(L92))),"Thiếu/sai dữ liệu",IF(NOT(COUNTIFS(T_SoDu[Khóa shop],A92&amp;"|"&amp;B92)=1),"Shop chưa khai báo",IF(COUNTIFS(T_Don[Khóa đơn],N92)&lt;&gt;1,"Trùng mã đơn",""))))</x:f>
      </x:c>
      <x:c r="U92" s="27" t="str">
        <x:f>IF(C92="","",IF(COUNT(E92:F92)=2,SUM(E92:F92),"n.a."))</x:f>
      </x:c>
    </x:row>
    <x:row r="93" ht="22" customHeight="1">
      <x:c r="A93" s="10"/>
      <x:c r="B93" s="10"/>
      <x:c r="C93" s="24"/>
      <x:c r="D93" s="25"/>
      <x:c r="E93" s="26"/>
      <x:c r="F93" s="26"/>
      <x:c r="G93" s="26"/>
      <x:c r="H93" s="26"/>
      <x:c r="I93" s="26"/>
      <x:c r="J93" s="26"/>
      <x:c r="K93" s="26"/>
      <x:c r="L93" s="25"/>
      <x:c r="M93" s="10"/>
      <x:c r="N93" s="23" t="str">
        <x:f>IF(C93="","",A93&amp;"|"&amp;B93&amp;"|"&amp;C93)</x:f>
      </x:c>
      <x:c r="O93" s="27" t="str">
        <x:f>IF(C93="","",IF(COUNT(E93:K93)=7,U93-SUM(G93:I93)+J93,"n.a."))</x:f>
      </x:c>
      <x:c r="P93" s="27" t="str">
        <x:f>IF(C93="","",SUMIFS(T_GD[Thực ghi số dư +/-],T_GD[Khóa đơn],N93,T_GD[Nhóm giao dịch],"Quyết toán",T_GD[Ngày giao dịch sàn],"&gt;="&amp;'Tong_hop'!$C$4,T_GD[Ngày giao dịch sàn],"&lt;"&amp;'Tong_hop'!$F$4))</x:f>
      </x:c>
      <x:c r="Q93" s="27" t="str">
        <x:f>IF(C93="","",IF(ISNUMBER(K93),K93+P93,"n.a."))</x:f>
      </x:c>
      <x:c r="R93" s="27" t="str">
        <x:f>IF(C93="","",IF(AND(ISNUMBER(O93),ISNUMBER(Q93)),Q93-O93,"n.a."))</x:f>
      </x:c>
      <x:c r="S93" s="23" t="str">
        <x:f>IF(C93="","",IF(T93&lt;&gt;"","Sửa dữ liệu",IF(D93&gt;='Tong_hop'!$F$4,"Ngoài kỳ",IF(ABS(R93)&lt;='Tong_hop'!$I$4,"Khớp",IF(R93&gt;'Tong_hop'!$I$4,"QT vượt dự kiến",IF(L93&lt;'Tong_hop'!$F$4,"Quá hạn / thiếu QT",IF(Q93=0,"Chờ QT","Chờ QT một phần")))))))</x:f>
      </x:c>
      <x:c r="T93" s="23" t="str">
        <x:f>IF(COUNTA(A93:M93)=0,"",IF(OR(NOT(OR(A93="TikTok Shop",A93="Shopee",A93="Lazada")),B93="",C93="",NOT(ISNUMBER(D93)),COUNT(E93:K93)&lt;&gt;7,NOT(ISNUMBER(L93))),"Thiếu/sai dữ liệu",IF(NOT(COUNTIFS(T_SoDu[Khóa shop],A93&amp;"|"&amp;B93)=1),"Shop chưa khai báo",IF(COUNTIFS(T_Don[Khóa đơn],N93)&lt;&gt;1,"Trùng mã đơn",""))))</x:f>
      </x:c>
      <x:c r="U93" s="27" t="str">
        <x:f>IF(C93="","",IF(COUNT(E93:F93)=2,SUM(E93:F93),"n.a."))</x:f>
      </x:c>
    </x:row>
    <x:row r="94" ht="22" customHeight="1">
      <x:c r="A94" s="10"/>
      <x:c r="B94" s="10"/>
      <x:c r="C94" s="24"/>
      <x:c r="D94" s="25"/>
      <x:c r="E94" s="26"/>
      <x:c r="F94" s="26"/>
      <x:c r="G94" s="26"/>
      <x:c r="H94" s="26"/>
      <x:c r="I94" s="26"/>
      <x:c r="J94" s="26"/>
      <x:c r="K94" s="26"/>
      <x:c r="L94" s="25"/>
      <x:c r="M94" s="10"/>
      <x:c r="N94" s="23" t="str">
        <x:f>IF(C94="","",A94&amp;"|"&amp;B94&amp;"|"&amp;C94)</x:f>
      </x:c>
      <x:c r="O94" s="27" t="str">
        <x:f>IF(C94="","",IF(COUNT(E94:K94)=7,U94-SUM(G94:I94)+J94,"n.a."))</x:f>
      </x:c>
      <x:c r="P94" s="27" t="str">
        <x:f>IF(C94="","",SUMIFS(T_GD[Thực ghi số dư +/-],T_GD[Khóa đơn],N94,T_GD[Nhóm giao dịch],"Quyết toán",T_GD[Ngày giao dịch sàn],"&gt;="&amp;'Tong_hop'!$C$4,T_GD[Ngày giao dịch sàn],"&lt;"&amp;'Tong_hop'!$F$4))</x:f>
      </x:c>
      <x:c r="Q94" s="27" t="str">
        <x:f>IF(C94="","",IF(ISNUMBER(K94),K94+P94,"n.a."))</x:f>
      </x:c>
      <x:c r="R94" s="27" t="str">
        <x:f>IF(C94="","",IF(AND(ISNUMBER(O94),ISNUMBER(Q94)),Q94-O94,"n.a."))</x:f>
      </x:c>
      <x:c r="S94" s="23" t="str">
        <x:f>IF(C94="","",IF(T94&lt;&gt;"","Sửa dữ liệu",IF(D94&gt;='Tong_hop'!$F$4,"Ngoài kỳ",IF(ABS(R94)&lt;='Tong_hop'!$I$4,"Khớp",IF(R94&gt;'Tong_hop'!$I$4,"QT vượt dự kiến",IF(L94&lt;'Tong_hop'!$F$4,"Quá hạn / thiếu QT",IF(Q94=0,"Chờ QT","Chờ QT một phần")))))))</x:f>
      </x:c>
      <x:c r="T94" s="23" t="str">
        <x:f>IF(COUNTA(A94:M94)=0,"",IF(OR(NOT(OR(A94="TikTok Shop",A94="Shopee",A94="Lazada")),B94="",C94="",NOT(ISNUMBER(D94)),COUNT(E94:K94)&lt;&gt;7,NOT(ISNUMBER(L94))),"Thiếu/sai dữ liệu",IF(NOT(COUNTIFS(T_SoDu[Khóa shop],A94&amp;"|"&amp;B94)=1),"Shop chưa khai báo",IF(COUNTIFS(T_Don[Khóa đơn],N94)&lt;&gt;1,"Trùng mã đơn",""))))</x:f>
      </x:c>
      <x:c r="U94" s="27" t="str">
        <x:f>IF(C94="","",IF(COUNT(E94:F94)=2,SUM(E94:F94),"n.a."))</x:f>
      </x:c>
    </x:row>
    <x:row r="95" ht="22" customHeight="1">
      <x:c r="A95" s="10"/>
      <x:c r="B95" s="10"/>
      <x:c r="C95" s="24"/>
      <x:c r="D95" s="25"/>
      <x:c r="E95" s="26"/>
      <x:c r="F95" s="26"/>
      <x:c r="G95" s="26"/>
      <x:c r="H95" s="26"/>
      <x:c r="I95" s="26"/>
      <x:c r="J95" s="26"/>
      <x:c r="K95" s="26"/>
      <x:c r="L95" s="25"/>
      <x:c r="M95" s="10"/>
      <x:c r="N95" s="23" t="str">
        <x:f>IF(C95="","",A95&amp;"|"&amp;B95&amp;"|"&amp;C95)</x:f>
      </x:c>
      <x:c r="O95" s="27" t="str">
        <x:f>IF(C95="","",IF(COUNT(E95:K95)=7,U95-SUM(G95:I95)+J95,"n.a."))</x:f>
      </x:c>
      <x:c r="P95" s="27" t="str">
        <x:f>IF(C95="","",SUMIFS(T_GD[Thực ghi số dư +/-],T_GD[Khóa đơn],N95,T_GD[Nhóm giao dịch],"Quyết toán",T_GD[Ngày giao dịch sàn],"&gt;="&amp;'Tong_hop'!$C$4,T_GD[Ngày giao dịch sàn],"&lt;"&amp;'Tong_hop'!$F$4))</x:f>
      </x:c>
      <x:c r="Q95" s="27" t="str">
        <x:f>IF(C95="","",IF(ISNUMBER(K95),K95+P95,"n.a."))</x:f>
      </x:c>
      <x:c r="R95" s="27" t="str">
        <x:f>IF(C95="","",IF(AND(ISNUMBER(O95),ISNUMBER(Q95)),Q95-O95,"n.a."))</x:f>
      </x:c>
      <x:c r="S95" s="23" t="str">
        <x:f>IF(C95="","",IF(T95&lt;&gt;"","Sửa dữ liệu",IF(D95&gt;='Tong_hop'!$F$4,"Ngoài kỳ",IF(ABS(R95)&lt;='Tong_hop'!$I$4,"Khớp",IF(R95&gt;'Tong_hop'!$I$4,"QT vượt dự kiến",IF(L95&lt;'Tong_hop'!$F$4,"Quá hạn / thiếu QT",IF(Q95=0,"Chờ QT","Chờ QT một phần")))))))</x:f>
      </x:c>
      <x:c r="T95" s="23" t="str">
        <x:f>IF(COUNTA(A95:M95)=0,"",IF(OR(NOT(OR(A95="TikTok Shop",A95="Shopee",A95="Lazada")),B95="",C95="",NOT(ISNUMBER(D95)),COUNT(E95:K95)&lt;&gt;7,NOT(ISNUMBER(L95))),"Thiếu/sai dữ liệu",IF(NOT(COUNTIFS(T_SoDu[Khóa shop],A95&amp;"|"&amp;B95)=1),"Shop chưa khai báo",IF(COUNTIFS(T_Don[Khóa đơn],N95)&lt;&gt;1,"Trùng mã đơn",""))))</x:f>
      </x:c>
      <x:c r="U95" s="27" t="str">
        <x:f>IF(C95="","",IF(COUNT(E95:F95)=2,SUM(E95:F95),"n.a."))</x:f>
      </x:c>
    </x:row>
    <x:row r="96" ht="22" customHeight="1">
      <x:c r="A96" s="10"/>
      <x:c r="B96" s="10"/>
      <x:c r="C96" s="24"/>
      <x:c r="D96" s="25"/>
      <x:c r="E96" s="26"/>
      <x:c r="F96" s="26"/>
      <x:c r="G96" s="26"/>
      <x:c r="H96" s="26"/>
      <x:c r="I96" s="26"/>
      <x:c r="J96" s="26"/>
      <x:c r="K96" s="26"/>
      <x:c r="L96" s="25"/>
      <x:c r="M96" s="10"/>
      <x:c r="N96" s="23" t="str">
        <x:f>IF(C96="","",A96&amp;"|"&amp;B96&amp;"|"&amp;C96)</x:f>
      </x:c>
      <x:c r="O96" s="27" t="str">
        <x:f>IF(C96="","",IF(COUNT(E96:K96)=7,U96-SUM(G96:I96)+J96,"n.a."))</x:f>
      </x:c>
      <x:c r="P96" s="27" t="str">
        <x:f>IF(C96="","",SUMIFS(T_GD[Thực ghi số dư +/-],T_GD[Khóa đơn],N96,T_GD[Nhóm giao dịch],"Quyết toán",T_GD[Ngày giao dịch sàn],"&gt;="&amp;'Tong_hop'!$C$4,T_GD[Ngày giao dịch sàn],"&lt;"&amp;'Tong_hop'!$F$4))</x:f>
      </x:c>
      <x:c r="Q96" s="27" t="str">
        <x:f>IF(C96="","",IF(ISNUMBER(K96),K96+P96,"n.a."))</x:f>
      </x:c>
      <x:c r="R96" s="27" t="str">
        <x:f>IF(C96="","",IF(AND(ISNUMBER(O96),ISNUMBER(Q96)),Q96-O96,"n.a."))</x:f>
      </x:c>
      <x:c r="S96" s="23" t="str">
        <x:f>IF(C96="","",IF(T96&lt;&gt;"","Sửa dữ liệu",IF(D96&gt;='Tong_hop'!$F$4,"Ngoài kỳ",IF(ABS(R96)&lt;='Tong_hop'!$I$4,"Khớp",IF(R96&gt;'Tong_hop'!$I$4,"QT vượt dự kiến",IF(L96&lt;'Tong_hop'!$F$4,"Quá hạn / thiếu QT",IF(Q96=0,"Chờ QT","Chờ QT một phần")))))))</x:f>
      </x:c>
      <x:c r="T96" s="23" t="str">
        <x:f>IF(COUNTA(A96:M96)=0,"",IF(OR(NOT(OR(A96="TikTok Shop",A96="Shopee",A96="Lazada")),B96="",C96="",NOT(ISNUMBER(D96)),COUNT(E96:K96)&lt;&gt;7,NOT(ISNUMBER(L96))),"Thiếu/sai dữ liệu",IF(NOT(COUNTIFS(T_SoDu[Khóa shop],A96&amp;"|"&amp;B96)=1),"Shop chưa khai báo",IF(COUNTIFS(T_Don[Khóa đơn],N96)&lt;&gt;1,"Trùng mã đơn",""))))</x:f>
      </x:c>
      <x:c r="U96" s="27" t="str">
        <x:f>IF(C96="","",IF(COUNT(E96:F96)=2,SUM(E96:F96),"n.a."))</x:f>
      </x:c>
    </x:row>
    <x:row r="97" ht="22" customHeight="1">
      <x:c r="A97" s="10"/>
      <x:c r="B97" s="10"/>
      <x:c r="C97" s="24"/>
      <x:c r="D97" s="25"/>
      <x:c r="E97" s="26"/>
      <x:c r="F97" s="26"/>
      <x:c r="G97" s="26"/>
      <x:c r="H97" s="26"/>
      <x:c r="I97" s="26"/>
      <x:c r="J97" s="26"/>
      <x:c r="K97" s="26"/>
      <x:c r="L97" s="25"/>
      <x:c r="M97" s="10"/>
      <x:c r="N97" s="23" t="str">
        <x:f>IF(C97="","",A97&amp;"|"&amp;B97&amp;"|"&amp;C97)</x:f>
      </x:c>
      <x:c r="O97" s="27" t="str">
        <x:f>IF(C97="","",IF(COUNT(E97:K97)=7,U97-SUM(G97:I97)+J97,"n.a."))</x:f>
      </x:c>
      <x:c r="P97" s="27" t="str">
        <x:f>IF(C97="","",SUMIFS(T_GD[Thực ghi số dư +/-],T_GD[Khóa đơn],N97,T_GD[Nhóm giao dịch],"Quyết toán",T_GD[Ngày giao dịch sàn],"&gt;="&amp;'Tong_hop'!$C$4,T_GD[Ngày giao dịch sàn],"&lt;"&amp;'Tong_hop'!$F$4))</x:f>
      </x:c>
      <x:c r="Q97" s="27" t="str">
        <x:f>IF(C97="","",IF(ISNUMBER(K97),K97+P97,"n.a."))</x:f>
      </x:c>
      <x:c r="R97" s="27" t="str">
        <x:f>IF(C97="","",IF(AND(ISNUMBER(O97),ISNUMBER(Q97)),Q97-O97,"n.a."))</x:f>
      </x:c>
      <x:c r="S97" s="23" t="str">
        <x:f>IF(C97="","",IF(T97&lt;&gt;"","Sửa dữ liệu",IF(D97&gt;='Tong_hop'!$F$4,"Ngoài kỳ",IF(ABS(R97)&lt;='Tong_hop'!$I$4,"Khớp",IF(R97&gt;'Tong_hop'!$I$4,"QT vượt dự kiến",IF(L97&lt;'Tong_hop'!$F$4,"Quá hạn / thiếu QT",IF(Q97=0,"Chờ QT","Chờ QT một phần")))))))</x:f>
      </x:c>
      <x:c r="T97" s="23" t="str">
        <x:f>IF(COUNTA(A97:M97)=0,"",IF(OR(NOT(OR(A97="TikTok Shop",A97="Shopee",A97="Lazada")),B97="",C97="",NOT(ISNUMBER(D97)),COUNT(E97:K97)&lt;&gt;7,NOT(ISNUMBER(L97))),"Thiếu/sai dữ liệu",IF(NOT(COUNTIFS(T_SoDu[Khóa shop],A97&amp;"|"&amp;B97)=1),"Shop chưa khai báo",IF(COUNTIFS(T_Don[Khóa đơn],N97)&lt;&gt;1,"Trùng mã đơn",""))))</x:f>
      </x:c>
      <x:c r="U97" s="27" t="str">
        <x:f>IF(C97="","",IF(COUNT(E97:F97)=2,SUM(E97:F97),"n.a."))</x:f>
      </x:c>
    </x:row>
    <x:row r="98" ht="22" customHeight="1">
      <x:c r="A98" s="10"/>
      <x:c r="B98" s="10"/>
      <x:c r="C98" s="24"/>
      <x:c r="D98" s="25"/>
      <x:c r="E98" s="26"/>
      <x:c r="F98" s="26"/>
      <x:c r="G98" s="26"/>
      <x:c r="H98" s="26"/>
      <x:c r="I98" s="26"/>
      <x:c r="J98" s="26"/>
      <x:c r="K98" s="26"/>
      <x:c r="L98" s="25"/>
      <x:c r="M98" s="10"/>
      <x:c r="N98" s="23" t="str">
        <x:f>IF(C98="","",A98&amp;"|"&amp;B98&amp;"|"&amp;C98)</x:f>
      </x:c>
      <x:c r="O98" s="27" t="str">
        <x:f>IF(C98="","",IF(COUNT(E98:K98)=7,U98-SUM(G98:I98)+J98,"n.a."))</x:f>
      </x:c>
      <x:c r="P98" s="27" t="str">
        <x:f>IF(C98="","",SUMIFS(T_GD[Thực ghi số dư +/-],T_GD[Khóa đơn],N98,T_GD[Nhóm giao dịch],"Quyết toán",T_GD[Ngày giao dịch sàn],"&gt;="&amp;'Tong_hop'!$C$4,T_GD[Ngày giao dịch sàn],"&lt;"&amp;'Tong_hop'!$F$4))</x:f>
      </x:c>
      <x:c r="Q98" s="27" t="str">
        <x:f>IF(C98="","",IF(ISNUMBER(K98),K98+P98,"n.a."))</x:f>
      </x:c>
      <x:c r="R98" s="27" t="str">
        <x:f>IF(C98="","",IF(AND(ISNUMBER(O98),ISNUMBER(Q98)),Q98-O98,"n.a."))</x:f>
      </x:c>
      <x:c r="S98" s="23" t="str">
        <x:f>IF(C98="","",IF(T98&lt;&gt;"","Sửa dữ liệu",IF(D98&gt;='Tong_hop'!$F$4,"Ngoài kỳ",IF(ABS(R98)&lt;='Tong_hop'!$I$4,"Khớp",IF(R98&gt;'Tong_hop'!$I$4,"QT vượt dự kiến",IF(L98&lt;'Tong_hop'!$F$4,"Quá hạn / thiếu QT",IF(Q98=0,"Chờ QT","Chờ QT một phần")))))))</x:f>
      </x:c>
      <x:c r="T98" s="23" t="str">
        <x:f>IF(COUNTA(A98:M98)=0,"",IF(OR(NOT(OR(A98="TikTok Shop",A98="Shopee",A98="Lazada")),B98="",C98="",NOT(ISNUMBER(D98)),COUNT(E98:K98)&lt;&gt;7,NOT(ISNUMBER(L98))),"Thiếu/sai dữ liệu",IF(NOT(COUNTIFS(T_SoDu[Khóa shop],A98&amp;"|"&amp;B98)=1),"Shop chưa khai báo",IF(COUNTIFS(T_Don[Khóa đơn],N98)&lt;&gt;1,"Trùng mã đơn",""))))</x:f>
      </x:c>
      <x:c r="U98" s="27" t="str">
        <x:f>IF(C98="","",IF(COUNT(E98:F98)=2,SUM(E98:F98),"n.a."))</x:f>
      </x:c>
    </x:row>
    <x:row r="99" ht="22" customHeight="1">
      <x:c r="A99" s="10"/>
      <x:c r="B99" s="10"/>
      <x:c r="C99" s="24"/>
      <x:c r="D99" s="25"/>
      <x:c r="E99" s="26"/>
      <x:c r="F99" s="26"/>
      <x:c r="G99" s="26"/>
      <x:c r="H99" s="26"/>
      <x:c r="I99" s="26"/>
      <x:c r="J99" s="26"/>
      <x:c r="K99" s="26"/>
      <x:c r="L99" s="25"/>
      <x:c r="M99" s="10"/>
      <x:c r="N99" s="23" t="str">
        <x:f>IF(C99="","",A99&amp;"|"&amp;B99&amp;"|"&amp;C99)</x:f>
      </x:c>
      <x:c r="O99" s="27" t="str">
        <x:f>IF(C99="","",IF(COUNT(E99:K99)=7,U99-SUM(G99:I99)+J99,"n.a."))</x:f>
      </x:c>
      <x:c r="P99" s="27" t="str">
        <x:f>IF(C99="","",SUMIFS(T_GD[Thực ghi số dư +/-],T_GD[Khóa đơn],N99,T_GD[Nhóm giao dịch],"Quyết toán",T_GD[Ngày giao dịch sàn],"&gt;="&amp;'Tong_hop'!$C$4,T_GD[Ngày giao dịch sàn],"&lt;"&amp;'Tong_hop'!$F$4))</x:f>
      </x:c>
      <x:c r="Q99" s="27" t="str">
        <x:f>IF(C99="","",IF(ISNUMBER(K99),K99+P99,"n.a."))</x:f>
      </x:c>
      <x:c r="R99" s="27" t="str">
        <x:f>IF(C99="","",IF(AND(ISNUMBER(O99),ISNUMBER(Q99)),Q99-O99,"n.a."))</x:f>
      </x:c>
      <x:c r="S99" s="23" t="str">
        <x:f>IF(C99="","",IF(T99&lt;&gt;"","Sửa dữ liệu",IF(D99&gt;='Tong_hop'!$F$4,"Ngoài kỳ",IF(ABS(R99)&lt;='Tong_hop'!$I$4,"Khớp",IF(R99&gt;'Tong_hop'!$I$4,"QT vượt dự kiến",IF(L99&lt;'Tong_hop'!$F$4,"Quá hạn / thiếu QT",IF(Q99=0,"Chờ QT","Chờ QT một phần")))))))</x:f>
      </x:c>
      <x:c r="T99" s="23" t="str">
        <x:f>IF(COUNTA(A99:M99)=0,"",IF(OR(NOT(OR(A99="TikTok Shop",A99="Shopee",A99="Lazada")),B99="",C99="",NOT(ISNUMBER(D99)),COUNT(E99:K99)&lt;&gt;7,NOT(ISNUMBER(L99))),"Thiếu/sai dữ liệu",IF(NOT(COUNTIFS(T_SoDu[Khóa shop],A99&amp;"|"&amp;B99)=1),"Shop chưa khai báo",IF(COUNTIFS(T_Don[Khóa đơn],N99)&lt;&gt;1,"Trùng mã đơn",""))))</x:f>
      </x:c>
      <x:c r="U99" s="27" t="str">
        <x:f>IF(C99="","",IF(COUNT(E99:F99)=2,SUM(E99:F99),"n.a."))</x:f>
      </x:c>
    </x:row>
    <x:row r="100" ht="22" customHeight="1">
      <x:c r="A100" s="10"/>
      <x:c r="B100" s="10"/>
      <x:c r="C100" s="24"/>
      <x:c r="D100" s="25"/>
      <x:c r="E100" s="26"/>
      <x:c r="F100" s="26"/>
      <x:c r="G100" s="26"/>
      <x:c r="H100" s="26"/>
      <x:c r="I100" s="26"/>
      <x:c r="J100" s="26"/>
      <x:c r="K100" s="26"/>
      <x:c r="L100" s="25"/>
      <x:c r="M100" s="10"/>
      <x:c r="N100" s="23" t="str">
        <x:f>IF(C100="","",A100&amp;"|"&amp;B100&amp;"|"&amp;C100)</x:f>
      </x:c>
      <x:c r="O100" s="27" t="str">
        <x:f>IF(C100="","",IF(COUNT(E100:K100)=7,U100-SUM(G100:I100)+J100,"n.a."))</x:f>
      </x:c>
      <x:c r="P100" s="27" t="str">
        <x:f>IF(C100="","",SUMIFS(T_GD[Thực ghi số dư +/-],T_GD[Khóa đơn],N100,T_GD[Nhóm giao dịch],"Quyết toán",T_GD[Ngày giao dịch sàn],"&gt;="&amp;'Tong_hop'!$C$4,T_GD[Ngày giao dịch sàn],"&lt;"&amp;'Tong_hop'!$F$4))</x:f>
      </x:c>
      <x:c r="Q100" s="27" t="str">
        <x:f>IF(C100="","",IF(ISNUMBER(K100),K100+P100,"n.a."))</x:f>
      </x:c>
      <x:c r="R100" s="27" t="str">
        <x:f>IF(C100="","",IF(AND(ISNUMBER(O100),ISNUMBER(Q100)),Q100-O100,"n.a."))</x:f>
      </x:c>
      <x:c r="S100" s="23" t="str">
        <x:f>IF(C100="","",IF(T100&lt;&gt;"","Sửa dữ liệu",IF(D100&gt;='Tong_hop'!$F$4,"Ngoài kỳ",IF(ABS(R100)&lt;='Tong_hop'!$I$4,"Khớp",IF(R100&gt;'Tong_hop'!$I$4,"QT vượt dự kiến",IF(L100&lt;'Tong_hop'!$F$4,"Quá hạn / thiếu QT",IF(Q100=0,"Chờ QT","Chờ QT một phần")))))))</x:f>
      </x:c>
      <x:c r="T100" s="23" t="str">
        <x:f>IF(COUNTA(A100:M100)=0,"",IF(OR(NOT(OR(A100="TikTok Shop",A100="Shopee",A100="Lazada")),B100="",C100="",NOT(ISNUMBER(D100)),COUNT(E100:K100)&lt;&gt;7,NOT(ISNUMBER(L100))),"Thiếu/sai dữ liệu",IF(NOT(COUNTIFS(T_SoDu[Khóa shop],A100&amp;"|"&amp;B100)=1),"Shop chưa khai báo",IF(COUNTIFS(T_Don[Khóa đơn],N100)&lt;&gt;1,"Trùng mã đơn",""))))</x:f>
      </x:c>
      <x:c r="U100" s="27" t="str">
        <x:f>IF(C100="","",IF(COUNT(E100:F100)=2,SUM(E100:F100),"n.a."))</x:f>
      </x:c>
    </x:row>
    <x:row r="101" ht="22" customHeight="1">
      <x:c r="A101" s="10"/>
      <x:c r="B101" s="10"/>
      <x:c r="C101" s="24"/>
      <x:c r="D101" s="25"/>
      <x:c r="E101" s="26"/>
      <x:c r="F101" s="26"/>
      <x:c r="G101" s="26"/>
      <x:c r="H101" s="26"/>
      <x:c r="I101" s="26"/>
      <x:c r="J101" s="26"/>
      <x:c r="K101" s="26"/>
      <x:c r="L101" s="25"/>
      <x:c r="M101" s="10"/>
      <x:c r="N101" s="23" t="str">
        <x:f>IF(C101="","",A101&amp;"|"&amp;B101&amp;"|"&amp;C101)</x:f>
      </x:c>
      <x:c r="O101" s="27" t="str">
        <x:f>IF(C101="","",IF(COUNT(E101:K101)=7,U101-SUM(G101:I101)+J101,"n.a."))</x:f>
      </x:c>
      <x:c r="P101" s="27" t="str">
        <x:f>IF(C101="","",SUMIFS(T_GD[Thực ghi số dư +/-],T_GD[Khóa đơn],N101,T_GD[Nhóm giao dịch],"Quyết toán",T_GD[Ngày giao dịch sàn],"&gt;="&amp;'Tong_hop'!$C$4,T_GD[Ngày giao dịch sàn],"&lt;"&amp;'Tong_hop'!$F$4))</x:f>
      </x:c>
      <x:c r="Q101" s="27" t="str">
        <x:f>IF(C101="","",IF(ISNUMBER(K101),K101+P101,"n.a."))</x:f>
      </x:c>
      <x:c r="R101" s="27" t="str">
        <x:f>IF(C101="","",IF(AND(ISNUMBER(O101),ISNUMBER(Q101)),Q101-O101,"n.a."))</x:f>
      </x:c>
      <x:c r="S101" s="23" t="str">
        <x:f>IF(C101="","",IF(T101&lt;&gt;"","Sửa dữ liệu",IF(D101&gt;='Tong_hop'!$F$4,"Ngoài kỳ",IF(ABS(R101)&lt;='Tong_hop'!$I$4,"Khớp",IF(R101&gt;'Tong_hop'!$I$4,"QT vượt dự kiến",IF(L101&lt;'Tong_hop'!$F$4,"Quá hạn / thiếu QT",IF(Q101=0,"Chờ QT","Chờ QT một phần")))))))</x:f>
      </x:c>
      <x:c r="T101" s="23" t="str">
        <x:f>IF(COUNTA(A101:M101)=0,"",IF(OR(NOT(OR(A101="TikTok Shop",A101="Shopee",A101="Lazada")),B101="",C101="",NOT(ISNUMBER(D101)),COUNT(E101:K101)&lt;&gt;7,NOT(ISNUMBER(L101))),"Thiếu/sai dữ liệu",IF(NOT(COUNTIFS(T_SoDu[Khóa shop],A101&amp;"|"&amp;B101)=1),"Shop chưa khai báo",IF(COUNTIFS(T_Don[Khóa đơn],N101)&lt;&gt;1,"Trùng mã đơn",""))))</x:f>
      </x:c>
      <x:c r="U101" s="27" t="str">
        <x:f>IF(C101="","",IF(COUNT(E101:F101)=2,SUM(E101:F101),"n.a."))</x:f>
      </x:c>
    </x:row>
    <x:row r="102" ht="22" customHeight="1">
      <x:c r="A102" s="10"/>
      <x:c r="B102" s="10"/>
      <x:c r="C102" s="24"/>
      <x:c r="D102" s="25"/>
      <x:c r="E102" s="26"/>
      <x:c r="F102" s="26"/>
      <x:c r="G102" s="26"/>
      <x:c r="H102" s="26"/>
      <x:c r="I102" s="26"/>
      <x:c r="J102" s="26"/>
      <x:c r="K102" s="26"/>
      <x:c r="L102" s="25"/>
      <x:c r="M102" s="10"/>
      <x:c r="N102" s="23" t="str">
        <x:f>IF(C102="","",A102&amp;"|"&amp;B102&amp;"|"&amp;C102)</x:f>
      </x:c>
      <x:c r="O102" s="27" t="str">
        <x:f>IF(C102="","",IF(COUNT(E102:K102)=7,U102-SUM(G102:I102)+J102,"n.a."))</x:f>
      </x:c>
      <x:c r="P102" s="27" t="str">
        <x:f>IF(C102="","",SUMIFS(T_GD[Thực ghi số dư +/-],T_GD[Khóa đơn],N102,T_GD[Nhóm giao dịch],"Quyết toán",T_GD[Ngày giao dịch sàn],"&gt;="&amp;'Tong_hop'!$C$4,T_GD[Ngày giao dịch sàn],"&lt;"&amp;'Tong_hop'!$F$4))</x:f>
      </x:c>
      <x:c r="Q102" s="27" t="str">
        <x:f>IF(C102="","",IF(ISNUMBER(K102),K102+P102,"n.a."))</x:f>
      </x:c>
      <x:c r="R102" s="27" t="str">
        <x:f>IF(C102="","",IF(AND(ISNUMBER(O102),ISNUMBER(Q102)),Q102-O102,"n.a."))</x:f>
      </x:c>
      <x:c r="S102" s="23" t="str">
        <x:f>IF(C102="","",IF(T102&lt;&gt;"","Sửa dữ liệu",IF(D102&gt;='Tong_hop'!$F$4,"Ngoài kỳ",IF(ABS(R102)&lt;='Tong_hop'!$I$4,"Khớp",IF(R102&gt;'Tong_hop'!$I$4,"QT vượt dự kiến",IF(L102&lt;'Tong_hop'!$F$4,"Quá hạn / thiếu QT",IF(Q102=0,"Chờ QT","Chờ QT một phần")))))))</x:f>
      </x:c>
      <x:c r="T102" s="23" t="str">
        <x:f>IF(COUNTA(A102:M102)=0,"",IF(OR(NOT(OR(A102="TikTok Shop",A102="Shopee",A102="Lazada")),B102="",C102="",NOT(ISNUMBER(D102)),COUNT(E102:K102)&lt;&gt;7,NOT(ISNUMBER(L102))),"Thiếu/sai dữ liệu",IF(NOT(COUNTIFS(T_SoDu[Khóa shop],A102&amp;"|"&amp;B102)=1),"Shop chưa khai báo",IF(COUNTIFS(T_Don[Khóa đơn],N102)&lt;&gt;1,"Trùng mã đơn",""))))</x:f>
      </x:c>
      <x:c r="U102" s="27" t="str">
        <x:f>IF(C102="","",IF(COUNT(E102:F102)=2,SUM(E102:F102),"n.a."))</x:f>
      </x:c>
    </x:row>
    <x:row r="103" ht="22" customHeight="1">
      <x:c r="A103" s="10"/>
      <x:c r="B103" s="10"/>
      <x:c r="C103" s="24"/>
      <x:c r="D103" s="25"/>
      <x:c r="E103" s="26"/>
      <x:c r="F103" s="26"/>
      <x:c r="G103" s="26"/>
      <x:c r="H103" s="26"/>
      <x:c r="I103" s="26"/>
      <x:c r="J103" s="26"/>
      <x:c r="K103" s="26"/>
      <x:c r="L103" s="25"/>
      <x:c r="M103" s="10"/>
      <x:c r="N103" s="23" t="str">
        <x:f>IF(C103="","",A103&amp;"|"&amp;B103&amp;"|"&amp;C103)</x:f>
      </x:c>
      <x:c r="O103" s="27" t="str">
        <x:f>IF(C103="","",IF(COUNT(E103:K103)=7,U103-SUM(G103:I103)+J103,"n.a."))</x:f>
      </x:c>
      <x:c r="P103" s="27" t="str">
        <x:f>IF(C103="","",SUMIFS(T_GD[Thực ghi số dư +/-],T_GD[Khóa đơn],N103,T_GD[Nhóm giao dịch],"Quyết toán",T_GD[Ngày giao dịch sàn],"&gt;="&amp;'Tong_hop'!$C$4,T_GD[Ngày giao dịch sàn],"&lt;"&amp;'Tong_hop'!$F$4))</x:f>
      </x:c>
      <x:c r="Q103" s="27" t="str">
        <x:f>IF(C103="","",IF(ISNUMBER(K103),K103+P103,"n.a."))</x:f>
      </x:c>
      <x:c r="R103" s="27" t="str">
        <x:f>IF(C103="","",IF(AND(ISNUMBER(O103),ISNUMBER(Q103)),Q103-O103,"n.a."))</x:f>
      </x:c>
      <x:c r="S103" s="23" t="str">
        <x:f>IF(C103="","",IF(T103&lt;&gt;"","Sửa dữ liệu",IF(D103&gt;='Tong_hop'!$F$4,"Ngoài kỳ",IF(ABS(R103)&lt;='Tong_hop'!$I$4,"Khớp",IF(R103&gt;'Tong_hop'!$I$4,"QT vượt dự kiến",IF(L103&lt;'Tong_hop'!$F$4,"Quá hạn / thiếu QT",IF(Q103=0,"Chờ QT","Chờ QT một phần")))))))</x:f>
      </x:c>
      <x:c r="T103" s="23" t="str">
        <x:f>IF(COUNTA(A103:M103)=0,"",IF(OR(NOT(OR(A103="TikTok Shop",A103="Shopee",A103="Lazada")),B103="",C103="",NOT(ISNUMBER(D103)),COUNT(E103:K103)&lt;&gt;7,NOT(ISNUMBER(L103))),"Thiếu/sai dữ liệu",IF(NOT(COUNTIFS(T_SoDu[Khóa shop],A103&amp;"|"&amp;B103)=1),"Shop chưa khai báo",IF(COUNTIFS(T_Don[Khóa đơn],N103)&lt;&gt;1,"Trùng mã đơn",""))))</x:f>
      </x:c>
      <x:c r="U103" s="27" t="str">
        <x:f>IF(C103="","",IF(COUNT(E103:F103)=2,SUM(E103:F103),"n.a."))</x:f>
      </x:c>
    </x:row>
    <x:row r="104" ht="22" customHeight="1">
      <x:c r="A104" s="10"/>
      <x:c r="B104" s="10"/>
      <x:c r="C104" s="24"/>
      <x:c r="D104" s="25"/>
      <x:c r="E104" s="26"/>
      <x:c r="F104" s="26"/>
      <x:c r="G104" s="26"/>
      <x:c r="H104" s="26"/>
      <x:c r="I104" s="26"/>
      <x:c r="J104" s="26"/>
      <x:c r="K104" s="26"/>
      <x:c r="L104" s="25"/>
      <x:c r="M104" s="10"/>
      <x:c r="N104" s="23" t="str">
        <x:f>IF(C104="","",A104&amp;"|"&amp;B104&amp;"|"&amp;C104)</x:f>
      </x:c>
      <x:c r="O104" s="27" t="str">
        <x:f>IF(C104="","",IF(COUNT(E104:K104)=7,U104-SUM(G104:I104)+J104,"n.a."))</x:f>
      </x:c>
      <x:c r="P104" s="27" t="str">
        <x:f>IF(C104="","",SUMIFS(T_GD[Thực ghi số dư +/-],T_GD[Khóa đơn],N104,T_GD[Nhóm giao dịch],"Quyết toán",T_GD[Ngày giao dịch sàn],"&gt;="&amp;'Tong_hop'!$C$4,T_GD[Ngày giao dịch sàn],"&lt;"&amp;'Tong_hop'!$F$4))</x:f>
      </x:c>
      <x:c r="Q104" s="27" t="str">
        <x:f>IF(C104="","",IF(ISNUMBER(K104),K104+P104,"n.a."))</x:f>
      </x:c>
      <x:c r="R104" s="27" t="str">
        <x:f>IF(C104="","",IF(AND(ISNUMBER(O104),ISNUMBER(Q104)),Q104-O104,"n.a."))</x:f>
      </x:c>
      <x:c r="S104" s="23" t="str">
        <x:f>IF(C104="","",IF(T104&lt;&gt;"","Sửa dữ liệu",IF(D104&gt;='Tong_hop'!$F$4,"Ngoài kỳ",IF(ABS(R104)&lt;='Tong_hop'!$I$4,"Khớp",IF(R104&gt;'Tong_hop'!$I$4,"QT vượt dự kiến",IF(L104&lt;'Tong_hop'!$F$4,"Quá hạn / thiếu QT",IF(Q104=0,"Chờ QT","Chờ QT một phần")))))))</x:f>
      </x:c>
      <x:c r="T104" s="23" t="str">
        <x:f>IF(COUNTA(A104:M104)=0,"",IF(OR(NOT(OR(A104="TikTok Shop",A104="Shopee",A104="Lazada")),B104="",C104="",NOT(ISNUMBER(D104)),COUNT(E104:K104)&lt;&gt;7,NOT(ISNUMBER(L104))),"Thiếu/sai dữ liệu",IF(NOT(COUNTIFS(T_SoDu[Khóa shop],A104&amp;"|"&amp;B104)=1),"Shop chưa khai báo",IF(COUNTIFS(T_Don[Khóa đơn],N104)&lt;&gt;1,"Trùng mã đơn",""))))</x:f>
      </x:c>
      <x:c r="U104" s="27" t="str">
        <x:f>IF(C104="","",IF(COUNT(E104:F104)=2,SUM(E104:F104),"n.a."))</x:f>
      </x:c>
    </x:row>
    <x:row r="105" ht="22" customHeight="1">
      <x:c r="A105" s="10"/>
      <x:c r="B105" s="10"/>
      <x:c r="C105" s="24"/>
      <x:c r="D105" s="25"/>
      <x:c r="E105" s="26"/>
      <x:c r="F105" s="26"/>
      <x:c r="G105" s="26"/>
      <x:c r="H105" s="26"/>
      <x:c r="I105" s="26"/>
      <x:c r="J105" s="26"/>
      <x:c r="K105" s="26"/>
      <x:c r="L105" s="25"/>
      <x:c r="M105" s="10"/>
      <x:c r="N105" s="23" t="str">
        <x:f>IF(C105="","",A105&amp;"|"&amp;B105&amp;"|"&amp;C105)</x:f>
      </x:c>
      <x:c r="O105" s="27" t="str">
        <x:f>IF(C105="","",IF(COUNT(E105:K105)=7,U105-SUM(G105:I105)+J105,"n.a."))</x:f>
      </x:c>
      <x:c r="P105" s="27" t="str">
        <x:f>IF(C105="","",SUMIFS(T_GD[Thực ghi số dư +/-],T_GD[Khóa đơn],N105,T_GD[Nhóm giao dịch],"Quyết toán",T_GD[Ngày giao dịch sàn],"&gt;="&amp;'Tong_hop'!$C$4,T_GD[Ngày giao dịch sàn],"&lt;"&amp;'Tong_hop'!$F$4))</x:f>
      </x:c>
      <x:c r="Q105" s="27" t="str">
        <x:f>IF(C105="","",IF(ISNUMBER(K105),K105+P105,"n.a."))</x:f>
      </x:c>
      <x:c r="R105" s="27" t="str">
        <x:f>IF(C105="","",IF(AND(ISNUMBER(O105),ISNUMBER(Q105)),Q105-O105,"n.a."))</x:f>
      </x:c>
      <x:c r="S105" s="23" t="str">
        <x:f>IF(C105="","",IF(T105&lt;&gt;"","Sửa dữ liệu",IF(D105&gt;='Tong_hop'!$F$4,"Ngoài kỳ",IF(ABS(R105)&lt;='Tong_hop'!$I$4,"Khớp",IF(R105&gt;'Tong_hop'!$I$4,"QT vượt dự kiến",IF(L105&lt;'Tong_hop'!$F$4,"Quá hạn / thiếu QT",IF(Q105=0,"Chờ QT","Chờ QT một phần")))))))</x:f>
      </x:c>
      <x:c r="T105" s="23" t="str">
        <x:f>IF(COUNTA(A105:M105)=0,"",IF(OR(NOT(OR(A105="TikTok Shop",A105="Shopee",A105="Lazada")),B105="",C105="",NOT(ISNUMBER(D105)),COUNT(E105:K105)&lt;&gt;7,NOT(ISNUMBER(L105))),"Thiếu/sai dữ liệu",IF(NOT(COUNTIFS(T_SoDu[Khóa shop],A105&amp;"|"&amp;B105)=1),"Shop chưa khai báo",IF(COUNTIFS(T_Don[Khóa đơn],N105)&lt;&gt;1,"Trùng mã đơn",""))))</x:f>
      </x:c>
      <x:c r="U105" s="27" t="str">
        <x:f>IF(C105="","",IF(COUNT(E105:F105)=2,SUM(E105:F105),"n.a."))</x:f>
      </x:c>
    </x:row>
    <x:row r="106" ht="22" customHeight="1">
      <x:c r="A106" s="10"/>
      <x:c r="B106" s="10"/>
      <x:c r="C106" s="24"/>
      <x:c r="D106" s="25"/>
      <x:c r="E106" s="26"/>
      <x:c r="F106" s="26"/>
      <x:c r="G106" s="26"/>
      <x:c r="H106" s="26"/>
      <x:c r="I106" s="26"/>
      <x:c r="J106" s="26"/>
      <x:c r="K106" s="26"/>
      <x:c r="L106" s="25"/>
      <x:c r="M106" s="10"/>
      <x:c r="N106" s="23" t="str">
        <x:f>IF(C106="","",A106&amp;"|"&amp;B106&amp;"|"&amp;C106)</x:f>
      </x:c>
      <x:c r="O106" s="27" t="str">
        <x:f>IF(C106="","",IF(COUNT(E106:K106)=7,U106-SUM(G106:I106)+J106,"n.a."))</x:f>
      </x:c>
      <x:c r="P106" s="27" t="str">
        <x:f>IF(C106="","",SUMIFS(T_GD[Thực ghi số dư +/-],T_GD[Khóa đơn],N106,T_GD[Nhóm giao dịch],"Quyết toán",T_GD[Ngày giao dịch sàn],"&gt;="&amp;'Tong_hop'!$C$4,T_GD[Ngày giao dịch sàn],"&lt;"&amp;'Tong_hop'!$F$4))</x:f>
      </x:c>
      <x:c r="Q106" s="27" t="str">
        <x:f>IF(C106="","",IF(ISNUMBER(K106),K106+P106,"n.a."))</x:f>
      </x:c>
      <x:c r="R106" s="27" t="str">
        <x:f>IF(C106="","",IF(AND(ISNUMBER(O106),ISNUMBER(Q106)),Q106-O106,"n.a."))</x:f>
      </x:c>
      <x:c r="S106" s="23" t="str">
        <x:f>IF(C106="","",IF(T106&lt;&gt;"","Sửa dữ liệu",IF(D106&gt;='Tong_hop'!$F$4,"Ngoài kỳ",IF(ABS(R106)&lt;='Tong_hop'!$I$4,"Khớp",IF(R106&gt;'Tong_hop'!$I$4,"QT vượt dự kiến",IF(L106&lt;'Tong_hop'!$F$4,"Quá hạn / thiếu QT",IF(Q106=0,"Chờ QT","Chờ QT một phần")))))))</x:f>
      </x:c>
      <x:c r="T106" s="23" t="str">
        <x:f>IF(COUNTA(A106:M106)=0,"",IF(OR(NOT(OR(A106="TikTok Shop",A106="Shopee",A106="Lazada")),B106="",C106="",NOT(ISNUMBER(D106)),COUNT(E106:K106)&lt;&gt;7,NOT(ISNUMBER(L106))),"Thiếu/sai dữ liệu",IF(NOT(COUNTIFS(T_SoDu[Khóa shop],A106&amp;"|"&amp;B106)=1),"Shop chưa khai báo",IF(COUNTIFS(T_Don[Khóa đơn],N106)&lt;&gt;1,"Trùng mã đơn",""))))</x:f>
      </x:c>
      <x:c r="U106" s="27" t="str">
        <x:f>IF(C106="","",IF(COUNT(E106:F106)=2,SUM(E106:F106),"n.a."))</x:f>
      </x:c>
    </x:row>
  </x:sheetData>
  <x:conditionalFormatting sqref="T7:T106">
    <x:cfRule type="expression" dxfId="7" priority="1">
      <x:formula>T7&lt;&gt;""</x:formula>
    </x:cfRule>
  </x:conditionalFormatting>
  <x:conditionalFormatting sqref="R7:S106">
    <x:cfRule type="expression" dxfId="12" priority="2">
      <x:formula>AND(ISNUMBER($R7),ABS($R7)&gt;'Tong_hop'!$I$4,OR($S7="Quá hạn / thiếu QT",$S7="QT vượt dự kiến"))</x:formula>
    </x:cfRule>
  </x:conditionalFormatting>
  <x:dataValidations count="1">
    <x:dataValidation type="list" sqref="A7:A106">
      <x:formula1>"TikTok Shop,Shopee,Lazada"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41c36b4a464c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9" hidden="0" customWidth="1"/>
    <x:col min="18" max="18" width="39" hidden="0" customWidth="1"/>
    <x:col min="19" max="19" width="38" hidden="0" customWidth="1"/>
    <x:col min="20" max="20" width="2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3" t="str">
        <x:v>GIAO DỊCH TÀI CHÍNH SÀN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22" customHeight="1">
      <x:c r="A4" s="2" t="str">
        <x:v>Một dòng / giao dịch. G:K và M nhập dương; L,N có dấu. N lấy độc lập từ số thực ghi số dư của sàn.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Cột S là nguồn/ghi chú được nhập tay. QT = tiền sàn ghi vào số dư, chưa phải tiền về ngân hàng.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8" customHeight="1">
      <x:c r="A6" s="20" t="str">
        <x:v>Sàn</x:v>
      </x:c>
      <x:c r="B6" s="21" t="str">
        <x:v>Shop</x:v>
      </x:c>
      <x:c r="C6" s="21" t="str">
        <x:v>Mã giao dịch</x:v>
      </x:c>
      <x:c r="D6" s="21" t="str">
        <x:v>Mã đơn</x:v>
      </x:c>
      <x:c r="E6" s="21" t="str">
        <x:v>Ngày giao dịch sàn</x:v>
      </x:c>
      <x:c r="F6" s="21" t="str">
        <x:v>Nhóm giao dịch</x:v>
      </x:c>
      <x:c r="G6" s="21" t="str">
        <x:v>Tiền hàng ghi có</x:v>
      </x:c>
      <x:c r="H6" s="21" t="str">
        <x:v>Hỗ trợ ghi có</x:v>
      </x:c>
      <x:c r="I6" s="21" t="str">
        <x:v>Hoàn tiền shop chịu</x:v>
      </x:c>
      <x:c r="J6" s="21" t="str">
        <x:v>Phí sàn cấn trừ</x:v>
      </x:c>
      <x:c r="K6" s="21" t="str">
        <x:v>Ship shop chịu</x:v>
      </x:c>
      <x:c r="L6" s="21" t="str">
        <x:v>Điều chỉnh khác +/-</x:v>
      </x:c>
      <x:c r="M6" s="21" t="str">
        <x:v>Nạp vào số dư</x:v>
      </x:c>
      <x:c r="N6" s="21" t="str">
        <x:v>Thực ghi số dư +/-</x:v>
      </x:c>
      <x:c r="O6" s="21" t="str">
        <x:v>Tính lại số dư</x:v>
      </x:c>
      <x:c r="P6" s="21" t="str">
        <x:v>Chênh giao dịch</x:v>
      </x:c>
      <x:c r="Q6" s="21" t="str">
        <x:v>Khóa giao dịch</x:v>
      </x:c>
      <x:c r="R6" s="21" t="str">
        <x:v>Khóa đơn</x:v>
      </x:c>
      <x:c r="S6" s="21" t="str">
        <x:v>Mã sao kê / nguồn</x:v>
      </x:c>
      <x:c r="T6" s="22" t="str">
        <x:v>Kiểm tra dữ liệu</x:v>
      </x:c>
    </x:row>
    <x:row r="7" ht="22" customHeight="1">
      <x:c r="A7" s="10" t="str">
        <x:v>TikTok Shop</x:v>
      </x:c>
      <x:c r="B7" s="10" t="str">
        <x:v>DEMO_TT</x:v>
      </x:c>
      <x:c r="C7" s="24" t="str">
        <x:v>TT-F01</x:v>
      </x:c>
      <x:c r="D7" s="24" t="str">
        <x:v>TT-OLD</x:v>
      </x:c>
      <x:c r="E7" s="25" t="d">
        <x:v>2026-09-02T00:00:00.000Z</x:v>
      </x:c>
      <x:c r="F7" s="10" t="str">
        <x:v>Quyết toán</x:v>
      </x:c>
      <x:c r="G7" s="26" t="n">
        <x:v>600000</x:v>
      </x:c>
      <x:c r="H7" s="26" t="n">
        <x:v>0</x:v>
      </x:c>
      <x:c r="I7" s="26" t="n">
        <x:v>0</x:v>
      </x:c>
      <x:c r="J7" s="26" t="n">
        <x:v>60000</x:v>
      </x:c>
      <x:c r="K7" s="26" t="n">
        <x:v>0</x:v>
      </x:c>
      <x:c r="L7" s="26" t="n">
        <x:v>0</x:v>
      </x:c>
      <x:c r="M7" s="26" t="n">
        <x:v>0</x:v>
      </x:c>
      <x:c r="N7" s="26" t="n">
        <x:v>540000</x:v>
      </x:c>
      <x:c r="O7" s="27" t="n">
        <x:f>IF(C7="","",IF(COUNT(G7:M7)=7,SUM(G7:H7)-SUM(I7:K7)+SUM(L7:M7),"n.a."))</x:f>
        <x:v>540000</x:v>
      </x:c>
      <x:c r="P7" s="27" t="n">
        <x:f>IF(C7="","",IF(COUNT(N7:O7)=2,N7-O7,"n.a."))</x:f>
        <x:v>0</x:v>
      </x:c>
      <x:c r="Q7" s="23" t="str">
        <x:f>IF(C7="","",A7&amp;"|"&amp;B7&amp;"|"&amp;C7)</x:f>
        <x:v>TikTok Shop|DEMO_TT|TT-F01</x:v>
      </x:c>
      <x:c r="R7" s="23" t="str">
        <x:f>IF(D7="","",A7&amp;"|"&amp;B7&amp;"|"&amp;D7)</x:f>
        <x:v>TikTok Shop|DEMO_TT|TT-OLD</x:v>
      </x:c>
      <x:c r="S7" s="10" t="str">
        <x:v>Minh họa</x:v>
      </x:c>
      <x:c r="T7" s="23" t="str">
        <x:f>IF(COUNTA(A7:N7)=0,"",IF(OR(NOT(OR(A7="TikTok Shop",A7="Shopee",A7="Lazada")),B7="",C7="",NOT(ISNUMBER(E7)),AND(F7&lt;&gt;"Quyết toán",F7&lt;&gt;"Số dư"),COUNT(G7:N7)&lt;&gt;8),"Thiếu/sai dữ liệu",IF(NOT(COUNTIFS(T_SoDu[Khóa shop],A7&amp;"|"&amp;B7)=1),"Shop chưa khai báo",IF(COUNTIFS(T_GD[Khóa giao dịch],Q7)&lt;&gt;1,"Trùng giao dịch",IF(AND(D7&lt;&gt;"",COUNTIFS(T_Don[Khóa đơn],R7)&lt;&gt;1),"Không có đơn duy nhất","")))))</x:f>
      </x:c>
    </x:row>
    <x:row r="8" ht="22" customHeight="1">
      <x:c r="A8" s="10" t="str">
        <x:v>TikTok Shop</x:v>
      </x:c>
      <x:c r="B8" s="10" t="str">
        <x:v>DEMO_TT</x:v>
      </x:c>
      <x:c r="C8" s="24" t="str">
        <x:v>TT-F02</x:v>
      </x:c>
      <x:c r="D8" s="24" t="str">
        <x:v>TT-001</x:v>
      </x:c>
      <x:c r="E8" s="25" t="d">
        <x:v>2026-09-10T00:00:00.000Z</x:v>
      </x:c>
      <x:c r="F8" s="10" t="str">
        <x:v>Quyết toán</x:v>
      </x:c>
      <x:c r="G8" s="26" t="n">
        <x:v>1000000</x:v>
      </x:c>
      <x:c r="H8" s="26" t="n">
        <x:v>0</x:v>
      </x:c>
      <x:c r="I8" s="26" t="n">
        <x:v>0</x:v>
      </x:c>
      <x:c r="J8" s="26" t="n">
        <x:v>100000</x:v>
      </x:c>
      <x:c r="K8" s="26" t="n">
        <x:v>20000</x:v>
      </x:c>
      <x:c r="L8" s="26" t="n">
        <x:v>0</x:v>
      </x:c>
      <x:c r="M8" s="26" t="n">
        <x:v>0</x:v>
      </x:c>
      <x:c r="N8" s="26" t="n">
        <x:v>880000</x:v>
      </x:c>
      <x:c r="O8" s="27" t="n">
        <x:f>IF(C8="","",IF(COUNT(G8:M8)=7,SUM(G8:H8)-SUM(I8:K8)+SUM(L8:M8),"n.a."))</x:f>
        <x:v>880000</x:v>
      </x:c>
      <x:c r="P8" s="27" t="n">
        <x:f>IF(C8="","",IF(COUNT(N8:O8)=2,N8-O8,"n.a."))</x:f>
        <x:v>0</x:v>
      </x:c>
      <x:c r="Q8" s="23" t="str">
        <x:f>IF(C8="","",A8&amp;"|"&amp;B8&amp;"|"&amp;C8)</x:f>
        <x:v>TikTok Shop|DEMO_TT|TT-F02</x:v>
      </x:c>
      <x:c r="R8" s="23" t="str">
        <x:f>IF(D8="","",A8&amp;"|"&amp;B8&amp;"|"&amp;D8)</x:f>
        <x:v>TikTok Shop|DEMO_TT|TT-001</x:v>
      </x:c>
      <x:c r="S8" s="10" t="str">
        <x:v>Minh họa</x:v>
      </x:c>
      <x:c r="T8" s="23" t="str">
        <x:f>IF(COUNTA(A8:N8)=0,"",IF(OR(NOT(OR(A8="TikTok Shop",A8="Shopee",A8="Lazada")),B8="",C8="",NOT(ISNUMBER(E8)),AND(F8&lt;&gt;"Quyết toán",F8&lt;&gt;"Số dư"),COUNT(G8:N8)&lt;&gt;8),"Thiếu/sai dữ liệu",IF(NOT(COUNTIFS(T_SoDu[Khóa shop],A8&amp;"|"&amp;B8)=1),"Shop chưa khai báo",IF(COUNTIFS(T_GD[Khóa giao dịch],Q8)&lt;&gt;1,"Trùng giao dịch",IF(AND(D8&lt;&gt;"",COUNTIFS(T_Don[Khóa đơn],R8)&lt;&gt;1),"Không có đơn duy nhất","")))))</x:f>
      </x:c>
    </x:row>
    <x:row r="9" ht="22" customHeight="1">
      <x:c r="A9" s="10" t="str">
        <x:v>TikTok Shop</x:v>
      </x:c>
      <x:c r="B9" s="10" t="str">
        <x:v>DEMO_TT</x:v>
      </x:c>
      <x:c r="C9" s="24" t="str">
        <x:v>TT-F03</x:v>
      </x:c>
      <x:c r="D9" s="24" t="str"/>
      <x:c r="E9" s="25" t="d">
        <x:v>2026-09-15T00:00:00.000Z</x:v>
      </x:c>
      <x:c r="F9" s="10" t="str">
        <x:v>Số dư</x:v>
      </x:c>
      <x:c r="G9" s="26" t="n">
        <x:v>0</x:v>
      </x:c>
      <x:c r="H9" s="26" t="n">
        <x:v>0</x:v>
      </x:c>
      <x:c r="I9" s="26" t="n">
        <x:v>0</x:v>
      </x:c>
      <x:c r="J9" s="26" t="n">
        <x:v>30000</x:v>
      </x:c>
      <x:c r="K9" s="26" t="n">
        <x:v>0</x:v>
      </x:c>
      <x:c r="L9" s="26" t="n">
        <x:v>0</x:v>
      </x:c>
      <x:c r="M9" s="26" t="n">
        <x:v>0</x:v>
      </x:c>
      <x:c r="N9" s="26" t="n">
        <x:v>-30000</x:v>
      </x:c>
      <x:c r="O9" s="27" t="n">
        <x:f>IF(C9="","",IF(COUNT(G9:M9)=7,SUM(G9:H9)-SUM(I9:K9)+SUM(L9:M9),"n.a."))</x:f>
        <x:v>-30000</x:v>
      </x:c>
      <x:c r="P9" s="27" t="n">
        <x:f>IF(C9="","",IF(COUNT(N9:O9)=2,N9-O9,"n.a."))</x:f>
        <x:v>0</x:v>
      </x:c>
      <x:c r="Q9" s="23" t="str">
        <x:f>IF(C9="","",A9&amp;"|"&amp;B9&amp;"|"&amp;C9)</x:f>
        <x:v>TikTok Shop|DEMO_TT|TT-F03</x:v>
      </x:c>
      <x:c r="R9" s="23" t="str">
        <x:f>IF(D9="","",A9&amp;"|"&amp;B9&amp;"|"&amp;D9)</x:f>
      </x:c>
      <x:c r="S9" s="10" t="str">
        <x:v>Trừ số dư cho quảng cáo</x:v>
      </x:c>
      <x:c r="T9" s="23" t="str">
        <x:f>IF(COUNTA(A9:N9)=0,"",IF(OR(NOT(OR(A9="TikTok Shop",A9="Shopee",A9="Lazada")),B9="",C9="",NOT(ISNUMBER(E9)),AND(F9&lt;&gt;"Quyết toán",F9&lt;&gt;"Số dư"),COUNT(G9:N9)&lt;&gt;8),"Thiếu/sai dữ liệu",IF(NOT(COUNTIFS(T_SoDu[Khóa shop],A9&amp;"|"&amp;B9)=1),"Shop chưa khai báo",IF(COUNTIFS(T_GD[Khóa giao dịch],Q9)&lt;&gt;1,"Trùng giao dịch",IF(AND(D9&lt;&gt;"",COUNTIFS(T_Don[Khóa đơn],R9)&lt;&gt;1),"Không có đơn duy nhất","")))))</x:f>
      </x:c>
    </x:row>
    <x:row r="10" ht="22" customHeight="1">
      <x:c r="A10" s="10" t="str">
        <x:v>TikTok Shop</x:v>
      </x:c>
      <x:c r="B10" s="10" t="str">
        <x:v>DEMO_TT</x:v>
      </x:c>
      <x:c r="C10" s="24" t="str">
        <x:v>TT-F04</x:v>
      </x:c>
      <x:c r="D10" s="24" t="str">
        <x:v>TT-001</x:v>
      </x:c>
      <x:c r="E10" s="25" t="d">
        <x:v>2026-09-20T00:00:00.000Z</x:v>
      </x:c>
      <x:c r="F10" s="10" t="str">
        <x:v>Quyết toán</x:v>
      </x:c>
      <x:c r="G10" s="26" t="n">
        <x:v>0</x:v>
      </x:c>
      <x:c r="H10" s="26" t="n">
        <x:v>0</x:v>
      </x:c>
      <x:c r="I10" s="26" t="n">
        <x:v>100000</x:v>
      </x:c>
      <x:c r="J10" s="26" t="n">
        <x:v>0</x:v>
      </x:c>
      <x:c r="K10" s="26" t="n">
        <x:v>0</x:v>
      </x:c>
      <x:c r="L10" s="26" t="n">
        <x:v>0</x:v>
      </x:c>
      <x:c r="M10" s="26" t="n">
        <x:v>0</x:v>
      </x:c>
      <x:c r="N10" s="26" t="n">
        <x:v>-100000</x:v>
      </x:c>
      <x:c r="O10" s="27" t="n">
        <x:f>IF(C10="","",IF(COUNT(G10:M10)=7,SUM(G10:H10)-SUM(I10:K10)+SUM(L10:M10),"n.a."))</x:f>
        <x:v>-100000</x:v>
      </x:c>
      <x:c r="P10" s="27" t="n">
        <x:f>IF(C10="","",IF(COUNT(N10:O10)=2,N10-O10,"n.a."))</x:f>
        <x:v>0</x:v>
      </x:c>
      <x:c r="Q10" s="23" t="str">
        <x:f>IF(C10="","",A10&amp;"|"&amp;B10&amp;"|"&amp;C10)</x:f>
        <x:v>TikTok Shop|DEMO_TT|TT-F04</x:v>
      </x:c>
      <x:c r="R10" s="23" t="str">
        <x:f>IF(D10="","",A10&amp;"|"&amp;B10&amp;"|"&amp;D10)</x:f>
        <x:v>TikTok Shop|DEMO_TT|TT-001</x:v>
      </x:c>
      <x:c r="S10" s="10" t="str">
        <x:v>Minh họa</x:v>
      </x:c>
      <x:c r="T10" s="23" t="str">
        <x:f>IF(COUNTA(A10:N10)=0,"",IF(OR(NOT(OR(A10="TikTok Shop",A10="Shopee",A10="Lazada")),B10="",C10="",NOT(ISNUMBER(E10)),AND(F10&lt;&gt;"Quyết toán",F10&lt;&gt;"Số dư"),COUNT(G10:N10)&lt;&gt;8),"Thiếu/sai dữ liệu",IF(NOT(COUNTIFS(T_SoDu[Khóa shop],A10&amp;"|"&amp;B10)=1),"Shop chưa khai báo",IF(COUNTIFS(T_GD[Khóa giao dịch],Q10)&lt;&gt;1,"Trùng giao dịch",IF(AND(D10&lt;&gt;"",COUNTIFS(T_Don[Khóa đơn],R10)&lt;&gt;1),"Không có đơn duy nhất","")))))</x:f>
      </x:c>
    </x:row>
    <x:row r="11" ht="22" customHeight="1">
      <x:c r="A11" s="10" t="str">
        <x:v>TikTok Shop</x:v>
      </x:c>
      <x:c r="B11" s="10" t="str">
        <x:v>DEMO_TT</x:v>
      </x:c>
      <x:c r="C11" s="24" t="str">
        <x:v>TT-F05</x:v>
      </x:c>
      <x:c r="D11" s="24" t="str"/>
      <x:c r="E11" s="25" t="d">
        <x:v>2026-09-18T00:00:00.000Z</x:v>
      </x:c>
      <x:c r="F11" s="10" t="str">
        <x:v>Số dư</x:v>
      </x:c>
      <x:c r="G11" s="26" t="n">
        <x:v>0</x:v>
      </x:c>
      <x:c r="H11" s="26" t="n">
        <x:v>0</x:v>
      </x:c>
      <x:c r="I11" s="26" t="n">
        <x:v>0</x:v>
      </x:c>
      <x:c r="J11" s="26" t="n">
        <x:v>0</x:v>
      </x:c>
      <x:c r="K11" s="26" t="n">
        <x:v>0</x:v>
      </x:c>
      <x:c r="L11" s="26" t="n">
        <x:v>0</x:v>
      </x:c>
      <x:c r="M11" s="26" t="n">
        <x:v>50000</x:v>
      </x:c>
      <x:c r="N11" s="26" t="n">
        <x:v>50000</x:v>
      </x:c>
      <x:c r="O11" s="27" t="n">
        <x:f>IF(C11="","",IF(COUNT(G11:M11)=7,SUM(G11:H11)-SUM(I11:K11)+SUM(L11:M11),"n.a."))</x:f>
        <x:v>50000</x:v>
      </x:c>
      <x:c r="P11" s="27" t="n">
        <x:f>IF(C11="","",IF(COUNT(N11:O11)=2,N11-O11,"n.a."))</x:f>
        <x:v>0</x:v>
      </x:c>
      <x:c r="Q11" s="23" t="str">
        <x:f>IF(C11="","",A11&amp;"|"&amp;B11&amp;"|"&amp;C11)</x:f>
        <x:v>TikTok Shop|DEMO_TT|TT-F05</x:v>
      </x:c>
      <x:c r="R11" s="23" t="str">
        <x:f>IF(D11="","",A11&amp;"|"&amp;B11&amp;"|"&amp;D11)</x:f>
      </x:c>
      <x:c r="S11" s="10" t="str">
        <x:v>Công ty nạp thêm, không phải doanh thu</x:v>
      </x:c>
      <x:c r="T11" s="23" t="str">
        <x:f>IF(COUNTA(A11:N11)=0,"",IF(OR(NOT(OR(A11="TikTok Shop",A11="Shopee",A11="Lazada")),B11="",C11="",NOT(ISNUMBER(E11)),AND(F11&lt;&gt;"Quyết toán",F11&lt;&gt;"Số dư"),COUNT(G11:N11)&lt;&gt;8),"Thiếu/sai dữ liệu",IF(NOT(COUNTIFS(T_SoDu[Khóa shop],A11&amp;"|"&amp;B11)=1),"Shop chưa khai báo",IF(COUNTIFS(T_GD[Khóa giao dịch],Q11)&lt;&gt;1,"Trùng giao dịch",IF(AND(D11&lt;&gt;"",COUNTIFS(T_Don[Khóa đơn],R11)&lt;&gt;1),"Không có đơn duy nhất","")))))</x:f>
      </x:c>
    </x:row>
    <x:row r="12" ht="22" customHeight="1">
      <x:c r="A12" s="10" t="str">
        <x:v>TikTok Shop</x:v>
      </x:c>
      <x:c r="B12" s="10" t="str">
        <x:v>DEMO_TT</x:v>
      </x:c>
      <x:c r="C12" s="24" t="str">
        <x:v>TT-F06</x:v>
      </x:c>
      <x:c r="D12" s="24" t="str">
        <x:v>TT-002</x:v>
      </x:c>
      <x:c r="E12" s="25" t="d">
        <x:v>2026-10-05T00:00:00.000Z</x:v>
      </x:c>
      <x:c r="F12" s="10" t="str">
        <x:v>Quyết toán</x:v>
      </x:c>
      <x:c r="G12" s="26" t="n">
        <x:v>500000</x:v>
      </x:c>
      <x:c r="H12" s="26" t="n">
        <x:v>20000</x:v>
      </x:c>
      <x:c r="I12" s="26" t="n">
        <x:v>0</x:v>
      </x:c>
      <x:c r="J12" s="26" t="n">
        <x:v>50000</x:v>
      </x:c>
      <x:c r="K12" s="26" t="n">
        <x:v>10000</x:v>
      </x:c>
      <x:c r="L12" s="26" t="n">
        <x:v>0</x:v>
      </x:c>
      <x:c r="M12" s="26" t="n">
        <x:v>0</x:v>
      </x:c>
      <x:c r="N12" s="26" t="n">
        <x:v>460000</x:v>
      </x:c>
      <x:c r="O12" s="27" t="n">
        <x:f>IF(C12="","",IF(COUNT(G12:M12)=7,SUM(G12:H12)-SUM(I12:K12)+SUM(L12:M12),"n.a."))</x:f>
        <x:v>460000</x:v>
      </x:c>
      <x:c r="P12" s="27" t="n">
        <x:f>IF(C12="","",IF(COUNT(N12:O12)=2,N12-O12,"n.a."))</x:f>
        <x:v>0</x:v>
      </x:c>
      <x:c r="Q12" s="23" t="str">
        <x:f>IF(C12="","",A12&amp;"|"&amp;B12&amp;"|"&amp;C12)</x:f>
        <x:v>TikTok Shop|DEMO_TT|TT-F06</x:v>
      </x:c>
      <x:c r="R12" s="23" t="str">
        <x:f>IF(D12="","",A12&amp;"|"&amp;B12&amp;"|"&amp;D12)</x:f>
        <x:v>TikTok Shop|DEMO_TT|TT-002</x:v>
      </x:c>
      <x:c r="S12" s="10" t="str">
        <x:v>Ngoài T9, không cộng vào T9</x:v>
      </x:c>
      <x:c r="T12" s="23" t="str">
        <x:f>IF(COUNTA(A12:N12)=0,"",IF(OR(NOT(OR(A12="TikTok Shop",A12="Shopee",A12="Lazada")),B12="",C12="",NOT(ISNUMBER(E12)),AND(F12&lt;&gt;"Quyết toán",F12&lt;&gt;"Số dư"),COUNT(G12:N12)&lt;&gt;8),"Thiếu/sai dữ liệu",IF(NOT(COUNTIFS(T_SoDu[Khóa shop],A12&amp;"|"&amp;B12)=1),"Shop chưa khai báo",IF(COUNTIFS(T_GD[Khóa giao dịch],Q12)&lt;&gt;1,"Trùng giao dịch",IF(AND(D12&lt;&gt;"",COUNTIFS(T_Don[Khóa đơn],R12)&lt;&gt;1),"Không có đơn duy nhất","")))))</x:f>
      </x:c>
    </x:row>
    <x:row r="13" ht="22" customHeight="1">
      <x:c r="A13" s="10" t="str">
        <x:v>Shopee</x:v>
      </x:c>
      <x:c r="B13" s="10" t="str">
        <x:v>DEMO_SP</x:v>
      </x:c>
      <x:c r="C13" s="24" t="str">
        <x:v>SP-F01</x:v>
      </x:c>
      <x:c r="D13" s="24" t="str">
        <x:v>SP-OLD</x:v>
      </x:c>
      <x:c r="E13" s="25" t="d">
        <x:v>2026-09-03T00:00:00.000Z</x:v>
      </x:c>
      <x:c r="F13" s="10" t="str">
        <x:v>Quyết toán</x:v>
      </x:c>
      <x:c r="G13" s="26" t="n">
        <x:v>400000</x:v>
      </x:c>
      <x:c r="H13" s="26" t="n">
        <x:v>0</x:v>
      </x:c>
      <x:c r="I13" s="26" t="n">
        <x:v>0</x:v>
      </x:c>
      <x:c r="J13" s="26" t="n">
        <x:v>40000</x:v>
      </x:c>
      <x:c r="K13" s="26" t="n">
        <x:v>0</x:v>
      </x:c>
      <x:c r="L13" s="26" t="n">
        <x:v>0</x:v>
      </x:c>
      <x:c r="M13" s="26" t="n">
        <x:v>0</x:v>
      </x:c>
      <x:c r="N13" s="26" t="n">
        <x:v>360000</x:v>
      </x:c>
      <x:c r="O13" s="27" t="n">
        <x:f>IF(C13="","",IF(COUNT(G13:M13)=7,SUM(G13:H13)-SUM(I13:K13)+SUM(L13:M13),"n.a."))</x:f>
        <x:v>360000</x:v>
      </x:c>
      <x:c r="P13" s="27" t="n">
        <x:f>IF(C13="","",IF(COUNT(N13:O13)=2,N13-O13,"n.a."))</x:f>
        <x:v>0</x:v>
      </x:c>
      <x:c r="Q13" s="23" t="str">
        <x:f>IF(C13="","",A13&amp;"|"&amp;B13&amp;"|"&amp;C13)</x:f>
        <x:v>Shopee|DEMO_SP|SP-F01</x:v>
      </x:c>
      <x:c r="R13" s="23" t="str">
        <x:f>IF(D13="","",A13&amp;"|"&amp;B13&amp;"|"&amp;D13)</x:f>
        <x:v>Shopee|DEMO_SP|SP-OLD</x:v>
      </x:c>
      <x:c r="S13" s="10" t="str">
        <x:v>Minh họa</x:v>
      </x:c>
      <x:c r="T13" s="23" t="str">
        <x:f>IF(COUNTA(A13:N13)=0,"",IF(OR(NOT(OR(A13="TikTok Shop",A13="Shopee",A13="Lazada")),B13="",C13="",NOT(ISNUMBER(E13)),AND(F13&lt;&gt;"Quyết toán",F13&lt;&gt;"Số dư"),COUNT(G13:N13)&lt;&gt;8),"Thiếu/sai dữ liệu",IF(NOT(COUNTIFS(T_SoDu[Khóa shop],A13&amp;"|"&amp;B13)=1),"Shop chưa khai báo",IF(COUNTIFS(T_GD[Khóa giao dịch],Q13)&lt;&gt;1,"Trùng giao dịch",IF(AND(D13&lt;&gt;"",COUNTIFS(T_Don[Khóa đơn],R13)&lt;&gt;1),"Không có đơn duy nhất","")))))</x:f>
      </x:c>
    </x:row>
    <x:row r="14" ht="22" customHeight="1">
      <x:c r="A14" s="10" t="str">
        <x:v>Shopee</x:v>
      </x:c>
      <x:c r="B14" s="10" t="str">
        <x:v>DEMO_SP</x:v>
      </x:c>
      <x:c r="C14" s="24" t="str">
        <x:v>SP-F02</x:v>
      </x:c>
      <x:c r="D14" s="24" t="str">
        <x:v>SP-001</x:v>
      </x:c>
      <x:c r="E14" s="25" t="d">
        <x:v>2026-09-15T00:00:00.000Z</x:v>
      </x:c>
      <x:c r="F14" s="10" t="str">
        <x:v>Quyết toán</x:v>
      </x:c>
      <x:c r="G14" s="26" t="n">
        <x:v>2000000</x:v>
      </x:c>
      <x:c r="H14" s="26" t="n">
        <x:v>50000</x:v>
      </x:c>
      <x:c r="I14" s="26" t="n">
        <x:v>0</x:v>
      </x:c>
      <x:c r="J14" s="26" t="n">
        <x:v>205000</x:v>
      </x:c>
      <x:c r="K14" s="26" t="n">
        <x:v>22000</x:v>
      </x:c>
      <x:c r="L14" s="26" t="n">
        <x:v>0</x:v>
      </x:c>
      <x:c r="M14" s="26" t="n">
        <x:v>0</x:v>
      </x:c>
      <x:c r="N14" s="26" t="n">
        <x:v>1823000</x:v>
      </x:c>
      <x:c r="O14" s="27" t="n">
        <x:f>IF(C14="","",IF(COUNT(G14:M14)=7,SUM(G14:H14)-SUM(I14:K14)+SUM(L14:M14),"n.a."))</x:f>
        <x:v>1823000</x:v>
      </x:c>
      <x:c r="P14" s="27" t="n">
        <x:f>IF(C14="","",IF(COUNT(N14:O14)=2,N14-O14,"n.a."))</x:f>
        <x:v>0</x:v>
      </x:c>
      <x:c r="Q14" s="23" t="str">
        <x:f>IF(C14="","",A14&amp;"|"&amp;B14&amp;"|"&amp;C14)</x:f>
        <x:v>Shopee|DEMO_SP|SP-F02</x:v>
      </x:c>
      <x:c r="R14" s="23" t="str">
        <x:f>IF(D14="","",A14&amp;"|"&amp;B14&amp;"|"&amp;D14)</x:f>
        <x:v>Shopee|DEMO_SP|SP-001</x:v>
      </x:c>
      <x:c r="S14" s="10" t="str">
        <x:v>Ship thực tế cao hơn dự kiến 2.000</x:v>
      </x:c>
      <x:c r="T14" s="23" t="str">
        <x:f>IF(COUNTA(A14:N14)=0,"",IF(OR(NOT(OR(A14="TikTok Shop",A14="Shopee",A14="Lazada")),B14="",C14="",NOT(ISNUMBER(E14)),AND(F14&lt;&gt;"Quyết toán",F14&lt;&gt;"Số dư"),COUNT(G14:N14)&lt;&gt;8),"Thiếu/sai dữ liệu",IF(NOT(COUNTIFS(T_SoDu[Khóa shop],A14&amp;"|"&amp;B14)=1),"Shop chưa khai báo",IF(COUNTIFS(T_GD[Khóa giao dịch],Q14)&lt;&gt;1,"Trùng giao dịch",IF(AND(D14&lt;&gt;"",COUNTIFS(T_Don[Khóa đơn],R14)&lt;&gt;1),"Không có đơn duy nhất","")))))</x:f>
      </x:c>
    </x:row>
    <x:row r="15" ht="22" customHeight="1">
      <x:c r="A15" s="10" t="str">
        <x:v>Shopee</x:v>
      </x:c>
      <x:c r="B15" s="10" t="str">
        <x:v>DEMO_SP</x:v>
      </x:c>
      <x:c r="C15" s="24" t="str">
        <x:v>SP-F03</x:v>
      </x:c>
      <x:c r="D15" s="24" t="str"/>
      <x:c r="E15" s="25" t="d">
        <x:v>2026-09-20T00:00:00.000Z</x:v>
      </x:c>
      <x:c r="F15" s="10" t="str">
        <x:v>Số dư</x:v>
      </x:c>
      <x:c r="G15" s="26" t="n">
        <x:v>0</x:v>
      </x:c>
      <x:c r="H15" s="26" t="n">
        <x:v>0</x:v>
      </x:c>
      <x:c r="I15" s="26" t="n">
        <x:v>0</x:v>
      </x:c>
      <x:c r="J15" s="26" t="n">
        <x:v>0</x:v>
      </x:c>
      <x:c r="K15" s="26" t="n">
        <x:v>0</x:v>
      </x:c>
      <x:c r="L15" s="26" t="n">
        <x:v>25000</x:v>
      </x:c>
      <x:c r="M15" s="26" t="n">
        <x:v>0</x:v>
      </x:c>
      <x:c r="N15" s="26" t="n">
        <x:v>25000</x:v>
      </x:c>
      <x:c r="O15" s="27" t="n">
        <x:f>IF(C15="","",IF(COUNT(G15:M15)=7,SUM(G15:H15)-SUM(I15:K15)+SUM(L15:M15),"n.a."))</x:f>
        <x:v>25000</x:v>
      </x:c>
      <x:c r="P15" s="27" t="n">
        <x:f>IF(C15="","",IF(COUNT(N15:O15)=2,N15-O15,"n.a."))</x:f>
        <x:v>0</x:v>
      </x:c>
      <x:c r="Q15" s="23" t="str">
        <x:f>IF(C15="","",A15&amp;"|"&amp;B15&amp;"|"&amp;C15)</x:f>
        <x:v>Shopee|DEMO_SP|SP-F03</x:v>
      </x:c>
      <x:c r="R15" s="23" t="str">
        <x:f>IF(D15="","",A15&amp;"|"&amp;B15&amp;"|"&amp;D15)</x:f>
      </x:c>
      <x:c r="S15" s="10" t="str">
        <x:v>Bồi thường ngoài đơn</x:v>
      </x:c>
      <x:c r="T15" s="23" t="str">
        <x:f>IF(COUNTA(A15:N15)=0,"",IF(OR(NOT(OR(A15="TikTok Shop",A15="Shopee",A15="Lazada")),B15="",C15="",NOT(ISNUMBER(E15)),AND(F15&lt;&gt;"Quyết toán",F15&lt;&gt;"Số dư"),COUNT(G15:N15)&lt;&gt;8),"Thiếu/sai dữ liệu",IF(NOT(COUNTIFS(T_SoDu[Khóa shop],A15&amp;"|"&amp;B15)=1),"Shop chưa khai báo",IF(COUNTIFS(T_GD[Khóa giao dịch],Q15)&lt;&gt;1,"Trùng giao dịch",IF(AND(D15&lt;&gt;"",COUNTIFS(T_Don[Khóa đơn],R15)&lt;&gt;1),"Không có đơn duy nhất","")))))</x:f>
      </x:c>
    </x:row>
    <x:row r="16" ht="22" customHeight="1">
      <x:c r="A16" s="10" t="str">
        <x:v>Shopee</x:v>
      </x:c>
      <x:c r="B16" s="10" t="str">
        <x:v>DEMO_SP</x:v>
      </x:c>
      <x:c r="C16" s="24" t="str">
        <x:v>SP-F04</x:v>
      </x:c>
      <x:c r="D16" s="24" t="str">
        <x:v>SP-002</x:v>
      </x:c>
      <x:c r="E16" s="25" t="d">
        <x:v>2026-10-03T00:00:00.000Z</x:v>
      </x:c>
      <x:c r="F16" s="10" t="str">
        <x:v>Quyết toán</x:v>
      </x:c>
      <x:c r="G16" s="26" t="n">
        <x:v>700000</x:v>
      </x:c>
      <x:c r="H16" s="26" t="n">
        <x:v>0</x:v>
      </x:c>
      <x:c r="I16" s="26" t="n">
        <x:v>0</x:v>
      </x:c>
      <x:c r="J16" s="26" t="n">
        <x:v>70000</x:v>
      </x:c>
      <x:c r="K16" s="26" t="n">
        <x:v>0</x:v>
      </x:c>
      <x:c r="L16" s="26" t="n">
        <x:v>0</x:v>
      </x:c>
      <x:c r="M16" s="26" t="n">
        <x:v>0</x:v>
      </x:c>
      <x:c r="N16" s="26" t="n">
        <x:v>630000</x:v>
      </x:c>
      <x:c r="O16" s="27" t="n">
        <x:f>IF(C16="","",IF(COUNT(G16:M16)=7,SUM(G16:H16)-SUM(I16:K16)+SUM(L16:M16),"n.a."))</x:f>
        <x:v>630000</x:v>
      </x:c>
      <x:c r="P16" s="27" t="n">
        <x:f>IF(C16="","",IF(COUNT(N16:O16)=2,N16-O16,"n.a."))</x:f>
        <x:v>0</x:v>
      </x:c>
      <x:c r="Q16" s="23" t="str">
        <x:f>IF(C16="","",A16&amp;"|"&amp;B16&amp;"|"&amp;C16)</x:f>
        <x:v>Shopee|DEMO_SP|SP-F04</x:v>
      </x:c>
      <x:c r="R16" s="23" t="str">
        <x:f>IF(D16="","",A16&amp;"|"&amp;B16&amp;"|"&amp;D16)</x:f>
        <x:v>Shopee|DEMO_SP|SP-002</x:v>
      </x:c>
      <x:c r="S16" s="10" t="str">
        <x:v>Minh họa</x:v>
      </x:c>
      <x:c r="T16" s="23" t="str">
        <x:f>IF(COUNTA(A16:N16)=0,"",IF(OR(NOT(OR(A16="TikTok Shop",A16="Shopee",A16="Lazada")),B16="",C16="",NOT(ISNUMBER(E16)),AND(F16&lt;&gt;"Quyết toán",F16&lt;&gt;"Số dư"),COUNT(G16:N16)&lt;&gt;8),"Thiếu/sai dữ liệu",IF(NOT(COUNTIFS(T_SoDu[Khóa shop],A16&amp;"|"&amp;B16)=1),"Shop chưa khai báo",IF(COUNTIFS(T_GD[Khóa giao dịch],Q16)&lt;&gt;1,"Trùng giao dịch",IF(AND(D16&lt;&gt;"",COUNTIFS(T_Don[Khóa đơn],R16)&lt;&gt;1),"Không có đơn duy nhất","")))))</x:f>
      </x:c>
    </x:row>
    <x:row r="17" ht="22" customHeight="1">
      <x:c r="A17" s="10" t="str">
        <x:v>Lazada</x:v>
      </x:c>
      <x:c r="B17" s="10" t="str">
        <x:v>DEMO_LZ</x:v>
      </x:c>
      <x:c r="C17" s="24" t="str">
        <x:v>LZ-F01</x:v>
      </x:c>
      <x:c r="D17" s="24" t="str">
        <x:v>LZ-OLD</x:v>
      </x:c>
      <x:c r="E17" s="25" t="d">
        <x:v>2026-09-02T00:00:00.000Z</x:v>
      </x:c>
      <x:c r="F17" s="10" t="str">
        <x:v>Quyết toán</x:v>
      </x:c>
      <x:c r="G17" s="26" t="n">
        <x:v>350000</x:v>
      </x:c>
      <x:c r="H17" s="26" t="n">
        <x:v>0</x:v>
      </x:c>
      <x:c r="I17" s="26" t="n">
        <x:v>0</x:v>
      </x:c>
      <x:c r="J17" s="26" t="n">
        <x:v>35000</x:v>
      </x:c>
      <x:c r="K17" s="26" t="n">
        <x:v>0</x:v>
      </x:c>
      <x:c r="L17" s="26" t="n">
        <x:v>0</x:v>
      </x:c>
      <x:c r="M17" s="26" t="n">
        <x:v>0</x:v>
      </x:c>
      <x:c r="N17" s="26" t="n">
        <x:v>315000</x:v>
      </x:c>
      <x:c r="O17" s="27" t="n">
        <x:f>IF(C17="","",IF(COUNT(G17:M17)=7,SUM(G17:H17)-SUM(I17:K17)+SUM(L17:M17),"n.a."))</x:f>
        <x:v>315000</x:v>
      </x:c>
      <x:c r="P17" s="27" t="n">
        <x:f>IF(C17="","",IF(COUNT(N17:O17)=2,N17-O17,"n.a."))</x:f>
        <x:v>0</x:v>
      </x:c>
      <x:c r="Q17" s="23" t="str">
        <x:f>IF(C17="","",A17&amp;"|"&amp;B17&amp;"|"&amp;C17)</x:f>
        <x:v>Lazada|DEMO_LZ|LZ-F01</x:v>
      </x:c>
      <x:c r="R17" s="23" t="str">
        <x:f>IF(D17="","",A17&amp;"|"&amp;B17&amp;"|"&amp;D17)</x:f>
        <x:v>Lazada|DEMO_LZ|LZ-OLD</x:v>
      </x:c>
      <x:c r="S17" s="10" t="str">
        <x:v>Minh họa</x:v>
      </x:c>
      <x:c r="T17" s="23" t="str">
        <x:f>IF(COUNTA(A17:N17)=0,"",IF(OR(NOT(OR(A17="TikTok Shop",A17="Shopee",A17="Lazada")),B17="",C17="",NOT(ISNUMBER(E17)),AND(F17&lt;&gt;"Quyết toán",F17&lt;&gt;"Số dư"),COUNT(G17:N17)&lt;&gt;8),"Thiếu/sai dữ liệu",IF(NOT(COUNTIFS(T_SoDu[Khóa shop],A17&amp;"|"&amp;B17)=1),"Shop chưa khai báo",IF(COUNTIFS(T_GD[Khóa giao dịch],Q17)&lt;&gt;1,"Trùng giao dịch",IF(AND(D17&lt;&gt;"",COUNTIFS(T_Don[Khóa đơn],R17)&lt;&gt;1),"Không có đơn duy nhất","")))))</x:f>
      </x:c>
    </x:row>
    <x:row r="18" ht="22" customHeight="1">
      <x:c r="A18" s="10" t="str">
        <x:v>Lazada</x:v>
      </x:c>
      <x:c r="B18" s="10" t="str">
        <x:v>DEMO_LZ</x:v>
      </x:c>
      <x:c r="C18" s="24" t="str">
        <x:v>LZ-F02</x:v>
      </x:c>
      <x:c r="D18" s="24" t="str">
        <x:v>LZ-001</x:v>
      </x:c>
      <x:c r="E18" s="25" t="d">
        <x:v>2026-09-12T00:00:00.000Z</x:v>
      </x:c>
      <x:c r="F18" s="10" t="str">
        <x:v>Quyết toán</x:v>
      </x:c>
      <x:c r="G18" s="26" t="n">
        <x:v>1500000</x:v>
      </x:c>
      <x:c r="H18" s="26" t="n">
        <x:v>0</x:v>
      </x:c>
      <x:c r="I18" s="26" t="n">
        <x:v>0</x:v>
      </x:c>
      <x:c r="J18" s="26" t="n">
        <x:v>150000</x:v>
      </x:c>
      <x:c r="K18" s="26" t="n">
        <x:v>30000</x:v>
      </x:c>
      <x:c r="L18" s="26" t="n">
        <x:v>0</x:v>
      </x:c>
      <x:c r="M18" s="26" t="n">
        <x:v>0</x:v>
      </x:c>
      <x:c r="N18" s="26" t="n">
        <x:v>1320000</x:v>
      </x:c>
      <x:c r="O18" s="27" t="n">
        <x:f>IF(C18="","",IF(COUNT(G18:M18)=7,SUM(G18:H18)-SUM(I18:K18)+SUM(L18:M18),"n.a."))</x:f>
        <x:v>1320000</x:v>
      </x:c>
      <x:c r="P18" s="27" t="n">
        <x:f>IF(C18="","",IF(COUNT(N18:O18)=2,N18-O18,"n.a."))</x:f>
        <x:v>0</x:v>
      </x:c>
      <x:c r="Q18" s="23" t="str">
        <x:f>IF(C18="","",A18&amp;"|"&amp;B18&amp;"|"&amp;C18)</x:f>
        <x:v>Lazada|DEMO_LZ|LZ-F02</x:v>
      </x:c>
      <x:c r="R18" s="23" t="str">
        <x:f>IF(D18="","",A18&amp;"|"&amp;B18&amp;"|"&amp;D18)</x:f>
        <x:v>Lazada|DEMO_LZ|LZ-001</x:v>
      </x:c>
      <x:c r="S18" s="10" t="str">
        <x:v>Minh họa</x:v>
      </x:c>
      <x:c r="T18" s="23" t="str">
        <x:f>IF(COUNTA(A18:N18)=0,"",IF(OR(NOT(OR(A18="TikTok Shop",A18="Shopee",A18="Lazada")),B18="",C18="",NOT(ISNUMBER(E18)),AND(F18&lt;&gt;"Quyết toán",F18&lt;&gt;"Số dư"),COUNT(G18:N18)&lt;&gt;8),"Thiếu/sai dữ liệu",IF(NOT(COUNTIFS(T_SoDu[Khóa shop],A18&amp;"|"&amp;B18)=1),"Shop chưa khai báo",IF(COUNTIFS(T_GD[Khóa giao dịch],Q18)&lt;&gt;1,"Trùng giao dịch",IF(AND(D18&lt;&gt;"",COUNTIFS(T_Don[Khóa đơn],R18)&lt;&gt;1),"Không có đơn duy nhất","")))))</x:f>
      </x:c>
    </x:row>
    <x:row r="19" ht="22" customHeight="1">
      <x:c r="A19" s="10" t="str">
        <x:v>Lazada</x:v>
      </x:c>
      <x:c r="B19" s="10" t="str">
        <x:v>DEMO_LZ</x:v>
      </x:c>
      <x:c r="C19" s="24" t="str">
        <x:v>LZ-F03</x:v>
      </x:c>
      <x:c r="D19" s="24" t="str">
        <x:v>LZ-001</x:v>
      </x:c>
      <x:c r="E19" s="25" t="d">
        <x:v>2026-09-22T00:00:00.000Z</x:v>
      </x:c>
      <x:c r="F19" s="10" t="str">
        <x:v>Quyết toán</x:v>
      </x:c>
      <x:c r="G19" s="26" t="n">
        <x:v>0</x:v>
      </x:c>
      <x:c r="H19" s="26" t="n">
        <x:v>0</x:v>
      </x:c>
      <x:c r="I19" s="26" t="n">
        <x:v>200000</x:v>
      </x:c>
      <x:c r="J19" s="26" t="n">
        <x:v>0</x:v>
      </x:c>
      <x:c r="K19" s="26" t="n">
        <x:v>0</x:v>
      </x:c>
      <x:c r="L19" s="26" t="n">
        <x:v>20000</x:v>
      </x:c>
      <x:c r="M19" s="26" t="n">
        <x:v>0</x:v>
      </x:c>
      <x:c r="N19" s="26" t="n">
        <x:v>-180000</x:v>
      </x:c>
      <x:c r="O19" s="27" t="n">
        <x:f>IF(C19="","",IF(COUNT(G19:M19)=7,SUM(G19:H19)-SUM(I19:K19)+SUM(L19:M19),"n.a."))</x:f>
        <x:v>-180000</x:v>
      </x:c>
      <x:c r="P19" s="27" t="n">
        <x:f>IF(C19="","",IF(COUNT(N19:O19)=2,N19-O19,"n.a."))</x:f>
        <x:v>0</x:v>
      </x:c>
      <x:c r="Q19" s="23" t="str">
        <x:f>IF(C19="","",A19&amp;"|"&amp;B19&amp;"|"&amp;C19)</x:f>
        <x:v>Lazada|DEMO_LZ|LZ-F03</x:v>
      </x:c>
      <x:c r="R19" s="23" t="str">
        <x:f>IF(D19="","",A19&amp;"|"&amp;B19&amp;"|"&amp;D19)</x:f>
        <x:v>Lazada|DEMO_LZ|LZ-001</x:v>
      </x:c>
      <x:c r="S19" s="10" t="str">
        <x:v>Hoàn tiền và hoàn phí</x:v>
      </x:c>
      <x:c r="T19" s="23" t="str">
        <x:f>IF(COUNTA(A19:N19)=0,"",IF(OR(NOT(OR(A19="TikTok Shop",A19="Shopee",A19="Lazada")),B19="",C19="",NOT(ISNUMBER(E19)),AND(F19&lt;&gt;"Quyết toán",F19&lt;&gt;"Số dư"),COUNT(G19:N19)&lt;&gt;8),"Thiếu/sai dữ liệu",IF(NOT(COUNTIFS(T_SoDu[Khóa shop],A19&amp;"|"&amp;B19)=1),"Shop chưa khai báo",IF(COUNTIFS(T_GD[Khóa giao dịch],Q19)&lt;&gt;1,"Trùng giao dịch",IF(AND(D19&lt;&gt;"",COUNTIFS(T_Don[Khóa đơn],R19)&lt;&gt;1),"Không có đơn duy nhất","")))))</x:f>
      </x:c>
    </x:row>
    <x:row r="20" ht="22" customHeight="1">
      <x:c r="A20" s="10" t="str">
        <x:v>Lazada</x:v>
      </x:c>
      <x:c r="B20" s="10" t="str">
        <x:v>DEMO_LZ</x:v>
      </x:c>
      <x:c r="C20" s="24" t="str">
        <x:v>LZ-F04</x:v>
      </x:c>
      <x:c r="D20" s="24" t="str">
        <x:v>LZ-002</x:v>
      </x:c>
      <x:c r="E20" s="25" t="d">
        <x:v>2026-10-06T00:00:00.000Z</x:v>
      </x:c>
      <x:c r="F20" s="10" t="str">
        <x:v>Quyết toán</x:v>
      </x:c>
      <x:c r="G20" s="26" t="n">
        <x:v>800000</x:v>
      </x:c>
      <x:c r="H20" s="26" t="n">
        <x:v>0</x:v>
      </x:c>
      <x:c r="I20" s="26" t="n">
        <x:v>0</x:v>
      </x:c>
      <x:c r="J20" s="26" t="n">
        <x:v>80000</x:v>
      </x:c>
      <x:c r="K20" s="26" t="n">
        <x:v>0</x:v>
      </x:c>
      <x:c r="L20" s="26" t="n">
        <x:v>0</x:v>
      </x:c>
      <x:c r="M20" s="26" t="n">
        <x:v>0</x:v>
      </x:c>
      <x:c r="N20" s="26" t="n">
        <x:v>720000</x:v>
      </x:c>
      <x:c r="O20" s="27" t="n">
        <x:f>IF(C20="","",IF(COUNT(G20:M20)=7,SUM(G20:H20)-SUM(I20:K20)+SUM(L20:M20),"n.a."))</x:f>
        <x:v>720000</x:v>
      </x:c>
      <x:c r="P20" s="27" t="n">
        <x:f>IF(C20="","",IF(COUNT(N20:O20)=2,N20-O20,"n.a."))</x:f>
        <x:v>0</x:v>
      </x:c>
      <x:c r="Q20" s="23" t="str">
        <x:f>IF(C20="","",A20&amp;"|"&amp;B20&amp;"|"&amp;C20)</x:f>
        <x:v>Lazada|DEMO_LZ|LZ-F04</x:v>
      </x:c>
      <x:c r="R20" s="23" t="str">
        <x:f>IF(D20="","",A20&amp;"|"&amp;B20&amp;"|"&amp;D20)</x:f>
        <x:v>Lazada|DEMO_LZ|LZ-002</x:v>
      </x:c>
      <x:c r="S20" s="10" t="str">
        <x:v>Minh họa</x:v>
      </x:c>
      <x:c r="T20" s="23" t="str">
        <x:f>IF(COUNTA(A20:N20)=0,"",IF(OR(NOT(OR(A20="TikTok Shop",A20="Shopee",A20="Lazada")),B20="",C20="",NOT(ISNUMBER(E20)),AND(F20&lt;&gt;"Quyết toán",F20&lt;&gt;"Số dư"),COUNT(G20:N20)&lt;&gt;8),"Thiếu/sai dữ liệu",IF(NOT(COUNTIFS(T_SoDu[Khóa shop],A20&amp;"|"&amp;B20)=1),"Shop chưa khai báo",IF(COUNTIFS(T_GD[Khóa giao dịch],Q20)&lt;&gt;1,"Trùng giao dịch",IF(AND(D20&lt;&gt;"",COUNTIFS(T_Don[Khóa đơn],R20)&lt;&gt;1),"Không có đơn duy nhất","")))))</x:f>
      </x:c>
    </x:row>
    <x:row r="21" ht="22" customHeight="1">
      <x:c r="A21" s="10"/>
      <x:c r="B21" s="10"/>
      <x:c r="C21" s="24"/>
      <x:c r="D21" s="24"/>
      <x:c r="E21" s="25"/>
      <x:c r="F21" s="10"/>
      <x:c r="G21" s="26"/>
      <x:c r="H21" s="26"/>
      <x:c r="I21" s="26"/>
      <x:c r="J21" s="26"/>
      <x:c r="K21" s="26"/>
      <x:c r="L21" s="26"/>
      <x:c r="M21" s="26"/>
      <x:c r="N21" s="26"/>
      <x:c r="O21" s="27" t="str">
        <x:f>IF(C21="","",IF(COUNT(G21:M21)=7,SUM(G21:H21)-SUM(I21:K21)+SUM(L21:M21),"n.a."))</x:f>
      </x:c>
      <x:c r="P21" s="27" t="str">
        <x:f>IF(C21="","",IF(COUNT(N21:O21)=2,N21-O21,"n.a."))</x:f>
      </x:c>
      <x:c r="Q21" s="23" t="str">
        <x:f>IF(C21="","",A21&amp;"|"&amp;B21&amp;"|"&amp;C21)</x:f>
      </x:c>
      <x:c r="R21" s="23" t="str">
        <x:f>IF(D21="","",A21&amp;"|"&amp;B21&amp;"|"&amp;D21)</x:f>
      </x:c>
      <x:c r="S21" s="10"/>
      <x:c r="T21" s="23" t="str">
        <x:f>IF(COUNTA(A21:N21)=0,"",IF(OR(NOT(OR(A21="TikTok Shop",A21="Shopee",A21="Lazada")),B21="",C21="",NOT(ISNUMBER(E21)),AND(F21&lt;&gt;"Quyết toán",F21&lt;&gt;"Số dư"),COUNT(G21:N21)&lt;&gt;8),"Thiếu/sai dữ liệu",IF(NOT(COUNTIFS(T_SoDu[Khóa shop],A21&amp;"|"&amp;B21)=1),"Shop chưa khai báo",IF(COUNTIFS(T_GD[Khóa giao dịch],Q21)&lt;&gt;1,"Trùng giao dịch",IF(AND(D21&lt;&gt;"",COUNTIFS(T_Don[Khóa đơn],R21)&lt;&gt;1),"Không có đơn duy nhất","")))))</x:f>
      </x:c>
    </x:row>
    <x:row r="22" ht="22" customHeight="1">
      <x:c r="A22" s="10"/>
      <x:c r="B22" s="10"/>
      <x:c r="C22" s="24"/>
      <x:c r="D22" s="24"/>
      <x:c r="E22" s="25"/>
      <x:c r="F22" s="10"/>
      <x:c r="G22" s="26"/>
      <x:c r="H22" s="26"/>
      <x:c r="I22" s="26"/>
      <x:c r="J22" s="26"/>
      <x:c r="K22" s="26"/>
      <x:c r="L22" s="26"/>
      <x:c r="M22" s="26"/>
      <x:c r="N22" s="26"/>
      <x:c r="O22" s="27" t="str">
        <x:f>IF(C22="","",IF(COUNT(G22:M22)=7,SUM(G22:H22)-SUM(I22:K22)+SUM(L22:M22),"n.a."))</x:f>
      </x:c>
      <x:c r="P22" s="27" t="str">
        <x:f>IF(C22="","",IF(COUNT(N22:O22)=2,N22-O22,"n.a."))</x:f>
      </x:c>
      <x:c r="Q22" s="23" t="str">
        <x:f>IF(C22="","",A22&amp;"|"&amp;B22&amp;"|"&amp;C22)</x:f>
      </x:c>
      <x:c r="R22" s="23" t="str">
        <x:f>IF(D22="","",A22&amp;"|"&amp;B22&amp;"|"&amp;D22)</x:f>
      </x:c>
      <x:c r="S22" s="10"/>
      <x:c r="T22" s="23" t="str">
        <x:f>IF(COUNTA(A22:N22)=0,"",IF(OR(NOT(OR(A22="TikTok Shop",A22="Shopee",A22="Lazada")),B22="",C22="",NOT(ISNUMBER(E22)),AND(F22&lt;&gt;"Quyết toán",F22&lt;&gt;"Số dư"),COUNT(G22:N22)&lt;&gt;8),"Thiếu/sai dữ liệu",IF(NOT(COUNTIFS(T_SoDu[Khóa shop],A22&amp;"|"&amp;B22)=1),"Shop chưa khai báo",IF(COUNTIFS(T_GD[Khóa giao dịch],Q22)&lt;&gt;1,"Trùng giao dịch",IF(AND(D22&lt;&gt;"",COUNTIFS(T_Don[Khóa đơn],R22)&lt;&gt;1),"Không có đơn duy nhất","")))))</x:f>
      </x:c>
    </x:row>
    <x:row r="23" ht="22" customHeight="1">
      <x:c r="A23" s="10"/>
      <x:c r="B23" s="10"/>
      <x:c r="C23" s="24"/>
      <x:c r="D23" s="24"/>
      <x:c r="E23" s="25"/>
      <x:c r="F23" s="10"/>
      <x:c r="G23" s="26"/>
      <x:c r="H23" s="26"/>
      <x:c r="I23" s="26"/>
      <x:c r="J23" s="26"/>
      <x:c r="K23" s="26"/>
      <x:c r="L23" s="26"/>
      <x:c r="M23" s="26"/>
      <x:c r="N23" s="26"/>
      <x:c r="O23" s="27" t="str">
        <x:f>IF(C23="","",IF(COUNT(G23:M23)=7,SUM(G23:H23)-SUM(I23:K23)+SUM(L23:M23),"n.a."))</x:f>
      </x:c>
      <x:c r="P23" s="27" t="str">
        <x:f>IF(C23="","",IF(COUNT(N23:O23)=2,N23-O23,"n.a."))</x:f>
      </x:c>
      <x:c r="Q23" s="23" t="str">
        <x:f>IF(C23="","",A23&amp;"|"&amp;B23&amp;"|"&amp;C23)</x:f>
      </x:c>
      <x:c r="R23" s="23" t="str">
        <x:f>IF(D23="","",A23&amp;"|"&amp;B23&amp;"|"&amp;D23)</x:f>
      </x:c>
      <x:c r="S23" s="10"/>
      <x:c r="T23" s="23" t="str">
        <x:f>IF(COUNTA(A23:N23)=0,"",IF(OR(NOT(OR(A23="TikTok Shop",A23="Shopee",A23="Lazada")),B23="",C23="",NOT(ISNUMBER(E23)),AND(F23&lt;&gt;"Quyết toán",F23&lt;&gt;"Số dư"),COUNT(G23:N23)&lt;&gt;8),"Thiếu/sai dữ liệu",IF(NOT(COUNTIFS(T_SoDu[Khóa shop],A23&amp;"|"&amp;B23)=1),"Shop chưa khai báo",IF(COUNTIFS(T_GD[Khóa giao dịch],Q23)&lt;&gt;1,"Trùng giao dịch",IF(AND(D23&lt;&gt;"",COUNTIFS(T_Don[Khóa đơn],R23)&lt;&gt;1),"Không có đơn duy nhất","")))))</x:f>
      </x:c>
    </x:row>
    <x:row r="24" ht="22" customHeight="1">
      <x:c r="A24" s="10"/>
      <x:c r="B24" s="10"/>
      <x:c r="C24" s="24"/>
      <x:c r="D24" s="24"/>
      <x:c r="E24" s="25"/>
      <x:c r="F24" s="10"/>
      <x:c r="G24" s="26"/>
      <x:c r="H24" s="26"/>
      <x:c r="I24" s="26"/>
      <x:c r="J24" s="26"/>
      <x:c r="K24" s="26"/>
      <x:c r="L24" s="26"/>
      <x:c r="M24" s="26"/>
      <x:c r="N24" s="26"/>
      <x:c r="O24" s="27" t="str">
        <x:f>IF(C24="","",IF(COUNT(G24:M24)=7,SUM(G24:H24)-SUM(I24:K24)+SUM(L24:M24),"n.a."))</x:f>
      </x:c>
      <x:c r="P24" s="27" t="str">
        <x:f>IF(C24="","",IF(COUNT(N24:O24)=2,N24-O24,"n.a."))</x:f>
      </x:c>
      <x:c r="Q24" s="23" t="str">
        <x:f>IF(C24="","",A24&amp;"|"&amp;B24&amp;"|"&amp;C24)</x:f>
      </x:c>
      <x:c r="R24" s="23" t="str">
        <x:f>IF(D24="","",A24&amp;"|"&amp;B24&amp;"|"&amp;D24)</x:f>
      </x:c>
      <x:c r="S24" s="10"/>
      <x:c r="T24" s="23" t="str">
        <x:f>IF(COUNTA(A24:N24)=0,"",IF(OR(NOT(OR(A24="TikTok Shop",A24="Shopee",A24="Lazada")),B24="",C24="",NOT(ISNUMBER(E24)),AND(F24&lt;&gt;"Quyết toán",F24&lt;&gt;"Số dư"),COUNT(G24:N24)&lt;&gt;8),"Thiếu/sai dữ liệu",IF(NOT(COUNTIFS(T_SoDu[Khóa shop],A24&amp;"|"&amp;B24)=1),"Shop chưa khai báo",IF(COUNTIFS(T_GD[Khóa giao dịch],Q24)&lt;&gt;1,"Trùng giao dịch",IF(AND(D24&lt;&gt;"",COUNTIFS(T_Don[Khóa đơn],R24)&lt;&gt;1),"Không có đơn duy nhất","")))))</x:f>
      </x:c>
    </x:row>
    <x:row r="25" ht="22" customHeight="1">
      <x:c r="A25" s="10"/>
      <x:c r="B25" s="10"/>
      <x:c r="C25" s="24"/>
      <x:c r="D25" s="24"/>
      <x:c r="E25" s="25"/>
      <x:c r="F25" s="10"/>
      <x:c r="G25" s="26"/>
      <x:c r="H25" s="26"/>
      <x:c r="I25" s="26"/>
      <x:c r="J25" s="26"/>
      <x:c r="K25" s="26"/>
      <x:c r="L25" s="26"/>
      <x:c r="M25" s="26"/>
      <x:c r="N25" s="26"/>
      <x:c r="O25" s="27" t="str">
        <x:f>IF(C25="","",IF(COUNT(G25:M25)=7,SUM(G25:H25)-SUM(I25:K25)+SUM(L25:M25),"n.a."))</x:f>
      </x:c>
      <x:c r="P25" s="27" t="str">
        <x:f>IF(C25="","",IF(COUNT(N25:O25)=2,N25-O25,"n.a."))</x:f>
      </x:c>
      <x:c r="Q25" s="23" t="str">
        <x:f>IF(C25="","",A25&amp;"|"&amp;B25&amp;"|"&amp;C25)</x:f>
      </x:c>
      <x:c r="R25" s="23" t="str">
        <x:f>IF(D25="","",A25&amp;"|"&amp;B25&amp;"|"&amp;D25)</x:f>
      </x:c>
      <x:c r="S25" s="10"/>
      <x:c r="T25" s="23" t="str">
        <x:f>IF(COUNTA(A25:N25)=0,"",IF(OR(NOT(OR(A25="TikTok Shop",A25="Shopee",A25="Lazada")),B25="",C25="",NOT(ISNUMBER(E25)),AND(F25&lt;&gt;"Quyết toán",F25&lt;&gt;"Số dư"),COUNT(G25:N25)&lt;&gt;8),"Thiếu/sai dữ liệu",IF(NOT(COUNTIFS(T_SoDu[Khóa shop],A25&amp;"|"&amp;B25)=1),"Shop chưa khai báo",IF(COUNTIFS(T_GD[Khóa giao dịch],Q25)&lt;&gt;1,"Trùng giao dịch",IF(AND(D25&lt;&gt;"",COUNTIFS(T_Don[Khóa đơn],R25)&lt;&gt;1),"Không có đơn duy nhất","")))))</x:f>
      </x:c>
    </x:row>
    <x:row r="26" ht="22" customHeight="1">
      <x:c r="A26" s="10"/>
      <x:c r="B26" s="10"/>
      <x:c r="C26" s="24"/>
      <x:c r="D26" s="24"/>
      <x:c r="E26" s="25"/>
      <x:c r="F26" s="10"/>
      <x:c r="G26" s="26"/>
      <x:c r="H26" s="26"/>
      <x:c r="I26" s="26"/>
      <x:c r="J26" s="26"/>
      <x:c r="K26" s="26"/>
      <x:c r="L26" s="26"/>
      <x:c r="M26" s="26"/>
      <x:c r="N26" s="26"/>
      <x:c r="O26" s="27" t="str">
        <x:f>IF(C26="","",IF(COUNT(G26:M26)=7,SUM(G26:H26)-SUM(I26:K26)+SUM(L26:M26),"n.a."))</x:f>
      </x:c>
      <x:c r="P26" s="27" t="str">
        <x:f>IF(C26="","",IF(COUNT(N26:O26)=2,N26-O26,"n.a."))</x:f>
      </x:c>
      <x:c r="Q26" s="23" t="str">
        <x:f>IF(C26="","",A26&amp;"|"&amp;B26&amp;"|"&amp;C26)</x:f>
      </x:c>
      <x:c r="R26" s="23" t="str">
        <x:f>IF(D26="","",A26&amp;"|"&amp;B26&amp;"|"&amp;D26)</x:f>
      </x:c>
      <x:c r="S26" s="10"/>
      <x:c r="T26" s="23" t="str">
        <x:f>IF(COUNTA(A26:N26)=0,"",IF(OR(NOT(OR(A26="TikTok Shop",A26="Shopee",A26="Lazada")),B26="",C26="",NOT(ISNUMBER(E26)),AND(F26&lt;&gt;"Quyết toán",F26&lt;&gt;"Số dư"),COUNT(G26:N26)&lt;&gt;8),"Thiếu/sai dữ liệu",IF(NOT(COUNTIFS(T_SoDu[Khóa shop],A26&amp;"|"&amp;B26)=1),"Shop chưa khai báo",IF(COUNTIFS(T_GD[Khóa giao dịch],Q26)&lt;&gt;1,"Trùng giao dịch",IF(AND(D26&lt;&gt;"",COUNTIFS(T_Don[Khóa đơn],R26)&lt;&gt;1),"Không có đơn duy nhất","")))))</x:f>
      </x:c>
    </x:row>
    <x:row r="27" ht="22" customHeight="1">
      <x:c r="A27" s="10"/>
      <x:c r="B27" s="10"/>
      <x:c r="C27" s="24"/>
      <x:c r="D27" s="24"/>
      <x:c r="E27" s="25"/>
      <x:c r="F27" s="10"/>
      <x:c r="G27" s="26"/>
      <x:c r="H27" s="26"/>
      <x:c r="I27" s="26"/>
      <x:c r="J27" s="26"/>
      <x:c r="K27" s="26"/>
      <x:c r="L27" s="26"/>
      <x:c r="M27" s="26"/>
      <x:c r="N27" s="26"/>
      <x:c r="O27" s="27" t="str">
        <x:f>IF(C27="","",IF(COUNT(G27:M27)=7,SUM(G27:H27)-SUM(I27:K27)+SUM(L27:M27),"n.a."))</x:f>
      </x:c>
      <x:c r="P27" s="27" t="str">
        <x:f>IF(C27="","",IF(COUNT(N27:O27)=2,N27-O27,"n.a."))</x:f>
      </x:c>
      <x:c r="Q27" s="23" t="str">
        <x:f>IF(C27="","",A27&amp;"|"&amp;B27&amp;"|"&amp;C27)</x:f>
      </x:c>
      <x:c r="R27" s="23" t="str">
        <x:f>IF(D27="","",A27&amp;"|"&amp;B27&amp;"|"&amp;D27)</x:f>
      </x:c>
      <x:c r="S27" s="10"/>
      <x:c r="T27" s="23" t="str">
        <x:f>IF(COUNTA(A27:N27)=0,"",IF(OR(NOT(OR(A27="TikTok Shop",A27="Shopee",A27="Lazada")),B27="",C27="",NOT(ISNUMBER(E27)),AND(F27&lt;&gt;"Quyết toán",F27&lt;&gt;"Số dư"),COUNT(G27:N27)&lt;&gt;8),"Thiếu/sai dữ liệu",IF(NOT(COUNTIFS(T_SoDu[Khóa shop],A27&amp;"|"&amp;B27)=1),"Shop chưa khai báo",IF(COUNTIFS(T_GD[Khóa giao dịch],Q27)&lt;&gt;1,"Trùng giao dịch",IF(AND(D27&lt;&gt;"",COUNTIFS(T_Don[Khóa đơn],R27)&lt;&gt;1),"Không có đơn duy nhất","")))))</x:f>
      </x:c>
    </x:row>
    <x:row r="28" ht="22" customHeight="1">
      <x:c r="A28" s="10"/>
      <x:c r="B28" s="10"/>
      <x:c r="C28" s="24"/>
      <x:c r="D28" s="24"/>
      <x:c r="E28" s="25"/>
      <x:c r="F28" s="10"/>
      <x:c r="G28" s="26"/>
      <x:c r="H28" s="26"/>
      <x:c r="I28" s="26"/>
      <x:c r="J28" s="26"/>
      <x:c r="K28" s="26"/>
      <x:c r="L28" s="26"/>
      <x:c r="M28" s="26"/>
      <x:c r="N28" s="26"/>
      <x:c r="O28" s="27" t="str">
        <x:f>IF(C28="","",IF(COUNT(G28:M28)=7,SUM(G28:H28)-SUM(I28:K28)+SUM(L28:M28),"n.a."))</x:f>
      </x:c>
      <x:c r="P28" s="27" t="str">
        <x:f>IF(C28="","",IF(COUNT(N28:O28)=2,N28-O28,"n.a."))</x:f>
      </x:c>
      <x:c r="Q28" s="23" t="str">
        <x:f>IF(C28="","",A28&amp;"|"&amp;B28&amp;"|"&amp;C28)</x:f>
      </x:c>
      <x:c r="R28" s="23" t="str">
        <x:f>IF(D28="","",A28&amp;"|"&amp;B28&amp;"|"&amp;D28)</x:f>
      </x:c>
      <x:c r="S28" s="10"/>
      <x:c r="T28" s="23" t="str">
        <x:f>IF(COUNTA(A28:N28)=0,"",IF(OR(NOT(OR(A28="TikTok Shop",A28="Shopee",A28="Lazada")),B28="",C28="",NOT(ISNUMBER(E28)),AND(F28&lt;&gt;"Quyết toán",F28&lt;&gt;"Số dư"),COUNT(G28:N28)&lt;&gt;8),"Thiếu/sai dữ liệu",IF(NOT(COUNTIFS(T_SoDu[Khóa shop],A28&amp;"|"&amp;B28)=1),"Shop chưa khai báo",IF(COUNTIFS(T_GD[Khóa giao dịch],Q28)&lt;&gt;1,"Trùng giao dịch",IF(AND(D28&lt;&gt;"",COUNTIFS(T_Don[Khóa đơn],R28)&lt;&gt;1),"Không có đơn duy nhất","")))))</x:f>
      </x:c>
    </x:row>
    <x:row r="29" ht="22" customHeight="1">
      <x:c r="A29" s="10"/>
      <x:c r="B29" s="10"/>
      <x:c r="C29" s="24"/>
      <x:c r="D29" s="24"/>
      <x:c r="E29" s="25"/>
      <x:c r="F29" s="10"/>
      <x:c r="G29" s="26"/>
      <x:c r="H29" s="26"/>
      <x:c r="I29" s="26"/>
      <x:c r="J29" s="26"/>
      <x:c r="K29" s="26"/>
      <x:c r="L29" s="26"/>
      <x:c r="M29" s="26"/>
      <x:c r="N29" s="26"/>
      <x:c r="O29" s="27" t="str">
        <x:f>IF(C29="","",IF(COUNT(G29:M29)=7,SUM(G29:H29)-SUM(I29:K29)+SUM(L29:M29),"n.a."))</x:f>
      </x:c>
      <x:c r="P29" s="27" t="str">
        <x:f>IF(C29="","",IF(COUNT(N29:O29)=2,N29-O29,"n.a."))</x:f>
      </x:c>
      <x:c r="Q29" s="23" t="str">
        <x:f>IF(C29="","",A29&amp;"|"&amp;B29&amp;"|"&amp;C29)</x:f>
      </x:c>
      <x:c r="R29" s="23" t="str">
        <x:f>IF(D29="","",A29&amp;"|"&amp;B29&amp;"|"&amp;D29)</x:f>
      </x:c>
      <x:c r="S29" s="10"/>
      <x:c r="T29" s="23" t="str">
        <x:f>IF(COUNTA(A29:N29)=0,"",IF(OR(NOT(OR(A29="TikTok Shop",A29="Shopee",A29="Lazada")),B29="",C29="",NOT(ISNUMBER(E29)),AND(F29&lt;&gt;"Quyết toán",F29&lt;&gt;"Số dư"),COUNT(G29:N29)&lt;&gt;8),"Thiếu/sai dữ liệu",IF(NOT(COUNTIFS(T_SoDu[Khóa shop],A29&amp;"|"&amp;B29)=1),"Shop chưa khai báo",IF(COUNTIFS(T_GD[Khóa giao dịch],Q29)&lt;&gt;1,"Trùng giao dịch",IF(AND(D29&lt;&gt;"",COUNTIFS(T_Don[Khóa đơn],R29)&lt;&gt;1),"Không có đơn duy nhất","")))))</x:f>
      </x:c>
    </x:row>
    <x:row r="30" ht="22" customHeight="1">
      <x:c r="A30" s="10"/>
      <x:c r="B30" s="10"/>
      <x:c r="C30" s="24"/>
      <x:c r="D30" s="24"/>
      <x:c r="E30" s="25"/>
      <x:c r="F30" s="10"/>
      <x:c r="G30" s="26"/>
      <x:c r="H30" s="26"/>
      <x:c r="I30" s="26"/>
      <x:c r="J30" s="26"/>
      <x:c r="K30" s="26"/>
      <x:c r="L30" s="26"/>
      <x:c r="M30" s="26"/>
      <x:c r="N30" s="26"/>
      <x:c r="O30" s="27" t="str">
        <x:f>IF(C30="","",IF(COUNT(G30:M30)=7,SUM(G30:H30)-SUM(I30:K30)+SUM(L30:M30),"n.a."))</x:f>
      </x:c>
      <x:c r="P30" s="27" t="str">
        <x:f>IF(C30="","",IF(COUNT(N30:O30)=2,N30-O30,"n.a."))</x:f>
      </x:c>
      <x:c r="Q30" s="23" t="str">
        <x:f>IF(C30="","",A30&amp;"|"&amp;B30&amp;"|"&amp;C30)</x:f>
      </x:c>
      <x:c r="R30" s="23" t="str">
        <x:f>IF(D30="","",A30&amp;"|"&amp;B30&amp;"|"&amp;D30)</x:f>
      </x:c>
      <x:c r="S30" s="10"/>
      <x:c r="T30" s="23" t="str">
        <x:f>IF(COUNTA(A30:N30)=0,"",IF(OR(NOT(OR(A30="TikTok Shop",A30="Shopee",A30="Lazada")),B30="",C30="",NOT(ISNUMBER(E30)),AND(F30&lt;&gt;"Quyết toán",F30&lt;&gt;"Số dư"),COUNT(G30:N30)&lt;&gt;8),"Thiếu/sai dữ liệu",IF(NOT(COUNTIFS(T_SoDu[Khóa shop],A30&amp;"|"&amp;B30)=1),"Shop chưa khai báo",IF(COUNTIFS(T_GD[Khóa giao dịch],Q30)&lt;&gt;1,"Trùng giao dịch",IF(AND(D30&lt;&gt;"",COUNTIFS(T_Don[Khóa đơn],R30)&lt;&gt;1),"Không có đơn duy nhất","")))))</x:f>
      </x:c>
    </x:row>
    <x:row r="31" ht="22" customHeight="1">
      <x:c r="A31" s="10"/>
      <x:c r="B31" s="10"/>
      <x:c r="C31" s="24"/>
      <x:c r="D31" s="24"/>
      <x:c r="E31" s="25"/>
      <x:c r="F31" s="10"/>
      <x:c r="G31" s="26"/>
      <x:c r="H31" s="26"/>
      <x:c r="I31" s="26"/>
      <x:c r="J31" s="26"/>
      <x:c r="K31" s="26"/>
      <x:c r="L31" s="26"/>
      <x:c r="M31" s="26"/>
      <x:c r="N31" s="26"/>
      <x:c r="O31" s="27" t="str">
        <x:f>IF(C31="","",IF(COUNT(G31:M31)=7,SUM(G31:H31)-SUM(I31:K31)+SUM(L31:M31),"n.a."))</x:f>
      </x:c>
      <x:c r="P31" s="27" t="str">
        <x:f>IF(C31="","",IF(COUNT(N31:O31)=2,N31-O31,"n.a."))</x:f>
      </x:c>
      <x:c r="Q31" s="23" t="str">
        <x:f>IF(C31="","",A31&amp;"|"&amp;B31&amp;"|"&amp;C31)</x:f>
      </x:c>
      <x:c r="R31" s="23" t="str">
        <x:f>IF(D31="","",A31&amp;"|"&amp;B31&amp;"|"&amp;D31)</x:f>
      </x:c>
      <x:c r="S31" s="10"/>
      <x:c r="T31" s="23" t="str">
        <x:f>IF(COUNTA(A31:N31)=0,"",IF(OR(NOT(OR(A31="TikTok Shop",A31="Shopee",A31="Lazada")),B31="",C31="",NOT(ISNUMBER(E31)),AND(F31&lt;&gt;"Quyết toán",F31&lt;&gt;"Số dư"),COUNT(G31:N31)&lt;&gt;8),"Thiếu/sai dữ liệu",IF(NOT(COUNTIFS(T_SoDu[Khóa shop],A31&amp;"|"&amp;B31)=1),"Shop chưa khai báo",IF(COUNTIFS(T_GD[Khóa giao dịch],Q31)&lt;&gt;1,"Trùng giao dịch",IF(AND(D31&lt;&gt;"",COUNTIFS(T_Don[Khóa đơn],R31)&lt;&gt;1),"Không có đơn duy nhất","")))))</x:f>
      </x:c>
    </x:row>
    <x:row r="32" ht="22" customHeight="1">
      <x:c r="A32" s="10"/>
      <x:c r="B32" s="10"/>
      <x:c r="C32" s="24"/>
      <x:c r="D32" s="24"/>
      <x:c r="E32" s="25"/>
      <x:c r="F32" s="10"/>
      <x:c r="G32" s="26"/>
      <x:c r="H32" s="26"/>
      <x:c r="I32" s="26"/>
      <x:c r="J32" s="26"/>
      <x:c r="K32" s="26"/>
      <x:c r="L32" s="26"/>
      <x:c r="M32" s="26"/>
      <x:c r="N32" s="26"/>
      <x:c r="O32" s="27" t="str">
        <x:f>IF(C32="","",IF(COUNT(G32:M32)=7,SUM(G32:H32)-SUM(I32:K32)+SUM(L32:M32),"n.a."))</x:f>
      </x:c>
      <x:c r="P32" s="27" t="str">
        <x:f>IF(C32="","",IF(COUNT(N32:O32)=2,N32-O32,"n.a."))</x:f>
      </x:c>
      <x:c r="Q32" s="23" t="str">
        <x:f>IF(C32="","",A32&amp;"|"&amp;B32&amp;"|"&amp;C32)</x:f>
      </x:c>
      <x:c r="R32" s="23" t="str">
        <x:f>IF(D32="","",A32&amp;"|"&amp;B32&amp;"|"&amp;D32)</x:f>
      </x:c>
      <x:c r="S32" s="10"/>
      <x:c r="T32" s="23" t="str">
        <x:f>IF(COUNTA(A32:N32)=0,"",IF(OR(NOT(OR(A32="TikTok Shop",A32="Shopee",A32="Lazada")),B32="",C32="",NOT(ISNUMBER(E32)),AND(F32&lt;&gt;"Quyết toán",F32&lt;&gt;"Số dư"),COUNT(G32:N32)&lt;&gt;8),"Thiếu/sai dữ liệu",IF(NOT(COUNTIFS(T_SoDu[Khóa shop],A32&amp;"|"&amp;B32)=1),"Shop chưa khai báo",IF(COUNTIFS(T_GD[Khóa giao dịch],Q32)&lt;&gt;1,"Trùng giao dịch",IF(AND(D32&lt;&gt;"",COUNTIFS(T_Don[Khóa đơn],R32)&lt;&gt;1),"Không có đơn duy nhất","")))))</x:f>
      </x:c>
    </x:row>
    <x:row r="33" ht="22" customHeight="1">
      <x:c r="A33" s="10"/>
      <x:c r="B33" s="10"/>
      <x:c r="C33" s="24"/>
      <x:c r="D33" s="24"/>
      <x:c r="E33" s="25"/>
      <x:c r="F33" s="10"/>
      <x:c r="G33" s="26"/>
      <x:c r="H33" s="26"/>
      <x:c r="I33" s="26"/>
      <x:c r="J33" s="26"/>
      <x:c r="K33" s="26"/>
      <x:c r="L33" s="26"/>
      <x:c r="M33" s="26"/>
      <x:c r="N33" s="26"/>
      <x:c r="O33" s="27" t="str">
        <x:f>IF(C33="","",IF(COUNT(G33:M33)=7,SUM(G33:H33)-SUM(I33:K33)+SUM(L33:M33),"n.a."))</x:f>
      </x:c>
      <x:c r="P33" s="27" t="str">
        <x:f>IF(C33="","",IF(COUNT(N33:O33)=2,N33-O33,"n.a."))</x:f>
      </x:c>
      <x:c r="Q33" s="23" t="str">
        <x:f>IF(C33="","",A33&amp;"|"&amp;B33&amp;"|"&amp;C33)</x:f>
      </x:c>
      <x:c r="R33" s="23" t="str">
        <x:f>IF(D33="","",A33&amp;"|"&amp;B33&amp;"|"&amp;D33)</x:f>
      </x:c>
      <x:c r="S33" s="10"/>
      <x:c r="T33" s="23" t="str">
        <x:f>IF(COUNTA(A33:N33)=0,"",IF(OR(NOT(OR(A33="TikTok Shop",A33="Shopee",A33="Lazada")),B33="",C33="",NOT(ISNUMBER(E33)),AND(F33&lt;&gt;"Quyết toán",F33&lt;&gt;"Số dư"),COUNT(G33:N33)&lt;&gt;8),"Thiếu/sai dữ liệu",IF(NOT(COUNTIFS(T_SoDu[Khóa shop],A33&amp;"|"&amp;B33)=1),"Shop chưa khai báo",IF(COUNTIFS(T_GD[Khóa giao dịch],Q33)&lt;&gt;1,"Trùng giao dịch",IF(AND(D33&lt;&gt;"",COUNTIFS(T_Don[Khóa đơn],R33)&lt;&gt;1),"Không có đơn duy nhất","")))))</x:f>
      </x:c>
    </x:row>
    <x:row r="34" ht="22" customHeight="1">
      <x:c r="A34" s="10"/>
      <x:c r="B34" s="10"/>
      <x:c r="C34" s="24"/>
      <x:c r="D34" s="24"/>
      <x:c r="E34" s="25"/>
      <x:c r="F34" s="10"/>
      <x:c r="G34" s="26"/>
      <x:c r="H34" s="26"/>
      <x:c r="I34" s="26"/>
      <x:c r="J34" s="26"/>
      <x:c r="K34" s="26"/>
      <x:c r="L34" s="26"/>
      <x:c r="M34" s="26"/>
      <x:c r="N34" s="26"/>
      <x:c r="O34" s="27" t="str">
        <x:f>IF(C34="","",IF(COUNT(G34:M34)=7,SUM(G34:H34)-SUM(I34:K34)+SUM(L34:M34),"n.a."))</x:f>
      </x:c>
      <x:c r="P34" s="27" t="str">
        <x:f>IF(C34="","",IF(COUNT(N34:O34)=2,N34-O34,"n.a."))</x:f>
      </x:c>
      <x:c r="Q34" s="23" t="str">
        <x:f>IF(C34="","",A34&amp;"|"&amp;B34&amp;"|"&amp;C34)</x:f>
      </x:c>
      <x:c r="R34" s="23" t="str">
        <x:f>IF(D34="","",A34&amp;"|"&amp;B34&amp;"|"&amp;D34)</x:f>
      </x:c>
      <x:c r="S34" s="10"/>
      <x:c r="T34" s="23" t="str">
        <x:f>IF(COUNTA(A34:N34)=0,"",IF(OR(NOT(OR(A34="TikTok Shop",A34="Shopee",A34="Lazada")),B34="",C34="",NOT(ISNUMBER(E34)),AND(F34&lt;&gt;"Quyết toán",F34&lt;&gt;"Số dư"),COUNT(G34:N34)&lt;&gt;8),"Thiếu/sai dữ liệu",IF(NOT(COUNTIFS(T_SoDu[Khóa shop],A34&amp;"|"&amp;B34)=1),"Shop chưa khai báo",IF(COUNTIFS(T_GD[Khóa giao dịch],Q34)&lt;&gt;1,"Trùng giao dịch",IF(AND(D34&lt;&gt;"",COUNTIFS(T_Don[Khóa đơn],R34)&lt;&gt;1),"Không có đơn duy nhất","")))))</x:f>
      </x:c>
    </x:row>
    <x:row r="35" ht="22" customHeight="1">
      <x:c r="A35" s="10"/>
      <x:c r="B35" s="10"/>
      <x:c r="C35" s="24"/>
      <x:c r="D35" s="24"/>
      <x:c r="E35" s="25"/>
      <x:c r="F35" s="10"/>
      <x:c r="G35" s="26"/>
      <x:c r="H35" s="26"/>
      <x:c r="I35" s="26"/>
      <x:c r="J35" s="26"/>
      <x:c r="K35" s="26"/>
      <x:c r="L35" s="26"/>
      <x:c r="M35" s="26"/>
      <x:c r="N35" s="26"/>
      <x:c r="O35" s="27" t="str">
        <x:f>IF(C35="","",IF(COUNT(G35:M35)=7,SUM(G35:H35)-SUM(I35:K35)+SUM(L35:M35),"n.a."))</x:f>
      </x:c>
      <x:c r="P35" s="27" t="str">
        <x:f>IF(C35="","",IF(COUNT(N35:O35)=2,N35-O35,"n.a."))</x:f>
      </x:c>
      <x:c r="Q35" s="23" t="str">
        <x:f>IF(C35="","",A35&amp;"|"&amp;B35&amp;"|"&amp;C35)</x:f>
      </x:c>
      <x:c r="R35" s="23" t="str">
        <x:f>IF(D35="","",A35&amp;"|"&amp;B35&amp;"|"&amp;D35)</x:f>
      </x:c>
      <x:c r="S35" s="10"/>
      <x:c r="T35" s="23" t="str">
        <x:f>IF(COUNTA(A35:N35)=0,"",IF(OR(NOT(OR(A35="TikTok Shop",A35="Shopee",A35="Lazada")),B35="",C35="",NOT(ISNUMBER(E35)),AND(F35&lt;&gt;"Quyết toán",F35&lt;&gt;"Số dư"),COUNT(G35:N35)&lt;&gt;8),"Thiếu/sai dữ liệu",IF(NOT(COUNTIFS(T_SoDu[Khóa shop],A35&amp;"|"&amp;B35)=1),"Shop chưa khai báo",IF(COUNTIFS(T_GD[Khóa giao dịch],Q35)&lt;&gt;1,"Trùng giao dịch",IF(AND(D35&lt;&gt;"",COUNTIFS(T_Don[Khóa đơn],R35)&lt;&gt;1),"Không có đơn duy nhất","")))))</x:f>
      </x:c>
    </x:row>
    <x:row r="36" ht="22" customHeight="1">
      <x:c r="A36" s="10"/>
      <x:c r="B36" s="10"/>
      <x:c r="C36" s="24"/>
      <x:c r="D36" s="24"/>
      <x:c r="E36" s="25"/>
      <x:c r="F36" s="10"/>
      <x:c r="G36" s="26"/>
      <x:c r="H36" s="26"/>
      <x:c r="I36" s="26"/>
      <x:c r="J36" s="26"/>
      <x:c r="K36" s="26"/>
      <x:c r="L36" s="26"/>
      <x:c r="M36" s="26"/>
      <x:c r="N36" s="26"/>
      <x:c r="O36" s="27" t="str">
        <x:f>IF(C36="","",IF(COUNT(G36:M36)=7,SUM(G36:H36)-SUM(I36:K36)+SUM(L36:M36),"n.a."))</x:f>
      </x:c>
      <x:c r="P36" s="27" t="str">
        <x:f>IF(C36="","",IF(COUNT(N36:O36)=2,N36-O36,"n.a."))</x:f>
      </x:c>
      <x:c r="Q36" s="23" t="str">
        <x:f>IF(C36="","",A36&amp;"|"&amp;B36&amp;"|"&amp;C36)</x:f>
      </x:c>
      <x:c r="R36" s="23" t="str">
        <x:f>IF(D36="","",A36&amp;"|"&amp;B36&amp;"|"&amp;D36)</x:f>
      </x:c>
      <x:c r="S36" s="10"/>
      <x:c r="T36" s="23" t="str">
        <x:f>IF(COUNTA(A36:N36)=0,"",IF(OR(NOT(OR(A36="TikTok Shop",A36="Shopee",A36="Lazada")),B36="",C36="",NOT(ISNUMBER(E36)),AND(F36&lt;&gt;"Quyết toán",F36&lt;&gt;"Số dư"),COUNT(G36:N36)&lt;&gt;8),"Thiếu/sai dữ liệu",IF(NOT(COUNTIFS(T_SoDu[Khóa shop],A36&amp;"|"&amp;B36)=1),"Shop chưa khai báo",IF(COUNTIFS(T_GD[Khóa giao dịch],Q36)&lt;&gt;1,"Trùng giao dịch",IF(AND(D36&lt;&gt;"",COUNTIFS(T_Don[Khóa đơn],R36)&lt;&gt;1),"Không có đơn duy nhất","")))))</x:f>
      </x:c>
    </x:row>
    <x:row r="37" ht="22" customHeight="1">
      <x:c r="A37" s="10"/>
      <x:c r="B37" s="10"/>
      <x:c r="C37" s="24"/>
      <x:c r="D37" s="24"/>
      <x:c r="E37" s="25"/>
      <x:c r="F37" s="10"/>
      <x:c r="G37" s="26"/>
      <x:c r="H37" s="26"/>
      <x:c r="I37" s="26"/>
      <x:c r="J37" s="26"/>
      <x:c r="K37" s="26"/>
      <x:c r="L37" s="26"/>
      <x:c r="M37" s="26"/>
      <x:c r="N37" s="26"/>
      <x:c r="O37" s="27" t="str">
        <x:f>IF(C37="","",IF(COUNT(G37:M37)=7,SUM(G37:H37)-SUM(I37:K37)+SUM(L37:M37),"n.a."))</x:f>
      </x:c>
      <x:c r="P37" s="27" t="str">
        <x:f>IF(C37="","",IF(COUNT(N37:O37)=2,N37-O37,"n.a."))</x:f>
      </x:c>
      <x:c r="Q37" s="23" t="str">
        <x:f>IF(C37="","",A37&amp;"|"&amp;B37&amp;"|"&amp;C37)</x:f>
      </x:c>
      <x:c r="R37" s="23" t="str">
        <x:f>IF(D37="","",A37&amp;"|"&amp;B37&amp;"|"&amp;D37)</x:f>
      </x:c>
      <x:c r="S37" s="10"/>
      <x:c r="T37" s="23" t="str">
        <x:f>IF(COUNTA(A37:N37)=0,"",IF(OR(NOT(OR(A37="TikTok Shop",A37="Shopee",A37="Lazada")),B37="",C37="",NOT(ISNUMBER(E37)),AND(F37&lt;&gt;"Quyết toán",F37&lt;&gt;"Số dư"),COUNT(G37:N37)&lt;&gt;8),"Thiếu/sai dữ liệu",IF(NOT(COUNTIFS(T_SoDu[Khóa shop],A37&amp;"|"&amp;B37)=1),"Shop chưa khai báo",IF(COUNTIFS(T_GD[Khóa giao dịch],Q37)&lt;&gt;1,"Trùng giao dịch",IF(AND(D37&lt;&gt;"",COUNTIFS(T_Don[Khóa đơn],R37)&lt;&gt;1),"Không có đơn duy nhất","")))))</x:f>
      </x:c>
    </x:row>
    <x:row r="38" ht="22" customHeight="1">
      <x:c r="A38" s="10"/>
      <x:c r="B38" s="10"/>
      <x:c r="C38" s="24"/>
      <x:c r="D38" s="24"/>
      <x:c r="E38" s="25"/>
      <x:c r="F38" s="10"/>
      <x:c r="G38" s="26"/>
      <x:c r="H38" s="26"/>
      <x:c r="I38" s="26"/>
      <x:c r="J38" s="26"/>
      <x:c r="K38" s="26"/>
      <x:c r="L38" s="26"/>
      <x:c r="M38" s="26"/>
      <x:c r="N38" s="26"/>
      <x:c r="O38" s="27" t="str">
        <x:f>IF(C38="","",IF(COUNT(G38:M38)=7,SUM(G38:H38)-SUM(I38:K38)+SUM(L38:M38),"n.a."))</x:f>
      </x:c>
      <x:c r="P38" s="27" t="str">
        <x:f>IF(C38="","",IF(COUNT(N38:O38)=2,N38-O38,"n.a."))</x:f>
      </x:c>
      <x:c r="Q38" s="23" t="str">
        <x:f>IF(C38="","",A38&amp;"|"&amp;B38&amp;"|"&amp;C38)</x:f>
      </x:c>
      <x:c r="R38" s="23" t="str">
        <x:f>IF(D38="","",A38&amp;"|"&amp;B38&amp;"|"&amp;D38)</x:f>
      </x:c>
      <x:c r="S38" s="10"/>
      <x:c r="T38" s="23" t="str">
        <x:f>IF(COUNTA(A38:N38)=0,"",IF(OR(NOT(OR(A38="TikTok Shop",A38="Shopee",A38="Lazada")),B38="",C38="",NOT(ISNUMBER(E38)),AND(F38&lt;&gt;"Quyết toán",F38&lt;&gt;"Số dư"),COUNT(G38:N38)&lt;&gt;8),"Thiếu/sai dữ liệu",IF(NOT(COUNTIFS(T_SoDu[Khóa shop],A38&amp;"|"&amp;B38)=1),"Shop chưa khai báo",IF(COUNTIFS(T_GD[Khóa giao dịch],Q38)&lt;&gt;1,"Trùng giao dịch",IF(AND(D38&lt;&gt;"",COUNTIFS(T_Don[Khóa đơn],R38)&lt;&gt;1),"Không có đơn duy nhất","")))))</x:f>
      </x:c>
    </x:row>
    <x:row r="39" ht="22" customHeight="1">
      <x:c r="A39" s="10"/>
      <x:c r="B39" s="10"/>
      <x:c r="C39" s="24"/>
      <x:c r="D39" s="24"/>
      <x:c r="E39" s="25"/>
      <x:c r="F39" s="10"/>
      <x:c r="G39" s="26"/>
      <x:c r="H39" s="26"/>
      <x:c r="I39" s="26"/>
      <x:c r="J39" s="26"/>
      <x:c r="K39" s="26"/>
      <x:c r="L39" s="26"/>
      <x:c r="M39" s="26"/>
      <x:c r="N39" s="26"/>
      <x:c r="O39" s="27" t="str">
        <x:f>IF(C39="","",IF(COUNT(G39:M39)=7,SUM(G39:H39)-SUM(I39:K39)+SUM(L39:M39),"n.a."))</x:f>
      </x:c>
      <x:c r="P39" s="27" t="str">
        <x:f>IF(C39="","",IF(COUNT(N39:O39)=2,N39-O39,"n.a."))</x:f>
      </x:c>
      <x:c r="Q39" s="23" t="str">
        <x:f>IF(C39="","",A39&amp;"|"&amp;B39&amp;"|"&amp;C39)</x:f>
      </x:c>
      <x:c r="R39" s="23" t="str">
        <x:f>IF(D39="","",A39&amp;"|"&amp;B39&amp;"|"&amp;D39)</x:f>
      </x:c>
      <x:c r="S39" s="10"/>
      <x:c r="T39" s="23" t="str">
        <x:f>IF(COUNTA(A39:N39)=0,"",IF(OR(NOT(OR(A39="TikTok Shop",A39="Shopee",A39="Lazada")),B39="",C39="",NOT(ISNUMBER(E39)),AND(F39&lt;&gt;"Quyết toán",F39&lt;&gt;"Số dư"),COUNT(G39:N39)&lt;&gt;8),"Thiếu/sai dữ liệu",IF(NOT(COUNTIFS(T_SoDu[Khóa shop],A39&amp;"|"&amp;B39)=1),"Shop chưa khai báo",IF(COUNTIFS(T_GD[Khóa giao dịch],Q39)&lt;&gt;1,"Trùng giao dịch",IF(AND(D39&lt;&gt;"",COUNTIFS(T_Don[Khóa đơn],R39)&lt;&gt;1),"Không có đơn duy nhất","")))))</x:f>
      </x:c>
    </x:row>
    <x:row r="40" ht="22" customHeight="1">
      <x:c r="A40" s="10"/>
      <x:c r="B40" s="10"/>
      <x:c r="C40" s="24"/>
      <x:c r="D40" s="24"/>
      <x:c r="E40" s="25"/>
      <x:c r="F40" s="10"/>
      <x:c r="G40" s="26"/>
      <x:c r="H40" s="26"/>
      <x:c r="I40" s="26"/>
      <x:c r="J40" s="26"/>
      <x:c r="K40" s="26"/>
      <x:c r="L40" s="26"/>
      <x:c r="M40" s="26"/>
      <x:c r="N40" s="26"/>
      <x:c r="O40" s="27" t="str">
        <x:f>IF(C40="","",IF(COUNT(G40:M40)=7,SUM(G40:H40)-SUM(I40:K40)+SUM(L40:M40),"n.a."))</x:f>
      </x:c>
      <x:c r="P40" s="27" t="str">
        <x:f>IF(C40="","",IF(COUNT(N40:O40)=2,N40-O40,"n.a."))</x:f>
      </x:c>
      <x:c r="Q40" s="23" t="str">
        <x:f>IF(C40="","",A40&amp;"|"&amp;B40&amp;"|"&amp;C40)</x:f>
      </x:c>
      <x:c r="R40" s="23" t="str">
        <x:f>IF(D40="","",A40&amp;"|"&amp;B40&amp;"|"&amp;D40)</x:f>
      </x:c>
      <x:c r="S40" s="10"/>
      <x:c r="T40" s="23" t="str">
        <x:f>IF(COUNTA(A40:N40)=0,"",IF(OR(NOT(OR(A40="TikTok Shop",A40="Shopee",A40="Lazada")),B40="",C40="",NOT(ISNUMBER(E40)),AND(F40&lt;&gt;"Quyết toán",F40&lt;&gt;"Số dư"),COUNT(G40:N40)&lt;&gt;8),"Thiếu/sai dữ liệu",IF(NOT(COUNTIFS(T_SoDu[Khóa shop],A40&amp;"|"&amp;B40)=1),"Shop chưa khai báo",IF(COUNTIFS(T_GD[Khóa giao dịch],Q40)&lt;&gt;1,"Trùng giao dịch",IF(AND(D40&lt;&gt;"",COUNTIFS(T_Don[Khóa đơn],R40)&lt;&gt;1),"Không có đơn duy nhất","")))))</x:f>
      </x:c>
    </x:row>
    <x:row r="41" ht="22" customHeight="1">
      <x:c r="A41" s="10"/>
      <x:c r="B41" s="10"/>
      <x:c r="C41" s="24"/>
      <x:c r="D41" s="24"/>
      <x:c r="E41" s="25"/>
      <x:c r="F41" s="10"/>
      <x:c r="G41" s="26"/>
      <x:c r="H41" s="26"/>
      <x:c r="I41" s="26"/>
      <x:c r="J41" s="26"/>
      <x:c r="K41" s="26"/>
      <x:c r="L41" s="26"/>
      <x:c r="M41" s="26"/>
      <x:c r="N41" s="26"/>
      <x:c r="O41" s="27" t="str">
        <x:f>IF(C41="","",IF(COUNT(G41:M41)=7,SUM(G41:H41)-SUM(I41:K41)+SUM(L41:M41),"n.a."))</x:f>
      </x:c>
      <x:c r="P41" s="27" t="str">
        <x:f>IF(C41="","",IF(COUNT(N41:O41)=2,N41-O41,"n.a."))</x:f>
      </x:c>
      <x:c r="Q41" s="23" t="str">
        <x:f>IF(C41="","",A41&amp;"|"&amp;B41&amp;"|"&amp;C41)</x:f>
      </x:c>
      <x:c r="R41" s="23" t="str">
        <x:f>IF(D41="","",A41&amp;"|"&amp;B41&amp;"|"&amp;D41)</x:f>
      </x:c>
      <x:c r="S41" s="10"/>
      <x:c r="T41" s="23" t="str">
        <x:f>IF(COUNTA(A41:N41)=0,"",IF(OR(NOT(OR(A41="TikTok Shop",A41="Shopee",A41="Lazada")),B41="",C41="",NOT(ISNUMBER(E41)),AND(F41&lt;&gt;"Quyết toán",F41&lt;&gt;"Số dư"),COUNT(G41:N41)&lt;&gt;8),"Thiếu/sai dữ liệu",IF(NOT(COUNTIFS(T_SoDu[Khóa shop],A41&amp;"|"&amp;B41)=1),"Shop chưa khai báo",IF(COUNTIFS(T_GD[Khóa giao dịch],Q41)&lt;&gt;1,"Trùng giao dịch",IF(AND(D41&lt;&gt;"",COUNTIFS(T_Don[Khóa đơn],R41)&lt;&gt;1),"Không có đơn duy nhất","")))))</x:f>
      </x:c>
    </x:row>
    <x:row r="42" ht="22" customHeight="1">
      <x:c r="A42" s="10"/>
      <x:c r="B42" s="10"/>
      <x:c r="C42" s="24"/>
      <x:c r="D42" s="24"/>
      <x:c r="E42" s="25"/>
      <x:c r="F42" s="10"/>
      <x:c r="G42" s="26"/>
      <x:c r="H42" s="26"/>
      <x:c r="I42" s="26"/>
      <x:c r="J42" s="26"/>
      <x:c r="K42" s="26"/>
      <x:c r="L42" s="26"/>
      <x:c r="M42" s="26"/>
      <x:c r="N42" s="26"/>
      <x:c r="O42" s="27" t="str">
        <x:f>IF(C42="","",IF(COUNT(G42:M42)=7,SUM(G42:H42)-SUM(I42:K42)+SUM(L42:M42),"n.a."))</x:f>
      </x:c>
      <x:c r="P42" s="27" t="str">
        <x:f>IF(C42="","",IF(COUNT(N42:O42)=2,N42-O42,"n.a."))</x:f>
      </x:c>
      <x:c r="Q42" s="23" t="str">
        <x:f>IF(C42="","",A42&amp;"|"&amp;B42&amp;"|"&amp;C42)</x:f>
      </x:c>
      <x:c r="R42" s="23" t="str">
        <x:f>IF(D42="","",A42&amp;"|"&amp;B42&amp;"|"&amp;D42)</x:f>
      </x:c>
      <x:c r="S42" s="10"/>
      <x:c r="T42" s="23" t="str">
        <x:f>IF(COUNTA(A42:N42)=0,"",IF(OR(NOT(OR(A42="TikTok Shop",A42="Shopee",A42="Lazada")),B42="",C42="",NOT(ISNUMBER(E42)),AND(F42&lt;&gt;"Quyết toán",F42&lt;&gt;"Số dư"),COUNT(G42:N42)&lt;&gt;8),"Thiếu/sai dữ liệu",IF(NOT(COUNTIFS(T_SoDu[Khóa shop],A42&amp;"|"&amp;B42)=1),"Shop chưa khai báo",IF(COUNTIFS(T_GD[Khóa giao dịch],Q42)&lt;&gt;1,"Trùng giao dịch",IF(AND(D42&lt;&gt;"",COUNTIFS(T_Don[Khóa đơn],R42)&lt;&gt;1),"Không có đơn duy nhất","")))))</x:f>
      </x:c>
    </x:row>
    <x:row r="43" ht="22" customHeight="1">
      <x:c r="A43" s="10"/>
      <x:c r="B43" s="10"/>
      <x:c r="C43" s="24"/>
      <x:c r="D43" s="24"/>
      <x:c r="E43" s="25"/>
      <x:c r="F43" s="10"/>
      <x:c r="G43" s="26"/>
      <x:c r="H43" s="26"/>
      <x:c r="I43" s="26"/>
      <x:c r="J43" s="26"/>
      <x:c r="K43" s="26"/>
      <x:c r="L43" s="26"/>
      <x:c r="M43" s="26"/>
      <x:c r="N43" s="26"/>
      <x:c r="O43" s="27" t="str">
        <x:f>IF(C43="","",IF(COUNT(G43:M43)=7,SUM(G43:H43)-SUM(I43:K43)+SUM(L43:M43),"n.a."))</x:f>
      </x:c>
      <x:c r="P43" s="27" t="str">
        <x:f>IF(C43="","",IF(COUNT(N43:O43)=2,N43-O43,"n.a."))</x:f>
      </x:c>
      <x:c r="Q43" s="23" t="str">
        <x:f>IF(C43="","",A43&amp;"|"&amp;B43&amp;"|"&amp;C43)</x:f>
      </x:c>
      <x:c r="R43" s="23" t="str">
        <x:f>IF(D43="","",A43&amp;"|"&amp;B43&amp;"|"&amp;D43)</x:f>
      </x:c>
      <x:c r="S43" s="10"/>
      <x:c r="T43" s="23" t="str">
        <x:f>IF(COUNTA(A43:N43)=0,"",IF(OR(NOT(OR(A43="TikTok Shop",A43="Shopee",A43="Lazada")),B43="",C43="",NOT(ISNUMBER(E43)),AND(F43&lt;&gt;"Quyết toán",F43&lt;&gt;"Số dư"),COUNT(G43:N43)&lt;&gt;8),"Thiếu/sai dữ liệu",IF(NOT(COUNTIFS(T_SoDu[Khóa shop],A43&amp;"|"&amp;B43)=1),"Shop chưa khai báo",IF(COUNTIFS(T_GD[Khóa giao dịch],Q43)&lt;&gt;1,"Trùng giao dịch",IF(AND(D43&lt;&gt;"",COUNTIFS(T_Don[Khóa đơn],R43)&lt;&gt;1),"Không có đơn duy nhất","")))))</x:f>
      </x:c>
    </x:row>
    <x:row r="44" ht="22" customHeight="1">
      <x:c r="A44" s="10"/>
      <x:c r="B44" s="10"/>
      <x:c r="C44" s="24"/>
      <x:c r="D44" s="24"/>
      <x:c r="E44" s="25"/>
      <x:c r="F44" s="10"/>
      <x:c r="G44" s="26"/>
      <x:c r="H44" s="26"/>
      <x:c r="I44" s="26"/>
      <x:c r="J44" s="26"/>
      <x:c r="K44" s="26"/>
      <x:c r="L44" s="26"/>
      <x:c r="M44" s="26"/>
      <x:c r="N44" s="26"/>
      <x:c r="O44" s="27" t="str">
        <x:f>IF(C44="","",IF(COUNT(G44:M44)=7,SUM(G44:H44)-SUM(I44:K44)+SUM(L44:M44),"n.a."))</x:f>
      </x:c>
      <x:c r="P44" s="27" t="str">
        <x:f>IF(C44="","",IF(COUNT(N44:O44)=2,N44-O44,"n.a."))</x:f>
      </x:c>
      <x:c r="Q44" s="23" t="str">
        <x:f>IF(C44="","",A44&amp;"|"&amp;B44&amp;"|"&amp;C44)</x:f>
      </x:c>
      <x:c r="R44" s="23" t="str">
        <x:f>IF(D44="","",A44&amp;"|"&amp;B44&amp;"|"&amp;D44)</x:f>
      </x:c>
      <x:c r="S44" s="10"/>
      <x:c r="T44" s="23" t="str">
        <x:f>IF(COUNTA(A44:N44)=0,"",IF(OR(NOT(OR(A44="TikTok Shop",A44="Shopee",A44="Lazada")),B44="",C44="",NOT(ISNUMBER(E44)),AND(F44&lt;&gt;"Quyết toán",F44&lt;&gt;"Số dư"),COUNT(G44:N44)&lt;&gt;8),"Thiếu/sai dữ liệu",IF(NOT(COUNTIFS(T_SoDu[Khóa shop],A44&amp;"|"&amp;B44)=1),"Shop chưa khai báo",IF(COUNTIFS(T_GD[Khóa giao dịch],Q44)&lt;&gt;1,"Trùng giao dịch",IF(AND(D44&lt;&gt;"",COUNTIFS(T_Don[Khóa đơn],R44)&lt;&gt;1),"Không có đơn duy nhất","")))))</x:f>
      </x:c>
    </x:row>
    <x:row r="45" ht="22" customHeight="1">
      <x:c r="A45" s="10"/>
      <x:c r="B45" s="10"/>
      <x:c r="C45" s="24"/>
      <x:c r="D45" s="24"/>
      <x:c r="E45" s="25"/>
      <x:c r="F45" s="10"/>
      <x:c r="G45" s="26"/>
      <x:c r="H45" s="26"/>
      <x:c r="I45" s="26"/>
      <x:c r="J45" s="26"/>
      <x:c r="K45" s="26"/>
      <x:c r="L45" s="26"/>
      <x:c r="M45" s="26"/>
      <x:c r="N45" s="26"/>
      <x:c r="O45" s="27" t="str">
        <x:f>IF(C45="","",IF(COUNT(G45:M45)=7,SUM(G45:H45)-SUM(I45:K45)+SUM(L45:M45),"n.a."))</x:f>
      </x:c>
      <x:c r="P45" s="27" t="str">
        <x:f>IF(C45="","",IF(COUNT(N45:O45)=2,N45-O45,"n.a."))</x:f>
      </x:c>
      <x:c r="Q45" s="23" t="str">
        <x:f>IF(C45="","",A45&amp;"|"&amp;B45&amp;"|"&amp;C45)</x:f>
      </x:c>
      <x:c r="R45" s="23" t="str">
        <x:f>IF(D45="","",A45&amp;"|"&amp;B45&amp;"|"&amp;D45)</x:f>
      </x:c>
      <x:c r="S45" s="10"/>
      <x:c r="T45" s="23" t="str">
        <x:f>IF(COUNTA(A45:N45)=0,"",IF(OR(NOT(OR(A45="TikTok Shop",A45="Shopee",A45="Lazada")),B45="",C45="",NOT(ISNUMBER(E45)),AND(F45&lt;&gt;"Quyết toán",F45&lt;&gt;"Số dư"),COUNT(G45:N45)&lt;&gt;8),"Thiếu/sai dữ liệu",IF(NOT(COUNTIFS(T_SoDu[Khóa shop],A45&amp;"|"&amp;B45)=1),"Shop chưa khai báo",IF(COUNTIFS(T_GD[Khóa giao dịch],Q45)&lt;&gt;1,"Trùng giao dịch",IF(AND(D45&lt;&gt;"",COUNTIFS(T_Don[Khóa đơn],R45)&lt;&gt;1),"Không có đơn duy nhất","")))))</x:f>
      </x:c>
    </x:row>
    <x:row r="46" ht="22" customHeight="1">
      <x:c r="A46" s="10"/>
      <x:c r="B46" s="10"/>
      <x:c r="C46" s="24"/>
      <x:c r="D46" s="24"/>
      <x:c r="E46" s="25"/>
      <x:c r="F46" s="10"/>
      <x:c r="G46" s="26"/>
      <x:c r="H46" s="26"/>
      <x:c r="I46" s="26"/>
      <x:c r="J46" s="26"/>
      <x:c r="K46" s="26"/>
      <x:c r="L46" s="26"/>
      <x:c r="M46" s="26"/>
      <x:c r="N46" s="26"/>
      <x:c r="O46" s="27" t="str">
        <x:f>IF(C46="","",IF(COUNT(G46:M46)=7,SUM(G46:H46)-SUM(I46:K46)+SUM(L46:M46),"n.a."))</x:f>
      </x:c>
      <x:c r="P46" s="27" t="str">
        <x:f>IF(C46="","",IF(COUNT(N46:O46)=2,N46-O46,"n.a."))</x:f>
      </x:c>
      <x:c r="Q46" s="23" t="str">
        <x:f>IF(C46="","",A46&amp;"|"&amp;B46&amp;"|"&amp;C46)</x:f>
      </x:c>
      <x:c r="R46" s="23" t="str">
        <x:f>IF(D46="","",A46&amp;"|"&amp;B46&amp;"|"&amp;D46)</x:f>
      </x:c>
      <x:c r="S46" s="10"/>
      <x:c r="T46" s="23" t="str">
        <x:f>IF(COUNTA(A46:N46)=0,"",IF(OR(NOT(OR(A46="TikTok Shop",A46="Shopee",A46="Lazada")),B46="",C46="",NOT(ISNUMBER(E46)),AND(F46&lt;&gt;"Quyết toán",F46&lt;&gt;"Số dư"),COUNT(G46:N46)&lt;&gt;8),"Thiếu/sai dữ liệu",IF(NOT(COUNTIFS(T_SoDu[Khóa shop],A46&amp;"|"&amp;B46)=1),"Shop chưa khai báo",IF(COUNTIFS(T_GD[Khóa giao dịch],Q46)&lt;&gt;1,"Trùng giao dịch",IF(AND(D46&lt;&gt;"",COUNTIFS(T_Don[Khóa đơn],R46)&lt;&gt;1),"Không có đơn duy nhất","")))))</x:f>
      </x:c>
    </x:row>
    <x:row r="47" ht="22" customHeight="1">
      <x:c r="A47" s="10"/>
      <x:c r="B47" s="10"/>
      <x:c r="C47" s="24"/>
      <x:c r="D47" s="24"/>
      <x:c r="E47" s="25"/>
      <x:c r="F47" s="10"/>
      <x:c r="G47" s="26"/>
      <x:c r="H47" s="26"/>
      <x:c r="I47" s="26"/>
      <x:c r="J47" s="26"/>
      <x:c r="K47" s="26"/>
      <x:c r="L47" s="26"/>
      <x:c r="M47" s="26"/>
      <x:c r="N47" s="26"/>
      <x:c r="O47" s="27" t="str">
        <x:f>IF(C47="","",IF(COUNT(G47:M47)=7,SUM(G47:H47)-SUM(I47:K47)+SUM(L47:M47),"n.a."))</x:f>
      </x:c>
      <x:c r="P47" s="27" t="str">
        <x:f>IF(C47="","",IF(COUNT(N47:O47)=2,N47-O47,"n.a."))</x:f>
      </x:c>
      <x:c r="Q47" s="23" t="str">
        <x:f>IF(C47="","",A47&amp;"|"&amp;B47&amp;"|"&amp;C47)</x:f>
      </x:c>
      <x:c r="R47" s="23" t="str">
        <x:f>IF(D47="","",A47&amp;"|"&amp;B47&amp;"|"&amp;D47)</x:f>
      </x:c>
      <x:c r="S47" s="10"/>
      <x:c r="T47" s="23" t="str">
        <x:f>IF(COUNTA(A47:N47)=0,"",IF(OR(NOT(OR(A47="TikTok Shop",A47="Shopee",A47="Lazada")),B47="",C47="",NOT(ISNUMBER(E47)),AND(F47&lt;&gt;"Quyết toán",F47&lt;&gt;"Số dư"),COUNT(G47:N47)&lt;&gt;8),"Thiếu/sai dữ liệu",IF(NOT(COUNTIFS(T_SoDu[Khóa shop],A47&amp;"|"&amp;B47)=1),"Shop chưa khai báo",IF(COUNTIFS(T_GD[Khóa giao dịch],Q47)&lt;&gt;1,"Trùng giao dịch",IF(AND(D47&lt;&gt;"",COUNTIFS(T_Don[Khóa đơn],R47)&lt;&gt;1),"Không có đơn duy nhất","")))))</x:f>
      </x:c>
    </x:row>
    <x:row r="48" ht="22" customHeight="1">
      <x:c r="A48" s="10"/>
      <x:c r="B48" s="10"/>
      <x:c r="C48" s="24"/>
      <x:c r="D48" s="24"/>
      <x:c r="E48" s="25"/>
      <x:c r="F48" s="10"/>
      <x:c r="G48" s="26"/>
      <x:c r="H48" s="26"/>
      <x:c r="I48" s="26"/>
      <x:c r="J48" s="26"/>
      <x:c r="K48" s="26"/>
      <x:c r="L48" s="26"/>
      <x:c r="M48" s="26"/>
      <x:c r="N48" s="26"/>
      <x:c r="O48" s="27" t="str">
        <x:f>IF(C48="","",IF(COUNT(G48:M48)=7,SUM(G48:H48)-SUM(I48:K48)+SUM(L48:M48),"n.a."))</x:f>
      </x:c>
      <x:c r="P48" s="27" t="str">
        <x:f>IF(C48="","",IF(COUNT(N48:O48)=2,N48-O48,"n.a."))</x:f>
      </x:c>
      <x:c r="Q48" s="23" t="str">
        <x:f>IF(C48="","",A48&amp;"|"&amp;B48&amp;"|"&amp;C48)</x:f>
      </x:c>
      <x:c r="R48" s="23" t="str">
        <x:f>IF(D48="","",A48&amp;"|"&amp;B48&amp;"|"&amp;D48)</x:f>
      </x:c>
      <x:c r="S48" s="10"/>
      <x:c r="T48" s="23" t="str">
        <x:f>IF(COUNTA(A48:N48)=0,"",IF(OR(NOT(OR(A48="TikTok Shop",A48="Shopee",A48="Lazada")),B48="",C48="",NOT(ISNUMBER(E48)),AND(F48&lt;&gt;"Quyết toán",F48&lt;&gt;"Số dư"),COUNT(G48:N48)&lt;&gt;8),"Thiếu/sai dữ liệu",IF(NOT(COUNTIFS(T_SoDu[Khóa shop],A48&amp;"|"&amp;B48)=1),"Shop chưa khai báo",IF(COUNTIFS(T_GD[Khóa giao dịch],Q48)&lt;&gt;1,"Trùng giao dịch",IF(AND(D48&lt;&gt;"",COUNTIFS(T_Don[Khóa đơn],R48)&lt;&gt;1),"Không có đơn duy nhất","")))))</x:f>
      </x:c>
    </x:row>
    <x:row r="49" ht="22" customHeight="1">
      <x:c r="A49" s="10"/>
      <x:c r="B49" s="10"/>
      <x:c r="C49" s="24"/>
      <x:c r="D49" s="24"/>
      <x:c r="E49" s="25"/>
      <x:c r="F49" s="10"/>
      <x:c r="G49" s="26"/>
      <x:c r="H49" s="26"/>
      <x:c r="I49" s="26"/>
      <x:c r="J49" s="26"/>
      <x:c r="K49" s="26"/>
      <x:c r="L49" s="26"/>
      <x:c r="M49" s="26"/>
      <x:c r="N49" s="26"/>
      <x:c r="O49" s="27" t="str">
        <x:f>IF(C49="","",IF(COUNT(G49:M49)=7,SUM(G49:H49)-SUM(I49:K49)+SUM(L49:M49),"n.a."))</x:f>
      </x:c>
      <x:c r="P49" s="27" t="str">
        <x:f>IF(C49="","",IF(COUNT(N49:O49)=2,N49-O49,"n.a."))</x:f>
      </x:c>
      <x:c r="Q49" s="23" t="str">
        <x:f>IF(C49="","",A49&amp;"|"&amp;B49&amp;"|"&amp;C49)</x:f>
      </x:c>
      <x:c r="R49" s="23" t="str">
        <x:f>IF(D49="","",A49&amp;"|"&amp;B49&amp;"|"&amp;D49)</x:f>
      </x:c>
      <x:c r="S49" s="10"/>
      <x:c r="T49" s="23" t="str">
        <x:f>IF(COUNTA(A49:N49)=0,"",IF(OR(NOT(OR(A49="TikTok Shop",A49="Shopee",A49="Lazada")),B49="",C49="",NOT(ISNUMBER(E49)),AND(F49&lt;&gt;"Quyết toán",F49&lt;&gt;"Số dư"),COUNT(G49:N49)&lt;&gt;8),"Thiếu/sai dữ liệu",IF(NOT(COUNTIFS(T_SoDu[Khóa shop],A49&amp;"|"&amp;B49)=1),"Shop chưa khai báo",IF(COUNTIFS(T_GD[Khóa giao dịch],Q49)&lt;&gt;1,"Trùng giao dịch",IF(AND(D49&lt;&gt;"",COUNTIFS(T_Don[Khóa đơn],R49)&lt;&gt;1),"Không có đơn duy nhất","")))))</x:f>
      </x:c>
    </x:row>
    <x:row r="50" ht="22" customHeight="1">
      <x:c r="A50" s="10"/>
      <x:c r="B50" s="10"/>
      <x:c r="C50" s="24"/>
      <x:c r="D50" s="24"/>
      <x:c r="E50" s="25"/>
      <x:c r="F50" s="10"/>
      <x:c r="G50" s="26"/>
      <x:c r="H50" s="26"/>
      <x:c r="I50" s="26"/>
      <x:c r="J50" s="26"/>
      <x:c r="K50" s="26"/>
      <x:c r="L50" s="26"/>
      <x:c r="M50" s="26"/>
      <x:c r="N50" s="26"/>
      <x:c r="O50" s="27" t="str">
        <x:f>IF(C50="","",IF(COUNT(G50:M50)=7,SUM(G50:H50)-SUM(I50:K50)+SUM(L50:M50),"n.a."))</x:f>
      </x:c>
      <x:c r="P50" s="27" t="str">
        <x:f>IF(C50="","",IF(COUNT(N50:O50)=2,N50-O50,"n.a."))</x:f>
      </x:c>
      <x:c r="Q50" s="23" t="str">
        <x:f>IF(C50="","",A50&amp;"|"&amp;B50&amp;"|"&amp;C50)</x:f>
      </x:c>
      <x:c r="R50" s="23" t="str">
        <x:f>IF(D50="","",A50&amp;"|"&amp;B50&amp;"|"&amp;D50)</x:f>
      </x:c>
      <x:c r="S50" s="10"/>
      <x:c r="T50" s="23" t="str">
        <x:f>IF(COUNTA(A50:N50)=0,"",IF(OR(NOT(OR(A50="TikTok Shop",A50="Shopee",A50="Lazada")),B50="",C50="",NOT(ISNUMBER(E50)),AND(F50&lt;&gt;"Quyết toán",F50&lt;&gt;"Số dư"),COUNT(G50:N50)&lt;&gt;8),"Thiếu/sai dữ liệu",IF(NOT(COUNTIFS(T_SoDu[Khóa shop],A50&amp;"|"&amp;B50)=1),"Shop chưa khai báo",IF(COUNTIFS(T_GD[Khóa giao dịch],Q50)&lt;&gt;1,"Trùng giao dịch",IF(AND(D50&lt;&gt;"",COUNTIFS(T_Don[Khóa đơn],R50)&lt;&gt;1),"Không có đơn duy nhất","")))))</x:f>
      </x:c>
    </x:row>
    <x:row r="51" ht="22" customHeight="1">
      <x:c r="A51" s="10"/>
      <x:c r="B51" s="10"/>
      <x:c r="C51" s="24"/>
      <x:c r="D51" s="24"/>
      <x:c r="E51" s="25"/>
      <x:c r="F51" s="10"/>
      <x:c r="G51" s="26"/>
      <x:c r="H51" s="26"/>
      <x:c r="I51" s="26"/>
      <x:c r="J51" s="26"/>
      <x:c r="K51" s="26"/>
      <x:c r="L51" s="26"/>
      <x:c r="M51" s="26"/>
      <x:c r="N51" s="26"/>
      <x:c r="O51" s="27" t="str">
        <x:f>IF(C51="","",IF(COUNT(G51:M51)=7,SUM(G51:H51)-SUM(I51:K51)+SUM(L51:M51),"n.a."))</x:f>
      </x:c>
      <x:c r="P51" s="27" t="str">
        <x:f>IF(C51="","",IF(COUNT(N51:O51)=2,N51-O51,"n.a."))</x:f>
      </x:c>
      <x:c r="Q51" s="23" t="str">
        <x:f>IF(C51="","",A51&amp;"|"&amp;B51&amp;"|"&amp;C51)</x:f>
      </x:c>
      <x:c r="R51" s="23" t="str">
        <x:f>IF(D51="","",A51&amp;"|"&amp;B51&amp;"|"&amp;D51)</x:f>
      </x:c>
      <x:c r="S51" s="10"/>
      <x:c r="T51" s="23" t="str">
        <x:f>IF(COUNTA(A51:N51)=0,"",IF(OR(NOT(OR(A51="TikTok Shop",A51="Shopee",A51="Lazada")),B51="",C51="",NOT(ISNUMBER(E51)),AND(F51&lt;&gt;"Quyết toán",F51&lt;&gt;"Số dư"),COUNT(G51:N51)&lt;&gt;8),"Thiếu/sai dữ liệu",IF(NOT(COUNTIFS(T_SoDu[Khóa shop],A51&amp;"|"&amp;B51)=1),"Shop chưa khai báo",IF(COUNTIFS(T_GD[Khóa giao dịch],Q51)&lt;&gt;1,"Trùng giao dịch",IF(AND(D51&lt;&gt;"",COUNTIFS(T_Don[Khóa đơn],R51)&lt;&gt;1),"Không có đơn duy nhất","")))))</x:f>
      </x:c>
    </x:row>
    <x:row r="52" ht="22" customHeight="1">
      <x:c r="A52" s="10"/>
      <x:c r="B52" s="10"/>
      <x:c r="C52" s="24"/>
      <x:c r="D52" s="24"/>
      <x:c r="E52" s="25"/>
      <x:c r="F52" s="10"/>
      <x:c r="G52" s="26"/>
      <x:c r="H52" s="26"/>
      <x:c r="I52" s="26"/>
      <x:c r="J52" s="26"/>
      <x:c r="K52" s="26"/>
      <x:c r="L52" s="26"/>
      <x:c r="M52" s="26"/>
      <x:c r="N52" s="26"/>
      <x:c r="O52" s="27" t="str">
        <x:f>IF(C52="","",IF(COUNT(G52:M52)=7,SUM(G52:H52)-SUM(I52:K52)+SUM(L52:M52),"n.a."))</x:f>
      </x:c>
      <x:c r="P52" s="27" t="str">
        <x:f>IF(C52="","",IF(COUNT(N52:O52)=2,N52-O52,"n.a."))</x:f>
      </x:c>
      <x:c r="Q52" s="23" t="str">
        <x:f>IF(C52="","",A52&amp;"|"&amp;B52&amp;"|"&amp;C52)</x:f>
      </x:c>
      <x:c r="R52" s="23" t="str">
        <x:f>IF(D52="","",A52&amp;"|"&amp;B52&amp;"|"&amp;D52)</x:f>
      </x:c>
      <x:c r="S52" s="10"/>
      <x:c r="T52" s="23" t="str">
        <x:f>IF(COUNTA(A52:N52)=0,"",IF(OR(NOT(OR(A52="TikTok Shop",A52="Shopee",A52="Lazada")),B52="",C52="",NOT(ISNUMBER(E52)),AND(F52&lt;&gt;"Quyết toán",F52&lt;&gt;"Số dư"),COUNT(G52:N52)&lt;&gt;8),"Thiếu/sai dữ liệu",IF(NOT(COUNTIFS(T_SoDu[Khóa shop],A52&amp;"|"&amp;B52)=1),"Shop chưa khai báo",IF(COUNTIFS(T_GD[Khóa giao dịch],Q52)&lt;&gt;1,"Trùng giao dịch",IF(AND(D52&lt;&gt;"",COUNTIFS(T_Don[Khóa đơn],R52)&lt;&gt;1),"Không có đơn duy nhất","")))))</x:f>
      </x:c>
    </x:row>
    <x:row r="53" ht="22" customHeight="1">
      <x:c r="A53" s="10"/>
      <x:c r="B53" s="10"/>
      <x:c r="C53" s="24"/>
      <x:c r="D53" s="24"/>
      <x:c r="E53" s="25"/>
      <x:c r="F53" s="10"/>
      <x:c r="G53" s="26"/>
      <x:c r="H53" s="26"/>
      <x:c r="I53" s="26"/>
      <x:c r="J53" s="26"/>
      <x:c r="K53" s="26"/>
      <x:c r="L53" s="26"/>
      <x:c r="M53" s="26"/>
      <x:c r="N53" s="26"/>
      <x:c r="O53" s="27" t="str">
        <x:f>IF(C53="","",IF(COUNT(G53:M53)=7,SUM(G53:H53)-SUM(I53:K53)+SUM(L53:M53),"n.a."))</x:f>
      </x:c>
      <x:c r="P53" s="27" t="str">
        <x:f>IF(C53="","",IF(COUNT(N53:O53)=2,N53-O53,"n.a."))</x:f>
      </x:c>
      <x:c r="Q53" s="23" t="str">
        <x:f>IF(C53="","",A53&amp;"|"&amp;B53&amp;"|"&amp;C53)</x:f>
      </x:c>
      <x:c r="R53" s="23" t="str">
        <x:f>IF(D53="","",A53&amp;"|"&amp;B53&amp;"|"&amp;D53)</x:f>
      </x:c>
      <x:c r="S53" s="10"/>
      <x:c r="T53" s="23" t="str">
        <x:f>IF(COUNTA(A53:N53)=0,"",IF(OR(NOT(OR(A53="TikTok Shop",A53="Shopee",A53="Lazada")),B53="",C53="",NOT(ISNUMBER(E53)),AND(F53&lt;&gt;"Quyết toán",F53&lt;&gt;"Số dư"),COUNT(G53:N53)&lt;&gt;8),"Thiếu/sai dữ liệu",IF(NOT(COUNTIFS(T_SoDu[Khóa shop],A53&amp;"|"&amp;B53)=1),"Shop chưa khai báo",IF(COUNTIFS(T_GD[Khóa giao dịch],Q53)&lt;&gt;1,"Trùng giao dịch",IF(AND(D53&lt;&gt;"",COUNTIFS(T_Don[Khóa đơn],R53)&lt;&gt;1),"Không có đơn duy nhất","")))))</x:f>
      </x:c>
    </x:row>
    <x:row r="54" ht="22" customHeight="1">
      <x:c r="A54" s="10"/>
      <x:c r="B54" s="10"/>
      <x:c r="C54" s="24"/>
      <x:c r="D54" s="24"/>
      <x:c r="E54" s="25"/>
      <x:c r="F54" s="10"/>
      <x:c r="G54" s="26"/>
      <x:c r="H54" s="26"/>
      <x:c r="I54" s="26"/>
      <x:c r="J54" s="26"/>
      <x:c r="K54" s="26"/>
      <x:c r="L54" s="26"/>
      <x:c r="M54" s="26"/>
      <x:c r="N54" s="26"/>
      <x:c r="O54" s="27" t="str">
        <x:f>IF(C54="","",IF(COUNT(G54:M54)=7,SUM(G54:H54)-SUM(I54:K54)+SUM(L54:M54),"n.a."))</x:f>
      </x:c>
      <x:c r="P54" s="27" t="str">
        <x:f>IF(C54="","",IF(COUNT(N54:O54)=2,N54-O54,"n.a."))</x:f>
      </x:c>
      <x:c r="Q54" s="23" t="str">
        <x:f>IF(C54="","",A54&amp;"|"&amp;B54&amp;"|"&amp;C54)</x:f>
      </x:c>
      <x:c r="R54" s="23" t="str">
        <x:f>IF(D54="","",A54&amp;"|"&amp;B54&amp;"|"&amp;D54)</x:f>
      </x:c>
      <x:c r="S54" s="10"/>
      <x:c r="T54" s="23" t="str">
        <x:f>IF(COUNTA(A54:N54)=0,"",IF(OR(NOT(OR(A54="TikTok Shop",A54="Shopee",A54="Lazada")),B54="",C54="",NOT(ISNUMBER(E54)),AND(F54&lt;&gt;"Quyết toán",F54&lt;&gt;"Số dư"),COUNT(G54:N54)&lt;&gt;8),"Thiếu/sai dữ liệu",IF(NOT(COUNTIFS(T_SoDu[Khóa shop],A54&amp;"|"&amp;B54)=1),"Shop chưa khai báo",IF(COUNTIFS(T_GD[Khóa giao dịch],Q54)&lt;&gt;1,"Trùng giao dịch",IF(AND(D54&lt;&gt;"",COUNTIFS(T_Don[Khóa đơn],R54)&lt;&gt;1),"Không có đơn duy nhất","")))))</x:f>
      </x:c>
    </x:row>
    <x:row r="55" ht="22" customHeight="1">
      <x:c r="A55" s="10"/>
      <x:c r="B55" s="10"/>
      <x:c r="C55" s="24"/>
      <x:c r="D55" s="24"/>
      <x:c r="E55" s="25"/>
      <x:c r="F55" s="10"/>
      <x:c r="G55" s="26"/>
      <x:c r="H55" s="26"/>
      <x:c r="I55" s="26"/>
      <x:c r="J55" s="26"/>
      <x:c r="K55" s="26"/>
      <x:c r="L55" s="26"/>
      <x:c r="M55" s="26"/>
      <x:c r="N55" s="26"/>
      <x:c r="O55" s="27" t="str">
        <x:f>IF(C55="","",IF(COUNT(G55:M55)=7,SUM(G55:H55)-SUM(I55:K55)+SUM(L55:M55),"n.a."))</x:f>
      </x:c>
      <x:c r="P55" s="27" t="str">
        <x:f>IF(C55="","",IF(COUNT(N55:O55)=2,N55-O55,"n.a."))</x:f>
      </x:c>
      <x:c r="Q55" s="23" t="str">
        <x:f>IF(C55="","",A55&amp;"|"&amp;B55&amp;"|"&amp;C55)</x:f>
      </x:c>
      <x:c r="R55" s="23" t="str">
        <x:f>IF(D55="","",A55&amp;"|"&amp;B55&amp;"|"&amp;D55)</x:f>
      </x:c>
      <x:c r="S55" s="10"/>
      <x:c r="T55" s="23" t="str">
        <x:f>IF(COUNTA(A55:N55)=0,"",IF(OR(NOT(OR(A55="TikTok Shop",A55="Shopee",A55="Lazada")),B55="",C55="",NOT(ISNUMBER(E55)),AND(F55&lt;&gt;"Quyết toán",F55&lt;&gt;"Số dư"),COUNT(G55:N55)&lt;&gt;8),"Thiếu/sai dữ liệu",IF(NOT(COUNTIFS(T_SoDu[Khóa shop],A55&amp;"|"&amp;B55)=1),"Shop chưa khai báo",IF(COUNTIFS(T_GD[Khóa giao dịch],Q55)&lt;&gt;1,"Trùng giao dịch",IF(AND(D55&lt;&gt;"",COUNTIFS(T_Don[Khóa đơn],R55)&lt;&gt;1),"Không có đơn duy nhất","")))))</x:f>
      </x:c>
    </x:row>
    <x:row r="56" ht="22" customHeight="1">
      <x:c r="A56" s="10"/>
      <x:c r="B56" s="10"/>
      <x:c r="C56" s="24"/>
      <x:c r="D56" s="24"/>
      <x:c r="E56" s="25"/>
      <x:c r="F56" s="10"/>
      <x:c r="G56" s="26"/>
      <x:c r="H56" s="26"/>
      <x:c r="I56" s="26"/>
      <x:c r="J56" s="26"/>
      <x:c r="K56" s="26"/>
      <x:c r="L56" s="26"/>
      <x:c r="M56" s="26"/>
      <x:c r="N56" s="26"/>
      <x:c r="O56" s="27" t="str">
        <x:f>IF(C56="","",IF(COUNT(G56:M56)=7,SUM(G56:H56)-SUM(I56:K56)+SUM(L56:M56),"n.a."))</x:f>
      </x:c>
      <x:c r="P56" s="27" t="str">
        <x:f>IF(C56="","",IF(COUNT(N56:O56)=2,N56-O56,"n.a."))</x:f>
      </x:c>
      <x:c r="Q56" s="23" t="str">
        <x:f>IF(C56="","",A56&amp;"|"&amp;B56&amp;"|"&amp;C56)</x:f>
      </x:c>
      <x:c r="R56" s="23" t="str">
        <x:f>IF(D56="","",A56&amp;"|"&amp;B56&amp;"|"&amp;D56)</x:f>
      </x:c>
      <x:c r="S56" s="10"/>
      <x:c r="T56" s="23" t="str">
        <x:f>IF(COUNTA(A56:N56)=0,"",IF(OR(NOT(OR(A56="TikTok Shop",A56="Shopee",A56="Lazada")),B56="",C56="",NOT(ISNUMBER(E56)),AND(F56&lt;&gt;"Quyết toán",F56&lt;&gt;"Số dư"),COUNT(G56:N56)&lt;&gt;8),"Thiếu/sai dữ liệu",IF(NOT(COUNTIFS(T_SoDu[Khóa shop],A56&amp;"|"&amp;B56)=1),"Shop chưa khai báo",IF(COUNTIFS(T_GD[Khóa giao dịch],Q56)&lt;&gt;1,"Trùng giao dịch",IF(AND(D56&lt;&gt;"",COUNTIFS(T_Don[Khóa đơn],R56)&lt;&gt;1),"Không có đơn duy nhất","")))))</x:f>
      </x:c>
    </x:row>
    <x:row r="57" ht="22" customHeight="1">
      <x:c r="A57" s="10"/>
      <x:c r="B57" s="10"/>
      <x:c r="C57" s="24"/>
      <x:c r="D57" s="24"/>
      <x:c r="E57" s="25"/>
      <x:c r="F57" s="10"/>
      <x:c r="G57" s="26"/>
      <x:c r="H57" s="26"/>
      <x:c r="I57" s="26"/>
      <x:c r="J57" s="26"/>
      <x:c r="K57" s="26"/>
      <x:c r="L57" s="26"/>
      <x:c r="M57" s="26"/>
      <x:c r="N57" s="26"/>
      <x:c r="O57" s="27" t="str">
        <x:f>IF(C57="","",IF(COUNT(G57:M57)=7,SUM(G57:H57)-SUM(I57:K57)+SUM(L57:M57),"n.a."))</x:f>
      </x:c>
      <x:c r="P57" s="27" t="str">
        <x:f>IF(C57="","",IF(COUNT(N57:O57)=2,N57-O57,"n.a."))</x:f>
      </x:c>
      <x:c r="Q57" s="23" t="str">
        <x:f>IF(C57="","",A57&amp;"|"&amp;B57&amp;"|"&amp;C57)</x:f>
      </x:c>
      <x:c r="R57" s="23" t="str">
        <x:f>IF(D57="","",A57&amp;"|"&amp;B57&amp;"|"&amp;D57)</x:f>
      </x:c>
      <x:c r="S57" s="10"/>
      <x:c r="T57" s="23" t="str">
        <x:f>IF(COUNTA(A57:N57)=0,"",IF(OR(NOT(OR(A57="TikTok Shop",A57="Shopee",A57="Lazada")),B57="",C57="",NOT(ISNUMBER(E57)),AND(F57&lt;&gt;"Quyết toán",F57&lt;&gt;"Số dư"),COUNT(G57:N57)&lt;&gt;8),"Thiếu/sai dữ liệu",IF(NOT(COUNTIFS(T_SoDu[Khóa shop],A57&amp;"|"&amp;B57)=1),"Shop chưa khai báo",IF(COUNTIFS(T_GD[Khóa giao dịch],Q57)&lt;&gt;1,"Trùng giao dịch",IF(AND(D57&lt;&gt;"",COUNTIFS(T_Don[Khóa đơn],R57)&lt;&gt;1),"Không có đơn duy nhất","")))))</x:f>
      </x:c>
    </x:row>
    <x:row r="58" ht="22" customHeight="1">
      <x:c r="A58" s="10"/>
      <x:c r="B58" s="10"/>
      <x:c r="C58" s="24"/>
      <x:c r="D58" s="24"/>
      <x:c r="E58" s="25"/>
      <x:c r="F58" s="10"/>
      <x:c r="G58" s="26"/>
      <x:c r="H58" s="26"/>
      <x:c r="I58" s="26"/>
      <x:c r="J58" s="26"/>
      <x:c r="K58" s="26"/>
      <x:c r="L58" s="26"/>
      <x:c r="M58" s="26"/>
      <x:c r="N58" s="26"/>
      <x:c r="O58" s="27" t="str">
        <x:f>IF(C58="","",IF(COUNT(G58:M58)=7,SUM(G58:H58)-SUM(I58:K58)+SUM(L58:M58),"n.a."))</x:f>
      </x:c>
      <x:c r="P58" s="27" t="str">
        <x:f>IF(C58="","",IF(COUNT(N58:O58)=2,N58-O58,"n.a."))</x:f>
      </x:c>
      <x:c r="Q58" s="23" t="str">
        <x:f>IF(C58="","",A58&amp;"|"&amp;B58&amp;"|"&amp;C58)</x:f>
      </x:c>
      <x:c r="R58" s="23" t="str">
        <x:f>IF(D58="","",A58&amp;"|"&amp;B58&amp;"|"&amp;D58)</x:f>
      </x:c>
      <x:c r="S58" s="10"/>
      <x:c r="T58" s="23" t="str">
        <x:f>IF(COUNTA(A58:N58)=0,"",IF(OR(NOT(OR(A58="TikTok Shop",A58="Shopee",A58="Lazada")),B58="",C58="",NOT(ISNUMBER(E58)),AND(F58&lt;&gt;"Quyết toán",F58&lt;&gt;"Số dư"),COUNT(G58:N58)&lt;&gt;8),"Thiếu/sai dữ liệu",IF(NOT(COUNTIFS(T_SoDu[Khóa shop],A58&amp;"|"&amp;B58)=1),"Shop chưa khai báo",IF(COUNTIFS(T_GD[Khóa giao dịch],Q58)&lt;&gt;1,"Trùng giao dịch",IF(AND(D58&lt;&gt;"",COUNTIFS(T_Don[Khóa đơn],R58)&lt;&gt;1),"Không có đơn duy nhất","")))))</x:f>
      </x:c>
    </x:row>
    <x:row r="59" ht="22" customHeight="1">
      <x:c r="A59" s="10"/>
      <x:c r="B59" s="10"/>
      <x:c r="C59" s="24"/>
      <x:c r="D59" s="24"/>
      <x:c r="E59" s="25"/>
      <x:c r="F59" s="10"/>
      <x:c r="G59" s="26"/>
      <x:c r="H59" s="26"/>
      <x:c r="I59" s="26"/>
      <x:c r="J59" s="26"/>
      <x:c r="K59" s="26"/>
      <x:c r="L59" s="26"/>
      <x:c r="M59" s="26"/>
      <x:c r="N59" s="26"/>
      <x:c r="O59" s="27" t="str">
        <x:f>IF(C59="","",IF(COUNT(G59:M59)=7,SUM(G59:H59)-SUM(I59:K59)+SUM(L59:M59),"n.a."))</x:f>
      </x:c>
      <x:c r="P59" s="27" t="str">
        <x:f>IF(C59="","",IF(COUNT(N59:O59)=2,N59-O59,"n.a."))</x:f>
      </x:c>
      <x:c r="Q59" s="23" t="str">
        <x:f>IF(C59="","",A59&amp;"|"&amp;B59&amp;"|"&amp;C59)</x:f>
      </x:c>
      <x:c r="R59" s="23" t="str">
        <x:f>IF(D59="","",A59&amp;"|"&amp;B59&amp;"|"&amp;D59)</x:f>
      </x:c>
      <x:c r="S59" s="10"/>
      <x:c r="T59" s="23" t="str">
        <x:f>IF(COUNTA(A59:N59)=0,"",IF(OR(NOT(OR(A59="TikTok Shop",A59="Shopee",A59="Lazada")),B59="",C59="",NOT(ISNUMBER(E59)),AND(F59&lt;&gt;"Quyết toán",F59&lt;&gt;"Số dư"),COUNT(G59:N59)&lt;&gt;8),"Thiếu/sai dữ liệu",IF(NOT(COUNTIFS(T_SoDu[Khóa shop],A59&amp;"|"&amp;B59)=1),"Shop chưa khai báo",IF(COUNTIFS(T_GD[Khóa giao dịch],Q59)&lt;&gt;1,"Trùng giao dịch",IF(AND(D59&lt;&gt;"",COUNTIFS(T_Don[Khóa đơn],R59)&lt;&gt;1),"Không có đơn duy nhất","")))))</x:f>
      </x:c>
    </x:row>
    <x:row r="60" ht="22" customHeight="1">
      <x:c r="A60" s="10"/>
      <x:c r="B60" s="10"/>
      <x:c r="C60" s="24"/>
      <x:c r="D60" s="24"/>
      <x:c r="E60" s="25"/>
      <x:c r="F60" s="10"/>
      <x:c r="G60" s="26"/>
      <x:c r="H60" s="26"/>
      <x:c r="I60" s="26"/>
      <x:c r="J60" s="26"/>
      <x:c r="K60" s="26"/>
      <x:c r="L60" s="26"/>
      <x:c r="M60" s="26"/>
      <x:c r="N60" s="26"/>
      <x:c r="O60" s="27" t="str">
        <x:f>IF(C60="","",IF(COUNT(G60:M60)=7,SUM(G60:H60)-SUM(I60:K60)+SUM(L60:M60),"n.a."))</x:f>
      </x:c>
      <x:c r="P60" s="27" t="str">
        <x:f>IF(C60="","",IF(COUNT(N60:O60)=2,N60-O60,"n.a."))</x:f>
      </x:c>
      <x:c r="Q60" s="23" t="str">
        <x:f>IF(C60="","",A60&amp;"|"&amp;B60&amp;"|"&amp;C60)</x:f>
      </x:c>
      <x:c r="R60" s="23" t="str">
        <x:f>IF(D60="","",A60&amp;"|"&amp;B60&amp;"|"&amp;D60)</x:f>
      </x:c>
      <x:c r="S60" s="10"/>
      <x:c r="T60" s="23" t="str">
        <x:f>IF(COUNTA(A60:N60)=0,"",IF(OR(NOT(OR(A60="TikTok Shop",A60="Shopee",A60="Lazada")),B60="",C60="",NOT(ISNUMBER(E60)),AND(F60&lt;&gt;"Quyết toán",F60&lt;&gt;"Số dư"),COUNT(G60:N60)&lt;&gt;8),"Thiếu/sai dữ liệu",IF(NOT(COUNTIFS(T_SoDu[Khóa shop],A60&amp;"|"&amp;B60)=1),"Shop chưa khai báo",IF(COUNTIFS(T_GD[Khóa giao dịch],Q60)&lt;&gt;1,"Trùng giao dịch",IF(AND(D60&lt;&gt;"",COUNTIFS(T_Don[Khóa đơn],R60)&lt;&gt;1),"Không có đơn duy nhất","")))))</x:f>
      </x:c>
    </x:row>
    <x:row r="61" ht="22" customHeight="1">
      <x:c r="A61" s="10"/>
      <x:c r="B61" s="10"/>
      <x:c r="C61" s="24"/>
      <x:c r="D61" s="24"/>
      <x:c r="E61" s="25"/>
      <x:c r="F61" s="10"/>
      <x:c r="G61" s="26"/>
      <x:c r="H61" s="26"/>
      <x:c r="I61" s="26"/>
      <x:c r="J61" s="26"/>
      <x:c r="K61" s="26"/>
      <x:c r="L61" s="26"/>
      <x:c r="M61" s="26"/>
      <x:c r="N61" s="26"/>
      <x:c r="O61" s="27" t="str">
        <x:f>IF(C61="","",IF(COUNT(G61:M61)=7,SUM(G61:H61)-SUM(I61:K61)+SUM(L61:M61),"n.a."))</x:f>
      </x:c>
      <x:c r="P61" s="27" t="str">
        <x:f>IF(C61="","",IF(COUNT(N61:O61)=2,N61-O61,"n.a."))</x:f>
      </x:c>
      <x:c r="Q61" s="23" t="str">
        <x:f>IF(C61="","",A61&amp;"|"&amp;B61&amp;"|"&amp;C61)</x:f>
      </x:c>
      <x:c r="R61" s="23" t="str">
        <x:f>IF(D61="","",A61&amp;"|"&amp;B61&amp;"|"&amp;D61)</x:f>
      </x:c>
      <x:c r="S61" s="10"/>
      <x:c r="T61" s="23" t="str">
        <x:f>IF(COUNTA(A61:N61)=0,"",IF(OR(NOT(OR(A61="TikTok Shop",A61="Shopee",A61="Lazada")),B61="",C61="",NOT(ISNUMBER(E61)),AND(F61&lt;&gt;"Quyết toán",F61&lt;&gt;"Số dư"),COUNT(G61:N61)&lt;&gt;8),"Thiếu/sai dữ liệu",IF(NOT(COUNTIFS(T_SoDu[Khóa shop],A61&amp;"|"&amp;B61)=1),"Shop chưa khai báo",IF(COUNTIFS(T_GD[Khóa giao dịch],Q61)&lt;&gt;1,"Trùng giao dịch",IF(AND(D61&lt;&gt;"",COUNTIFS(T_Don[Khóa đơn],R61)&lt;&gt;1),"Không có đơn duy nhất","")))))</x:f>
      </x:c>
    </x:row>
    <x:row r="62" ht="22" customHeight="1">
      <x:c r="A62" s="10"/>
      <x:c r="B62" s="10"/>
      <x:c r="C62" s="24"/>
      <x:c r="D62" s="24"/>
      <x:c r="E62" s="25"/>
      <x:c r="F62" s="10"/>
      <x:c r="G62" s="26"/>
      <x:c r="H62" s="26"/>
      <x:c r="I62" s="26"/>
      <x:c r="J62" s="26"/>
      <x:c r="K62" s="26"/>
      <x:c r="L62" s="26"/>
      <x:c r="M62" s="26"/>
      <x:c r="N62" s="26"/>
      <x:c r="O62" s="27" t="str">
        <x:f>IF(C62="","",IF(COUNT(G62:M62)=7,SUM(G62:H62)-SUM(I62:K62)+SUM(L62:M62),"n.a."))</x:f>
      </x:c>
      <x:c r="P62" s="27" t="str">
        <x:f>IF(C62="","",IF(COUNT(N62:O62)=2,N62-O62,"n.a."))</x:f>
      </x:c>
      <x:c r="Q62" s="23" t="str">
        <x:f>IF(C62="","",A62&amp;"|"&amp;B62&amp;"|"&amp;C62)</x:f>
      </x:c>
      <x:c r="R62" s="23" t="str">
        <x:f>IF(D62="","",A62&amp;"|"&amp;B62&amp;"|"&amp;D62)</x:f>
      </x:c>
      <x:c r="S62" s="10"/>
      <x:c r="T62" s="23" t="str">
        <x:f>IF(COUNTA(A62:N62)=0,"",IF(OR(NOT(OR(A62="TikTok Shop",A62="Shopee",A62="Lazada")),B62="",C62="",NOT(ISNUMBER(E62)),AND(F62&lt;&gt;"Quyết toán",F62&lt;&gt;"Số dư"),COUNT(G62:N62)&lt;&gt;8),"Thiếu/sai dữ liệu",IF(NOT(COUNTIFS(T_SoDu[Khóa shop],A62&amp;"|"&amp;B62)=1),"Shop chưa khai báo",IF(COUNTIFS(T_GD[Khóa giao dịch],Q62)&lt;&gt;1,"Trùng giao dịch",IF(AND(D62&lt;&gt;"",COUNTIFS(T_Don[Khóa đơn],R62)&lt;&gt;1),"Không có đơn duy nhất","")))))</x:f>
      </x:c>
    </x:row>
    <x:row r="63" ht="22" customHeight="1">
      <x:c r="A63" s="10"/>
      <x:c r="B63" s="10"/>
      <x:c r="C63" s="24"/>
      <x:c r="D63" s="24"/>
      <x:c r="E63" s="25"/>
      <x:c r="F63" s="10"/>
      <x:c r="G63" s="26"/>
      <x:c r="H63" s="26"/>
      <x:c r="I63" s="26"/>
      <x:c r="J63" s="26"/>
      <x:c r="K63" s="26"/>
      <x:c r="L63" s="26"/>
      <x:c r="M63" s="26"/>
      <x:c r="N63" s="26"/>
      <x:c r="O63" s="27" t="str">
        <x:f>IF(C63="","",IF(COUNT(G63:M63)=7,SUM(G63:H63)-SUM(I63:K63)+SUM(L63:M63),"n.a."))</x:f>
      </x:c>
      <x:c r="P63" s="27" t="str">
        <x:f>IF(C63="","",IF(COUNT(N63:O63)=2,N63-O63,"n.a."))</x:f>
      </x:c>
      <x:c r="Q63" s="23" t="str">
        <x:f>IF(C63="","",A63&amp;"|"&amp;B63&amp;"|"&amp;C63)</x:f>
      </x:c>
      <x:c r="R63" s="23" t="str">
        <x:f>IF(D63="","",A63&amp;"|"&amp;B63&amp;"|"&amp;D63)</x:f>
      </x:c>
      <x:c r="S63" s="10"/>
      <x:c r="T63" s="23" t="str">
        <x:f>IF(COUNTA(A63:N63)=0,"",IF(OR(NOT(OR(A63="TikTok Shop",A63="Shopee",A63="Lazada")),B63="",C63="",NOT(ISNUMBER(E63)),AND(F63&lt;&gt;"Quyết toán",F63&lt;&gt;"Số dư"),COUNT(G63:N63)&lt;&gt;8),"Thiếu/sai dữ liệu",IF(NOT(COUNTIFS(T_SoDu[Khóa shop],A63&amp;"|"&amp;B63)=1),"Shop chưa khai báo",IF(COUNTIFS(T_GD[Khóa giao dịch],Q63)&lt;&gt;1,"Trùng giao dịch",IF(AND(D63&lt;&gt;"",COUNTIFS(T_Don[Khóa đơn],R63)&lt;&gt;1),"Không có đơn duy nhất","")))))</x:f>
      </x:c>
    </x:row>
    <x:row r="64" ht="22" customHeight="1">
      <x:c r="A64" s="10"/>
      <x:c r="B64" s="10"/>
      <x:c r="C64" s="24"/>
      <x:c r="D64" s="24"/>
      <x:c r="E64" s="25"/>
      <x:c r="F64" s="10"/>
      <x:c r="G64" s="26"/>
      <x:c r="H64" s="26"/>
      <x:c r="I64" s="26"/>
      <x:c r="J64" s="26"/>
      <x:c r="K64" s="26"/>
      <x:c r="L64" s="26"/>
      <x:c r="M64" s="26"/>
      <x:c r="N64" s="26"/>
      <x:c r="O64" s="27" t="str">
        <x:f>IF(C64="","",IF(COUNT(G64:M64)=7,SUM(G64:H64)-SUM(I64:K64)+SUM(L64:M64),"n.a."))</x:f>
      </x:c>
      <x:c r="P64" s="27" t="str">
        <x:f>IF(C64="","",IF(COUNT(N64:O64)=2,N64-O64,"n.a."))</x:f>
      </x:c>
      <x:c r="Q64" s="23" t="str">
        <x:f>IF(C64="","",A64&amp;"|"&amp;B64&amp;"|"&amp;C64)</x:f>
      </x:c>
      <x:c r="R64" s="23" t="str">
        <x:f>IF(D64="","",A64&amp;"|"&amp;B64&amp;"|"&amp;D64)</x:f>
      </x:c>
      <x:c r="S64" s="10"/>
      <x:c r="T64" s="23" t="str">
        <x:f>IF(COUNTA(A64:N64)=0,"",IF(OR(NOT(OR(A64="TikTok Shop",A64="Shopee",A64="Lazada")),B64="",C64="",NOT(ISNUMBER(E64)),AND(F64&lt;&gt;"Quyết toán",F64&lt;&gt;"Số dư"),COUNT(G64:N64)&lt;&gt;8),"Thiếu/sai dữ liệu",IF(NOT(COUNTIFS(T_SoDu[Khóa shop],A64&amp;"|"&amp;B64)=1),"Shop chưa khai báo",IF(COUNTIFS(T_GD[Khóa giao dịch],Q64)&lt;&gt;1,"Trùng giao dịch",IF(AND(D64&lt;&gt;"",COUNTIFS(T_Don[Khóa đơn],R64)&lt;&gt;1),"Không có đơn duy nhất","")))))</x:f>
      </x:c>
    </x:row>
    <x:row r="65" ht="22" customHeight="1">
      <x:c r="A65" s="10"/>
      <x:c r="B65" s="10"/>
      <x:c r="C65" s="24"/>
      <x:c r="D65" s="24"/>
      <x:c r="E65" s="25"/>
      <x:c r="F65" s="10"/>
      <x:c r="G65" s="26"/>
      <x:c r="H65" s="26"/>
      <x:c r="I65" s="26"/>
      <x:c r="J65" s="26"/>
      <x:c r="K65" s="26"/>
      <x:c r="L65" s="26"/>
      <x:c r="M65" s="26"/>
      <x:c r="N65" s="26"/>
      <x:c r="O65" s="27" t="str">
        <x:f>IF(C65="","",IF(COUNT(G65:M65)=7,SUM(G65:H65)-SUM(I65:K65)+SUM(L65:M65),"n.a."))</x:f>
      </x:c>
      <x:c r="P65" s="27" t="str">
        <x:f>IF(C65="","",IF(COUNT(N65:O65)=2,N65-O65,"n.a."))</x:f>
      </x:c>
      <x:c r="Q65" s="23" t="str">
        <x:f>IF(C65="","",A65&amp;"|"&amp;B65&amp;"|"&amp;C65)</x:f>
      </x:c>
      <x:c r="R65" s="23" t="str">
        <x:f>IF(D65="","",A65&amp;"|"&amp;B65&amp;"|"&amp;D65)</x:f>
      </x:c>
      <x:c r="S65" s="10"/>
      <x:c r="T65" s="23" t="str">
        <x:f>IF(COUNTA(A65:N65)=0,"",IF(OR(NOT(OR(A65="TikTok Shop",A65="Shopee",A65="Lazada")),B65="",C65="",NOT(ISNUMBER(E65)),AND(F65&lt;&gt;"Quyết toán",F65&lt;&gt;"Số dư"),COUNT(G65:N65)&lt;&gt;8),"Thiếu/sai dữ liệu",IF(NOT(COUNTIFS(T_SoDu[Khóa shop],A65&amp;"|"&amp;B65)=1),"Shop chưa khai báo",IF(COUNTIFS(T_GD[Khóa giao dịch],Q65)&lt;&gt;1,"Trùng giao dịch",IF(AND(D65&lt;&gt;"",COUNTIFS(T_Don[Khóa đơn],R65)&lt;&gt;1),"Không có đơn duy nhất","")))))</x:f>
      </x:c>
    </x:row>
    <x:row r="66" ht="22" customHeight="1">
      <x:c r="A66" s="10"/>
      <x:c r="B66" s="10"/>
      <x:c r="C66" s="24"/>
      <x:c r="D66" s="24"/>
      <x:c r="E66" s="25"/>
      <x:c r="F66" s="10"/>
      <x:c r="G66" s="26"/>
      <x:c r="H66" s="26"/>
      <x:c r="I66" s="26"/>
      <x:c r="J66" s="26"/>
      <x:c r="K66" s="26"/>
      <x:c r="L66" s="26"/>
      <x:c r="M66" s="26"/>
      <x:c r="N66" s="26"/>
      <x:c r="O66" s="27" t="str">
        <x:f>IF(C66="","",IF(COUNT(G66:M66)=7,SUM(G66:H66)-SUM(I66:K66)+SUM(L66:M66),"n.a."))</x:f>
      </x:c>
      <x:c r="P66" s="27" t="str">
        <x:f>IF(C66="","",IF(COUNT(N66:O66)=2,N66-O66,"n.a."))</x:f>
      </x:c>
      <x:c r="Q66" s="23" t="str">
        <x:f>IF(C66="","",A66&amp;"|"&amp;B66&amp;"|"&amp;C66)</x:f>
      </x:c>
      <x:c r="R66" s="23" t="str">
        <x:f>IF(D66="","",A66&amp;"|"&amp;B66&amp;"|"&amp;D66)</x:f>
      </x:c>
      <x:c r="S66" s="10"/>
      <x:c r="T66" s="23" t="str">
        <x:f>IF(COUNTA(A66:N66)=0,"",IF(OR(NOT(OR(A66="TikTok Shop",A66="Shopee",A66="Lazada")),B66="",C66="",NOT(ISNUMBER(E66)),AND(F66&lt;&gt;"Quyết toán",F66&lt;&gt;"Số dư"),COUNT(G66:N66)&lt;&gt;8),"Thiếu/sai dữ liệu",IF(NOT(COUNTIFS(T_SoDu[Khóa shop],A66&amp;"|"&amp;B66)=1),"Shop chưa khai báo",IF(COUNTIFS(T_GD[Khóa giao dịch],Q66)&lt;&gt;1,"Trùng giao dịch",IF(AND(D66&lt;&gt;"",COUNTIFS(T_Don[Khóa đơn],R66)&lt;&gt;1),"Không có đơn duy nhất","")))))</x:f>
      </x:c>
    </x:row>
    <x:row r="67" ht="22" customHeight="1">
      <x:c r="A67" s="10"/>
      <x:c r="B67" s="10"/>
      <x:c r="C67" s="24"/>
      <x:c r="D67" s="24"/>
      <x:c r="E67" s="25"/>
      <x:c r="F67" s="10"/>
      <x:c r="G67" s="26"/>
      <x:c r="H67" s="26"/>
      <x:c r="I67" s="26"/>
      <x:c r="J67" s="26"/>
      <x:c r="K67" s="26"/>
      <x:c r="L67" s="26"/>
      <x:c r="M67" s="26"/>
      <x:c r="N67" s="26"/>
      <x:c r="O67" s="27" t="str">
        <x:f>IF(C67="","",IF(COUNT(G67:M67)=7,SUM(G67:H67)-SUM(I67:K67)+SUM(L67:M67),"n.a."))</x:f>
      </x:c>
      <x:c r="P67" s="27" t="str">
        <x:f>IF(C67="","",IF(COUNT(N67:O67)=2,N67-O67,"n.a."))</x:f>
      </x:c>
      <x:c r="Q67" s="23" t="str">
        <x:f>IF(C67="","",A67&amp;"|"&amp;B67&amp;"|"&amp;C67)</x:f>
      </x:c>
      <x:c r="R67" s="23" t="str">
        <x:f>IF(D67="","",A67&amp;"|"&amp;B67&amp;"|"&amp;D67)</x:f>
      </x:c>
      <x:c r="S67" s="10"/>
      <x:c r="T67" s="23" t="str">
        <x:f>IF(COUNTA(A67:N67)=0,"",IF(OR(NOT(OR(A67="TikTok Shop",A67="Shopee",A67="Lazada")),B67="",C67="",NOT(ISNUMBER(E67)),AND(F67&lt;&gt;"Quyết toán",F67&lt;&gt;"Số dư"),COUNT(G67:N67)&lt;&gt;8),"Thiếu/sai dữ liệu",IF(NOT(COUNTIFS(T_SoDu[Khóa shop],A67&amp;"|"&amp;B67)=1),"Shop chưa khai báo",IF(COUNTIFS(T_GD[Khóa giao dịch],Q67)&lt;&gt;1,"Trùng giao dịch",IF(AND(D67&lt;&gt;"",COUNTIFS(T_Don[Khóa đơn],R67)&lt;&gt;1),"Không có đơn duy nhất","")))))</x:f>
      </x:c>
    </x:row>
    <x:row r="68" ht="22" customHeight="1">
      <x:c r="A68" s="10"/>
      <x:c r="B68" s="10"/>
      <x:c r="C68" s="24"/>
      <x:c r="D68" s="24"/>
      <x:c r="E68" s="25"/>
      <x:c r="F68" s="10"/>
      <x:c r="G68" s="26"/>
      <x:c r="H68" s="26"/>
      <x:c r="I68" s="26"/>
      <x:c r="J68" s="26"/>
      <x:c r="K68" s="26"/>
      <x:c r="L68" s="26"/>
      <x:c r="M68" s="26"/>
      <x:c r="N68" s="26"/>
      <x:c r="O68" s="27" t="str">
        <x:f>IF(C68="","",IF(COUNT(G68:M68)=7,SUM(G68:H68)-SUM(I68:K68)+SUM(L68:M68),"n.a."))</x:f>
      </x:c>
      <x:c r="P68" s="27" t="str">
        <x:f>IF(C68="","",IF(COUNT(N68:O68)=2,N68-O68,"n.a."))</x:f>
      </x:c>
      <x:c r="Q68" s="23" t="str">
        <x:f>IF(C68="","",A68&amp;"|"&amp;B68&amp;"|"&amp;C68)</x:f>
      </x:c>
      <x:c r="R68" s="23" t="str">
        <x:f>IF(D68="","",A68&amp;"|"&amp;B68&amp;"|"&amp;D68)</x:f>
      </x:c>
      <x:c r="S68" s="10"/>
      <x:c r="T68" s="23" t="str">
        <x:f>IF(COUNTA(A68:N68)=0,"",IF(OR(NOT(OR(A68="TikTok Shop",A68="Shopee",A68="Lazada")),B68="",C68="",NOT(ISNUMBER(E68)),AND(F68&lt;&gt;"Quyết toán",F68&lt;&gt;"Số dư"),COUNT(G68:N68)&lt;&gt;8),"Thiếu/sai dữ liệu",IF(NOT(COUNTIFS(T_SoDu[Khóa shop],A68&amp;"|"&amp;B68)=1),"Shop chưa khai báo",IF(COUNTIFS(T_GD[Khóa giao dịch],Q68)&lt;&gt;1,"Trùng giao dịch",IF(AND(D68&lt;&gt;"",COUNTIFS(T_Don[Khóa đơn],R68)&lt;&gt;1),"Không có đơn duy nhất","")))))</x:f>
      </x:c>
    </x:row>
    <x:row r="69" ht="22" customHeight="1">
      <x:c r="A69" s="10"/>
      <x:c r="B69" s="10"/>
      <x:c r="C69" s="24"/>
      <x:c r="D69" s="24"/>
      <x:c r="E69" s="25"/>
      <x:c r="F69" s="10"/>
      <x:c r="G69" s="26"/>
      <x:c r="H69" s="26"/>
      <x:c r="I69" s="26"/>
      <x:c r="J69" s="26"/>
      <x:c r="K69" s="26"/>
      <x:c r="L69" s="26"/>
      <x:c r="M69" s="26"/>
      <x:c r="N69" s="26"/>
      <x:c r="O69" s="27" t="str">
        <x:f>IF(C69="","",IF(COUNT(G69:M69)=7,SUM(G69:H69)-SUM(I69:K69)+SUM(L69:M69),"n.a."))</x:f>
      </x:c>
      <x:c r="P69" s="27" t="str">
        <x:f>IF(C69="","",IF(COUNT(N69:O69)=2,N69-O69,"n.a."))</x:f>
      </x:c>
      <x:c r="Q69" s="23" t="str">
        <x:f>IF(C69="","",A69&amp;"|"&amp;B69&amp;"|"&amp;C69)</x:f>
      </x:c>
      <x:c r="R69" s="23" t="str">
        <x:f>IF(D69="","",A69&amp;"|"&amp;B69&amp;"|"&amp;D69)</x:f>
      </x:c>
      <x:c r="S69" s="10"/>
      <x:c r="T69" s="23" t="str">
        <x:f>IF(COUNTA(A69:N69)=0,"",IF(OR(NOT(OR(A69="TikTok Shop",A69="Shopee",A69="Lazada")),B69="",C69="",NOT(ISNUMBER(E69)),AND(F69&lt;&gt;"Quyết toán",F69&lt;&gt;"Số dư"),COUNT(G69:N69)&lt;&gt;8),"Thiếu/sai dữ liệu",IF(NOT(COUNTIFS(T_SoDu[Khóa shop],A69&amp;"|"&amp;B69)=1),"Shop chưa khai báo",IF(COUNTIFS(T_GD[Khóa giao dịch],Q69)&lt;&gt;1,"Trùng giao dịch",IF(AND(D69&lt;&gt;"",COUNTIFS(T_Don[Khóa đơn],R69)&lt;&gt;1),"Không có đơn duy nhất","")))))</x:f>
      </x:c>
    </x:row>
    <x:row r="70" ht="22" customHeight="1">
      <x:c r="A70" s="10"/>
      <x:c r="B70" s="10"/>
      <x:c r="C70" s="24"/>
      <x:c r="D70" s="24"/>
      <x:c r="E70" s="25"/>
      <x:c r="F70" s="10"/>
      <x:c r="G70" s="26"/>
      <x:c r="H70" s="26"/>
      <x:c r="I70" s="26"/>
      <x:c r="J70" s="26"/>
      <x:c r="K70" s="26"/>
      <x:c r="L70" s="26"/>
      <x:c r="M70" s="26"/>
      <x:c r="N70" s="26"/>
      <x:c r="O70" s="27" t="str">
        <x:f>IF(C70="","",IF(COUNT(G70:M70)=7,SUM(G70:H70)-SUM(I70:K70)+SUM(L70:M70),"n.a."))</x:f>
      </x:c>
      <x:c r="P70" s="27" t="str">
        <x:f>IF(C70="","",IF(COUNT(N70:O70)=2,N70-O70,"n.a."))</x:f>
      </x:c>
      <x:c r="Q70" s="23" t="str">
        <x:f>IF(C70="","",A70&amp;"|"&amp;B70&amp;"|"&amp;C70)</x:f>
      </x:c>
      <x:c r="R70" s="23" t="str">
        <x:f>IF(D70="","",A70&amp;"|"&amp;B70&amp;"|"&amp;D70)</x:f>
      </x:c>
      <x:c r="S70" s="10"/>
      <x:c r="T70" s="23" t="str">
        <x:f>IF(COUNTA(A70:N70)=0,"",IF(OR(NOT(OR(A70="TikTok Shop",A70="Shopee",A70="Lazada")),B70="",C70="",NOT(ISNUMBER(E70)),AND(F70&lt;&gt;"Quyết toán",F70&lt;&gt;"Số dư"),COUNT(G70:N70)&lt;&gt;8),"Thiếu/sai dữ liệu",IF(NOT(COUNTIFS(T_SoDu[Khóa shop],A70&amp;"|"&amp;B70)=1),"Shop chưa khai báo",IF(COUNTIFS(T_GD[Khóa giao dịch],Q70)&lt;&gt;1,"Trùng giao dịch",IF(AND(D70&lt;&gt;"",COUNTIFS(T_Don[Khóa đơn],R70)&lt;&gt;1),"Không có đơn duy nhất","")))))</x:f>
      </x:c>
    </x:row>
    <x:row r="71" ht="22" customHeight="1">
      <x:c r="A71" s="10"/>
      <x:c r="B71" s="10"/>
      <x:c r="C71" s="24"/>
      <x:c r="D71" s="24"/>
      <x:c r="E71" s="25"/>
      <x:c r="F71" s="10"/>
      <x:c r="G71" s="26"/>
      <x:c r="H71" s="26"/>
      <x:c r="I71" s="26"/>
      <x:c r="J71" s="26"/>
      <x:c r="K71" s="26"/>
      <x:c r="L71" s="26"/>
      <x:c r="M71" s="26"/>
      <x:c r="N71" s="26"/>
      <x:c r="O71" s="27" t="str">
        <x:f>IF(C71="","",IF(COUNT(G71:M71)=7,SUM(G71:H71)-SUM(I71:K71)+SUM(L71:M71),"n.a."))</x:f>
      </x:c>
      <x:c r="P71" s="27" t="str">
        <x:f>IF(C71="","",IF(COUNT(N71:O71)=2,N71-O71,"n.a."))</x:f>
      </x:c>
      <x:c r="Q71" s="23" t="str">
        <x:f>IF(C71="","",A71&amp;"|"&amp;B71&amp;"|"&amp;C71)</x:f>
      </x:c>
      <x:c r="R71" s="23" t="str">
        <x:f>IF(D71="","",A71&amp;"|"&amp;B71&amp;"|"&amp;D71)</x:f>
      </x:c>
      <x:c r="S71" s="10"/>
      <x:c r="T71" s="23" t="str">
        <x:f>IF(COUNTA(A71:N71)=0,"",IF(OR(NOT(OR(A71="TikTok Shop",A71="Shopee",A71="Lazada")),B71="",C71="",NOT(ISNUMBER(E71)),AND(F71&lt;&gt;"Quyết toán",F71&lt;&gt;"Số dư"),COUNT(G71:N71)&lt;&gt;8),"Thiếu/sai dữ liệu",IF(NOT(COUNTIFS(T_SoDu[Khóa shop],A71&amp;"|"&amp;B71)=1),"Shop chưa khai báo",IF(COUNTIFS(T_GD[Khóa giao dịch],Q71)&lt;&gt;1,"Trùng giao dịch",IF(AND(D71&lt;&gt;"",COUNTIFS(T_Don[Khóa đơn],R71)&lt;&gt;1),"Không có đơn duy nhất","")))))</x:f>
      </x:c>
    </x:row>
    <x:row r="72" ht="22" customHeight="1">
      <x:c r="A72" s="10"/>
      <x:c r="B72" s="10"/>
      <x:c r="C72" s="24"/>
      <x:c r="D72" s="24"/>
      <x:c r="E72" s="25"/>
      <x:c r="F72" s="10"/>
      <x:c r="G72" s="26"/>
      <x:c r="H72" s="26"/>
      <x:c r="I72" s="26"/>
      <x:c r="J72" s="26"/>
      <x:c r="K72" s="26"/>
      <x:c r="L72" s="26"/>
      <x:c r="M72" s="26"/>
      <x:c r="N72" s="26"/>
      <x:c r="O72" s="27" t="str">
        <x:f>IF(C72="","",IF(COUNT(G72:M72)=7,SUM(G72:H72)-SUM(I72:K72)+SUM(L72:M72),"n.a."))</x:f>
      </x:c>
      <x:c r="P72" s="27" t="str">
        <x:f>IF(C72="","",IF(COUNT(N72:O72)=2,N72-O72,"n.a."))</x:f>
      </x:c>
      <x:c r="Q72" s="23" t="str">
        <x:f>IF(C72="","",A72&amp;"|"&amp;B72&amp;"|"&amp;C72)</x:f>
      </x:c>
      <x:c r="R72" s="23" t="str">
        <x:f>IF(D72="","",A72&amp;"|"&amp;B72&amp;"|"&amp;D72)</x:f>
      </x:c>
      <x:c r="S72" s="10"/>
      <x:c r="T72" s="23" t="str">
        <x:f>IF(COUNTA(A72:N72)=0,"",IF(OR(NOT(OR(A72="TikTok Shop",A72="Shopee",A72="Lazada")),B72="",C72="",NOT(ISNUMBER(E72)),AND(F72&lt;&gt;"Quyết toán",F72&lt;&gt;"Số dư"),COUNT(G72:N72)&lt;&gt;8),"Thiếu/sai dữ liệu",IF(NOT(COUNTIFS(T_SoDu[Khóa shop],A72&amp;"|"&amp;B72)=1),"Shop chưa khai báo",IF(COUNTIFS(T_GD[Khóa giao dịch],Q72)&lt;&gt;1,"Trùng giao dịch",IF(AND(D72&lt;&gt;"",COUNTIFS(T_Don[Khóa đơn],R72)&lt;&gt;1),"Không có đơn duy nhất","")))))</x:f>
      </x:c>
    </x:row>
    <x:row r="73" ht="22" customHeight="1">
      <x:c r="A73" s="10"/>
      <x:c r="B73" s="10"/>
      <x:c r="C73" s="24"/>
      <x:c r="D73" s="24"/>
      <x:c r="E73" s="25"/>
      <x:c r="F73" s="10"/>
      <x:c r="G73" s="26"/>
      <x:c r="H73" s="26"/>
      <x:c r="I73" s="26"/>
      <x:c r="J73" s="26"/>
      <x:c r="K73" s="26"/>
      <x:c r="L73" s="26"/>
      <x:c r="M73" s="26"/>
      <x:c r="N73" s="26"/>
      <x:c r="O73" s="27" t="str">
        <x:f>IF(C73="","",IF(COUNT(G73:M73)=7,SUM(G73:H73)-SUM(I73:K73)+SUM(L73:M73),"n.a."))</x:f>
      </x:c>
      <x:c r="P73" s="27" t="str">
        <x:f>IF(C73="","",IF(COUNT(N73:O73)=2,N73-O73,"n.a."))</x:f>
      </x:c>
      <x:c r="Q73" s="23" t="str">
        <x:f>IF(C73="","",A73&amp;"|"&amp;B73&amp;"|"&amp;C73)</x:f>
      </x:c>
      <x:c r="R73" s="23" t="str">
        <x:f>IF(D73="","",A73&amp;"|"&amp;B73&amp;"|"&amp;D73)</x:f>
      </x:c>
      <x:c r="S73" s="10"/>
      <x:c r="T73" s="23" t="str">
        <x:f>IF(COUNTA(A73:N73)=0,"",IF(OR(NOT(OR(A73="TikTok Shop",A73="Shopee",A73="Lazada")),B73="",C73="",NOT(ISNUMBER(E73)),AND(F73&lt;&gt;"Quyết toán",F73&lt;&gt;"Số dư"),COUNT(G73:N73)&lt;&gt;8),"Thiếu/sai dữ liệu",IF(NOT(COUNTIFS(T_SoDu[Khóa shop],A73&amp;"|"&amp;B73)=1),"Shop chưa khai báo",IF(COUNTIFS(T_GD[Khóa giao dịch],Q73)&lt;&gt;1,"Trùng giao dịch",IF(AND(D73&lt;&gt;"",COUNTIFS(T_Don[Khóa đơn],R73)&lt;&gt;1),"Không có đơn duy nhất","")))))</x:f>
      </x:c>
    </x:row>
    <x:row r="74" ht="22" customHeight="1">
      <x:c r="A74" s="10"/>
      <x:c r="B74" s="10"/>
      <x:c r="C74" s="24"/>
      <x:c r="D74" s="24"/>
      <x:c r="E74" s="25"/>
      <x:c r="F74" s="10"/>
      <x:c r="G74" s="26"/>
      <x:c r="H74" s="26"/>
      <x:c r="I74" s="26"/>
      <x:c r="J74" s="26"/>
      <x:c r="K74" s="26"/>
      <x:c r="L74" s="26"/>
      <x:c r="M74" s="26"/>
      <x:c r="N74" s="26"/>
      <x:c r="O74" s="27" t="str">
        <x:f>IF(C74="","",IF(COUNT(G74:M74)=7,SUM(G74:H74)-SUM(I74:K74)+SUM(L74:M74),"n.a."))</x:f>
      </x:c>
      <x:c r="P74" s="27" t="str">
        <x:f>IF(C74="","",IF(COUNT(N74:O74)=2,N74-O74,"n.a."))</x:f>
      </x:c>
      <x:c r="Q74" s="23" t="str">
        <x:f>IF(C74="","",A74&amp;"|"&amp;B74&amp;"|"&amp;C74)</x:f>
      </x:c>
      <x:c r="R74" s="23" t="str">
        <x:f>IF(D74="","",A74&amp;"|"&amp;B74&amp;"|"&amp;D74)</x:f>
      </x:c>
      <x:c r="S74" s="10"/>
      <x:c r="T74" s="23" t="str">
        <x:f>IF(COUNTA(A74:N74)=0,"",IF(OR(NOT(OR(A74="TikTok Shop",A74="Shopee",A74="Lazada")),B74="",C74="",NOT(ISNUMBER(E74)),AND(F74&lt;&gt;"Quyết toán",F74&lt;&gt;"Số dư"),COUNT(G74:N74)&lt;&gt;8),"Thiếu/sai dữ liệu",IF(NOT(COUNTIFS(T_SoDu[Khóa shop],A74&amp;"|"&amp;B74)=1),"Shop chưa khai báo",IF(COUNTIFS(T_GD[Khóa giao dịch],Q74)&lt;&gt;1,"Trùng giao dịch",IF(AND(D74&lt;&gt;"",COUNTIFS(T_Don[Khóa đơn],R74)&lt;&gt;1),"Không có đơn duy nhất","")))))</x:f>
      </x:c>
    </x:row>
    <x:row r="75" ht="22" customHeight="1">
      <x:c r="A75" s="10"/>
      <x:c r="B75" s="10"/>
      <x:c r="C75" s="24"/>
      <x:c r="D75" s="24"/>
      <x:c r="E75" s="25"/>
      <x:c r="F75" s="10"/>
      <x:c r="G75" s="26"/>
      <x:c r="H75" s="26"/>
      <x:c r="I75" s="26"/>
      <x:c r="J75" s="26"/>
      <x:c r="K75" s="26"/>
      <x:c r="L75" s="26"/>
      <x:c r="M75" s="26"/>
      <x:c r="N75" s="26"/>
      <x:c r="O75" s="27" t="str">
        <x:f>IF(C75="","",IF(COUNT(G75:M75)=7,SUM(G75:H75)-SUM(I75:K75)+SUM(L75:M75),"n.a."))</x:f>
      </x:c>
      <x:c r="P75" s="27" t="str">
        <x:f>IF(C75="","",IF(COUNT(N75:O75)=2,N75-O75,"n.a."))</x:f>
      </x:c>
      <x:c r="Q75" s="23" t="str">
        <x:f>IF(C75="","",A75&amp;"|"&amp;B75&amp;"|"&amp;C75)</x:f>
      </x:c>
      <x:c r="R75" s="23" t="str">
        <x:f>IF(D75="","",A75&amp;"|"&amp;B75&amp;"|"&amp;D75)</x:f>
      </x:c>
      <x:c r="S75" s="10"/>
      <x:c r="T75" s="23" t="str">
        <x:f>IF(COUNTA(A75:N75)=0,"",IF(OR(NOT(OR(A75="TikTok Shop",A75="Shopee",A75="Lazada")),B75="",C75="",NOT(ISNUMBER(E75)),AND(F75&lt;&gt;"Quyết toán",F75&lt;&gt;"Số dư"),COUNT(G75:N75)&lt;&gt;8),"Thiếu/sai dữ liệu",IF(NOT(COUNTIFS(T_SoDu[Khóa shop],A75&amp;"|"&amp;B75)=1),"Shop chưa khai báo",IF(COUNTIFS(T_GD[Khóa giao dịch],Q75)&lt;&gt;1,"Trùng giao dịch",IF(AND(D75&lt;&gt;"",COUNTIFS(T_Don[Khóa đơn],R75)&lt;&gt;1),"Không có đơn duy nhất","")))))</x:f>
      </x:c>
    </x:row>
    <x:row r="76" ht="22" customHeight="1">
      <x:c r="A76" s="10"/>
      <x:c r="B76" s="10"/>
      <x:c r="C76" s="24"/>
      <x:c r="D76" s="24"/>
      <x:c r="E76" s="25"/>
      <x:c r="F76" s="10"/>
      <x:c r="G76" s="26"/>
      <x:c r="H76" s="26"/>
      <x:c r="I76" s="26"/>
      <x:c r="J76" s="26"/>
      <x:c r="K76" s="26"/>
      <x:c r="L76" s="26"/>
      <x:c r="M76" s="26"/>
      <x:c r="N76" s="26"/>
      <x:c r="O76" s="27" t="str">
        <x:f>IF(C76="","",IF(COUNT(G76:M76)=7,SUM(G76:H76)-SUM(I76:K76)+SUM(L76:M76),"n.a."))</x:f>
      </x:c>
      <x:c r="P76" s="27" t="str">
        <x:f>IF(C76="","",IF(COUNT(N76:O76)=2,N76-O76,"n.a."))</x:f>
      </x:c>
      <x:c r="Q76" s="23" t="str">
        <x:f>IF(C76="","",A76&amp;"|"&amp;B76&amp;"|"&amp;C76)</x:f>
      </x:c>
      <x:c r="R76" s="23" t="str">
        <x:f>IF(D76="","",A76&amp;"|"&amp;B76&amp;"|"&amp;D76)</x:f>
      </x:c>
      <x:c r="S76" s="10"/>
      <x:c r="T76" s="23" t="str">
        <x:f>IF(COUNTA(A76:N76)=0,"",IF(OR(NOT(OR(A76="TikTok Shop",A76="Shopee",A76="Lazada")),B76="",C76="",NOT(ISNUMBER(E76)),AND(F76&lt;&gt;"Quyết toán",F76&lt;&gt;"Số dư"),COUNT(G76:N76)&lt;&gt;8),"Thiếu/sai dữ liệu",IF(NOT(COUNTIFS(T_SoDu[Khóa shop],A76&amp;"|"&amp;B76)=1),"Shop chưa khai báo",IF(COUNTIFS(T_GD[Khóa giao dịch],Q76)&lt;&gt;1,"Trùng giao dịch",IF(AND(D76&lt;&gt;"",COUNTIFS(T_Don[Khóa đơn],R76)&lt;&gt;1),"Không có đơn duy nhất","")))))</x:f>
      </x:c>
    </x:row>
    <x:row r="77" ht="22" customHeight="1">
      <x:c r="A77" s="10"/>
      <x:c r="B77" s="10"/>
      <x:c r="C77" s="24"/>
      <x:c r="D77" s="24"/>
      <x:c r="E77" s="25"/>
      <x:c r="F77" s="10"/>
      <x:c r="G77" s="26"/>
      <x:c r="H77" s="26"/>
      <x:c r="I77" s="26"/>
      <x:c r="J77" s="26"/>
      <x:c r="K77" s="26"/>
      <x:c r="L77" s="26"/>
      <x:c r="M77" s="26"/>
      <x:c r="N77" s="26"/>
      <x:c r="O77" s="27" t="str">
        <x:f>IF(C77="","",IF(COUNT(G77:M77)=7,SUM(G77:H77)-SUM(I77:K77)+SUM(L77:M77),"n.a."))</x:f>
      </x:c>
      <x:c r="P77" s="27" t="str">
        <x:f>IF(C77="","",IF(COUNT(N77:O77)=2,N77-O77,"n.a."))</x:f>
      </x:c>
      <x:c r="Q77" s="23" t="str">
        <x:f>IF(C77="","",A77&amp;"|"&amp;B77&amp;"|"&amp;C77)</x:f>
      </x:c>
      <x:c r="R77" s="23" t="str">
        <x:f>IF(D77="","",A77&amp;"|"&amp;B77&amp;"|"&amp;D77)</x:f>
      </x:c>
      <x:c r="S77" s="10"/>
      <x:c r="T77" s="23" t="str">
        <x:f>IF(COUNTA(A77:N77)=0,"",IF(OR(NOT(OR(A77="TikTok Shop",A77="Shopee",A77="Lazada")),B77="",C77="",NOT(ISNUMBER(E77)),AND(F77&lt;&gt;"Quyết toán",F77&lt;&gt;"Số dư"),COUNT(G77:N77)&lt;&gt;8),"Thiếu/sai dữ liệu",IF(NOT(COUNTIFS(T_SoDu[Khóa shop],A77&amp;"|"&amp;B77)=1),"Shop chưa khai báo",IF(COUNTIFS(T_GD[Khóa giao dịch],Q77)&lt;&gt;1,"Trùng giao dịch",IF(AND(D77&lt;&gt;"",COUNTIFS(T_Don[Khóa đơn],R77)&lt;&gt;1),"Không có đơn duy nhất","")))))</x:f>
      </x:c>
    </x:row>
    <x:row r="78" ht="22" customHeight="1">
      <x:c r="A78" s="10"/>
      <x:c r="B78" s="10"/>
      <x:c r="C78" s="24"/>
      <x:c r="D78" s="24"/>
      <x:c r="E78" s="25"/>
      <x:c r="F78" s="10"/>
      <x:c r="G78" s="26"/>
      <x:c r="H78" s="26"/>
      <x:c r="I78" s="26"/>
      <x:c r="J78" s="26"/>
      <x:c r="K78" s="26"/>
      <x:c r="L78" s="26"/>
      <x:c r="M78" s="26"/>
      <x:c r="N78" s="26"/>
      <x:c r="O78" s="27" t="str">
        <x:f>IF(C78="","",IF(COUNT(G78:M78)=7,SUM(G78:H78)-SUM(I78:K78)+SUM(L78:M78),"n.a."))</x:f>
      </x:c>
      <x:c r="P78" s="27" t="str">
        <x:f>IF(C78="","",IF(COUNT(N78:O78)=2,N78-O78,"n.a."))</x:f>
      </x:c>
      <x:c r="Q78" s="23" t="str">
        <x:f>IF(C78="","",A78&amp;"|"&amp;B78&amp;"|"&amp;C78)</x:f>
      </x:c>
      <x:c r="R78" s="23" t="str">
        <x:f>IF(D78="","",A78&amp;"|"&amp;B78&amp;"|"&amp;D78)</x:f>
      </x:c>
      <x:c r="S78" s="10"/>
      <x:c r="T78" s="23" t="str">
        <x:f>IF(COUNTA(A78:N78)=0,"",IF(OR(NOT(OR(A78="TikTok Shop",A78="Shopee",A78="Lazada")),B78="",C78="",NOT(ISNUMBER(E78)),AND(F78&lt;&gt;"Quyết toán",F78&lt;&gt;"Số dư"),COUNT(G78:N78)&lt;&gt;8),"Thiếu/sai dữ liệu",IF(NOT(COUNTIFS(T_SoDu[Khóa shop],A78&amp;"|"&amp;B78)=1),"Shop chưa khai báo",IF(COUNTIFS(T_GD[Khóa giao dịch],Q78)&lt;&gt;1,"Trùng giao dịch",IF(AND(D78&lt;&gt;"",COUNTIFS(T_Don[Khóa đơn],R78)&lt;&gt;1),"Không có đơn duy nhất","")))))</x:f>
      </x:c>
    </x:row>
    <x:row r="79" ht="22" customHeight="1">
      <x:c r="A79" s="10"/>
      <x:c r="B79" s="10"/>
      <x:c r="C79" s="24"/>
      <x:c r="D79" s="24"/>
      <x:c r="E79" s="25"/>
      <x:c r="F79" s="10"/>
      <x:c r="G79" s="26"/>
      <x:c r="H79" s="26"/>
      <x:c r="I79" s="26"/>
      <x:c r="J79" s="26"/>
      <x:c r="K79" s="26"/>
      <x:c r="L79" s="26"/>
      <x:c r="M79" s="26"/>
      <x:c r="N79" s="26"/>
      <x:c r="O79" s="27" t="str">
        <x:f>IF(C79="","",IF(COUNT(G79:M79)=7,SUM(G79:H79)-SUM(I79:K79)+SUM(L79:M79),"n.a."))</x:f>
      </x:c>
      <x:c r="P79" s="27" t="str">
        <x:f>IF(C79="","",IF(COUNT(N79:O79)=2,N79-O79,"n.a."))</x:f>
      </x:c>
      <x:c r="Q79" s="23" t="str">
        <x:f>IF(C79="","",A79&amp;"|"&amp;B79&amp;"|"&amp;C79)</x:f>
      </x:c>
      <x:c r="R79" s="23" t="str">
        <x:f>IF(D79="","",A79&amp;"|"&amp;B79&amp;"|"&amp;D79)</x:f>
      </x:c>
      <x:c r="S79" s="10"/>
      <x:c r="T79" s="23" t="str">
        <x:f>IF(COUNTA(A79:N79)=0,"",IF(OR(NOT(OR(A79="TikTok Shop",A79="Shopee",A79="Lazada")),B79="",C79="",NOT(ISNUMBER(E79)),AND(F79&lt;&gt;"Quyết toán",F79&lt;&gt;"Số dư"),COUNT(G79:N79)&lt;&gt;8),"Thiếu/sai dữ liệu",IF(NOT(COUNTIFS(T_SoDu[Khóa shop],A79&amp;"|"&amp;B79)=1),"Shop chưa khai báo",IF(COUNTIFS(T_GD[Khóa giao dịch],Q79)&lt;&gt;1,"Trùng giao dịch",IF(AND(D79&lt;&gt;"",COUNTIFS(T_Don[Khóa đơn],R79)&lt;&gt;1),"Không có đơn duy nhất","")))))</x:f>
      </x:c>
    </x:row>
    <x:row r="80" ht="22" customHeight="1">
      <x:c r="A80" s="10"/>
      <x:c r="B80" s="10"/>
      <x:c r="C80" s="24"/>
      <x:c r="D80" s="24"/>
      <x:c r="E80" s="25"/>
      <x:c r="F80" s="10"/>
      <x:c r="G80" s="26"/>
      <x:c r="H80" s="26"/>
      <x:c r="I80" s="26"/>
      <x:c r="J80" s="26"/>
      <x:c r="K80" s="26"/>
      <x:c r="L80" s="26"/>
      <x:c r="M80" s="26"/>
      <x:c r="N80" s="26"/>
      <x:c r="O80" s="27" t="str">
        <x:f>IF(C80="","",IF(COUNT(G80:M80)=7,SUM(G80:H80)-SUM(I80:K80)+SUM(L80:M80),"n.a."))</x:f>
      </x:c>
      <x:c r="P80" s="27" t="str">
        <x:f>IF(C80="","",IF(COUNT(N80:O80)=2,N80-O80,"n.a."))</x:f>
      </x:c>
      <x:c r="Q80" s="23" t="str">
        <x:f>IF(C80="","",A80&amp;"|"&amp;B80&amp;"|"&amp;C80)</x:f>
      </x:c>
      <x:c r="R80" s="23" t="str">
        <x:f>IF(D80="","",A80&amp;"|"&amp;B80&amp;"|"&amp;D80)</x:f>
      </x:c>
      <x:c r="S80" s="10"/>
      <x:c r="T80" s="23" t="str">
        <x:f>IF(COUNTA(A80:N80)=0,"",IF(OR(NOT(OR(A80="TikTok Shop",A80="Shopee",A80="Lazada")),B80="",C80="",NOT(ISNUMBER(E80)),AND(F80&lt;&gt;"Quyết toán",F80&lt;&gt;"Số dư"),COUNT(G80:N80)&lt;&gt;8),"Thiếu/sai dữ liệu",IF(NOT(COUNTIFS(T_SoDu[Khóa shop],A80&amp;"|"&amp;B80)=1),"Shop chưa khai báo",IF(COUNTIFS(T_GD[Khóa giao dịch],Q80)&lt;&gt;1,"Trùng giao dịch",IF(AND(D80&lt;&gt;"",COUNTIFS(T_Don[Khóa đơn],R80)&lt;&gt;1),"Không có đơn duy nhất","")))))</x:f>
      </x:c>
    </x:row>
    <x:row r="81" ht="22" customHeight="1">
      <x:c r="A81" s="10"/>
      <x:c r="B81" s="10"/>
      <x:c r="C81" s="24"/>
      <x:c r="D81" s="24"/>
      <x:c r="E81" s="25"/>
      <x:c r="F81" s="10"/>
      <x:c r="G81" s="26"/>
      <x:c r="H81" s="26"/>
      <x:c r="I81" s="26"/>
      <x:c r="J81" s="26"/>
      <x:c r="K81" s="26"/>
      <x:c r="L81" s="26"/>
      <x:c r="M81" s="26"/>
      <x:c r="N81" s="26"/>
      <x:c r="O81" s="27" t="str">
        <x:f>IF(C81="","",IF(COUNT(G81:M81)=7,SUM(G81:H81)-SUM(I81:K81)+SUM(L81:M81),"n.a."))</x:f>
      </x:c>
      <x:c r="P81" s="27" t="str">
        <x:f>IF(C81="","",IF(COUNT(N81:O81)=2,N81-O81,"n.a."))</x:f>
      </x:c>
      <x:c r="Q81" s="23" t="str">
        <x:f>IF(C81="","",A81&amp;"|"&amp;B81&amp;"|"&amp;C81)</x:f>
      </x:c>
      <x:c r="R81" s="23" t="str">
        <x:f>IF(D81="","",A81&amp;"|"&amp;B81&amp;"|"&amp;D81)</x:f>
      </x:c>
      <x:c r="S81" s="10"/>
      <x:c r="T81" s="23" t="str">
        <x:f>IF(COUNTA(A81:N81)=0,"",IF(OR(NOT(OR(A81="TikTok Shop",A81="Shopee",A81="Lazada")),B81="",C81="",NOT(ISNUMBER(E81)),AND(F81&lt;&gt;"Quyết toán",F81&lt;&gt;"Số dư"),COUNT(G81:N81)&lt;&gt;8),"Thiếu/sai dữ liệu",IF(NOT(COUNTIFS(T_SoDu[Khóa shop],A81&amp;"|"&amp;B81)=1),"Shop chưa khai báo",IF(COUNTIFS(T_GD[Khóa giao dịch],Q81)&lt;&gt;1,"Trùng giao dịch",IF(AND(D81&lt;&gt;"",COUNTIFS(T_Don[Khóa đơn],R81)&lt;&gt;1),"Không có đơn duy nhất","")))))</x:f>
      </x:c>
    </x:row>
    <x:row r="82" ht="22" customHeight="1">
      <x:c r="A82" s="10"/>
      <x:c r="B82" s="10"/>
      <x:c r="C82" s="24"/>
      <x:c r="D82" s="24"/>
      <x:c r="E82" s="25"/>
      <x:c r="F82" s="10"/>
      <x:c r="G82" s="26"/>
      <x:c r="H82" s="26"/>
      <x:c r="I82" s="26"/>
      <x:c r="J82" s="26"/>
      <x:c r="K82" s="26"/>
      <x:c r="L82" s="26"/>
      <x:c r="M82" s="26"/>
      <x:c r="N82" s="26"/>
      <x:c r="O82" s="27" t="str">
        <x:f>IF(C82="","",IF(COUNT(G82:M82)=7,SUM(G82:H82)-SUM(I82:K82)+SUM(L82:M82),"n.a."))</x:f>
      </x:c>
      <x:c r="P82" s="27" t="str">
        <x:f>IF(C82="","",IF(COUNT(N82:O82)=2,N82-O82,"n.a."))</x:f>
      </x:c>
      <x:c r="Q82" s="23" t="str">
        <x:f>IF(C82="","",A82&amp;"|"&amp;B82&amp;"|"&amp;C82)</x:f>
      </x:c>
      <x:c r="R82" s="23" t="str">
        <x:f>IF(D82="","",A82&amp;"|"&amp;B82&amp;"|"&amp;D82)</x:f>
      </x:c>
      <x:c r="S82" s="10"/>
      <x:c r="T82" s="23" t="str">
        <x:f>IF(COUNTA(A82:N82)=0,"",IF(OR(NOT(OR(A82="TikTok Shop",A82="Shopee",A82="Lazada")),B82="",C82="",NOT(ISNUMBER(E82)),AND(F82&lt;&gt;"Quyết toán",F82&lt;&gt;"Số dư"),COUNT(G82:N82)&lt;&gt;8),"Thiếu/sai dữ liệu",IF(NOT(COUNTIFS(T_SoDu[Khóa shop],A82&amp;"|"&amp;B82)=1),"Shop chưa khai báo",IF(COUNTIFS(T_GD[Khóa giao dịch],Q82)&lt;&gt;1,"Trùng giao dịch",IF(AND(D82&lt;&gt;"",COUNTIFS(T_Don[Khóa đơn],R82)&lt;&gt;1),"Không có đơn duy nhất","")))))</x:f>
      </x:c>
    </x:row>
    <x:row r="83" ht="22" customHeight="1">
      <x:c r="A83" s="10"/>
      <x:c r="B83" s="10"/>
      <x:c r="C83" s="24"/>
      <x:c r="D83" s="24"/>
      <x:c r="E83" s="25"/>
      <x:c r="F83" s="10"/>
      <x:c r="G83" s="26"/>
      <x:c r="H83" s="26"/>
      <x:c r="I83" s="26"/>
      <x:c r="J83" s="26"/>
      <x:c r="K83" s="26"/>
      <x:c r="L83" s="26"/>
      <x:c r="M83" s="26"/>
      <x:c r="N83" s="26"/>
      <x:c r="O83" s="27" t="str">
        <x:f>IF(C83="","",IF(COUNT(G83:M83)=7,SUM(G83:H83)-SUM(I83:K83)+SUM(L83:M83),"n.a."))</x:f>
      </x:c>
      <x:c r="P83" s="27" t="str">
        <x:f>IF(C83="","",IF(COUNT(N83:O83)=2,N83-O83,"n.a."))</x:f>
      </x:c>
      <x:c r="Q83" s="23" t="str">
        <x:f>IF(C83="","",A83&amp;"|"&amp;B83&amp;"|"&amp;C83)</x:f>
      </x:c>
      <x:c r="R83" s="23" t="str">
        <x:f>IF(D83="","",A83&amp;"|"&amp;B83&amp;"|"&amp;D83)</x:f>
      </x:c>
      <x:c r="S83" s="10"/>
      <x:c r="T83" s="23" t="str">
        <x:f>IF(COUNTA(A83:N83)=0,"",IF(OR(NOT(OR(A83="TikTok Shop",A83="Shopee",A83="Lazada")),B83="",C83="",NOT(ISNUMBER(E83)),AND(F83&lt;&gt;"Quyết toán",F83&lt;&gt;"Số dư"),COUNT(G83:N83)&lt;&gt;8),"Thiếu/sai dữ liệu",IF(NOT(COUNTIFS(T_SoDu[Khóa shop],A83&amp;"|"&amp;B83)=1),"Shop chưa khai báo",IF(COUNTIFS(T_GD[Khóa giao dịch],Q83)&lt;&gt;1,"Trùng giao dịch",IF(AND(D83&lt;&gt;"",COUNTIFS(T_Don[Khóa đơn],R83)&lt;&gt;1),"Không có đơn duy nhất","")))))</x:f>
      </x:c>
    </x:row>
    <x:row r="84" ht="22" customHeight="1">
      <x:c r="A84" s="10"/>
      <x:c r="B84" s="10"/>
      <x:c r="C84" s="24"/>
      <x:c r="D84" s="24"/>
      <x:c r="E84" s="25"/>
      <x:c r="F84" s="10"/>
      <x:c r="G84" s="26"/>
      <x:c r="H84" s="26"/>
      <x:c r="I84" s="26"/>
      <x:c r="J84" s="26"/>
      <x:c r="K84" s="26"/>
      <x:c r="L84" s="26"/>
      <x:c r="M84" s="26"/>
      <x:c r="N84" s="26"/>
      <x:c r="O84" s="27" t="str">
        <x:f>IF(C84="","",IF(COUNT(G84:M84)=7,SUM(G84:H84)-SUM(I84:K84)+SUM(L84:M84),"n.a."))</x:f>
      </x:c>
      <x:c r="P84" s="27" t="str">
        <x:f>IF(C84="","",IF(COUNT(N84:O84)=2,N84-O84,"n.a."))</x:f>
      </x:c>
      <x:c r="Q84" s="23" t="str">
        <x:f>IF(C84="","",A84&amp;"|"&amp;B84&amp;"|"&amp;C84)</x:f>
      </x:c>
      <x:c r="R84" s="23" t="str">
        <x:f>IF(D84="","",A84&amp;"|"&amp;B84&amp;"|"&amp;D84)</x:f>
      </x:c>
      <x:c r="S84" s="10"/>
      <x:c r="T84" s="23" t="str">
        <x:f>IF(COUNTA(A84:N84)=0,"",IF(OR(NOT(OR(A84="TikTok Shop",A84="Shopee",A84="Lazada")),B84="",C84="",NOT(ISNUMBER(E84)),AND(F84&lt;&gt;"Quyết toán",F84&lt;&gt;"Số dư"),COUNT(G84:N84)&lt;&gt;8),"Thiếu/sai dữ liệu",IF(NOT(COUNTIFS(T_SoDu[Khóa shop],A84&amp;"|"&amp;B84)=1),"Shop chưa khai báo",IF(COUNTIFS(T_GD[Khóa giao dịch],Q84)&lt;&gt;1,"Trùng giao dịch",IF(AND(D84&lt;&gt;"",COUNTIFS(T_Don[Khóa đơn],R84)&lt;&gt;1),"Không có đơn duy nhất","")))))</x:f>
      </x:c>
    </x:row>
    <x:row r="85" ht="22" customHeight="1">
      <x:c r="A85" s="10"/>
      <x:c r="B85" s="10"/>
      <x:c r="C85" s="24"/>
      <x:c r="D85" s="24"/>
      <x:c r="E85" s="25"/>
      <x:c r="F85" s="10"/>
      <x:c r="G85" s="26"/>
      <x:c r="H85" s="26"/>
      <x:c r="I85" s="26"/>
      <x:c r="J85" s="26"/>
      <x:c r="K85" s="26"/>
      <x:c r="L85" s="26"/>
      <x:c r="M85" s="26"/>
      <x:c r="N85" s="26"/>
      <x:c r="O85" s="27" t="str">
        <x:f>IF(C85="","",IF(COUNT(G85:M85)=7,SUM(G85:H85)-SUM(I85:K85)+SUM(L85:M85),"n.a."))</x:f>
      </x:c>
      <x:c r="P85" s="27" t="str">
        <x:f>IF(C85="","",IF(COUNT(N85:O85)=2,N85-O85,"n.a."))</x:f>
      </x:c>
      <x:c r="Q85" s="23" t="str">
        <x:f>IF(C85="","",A85&amp;"|"&amp;B85&amp;"|"&amp;C85)</x:f>
      </x:c>
      <x:c r="R85" s="23" t="str">
        <x:f>IF(D85="","",A85&amp;"|"&amp;B85&amp;"|"&amp;D85)</x:f>
      </x:c>
      <x:c r="S85" s="10"/>
      <x:c r="T85" s="23" t="str">
        <x:f>IF(COUNTA(A85:N85)=0,"",IF(OR(NOT(OR(A85="TikTok Shop",A85="Shopee",A85="Lazada")),B85="",C85="",NOT(ISNUMBER(E85)),AND(F85&lt;&gt;"Quyết toán",F85&lt;&gt;"Số dư"),COUNT(G85:N85)&lt;&gt;8),"Thiếu/sai dữ liệu",IF(NOT(COUNTIFS(T_SoDu[Khóa shop],A85&amp;"|"&amp;B85)=1),"Shop chưa khai báo",IF(COUNTIFS(T_GD[Khóa giao dịch],Q85)&lt;&gt;1,"Trùng giao dịch",IF(AND(D85&lt;&gt;"",COUNTIFS(T_Don[Khóa đơn],R85)&lt;&gt;1),"Không có đơn duy nhất","")))))</x:f>
      </x:c>
    </x:row>
    <x:row r="86" ht="22" customHeight="1">
      <x:c r="A86" s="10"/>
      <x:c r="B86" s="10"/>
      <x:c r="C86" s="24"/>
      <x:c r="D86" s="24"/>
      <x:c r="E86" s="25"/>
      <x:c r="F86" s="10"/>
      <x:c r="G86" s="26"/>
      <x:c r="H86" s="26"/>
      <x:c r="I86" s="26"/>
      <x:c r="J86" s="26"/>
      <x:c r="K86" s="26"/>
      <x:c r="L86" s="26"/>
      <x:c r="M86" s="26"/>
      <x:c r="N86" s="26"/>
      <x:c r="O86" s="27" t="str">
        <x:f>IF(C86="","",IF(COUNT(G86:M86)=7,SUM(G86:H86)-SUM(I86:K86)+SUM(L86:M86),"n.a."))</x:f>
      </x:c>
      <x:c r="P86" s="27" t="str">
        <x:f>IF(C86="","",IF(COUNT(N86:O86)=2,N86-O86,"n.a."))</x:f>
      </x:c>
      <x:c r="Q86" s="23" t="str">
        <x:f>IF(C86="","",A86&amp;"|"&amp;B86&amp;"|"&amp;C86)</x:f>
      </x:c>
      <x:c r="R86" s="23" t="str">
        <x:f>IF(D86="","",A86&amp;"|"&amp;B86&amp;"|"&amp;D86)</x:f>
      </x:c>
      <x:c r="S86" s="10"/>
      <x:c r="T86" s="23" t="str">
        <x:f>IF(COUNTA(A86:N86)=0,"",IF(OR(NOT(OR(A86="TikTok Shop",A86="Shopee",A86="Lazada")),B86="",C86="",NOT(ISNUMBER(E86)),AND(F86&lt;&gt;"Quyết toán",F86&lt;&gt;"Số dư"),COUNT(G86:N86)&lt;&gt;8),"Thiếu/sai dữ liệu",IF(NOT(COUNTIFS(T_SoDu[Khóa shop],A86&amp;"|"&amp;B86)=1),"Shop chưa khai báo",IF(COUNTIFS(T_GD[Khóa giao dịch],Q86)&lt;&gt;1,"Trùng giao dịch",IF(AND(D86&lt;&gt;"",COUNTIFS(T_Don[Khóa đơn],R86)&lt;&gt;1),"Không có đơn duy nhất","")))))</x:f>
      </x:c>
    </x:row>
    <x:row r="87" ht="22" customHeight="1">
      <x:c r="A87" s="10"/>
      <x:c r="B87" s="10"/>
      <x:c r="C87" s="24"/>
      <x:c r="D87" s="24"/>
      <x:c r="E87" s="25"/>
      <x:c r="F87" s="10"/>
      <x:c r="G87" s="26"/>
      <x:c r="H87" s="26"/>
      <x:c r="I87" s="26"/>
      <x:c r="J87" s="26"/>
      <x:c r="K87" s="26"/>
      <x:c r="L87" s="26"/>
      <x:c r="M87" s="26"/>
      <x:c r="N87" s="26"/>
      <x:c r="O87" s="27" t="str">
        <x:f>IF(C87="","",IF(COUNT(G87:M87)=7,SUM(G87:H87)-SUM(I87:K87)+SUM(L87:M87),"n.a."))</x:f>
      </x:c>
      <x:c r="P87" s="27" t="str">
        <x:f>IF(C87="","",IF(COUNT(N87:O87)=2,N87-O87,"n.a."))</x:f>
      </x:c>
      <x:c r="Q87" s="23" t="str">
        <x:f>IF(C87="","",A87&amp;"|"&amp;B87&amp;"|"&amp;C87)</x:f>
      </x:c>
      <x:c r="R87" s="23" t="str">
        <x:f>IF(D87="","",A87&amp;"|"&amp;B87&amp;"|"&amp;D87)</x:f>
      </x:c>
      <x:c r="S87" s="10"/>
      <x:c r="T87" s="23" t="str">
        <x:f>IF(COUNTA(A87:N87)=0,"",IF(OR(NOT(OR(A87="TikTok Shop",A87="Shopee",A87="Lazada")),B87="",C87="",NOT(ISNUMBER(E87)),AND(F87&lt;&gt;"Quyết toán",F87&lt;&gt;"Số dư"),COUNT(G87:N87)&lt;&gt;8),"Thiếu/sai dữ liệu",IF(NOT(COUNTIFS(T_SoDu[Khóa shop],A87&amp;"|"&amp;B87)=1),"Shop chưa khai báo",IF(COUNTIFS(T_GD[Khóa giao dịch],Q87)&lt;&gt;1,"Trùng giao dịch",IF(AND(D87&lt;&gt;"",COUNTIFS(T_Don[Khóa đơn],R87)&lt;&gt;1),"Không có đơn duy nhất","")))))</x:f>
      </x:c>
    </x:row>
    <x:row r="88" ht="22" customHeight="1">
      <x:c r="A88" s="10"/>
      <x:c r="B88" s="10"/>
      <x:c r="C88" s="24"/>
      <x:c r="D88" s="24"/>
      <x:c r="E88" s="25"/>
      <x:c r="F88" s="10"/>
      <x:c r="G88" s="26"/>
      <x:c r="H88" s="26"/>
      <x:c r="I88" s="26"/>
      <x:c r="J88" s="26"/>
      <x:c r="K88" s="26"/>
      <x:c r="L88" s="26"/>
      <x:c r="M88" s="26"/>
      <x:c r="N88" s="26"/>
      <x:c r="O88" s="27" t="str">
        <x:f>IF(C88="","",IF(COUNT(G88:M88)=7,SUM(G88:H88)-SUM(I88:K88)+SUM(L88:M88),"n.a."))</x:f>
      </x:c>
      <x:c r="P88" s="27" t="str">
        <x:f>IF(C88="","",IF(COUNT(N88:O88)=2,N88-O88,"n.a."))</x:f>
      </x:c>
      <x:c r="Q88" s="23" t="str">
        <x:f>IF(C88="","",A88&amp;"|"&amp;B88&amp;"|"&amp;C88)</x:f>
      </x:c>
      <x:c r="R88" s="23" t="str">
        <x:f>IF(D88="","",A88&amp;"|"&amp;B88&amp;"|"&amp;D88)</x:f>
      </x:c>
      <x:c r="S88" s="10"/>
      <x:c r="T88" s="23" t="str">
        <x:f>IF(COUNTA(A88:N88)=0,"",IF(OR(NOT(OR(A88="TikTok Shop",A88="Shopee",A88="Lazada")),B88="",C88="",NOT(ISNUMBER(E88)),AND(F88&lt;&gt;"Quyết toán",F88&lt;&gt;"Số dư"),COUNT(G88:N88)&lt;&gt;8),"Thiếu/sai dữ liệu",IF(NOT(COUNTIFS(T_SoDu[Khóa shop],A88&amp;"|"&amp;B88)=1),"Shop chưa khai báo",IF(COUNTIFS(T_GD[Khóa giao dịch],Q88)&lt;&gt;1,"Trùng giao dịch",IF(AND(D88&lt;&gt;"",COUNTIFS(T_Don[Khóa đơn],R88)&lt;&gt;1),"Không có đơn duy nhất","")))))</x:f>
      </x:c>
    </x:row>
    <x:row r="89" ht="22" customHeight="1">
      <x:c r="A89" s="10"/>
      <x:c r="B89" s="10"/>
      <x:c r="C89" s="24"/>
      <x:c r="D89" s="24"/>
      <x:c r="E89" s="25"/>
      <x:c r="F89" s="10"/>
      <x:c r="G89" s="26"/>
      <x:c r="H89" s="26"/>
      <x:c r="I89" s="26"/>
      <x:c r="J89" s="26"/>
      <x:c r="K89" s="26"/>
      <x:c r="L89" s="26"/>
      <x:c r="M89" s="26"/>
      <x:c r="N89" s="26"/>
      <x:c r="O89" s="27" t="str">
        <x:f>IF(C89="","",IF(COUNT(G89:M89)=7,SUM(G89:H89)-SUM(I89:K89)+SUM(L89:M89),"n.a."))</x:f>
      </x:c>
      <x:c r="P89" s="27" t="str">
        <x:f>IF(C89="","",IF(COUNT(N89:O89)=2,N89-O89,"n.a."))</x:f>
      </x:c>
      <x:c r="Q89" s="23" t="str">
        <x:f>IF(C89="","",A89&amp;"|"&amp;B89&amp;"|"&amp;C89)</x:f>
      </x:c>
      <x:c r="R89" s="23" t="str">
        <x:f>IF(D89="","",A89&amp;"|"&amp;B89&amp;"|"&amp;D89)</x:f>
      </x:c>
      <x:c r="S89" s="10"/>
      <x:c r="T89" s="23" t="str">
        <x:f>IF(COUNTA(A89:N89)=0,"",IF(OR(NOT(OR(A89="TikTok Shop",A89="Shopee",A89="Lazada")),B89="",C89="",NOT(ISNUMBER(E89)),AND(F89&lt;&gt;"Quyết toán",F89&lt;&gt;"Số dư"),COUNT(G89:N89)&lt;&gt;8),"Thiếu/sai dữ liệu",IF(NOT(COUNTIFS(T_SoDu[Khóa shop],A89&amp;"|"&amp;B89)=1),"Shop chưa khai báo",IF(COUNTIFS(T_GD[Khóa giao dịch],Q89)&lt;&gt;1,"Trùng giao dịch",IF(AND(D89&lt;&gt;"",COUNTIFS(T_Don[Khóa đơn],R89)&lt;&gt;1),"Không có đơn duy nhất","")))))</x:f>
      </x:c>
    </x:row>
    <x:row r="90" ht="22" customHeight="1">
      <x:c r="A90" s="10"/>
      <x:c r="B90" s="10"/>
      <x:c r="C90" s="24"/>
      <x:c r="D90" s="24"/>
      <x:c r="E90" s="25"/>
      <x:c r="F90" s="10"/>
      <x:c r="G90" s="26"/>
      <x:c r="H90" s="26"/>
      <x:c r="I90" s="26"/>
      <x:c r="J90" s="26"/>
      <x:c r="K90" s="26"/>
      <x:c r="L90" s="26"/>
      <x:c r="M90" s="26"/>
      <x:c r="N90" s="26"/>
      <x:c r="O90" s="27" t="str">
        <x:f>IF(C90="","",IF(COUNT(G90:M90)=7,SUM(G90:H90)-SUM(I90:K90)+SUM(L90:M90),"n.a."))</x:f>
      </x:c>
      <x:c r="P90" s="27" t="str">
        <x:f>IF(C90="","",IF(COUNT(N90:O90)=2,N90-O90,"n.a."))</x:f>
      </x:c>
      <x:c r="Q90" s="23" t="str">
        <x:f>IF(C90="","",A90&amp;"|"&amp;B90&amp;"|"&amp;C90)</x:f>
      </x:c>
      <x:c r="R90" s="23" t="str">
        <x:f>IF(D90="","",A90&amp;"|"&amp;B90&amp;"|"&amp;D90)</x:f>
      </x:c>
      <x:c r="S90" s="10"/>
      <x:c r="T90" s="23" t="str">
        <x:f>IF(COUNTA(A90:N90)=0,"",IF(OR(NOT(OR(A90="TikTok Shop",A90="Shopee",A90="Lazada")),B90="",C90="",NOT(ISNUMBER(E90)),AND(F90&lt;&gt;"Quyết toán",F90&lt;&gt;"Số dư"),COUNT(G90:N90)&lt;&gt;8),"Thiếu/sai dữ liệu",IF(NOT(COUNTIFS(T_SoDu[Khóa shop],A90&amp;"|"&amp;B90)=1),"Shop chưa khai báo",IF(COUNTIFS(T_GD[Khóa giao dịch],Q90)&lt;&gt;1,"Trùng giao dịch",IF(AND(D90&lt;&gt;"",COUNTIFS(T_Don[Khóa đơn],R90)&lt;&gt;1),"Không có đơn duy nhất","")))))</x:f>
      </x:c>
    </x:row>
    <x:row r="91" ht="22" customHeight="1">
      <x:c r="A91" s="10"/>
      <x:c r="B91" s="10"/>
      <x:c r="C91" s="24"/>
      <x:c r="D91" s="24"/>
      <x:c r="E91" s="25"/>
      <x:c r="F91" s="10"/>
      <x:c r="G91" s="26"/>
      <x:c r="H91" s="26"/>
      <x:c r="I91" s="26"/>
      <x:c r="J91" s="26"/>
      <x:c r="K91" s="26"/>
      <x:c r="L91" s="26"/>
      <x:c r="M91" s="26"/>
      <x:c r="N91" s="26"/>
      <x:c r="O91" s="27" t="str">
        <x:f>IF(C91="","",IF(COUNT(G91:M91)=7,SUM(G91:H91)-SUM(I91:K91)+SUM(L91:M91),"n.a."))</x:f>
      </x:c>
      <x:c r="P91" s="27" t="str">
        <x:f>IF(C91="","",IF(COUNT(N91:O91)=2,N91-O91,"n.a."))</x:f>
      </x:c>
      <x:c r="Q91" s="23" t="str">
        <x:f>IF(C91="","",A91&amp;"|"&amp;B91&amp;"|"&amp;C91)</x:f>
      </x:c>
      <x:c r="R91" s="23" t="str">
        <x:f>IF(D91="","",A91&amp;"|"&amp;B91&amp;"|"&amp;D91)</x:f>
      </x:c>
      <x:c r="S91" s="10"/>
      <x:c r="T91" s="23" t="str">
        <x:f>IF(COUNTA(A91:N91)=0,"",IF(OR(NOT(OR(A91="TikTok Shop",A91="Shopee",A91="Lazada")),B91="",C91="",NOT(ISNUMBER(E91)),AND(F91&lt;&gt;"Quyết toán",F91&lt;&gt;"Số dư"),COUNT(G91:N91)&lt;&gt;8),"Thiếu/sai dữ liệu",IF(NOT(COUNTIFS(T_SoDu[Khóa shop],A91&amp;"|"&amp;B91)=1),"Shop chưa khai báo",IF(COUNTIFS(T_GD[Khóa giao dịch],Q91)&lt;&gt;1,"Trùng giao dịch",IF(AND(D91&lt;&gt;"",COUNTIFS(T_Don[Khóa đơn],R91)&lt;&gt;1),"Không có đơn duy nhất","")))))</x:f>
      </x:c>
    </x:row>
    <x:row r="92" ht="22" customHeight="1">
      <x:c r="A92" s="10"/>
      <x:c r="B92" s="10"/>
      <x:c r="C92" s="24"/>
      <x:c r="D92" s="24"/>
      <x:c r="E92" s="25"/>
      <x:c r="F92" s="10"/>
      <x:c r="G92" s="26"/>
      <x:c r="H92" s="26"/>
      <x:c r="I92" s="26"/>
      <x:c r="J92" s="26"/>
      <x:c r="K92" s="26"/>
      <x:c r="L92" s="26"/>
      <x:c r="M92" s="26"/>
      <x:c r="N92" s="26"/>
      <x:c r="O92" s="27" t="str">
        <x:f>IF(C92="","",IF(COUNT(G92:M92)=7,SUM(G92:H92)-SUM(I92:K92)+SUM(L92:M92),"n.a."))</x:f>
      </x:c>
      <x:c r="P92" s="27" t="str">
        <x:f>IF(C92="","",IF(COUNT(N92:O92)=2,N92-O92,"n.a."))</x:f>
      </x:c>
      <x:c r="Q92" s="23" t="str">
        <x:f>IF(C92="","",A92&amp;"|"&amp;B92&amp;"|"&amp;C92)</x:f>
      </x:c>
      <x:c r="R92" s="23" t="str">
        <x:f>IF(D92="","",A92&amp;"|"&amp;B92&amp;"|"&amp;D92)</x:f>
      </x:c>
      <x:c r="S92" s="10"/>
      <x:c r="T92" s="23" t="str">
        <x:f>IF(COUNTA(A92:N92)=0,"",IF(OR(NOT(OR(A92="TikTok Shop",A92="Shopee",A92="Lazada")),B92="",C92="",NOT(ISNUMBER(E92)),AND(F92&lt;&gt;"Quyết toán",F92&lt;&gt;"Số dư"),COUNT(G92:N92)&lt;&gt;8),"Thiếu/sai dữ liệu",IF(NOT(COUNTIFS(T_SoDu[Khóa shop],A92&amp;"|"&amp;B92)=1),"Shop chưa khai báo",IF(COUNTIFS(T_GD[Khóa giao dịch],Q92)&lt;&gt;1,"Trùng giao dịch",IF(AND(D92&lt;&gt;"",COUNTIFS(T_Don[Khóa đơn],R92)&lt;&gt;1),"Không có đơn duy nhất","")))))</x:f>
      </x:c>
    </x:row>
    <x:row r="93" ht="22" customHeight="1">
      <x:c r="A93" s="10"/>
      <x:c r="B93" s="10"/>
      <x:c r="C93" s="24"/>
      <x:c r="D93" s="24"/>
      <x:c r="E93" s="25"/>
      <x:c r="F93" s="10"/>
      <x:c r="G93" s="26"/>
      <x:c r="H93" s="26"/>
      <x:c r="I93" s="26"/>
      <x:c r="J93" s="26"/>
      <x:c r="K93" s="26"/>
      <x:c r="L93" s="26"/>
      <x:c r="M93" s="26"/>
      <x:c r="N93" s="26"/>
      <x:c r="O93" s="27" t="str">
        <x:f>IF(C93="","",IF(COUNT(G93:M93)=7,SUM(G93:H93)-SUM(I93:K93)+SUM(L93:M93),"n.a."))</x:f>
      </x:c>
      <x:c r="P93" s="27" t="str">
        <x:f>IF(C93="","",IF(COUNT(N93:O93)=2,N93-O93,"n.a."))</x:f>
      </x:c>
      <x:c r="Q93" s="23" t="str">
        <x:f>IF(C93="","",A93&amp;"|"&amp;B93&amp;"|"&amp;C93)</x:f>
      </x:c>
      <x:c r="R93" s="23" t="str">
        <x:f>IF(D93="","",A93&amp;"|"&amp;B93&amp;"|"&amp;D93)</x:f>
      </x:c>
      <x:c r="S93" s="10"/>
      <x:c r="T93" s="23" t="str">
        <x:f>IF(COUNTA(A93:N93)=0,"",IF(OR(NOT(OR(A93="TikTok Shop",A93="Shopee",A93="Lazada")),B93="",C93="",NOT(ISNUMBER(E93)),AND(F93&lt;&gt;"Quyết toán",F93&lt;&gt;"Số dư"),COUNT(G93:N93)&lt;&gt;8),"Thiếu/sai dữ liệu",IF(NOT(COUNTIFS(T_SoDu[Khóa shop],A93&amp;"|"&amp;B93)=1),"Shop chưa khai báo",IF(COUNTIFS(T_GD[Khóa giao dịch],Q93)&lt;&gt;1,"Trùng giao dịch",IF(AND(D93&lt;&gt;"",COUNTIFS(T_Don[Khóa đơn],R93)&lt;&gt;1),"Không có đơn duy nhất","")))))</x:f>
      </x:c>
    </x:row>
    <x:row r="94" ht="22" customHeight="1">
      <x:c r="A94" s="10"/>
      <x:c r="B94" s="10"/>
      <x:c r="C94" s="24"/>
      <x:c r="D94" s="24"/>
      <x:c r="E94" s="25"/>
      <x:c r="F94" s="10"/>
      <x:c r="G94" s="26"/>
      <x:c r="H94" s="26"/>
      <x:c r="I94" s="26"/>
      <x:c r="J94" s="26"/>
      <x:c r="K94" s="26"/>
      <x:c r="L94" s="26"/>
      <x:c r="M94" s="26"/>
      <x:c r="N94" s="26"/>
      <x:c r="O94" s="27" t="str">
        <x:f>IF(C94="","",IF(COUNT(G94:M94)=7,SUM(G94:H94)-SUM(I94:K94)+SUM(L94:M94),"n.a."))</x:f>
      </x:c>
      <x:c r="P94" s="27" t="str">
        <x:f>IF(C94="","",IF(COUNT(N94:O94)=2,N94-O94,"n.a."))</x:f>
      </x:c>
      <x:c r="Q94" s="23" t="str">
        <x:f>IF(C94="","",A94&amp;"|"&amp;B94&amp;"|"&amp;C94)</x:f>
      </x:c>
      <x:c r="R94" s="23" t="str">
        <x:f>IF(D94="","",A94&amp;"|"&amp;B94&amp;"|"&amp;D94)</x:f>
      </x:c>
      <x:c r="S94" s="10"/>
      <x:c r="T94" s="23" t="str">
        <x:f>IF(COUNTA(A94:N94)=0,"",IF(OR(NOT(OR(A94="TikTok Shop",A94="Shopee",A94="Lazada")),B94="",C94="",NOT(ISNUMBER(E94)),AND(F94&lt;&gt;"Quyết toán",F94&lt;&gt;"Số dư"),COUNT(G94:N94)&lt;&gt;8),"Thiếu/sai dữ liệu",IF(NOT(COUNTIFS(T_SoDu[Khóa shop],A94&amp;"|"&amp;B94)=1),"Shop chưa khai báo",IF(COUNTIFS(T_GD[Khóa giao dịch],Q94)&lt;&gt;1,"Trùng giao dịch",IF(AND(D94&lt;&gt;"",COUNTIFS(T_Don[Khóa đơn],R94)&lt;&gt;1),"Không có đơn duy nhất","")))))</x:f>
      </x:c>
    </x:row>
    <x:row r="95" ht="22" customHeight="1">
      <x:c r="A95" s="10"/>
      <x:c r="B95" s="10"/>
      <x:c r="C95" s="24"/>
      <x:c r="D95" s="24"/>
      <x:c r="E95" s="25"/>
      <x:c r="F95" s="10"/>
      <x:c r="G95" s="26"/>
      <x:c r="H95" s="26"/>
      <x:c r="I95" s="26"/>
      <x:c r="J95" s="26"/>
      <x:c r="K95" s="26"/>
      <x:c r="L95" s="26"/>
      <x:c r="M95" s="26"/>
      <x:c r="N95" s="26"/>
      <x:c r="O95" s="27" t="str">
        <x:f>IF(C95="","",IF(COUNT(G95:M95)=7,SUM(G95:H95)-SUM(I95:K95)+SUM(L95:M95),"n.a."))</x:f>
      </x:c>
      <x:c r="P95" s="27" t="str">
        <x:f>IF(C95="","",IF(COUNT(N95:O95)=2,N95-O95,"n.a."))</x:f>
      </x:c>
      <x:c r="Q95" s="23" t="str">
        <x:f>IF(C95="","",A95&amp;"|"&amp;B95&amp;"|"&amp;C95)</x:f>
      </x:c>
      <x:c r="R95" s="23" t="str">
        <x:f>IF(D95="","",A95&amp;"|"&amp;B95&amp;"|"&amp;D95)</x:f>
      </x:c>
      <x:c r="S95" s="10"/>
      <x:c r="T95" s="23" t="str">
        <x:f>IF(COUNTA(A95:N95)=0,"",IF(OR(NOT(OR(A95="TikTok Shop",A95="Shopee",A95="Lazada")),B95="",C95="",NOT(ISNUMBER(E95)),AND(F95&lt;&gt;"Quyết toán",F95&lt;&gt;"Số dư"),COUNT(G95:N95)&lt;&gt;8),"Thiếu/sai dữ liệu",IF(NOT(COUNTIFS(T_SoDu[Khóa shop],A95&amp;"|"&amp;B95)=1),"Shop chưa khai báo",IF(COUNTIFS(T_GD[Khóa giao dịch],Q95)&lt;&gt;1,"Trùng giao dịch",IF(AND(D95&lt;&gt;"",COUNTIFS(T_Don[Khóa đơn],R95)&lt;&gt;1),"Không có đơn duy nhất","")))))</x:f>
      </x:c>
    </x:row>
    <x:row r="96" ht="22" customHeight="1">
      <x:c r="A96" s="10"/>
      <x:c r="B96" s="10"/>
      <x:c r="C96" s="24"/>
      <x:c r="D96" s="24"/>
      <x:c r="E96" s="25"/>
      <x:c r="F96" s="10"/>
      <x:c r="G96" s="26"/>
      <x:c r="H96" s="26"/>
      <x:c r="I96" s="26"/>
      <x:c r="J96" s="26"/>
      <x:c r="K96" s="26"/>
      <x:c r="L96" s="26"/>
      <x:c r="M96" s="26"/>
      <x:c r="N96" s="26"/>
      <x:c r="O96" s="27" t="str">
        <x:f>IF(C96="","",IF(COUNT(G96:M96)=7,SUM(G96:H96)-SUM(I96:K96)+SUM(L96:M96),"n.a."))</x:f>
      </x:c>
      <x:c r="P96" s="27" t="str">
        <x:f>IF(C96="","",IF(COUNT(N96:O96)=2,N96-O96,"n.a."))</x:f>
      </x:c>
      <x:c r="Q96" s="23" t="str">
        <x:f>IF(C96="","",A96&amp;"|"&amp;B96&amp;"|"&amp;C96)</x:f>
      </x:c>
      <x:c r="R96" s="23" t="str">
        <x:f>IF(D96="","",A96&amp;"|"&amp;B96&amp;"|"&amp;D96)</x:f>
      </x:c>
      <x:c r="S96" s="10"/>
      <x:c r="T96" s="23" t="str">
        <x:f>IF(COUNTA(A96:N96)=0,"",IF(OR(NOT(OR(A96="TikTok Shop",A96="Shopee",A96="Lazada")),B96="",C96="",NOT(ISNUMBER(E96)),AND(F96&lt;&gt;"Quyết toán",F96&lt;&gt;"Số dư"),COUNT(G96:N96)&lt;&gt;8),"Thiếu/sai dữ liệu",IF(NOT(COUNTIFS(T_SoDu[Khóa shop],A96&amp;"|"&amp;B96)=1),"Shop chưa khai báo",IF(COUNTIFS(T_GD[Khóa giao dịch],Q96)&lt;&gt;1,"Trùng giao dịch",IF(AND(D96&lt;&gt;"",COUNTIFS(T_Don[Khóa đơn],R96)&lt;&gt;1),"Không có đơn duy nhất","")))))</x:f>
      </x:c>
    </x:row>
    <x:row r="97" ht="22" customHeight="1">
      <x:c r="A97" s="10"/>
      <x:c r="B97" s="10"/>
      <x:c r="C97" s="24"/>
      <x:c r="D97" s="24"/>
      <x:c r="E97" s="25"/>
      <x:c r="F97" s="10"/>
      <x:c r="G97" s="26"/>
      <x:c r="H97" s="26"/>
      <x:c r="I97" s="26"/>
      <x:c r="J97" s="26"/>
      <x:c r="K97" s="26"/>
      <x:c r="L97" s="26"/>
      <x:c r="M97" s="26"/>
      <x:c r="N97" s="26"/>
      <x:c r="O97" s="27" t="str">
        <x:f>IF(C97="","",IF(COUNT(G97:M97)=7,SUM(G97:H97)-SUM(I97:K97)+SUM(L97:M97),"n.a."))</x:f>
      </x:c>
      <x:c r="P97" s="27" t="str">
        <x:f>IF(C97="","",IF(COUNT(N97:O97)=2,N97-O97,"n.a."))</x:f>
      </x:c>
      <x:c r="Q97" s="23" t="str">
        <x:f>IF(C97="","",A97&amp;"|"&amp;B97&amp;"|"&amp;C97)</x:f>
      </x:c>
      <x:c r="R97" s="23" t="str">
        <x:f>IF(D97="","",A97&amp;"|"&amp;B97&amp;"|"&amp;D97)</x:f>
      </x:c>
      <x:c r="S97" s="10"/>
      <x:c r="T97" s="23" t="str">
        <x:f>IF(COUNTA(A97:N97)=0,"",IF(OR(NOT(OR(A97="TikTok Shop",A97="Shopee",A97="Lazada")),B97="",C97="",NOT(ISNUMBER(E97)),AND(F97&lt;&gt;"Quyết toán",F97&lt;&gt;"Số dư"),COUNT(G97:N97)&lt;&gt;8),"Thiếu/sai dữ liệu",IF(NOT(COUNTIFS(T_SoDu[Khóa shop],A97&amp;"|"&amp;B97)=1),"Shop chưa khai báo",IF(COUNTIFS(T_GD[Khóa giao dịch],Q97)&lt;&gt;1,"Trùng giao dịch",IF(AND(D97&lt;&gt;"",COUNTIFS(T_Don[Khóa đơn],R97)&lt;&gt;1),"Không có đơn duy nhất","")))))</x:f>
      </x:c>
    </x:row>
    <x:row r="98" ht="22" customHeight="1">
      <x:c r="A98" s="10"/>
      <x:c r="B98" s="10"/>
      <x:c r="C98" s="24"/>
      <x:c r="D98" s="24"/>
      <x:c r="E98" s="25"/>
      <x:c r="F98" s="10"/>
      <x:c r="G98" s="26"/>
      <x:c r="H98" s="26"/>
      <x:c r="I98" s="26"/>
      <x:c r="J98" s="26"/>
      <x:c r="K98" s="26"/>
      <x:c r="L98" s="26"/>
      <x:c r="M98" s="26"/>
      <x:c r="N98" s="26"/>
      <x:c r="O98" s="27" t="str">
        <x:f>IF(C98="","",IF(COUNT(G98:M98)=7,SUM(G98:H98)-SUM(I98:K98)+SUM(L98:M98),"n.a."))</x:f>
      </x:c>
      <x:c r="P98" s="27" t="str">
        <x:f>IF(C98="","",IF(COUNT(N98:O98)=2,N98-O98,"n.a."))</x:f>
      </x:c>
      <x:c r="Q98" s="23" t="str">
        <x:f>IF(C98="","",A98&amp;"|"&amp;B98&amp;"|"&amp;C98)</x:f>
      </x:c>
      <x:c r="R98" s="23" t="str">
        <x:f>IF(D98="","",A98&amp;"|"&amp;B98&amp;"|"&amp;D98)</x:f>
      </x:c>
      <x:c r="S98" s="10"/>
      <x:c r="T98" s="23" t="str">
        <x:f>IF(COUNTA(A98:N98)=0,"",IF(OR(NOT(OR(A98="TikTok Shop",A98="Shopee",A98="Lazada")),B98="",C98="",NOT(ISNUMBER(E98)),AND(F98&lt;&gt;"Quyết toán",F98&lt;&gt;"Số dư"),COUNT(G98:N98)&lt;&gt;8),"Thiếu/sai dữ liệu",IF(NOT(COUNTIFS(T_SoDu[Khóa shop],A98&amp;"|"&amp;B98)=1),"Shop chưa khai báo",IF(COUNTIFS(T_GD[Khóa giao dịch],Q98)&lt;&gt;1,"Trùng giao dịch",IF(AND(D98&lt;&gt;"",COUNTIFS(T_Don[Khóa đơn],R98)&lt;&gt;1),"Không có đơn duy nhất","")))))</x:f>
      </x:c>
    </x:row>
    <x:row r="99" ht="22" customHeight="1">
      <x:c r="A99" s="10"/>
      <x:c r="B99" s="10"/>
      <x:c r="C99" s="24"/>
      <x:c r="D99" s="24"/>
      <x:c r="E99" s="25"/>
      <x:c r="F99" s="10"/>
      <x:c r="G99" s="26"/>
      <x:c r="H99" s="26"/>
      <x:c r="I99" s="26"/>
      <x:c r="J99" s="26"/>
      <x:c r="K99" s="26"/>
      <x:c r="L99" s="26"/>
      <x:c r="M99" s="26"/>
      <x:c r="N99" s="26"/>
      <x:c r="O99" s="27" t="str">
        <x:f>IF(C99="","",IF(COUNT(G99:M99)=7,SUM(G99:H99)-SUM(I99:K99)+SUM(L99:M99),"n.a."))</x:f>
      </x:c>
      <x:c r="P99" s="27" t="str">
        <x:f>IF(C99="","",IF(COUNT(N99:O99)=2,N99-O99,"n.a."))</x:f>
      </x:c>
      <x:c r="Q99" s="23" t="str">
        <x:f>IF(C99="","",A99&amp;"|"&amp;B99&amp;"|"&amp;C99)</x:f>
      </x:c>
      <x:c r="R99" s="23" t="str">
        <x:f>IF(D99="","",A99&amp;"|"&amp;B99&amp;"|"&amp;D99)</x:f>
      </x:c>
      <x:c r="S99" s="10"/>
      <x:c r="T99" s="23" t="str">
        <x:f>IF(COUNTA(A99:N99)=0,"",IF(OR(NOT(OR(A99="TikTok Shop",A99="Shopee",A99="Lazada")),B99="",C99="",NOT(ISNUMBER(E99)),AND(F99&lt;&gt;"Quyết toán",F99&lt;&gt;"Số dư"),COUNT(G99:N99)&lt;&gt;8),"Thiếu/sai dữ liệu",IF(NOT(COUNTIFS(T_SoDu[Khóa shop],A99&amp;"|"&amp;B99)=1),"Shop chưa khai báo",IF(COUNTIFS(T_GD[Khóa giao dịch],Q99)&lt;&gt;1,"Trùng giao dịch",IF(AND(D99&lt;&gt;"",COUNTIFS(T_Don[Khóa đơn],R99)&lt;&gt;1),"Không có đơn duy nhất","")))))</x:f>
      </x:c>
    </x:row>
    <x:row r="100" ht="22" customHeight="1">
      <x:c r="A100" s="10"/>
      <x:c r="B100" s="10"/>
      <x:c r="C100" s="24"/>
      <x:c r="D100" s="24"/>
      <x:c r="E100" s="25"/>
      <x:c r="F100" s="10"/>
      <x:c r="G100" s="26"/>
      <x:c r="H100" s="26"/>
      <x:c r="I100" s="26"/>
      <x:c r="J100" s="26"/>
      <x:c r="K100" s="26"/>
      <x:c r="L100" s="26"/>
      <x:c r="M100" s="26"/>
      <x:c r="N100" s="26"/>
      <x:c r="O100" s="27" t="str">
        <x:f>IF(C100="","",IF(COUNT(G100:M100)=7,SUM(G100:H100)-SUM(I100:K100)+SUM(L100:M100),"n.a."))</x:f>
      </x:c>
      <x:c r="P100" s="27" t="str">
        <x:f>IF(C100="","",IF(COUNT(N100:O100)=2,N100-O100,"n.a."))</x:f>
      </x:c>
      <x:c r="Q100" s="23" t="str">
        <x:f>IF(C100="","",A100&amp;"|"&amp;B100&amp;"|"&amp;C100)</x:f>
      </x:c>
      <x:c r="R100" s="23" t="str">
        <x:f>IF(D100="","",A100&amp;"|"&amp;B100&amp;"|"&amp;D100)</x:f>
      </x:c>
      <x:c r="S100" s="10"/>
      <x:c r="T100" s="23" t="str">
        <x:f>IF(COUNTA(A100:N100)=0,"",IF(OR(NOT(OR(A100="TikTok Shop",A100="Shopee",A100="Lazada")),B100="",C100="",NOT(ISNUMBER(E100)),AND(F100&lt;&gt;"Quyết toán",F100&lt;&gt;"Số dư"),COUNT(G100:N100)&lt;&gt;8),"Thiếu/sai dữ liệu",IF(NOT(COUNTIFS(T_SoDu[Khóa shop],A100&amp;"|"&amp;B100)=1),"Shop chưa khai báo",IF(COUNTIFS(T_GD[Khóa giao dịch],Q100)&lt;&gt;1,"Trùng giao dịch",IF(AND(D100&lt;&gt;"",COUNTIFS(T_Don[Khóa đơn],R100)&lt;&gt;1),"Không có đơn duy nhất","")))))</x:f>
      </x:c>
    </x:row>
    <x:row r="101" ht="22" customHeight="1">
      <x:c r="A101" s="10"/>
      <x:c r="B101" s="10"/>
      <x:c r="C101" s="24"/>
      <x:c r="D101" s="24"/>
      <x:c r="E101" s="25"/>
      <x:c r="F101" s="10"/>
      <x:c r="G101" s="26"/>
      <x:c r="H101" s="26"/>
      <x:c r="I101" s="26"/>
      <x:c r="J101" s="26"/>
      <x:c r="K101" s="26"/>
      <x:c r="L101" s="26"/>
      <x:c r="M101" s="26"/>
      <x:c r="N101" s="26"/>
      <x:c r="O101" s="27" t="str">
        <x:f>IF(C101="","",IF(COUNT(G101:M101)=7,SUM(G101:H101)-SUM(I101:K101)+SUM(L101:M101),"n.a."))</x:f>
      </x:c>
      <x:c r="P101" s="27" t="str">
        <x:f>IF(C101="","",IF(COUNT(N101:O101)=2,N101-O101,"n.a."))</x:f>
      </x:c>
      <x:c r="Q101" s="23" t="str">
        <x:f>IF(C101="","",A101&amp;"|"&amp;B101&amp;"|"&amp;C101)</x:f>
      </x:c>
      <x:c r="R101" s="23" t="str">
        <x:f>IF(D101="","",A101&amp;"|"&amp;B101&amp;"|"&amp;D101)</x:f>
      </x:c>
      <x:c r="S101" s="10"/>
      <x:c r="T101" s="23" t="str">
        <x:f>IF(COUNTA(A101:N101)=0,"",IF(OR(NOT(OR(A101="TikTok Shop",A101="Shopee",A101="Lazada")),B101="",C101="",NOT(ISNUMBER(E101)),AND(F101&lt;&gt;"Quyết toán",F101&lt;&gt;"Số dư"),COUNT(G101:N101)&lt;&gt;8),"Thiếu/sai dữ liệu",IF(NOT(COUNTIFS(T_SoDu[Khóa shop],A101&amp;"|"&amp;B101)=1),"Shop chưa khai báo",IF(COUNTIFS(T_GD[Khóa giao dịch],Q101)&lt;&gt;1,"Trùng giao dịch",IF(AND(D101&lt;&gt;"",COUNTIFS(T_Don[Khóa đơn],R101)&lt;&gt;1),"Không có đơn duy nhất","")))))</x:f>
      </x:c>
    </x:row>
    <x:row r="102" ht="22" customHeight="1">
      <x:c r="A102" s="10"/>
      <x:c r="B102" s="10"/>
      <x:c r="C102" s="24"/>
      <x:c r="D102" s="24"/>
      <x:c r="E102" s="25"/>
      <x:c r="F102" s="10"/>
      <x:c r="G102" s="26"/>
      <x:c r="H102" s="26"/>
      <x:c r="I102" s="26"/>
      <x:c r="J102" s="26"/>
      <x:c r="K102" s="26"/>
      <x:c r="L102" s="26"/>
      <x:c r="M102" s="26"/>
      <x:c r="N102" s="26"/>
      <x:c r="O102" s="27" t="str">
        <x:f>IF(C102="","",IF(COUNT(G102:M102)=7,SUM(G102:H102)-SUM(I102:K102)+SUM(L102:M102),"n.a."))</x:f>
      </x:c>
      <x:c r="P102" s="27" t="str">
        <x:f>IF(C102="","",IF(COUNT(N102:O102)=2,N102-O102,"n.a."))</x:f>
      </x:c>
      <x:c r="Q102" s="23" t="str">
        <x:f>IF(C102="","",A102&amp;"|"&amp;B102&amp;"|"&amp;C102)</x:f>
      </x:c>
      <x:c r="R102" s="23" t="str">
        <x:f>IF(D102="","",A102&amp;"|"&amp;B102&amp;"|"&amp;D102)</x:f>
      </x:c>
      <x:c r="S102" s="10"/>
      <x:c r="T102" s="23" t="str">
        <x:f>IF(COUNTA(A102:N102)=0,"",IF(OR(NOT(OR(A102="TikTok Shop",A102="Shopee",A102="Lazada")),B102="",C102="",NOT(ISNUMBER(E102)),AND(F102&lt;&gt;"Quyết toán",F102&lt;&gt;"Số dư"),COUNT(G102:N102)&lt;&gt;8),"Thiếu/sai dữ liệu",IF(NOT(COUNTIFS(T_SoDu[Khóa shop],A102&amp;"|"&amp;B102)=1),"Shop chưa khai báo",IF(COUNTIFS(T_GD[Khóa giao dịch],Q102)&lt;&gt;1,"Trùng giao dịch",IF(AND(D102&lt;&gt;"",COUNTIFS(T_Don[Khóa đơn],R102)&lt;&gt;1),"Không có đơn duy nhất","")))))</x:f>
      </x:c>
    </x:row>
    <x:row r="103" ht="22" customHeight="1">
      <x:c r="A103" s="10"/>
      <x:c r="B103" s="10"/>
      <x:c r="C103" s="24"/>
      <x:c r="D103" s="24"/>
      <x:c r="E103" s="25"/>
      <x:c r="F103" s="10"/>
      <x:c r="G103" s="26"/>
      <x:c r="H103" s="26"/>
      <x:c r="I103" s="26"/>
      <x:c r="J103" s="26"/>
      <x:c r="K103" s="26"/>
      <x:c r="L103" s="26"/>
      <x:c r="M103" s="26"/>
      <x:c r="N103" s="26"/>
      <x:c r="O103" s="27" t="str">
        <x:f>IF(C103="","",IF(COUNT(G103:M103)=7,SUM(G103:H103)-SUM(I103:K103)+SUM(L103:M103),"n.a."))</x:f>
      </x:c>
      <x:c r="P103" s="27" t="str">
        <x:f>IF(C103="","",IF(COUNT(N103:O103)=2,N103-O103,"n.a."))</x:f>
      </x:c>
      <x:c r="Q103" s="23" t="str">
        <x:f>IF(C103="","",A103&amp;"|"&amp;B103&amp;"|"&amp;C103)</x:f>
      </x:c>
      <x:c r="R103" s="23" t="str">
        <x:f>IF(D103="","",A103&amp;"|"&amp;B103&amp;"|"&amp;D103)</x:f>
      </x:c>
      <x:c r="S103" s="10"/>
      <x:c r="T103" s="23" t="str">
        <x:f>IF(COUNTA(A103:N103)=0,"",IF(OR(NOT(OR(A103="TikTok Shop",A103="Shopee",A103="Lazada")),B103="",C103="",NOT(ISNUMBER(E103)),AND(F103&lt;&gt;"Quyết toán",F103&lt;&gt;"Số dư"),COUNT(G103:N103)&lt;&gt;8),"Thiếu/sai dữ liệu",IF(NOT(COUNTIFS(T_SoDu[Khóa shop],A103&amp;"|"&amp;B103)=1),"Shop chưa khai báo",IF(COUNTIFS(T_GD[Khóa giao dịch],Q103)&lt;&gt;1,"Trùng giao dịch",IF(AND(D103&lt;&gt;"",COUNTIFS(T_Don[Khóa đơn],R103)&lt;&gt;1),"Không có đơn duy nhất","")))))</x:f>
      </x:c>
    </x:row>
    <x:row r="104" ht="22" customHeight="1">
      <x:c r="A104" s="10"/>
      <x:c r="B104" s="10"/>
      <x:c r="C104" s="24"/>
      <x:c r="D104" s="24"/>
      <x:c r="E104" s="25"/>
      <x:c r="F104" s="10"/>
      <x:c r="G104" s="26"/>
      <x:c r="H104" s="26"/>
      <x:c r="I104" s="26"/>
      <x:c r="J104" s="26"/>
      <x:c r="K104" s="26"/>
      <x:c r="L104" s="26"/>
      <x:c r="M104" s="26"/>
      <x:c r="N104" s="26"/>
      <x:c r="O104" s="27" t="str">
        <x:f>IF(C104="","",IF(COUNT(G104:M104)=7,SUM(G104:H104)-SUM(I104:K104)+SUM(L104:M104),"n.a."))</x:f>
      </x:c>
      <x:c r="P104" s="27" t="str">
        <x:f>IF(C104="","",IF(COUNT(N104:O104)=2,N104-O104,"n.a."))</x:f>
      </x:c>
      <x:c r="Q104" s="23" t="str">
        <x:f>IF(C104="","",A104&amp;"|"&amp;B104&amp;"|"&amp;C104)</x:f>
      </x:c>
      <x:c r="R104" s="23" t="str">
        <x:f>IF(D104="","",A104&amp;"|"&amp;B104&amp;"|"&amp;D104)</x:f>
      </x:c>
      <x:c r="S104" s="10"/>
      <x:c r="T104" s="23" t="str">
        <x:f>IF(COUNTA(A104:N104)=0,"",IF(OR(NOT(OR(A104="TikTok Shop",A104="Shopee",A104="Lazada")),B104="",C104="",NOT(ISNUMBER(E104)),AND(F104&lt;&gt;"Quyết toán",F104&lt;&gt;"Số dư"),COUNT(G104:N104)&lt;&gt;8),"Thiếu/sai dữ liệu",IF(NOT(COUNTIFS(T_SoDu[Khóa shop],A104&amp;"|"&amp;B104)=1),"Shop chưa khai báo",IF(COUNTIFS(T_GD[Khóa giao dịch],Q104)&lt;&gt;1,"Trùng giao dịch",IF(AND(D104&lt;&gt;"",COUNTIFS(T_Don[Khóa đơn],R104)&lt;&gt;1),"Không có đơn duy nhất","")))))</x:f>
      </x:c>
    </x:row>
    <x:row r="105" ht="22" customHeight="1">
      <x:c r="A105" s="10"/>
      <x:c r="B105" s="10"/>
      <x:c r="C105" s="24"/>
      <x:c r="D105" s="24"/>
      <x:c r="E105" s="25"/>
      <x:c r="F105" s="10"/>
      <x:c r="G105" s="26"/>
      <x:c r="H105" s="26"/>
      <x:c r="I105" s="26"/>
      <x:c r="J105" s="26"/>
      <x:c r="K105" s="26"/>
      <x:c r="L105" s="26"/>
      <x:c r="M105" s="26"/>
      <x:c r="N105" s="26"/>
      <x:c r="O105" s="27" t="str">
        <x:f>IF(C105="","",IF(COUNT(G105:M105)=7,SUM(G105:H105)-SUM(I105:K105)+SUM(L105:M105),"n.a."))</x:f>
      </x:c>
      <x:c r="P105" s="27" t="str">
        <x:f>IF(C105="","",IF(COUNT(N105:O105)=2,N105-O105,"n.a."))</x:f>
      </x:c>
      <x:c r="Q105" s="23" t="str">
        <x:f>IF(C105="","",A105&amp;"|"&amp;B105&amp;"|"&amp;C105)</x:f>
      </x:c>
      <x:c r="R105" s="23" t="str">
        <x:f>IF(D105="","",A105&amp;"|"&amp;B105&amp;"|"&amp;D105)</x:f>
      </x:c>
      <x:c r="S105" s="10"/>
      <x:c r="T105" s="23" t="str">
        <x:f>IF(COUNTA(A105:N105)=0,"",IF(OR(NOT(OR(A105="TikTok Shop",A105="Shopee",A105="Lazada")),B105="",C105="",NOT(ISNUMBER(E105)),AND(F105&lt;&gt;"Quyết toán",F105&lt;&gt;"Số dư"),COUNT(G105:N105)&lt;&gt;8),"Thiếu/sai dữ liệu",IF(NOT(COUNTIFS(T_SoDu[Khóa shop],A105&amp;"|"&amp;B105)=1),"Shop chưa khai báo",IF(COUNTIFS(T_GD[Khóa giao dịch],Q105)&lt;&gt;1,"Trùng giao dịch",IF(AND(D105&lt;&gt;"",COUNTIFS(T_Don[Khóa đơn],R105)&lt;&gt;1),"Không có đơn duy nhất","")))))</x:f>
      </x:c>
    </x:row>
    <x:row r="106" ht="22" customHeight="1">
      <x:c r="A106" s="10"/>
      <x:c r="B106" s="10"/>
      <x:c r="C106" s="24"/>
      <x:c r="D106" s="24"/>
      <x:c r="E106" s="25"/>
      <x:c r="F106" s="10"/>
      <x:c r="G106" s="26"/>
      <x:c r="H106" s="26"/>
      <x:c r="I106" s="26"/>
      <x:c r="J106" s="26"/>
      <x:c r="K106" s="26"/>
      <x:c r="L106" s="26"/>
      <x:c r="M106" s="26"/>
      <x:c r="N106" s="26"/>
      <x:c r="O106" s="27" t="str">
        <x:f>IF(C106="","",IF(COUNT(G106:M106)=7,SUM(G106:H106)-SUM(I106:K106)+SUM(L106:M106),"n.a."))</x:f>
      </x:c>
      <x:c r="P106" s="27" t="str">
        <x:f>IF(C106="","",IF(COUNT(N106:O106)=2,N106-O106,"n.a."))</x:f>
      </x:c>
      <x:c r="Q106" s="23" t="str">
        <x:f>IF(C106="","",A106&amp;"|"&amp;B106&amp;"|"&amp;C106)</x:f>
      </x:c>
      <x:c r="R106" s="23" t="str">
        <x:f>IF(D106="","",A106&amp;"|"&amp;B106&amp;"|"&amp;D106)</x:f>
      </x:c>
      <x:c r="S106" s="10"/>
      <x:c r="T106" s="23" t="str">
        <x:f>IF(COUNTA(A106:N106)=0,"",IF(OR(NOT(OR(A106="TikTok Shop",A106="Shopee",A106="Lazada")),B106="",C106="",NOT(ISNUMBER(E106)),AND(F106&lt;&gt;"Quyết toán",F106&lt;&gt;"Số dư"),COUNT(G106:N106)&lt;&gt;8),"Thiếu/sai dữ liệu",IF(NOT(COUNTIFS(T_SoDu[Khóa shop],A106&amp;"|"&amp;B106)=1),"Shop chưa khai báo",IF(COUNTIFS(T_GD[Khóa giao dịch],Q106)&lt;&gt;1,"Trùng giao dịch",IF(AND(D106&lt;&gt;"",COUNTIFS(T_Don[Khóa đơn],R106)&lt;&gt;1),"Không có đơn duy nhất","")))))</x:f>
      </x:c>
    </x:row>
  </x:sheetData>
  <x:conditionalFormatting sqref="T7:T106">
    <x:cfRule type="expression" dxfId="8" priority="1">
      <x:formula>T7&lt;&gt;""</x:formula>
    </x:cfRule>
  </x:conditionalFormatting>
  <x:conditionalFormatting sqref="P7:P106">
    <x:cfRule type="expression" dxfId="13" priority="2">
      <x:formula>AND(ISNUMBER(P7),ABS(P7)&gt;'Tong_hop'!$I$4)</x:formula>
    </x:cfRule>
  </x:conditionalFormatting>
  <x:dataValidations count="2">
    <x:dataValidation type="list" sqref="A7:A106">
      <x:formula1>"TikTok Shop,Shopee,Lazada"</x:formula1>
    </x:dataValidation>
    <x:dataValidation type="list" sqref="F7:F106">
      <x:formula1>"Quyết toán,Số dư"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b00fd22cd840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39" hidden="0" customWidth="1"/>
    <x:col min="10" max="10" width="18" hidden="0" customWidth="1"/>
    <x:col min="11" max="11" width="18" hidden="0" customWidth="1"/>
    <x:col min="12" max="12" width="18" hidden="0" customWidth="1"/>
    <x:col min="13" max="13" width="25" hidden="0" customWidth="1"/>
    <x:col min="14" max="14" width="25" hidden="0" customWidth="1"/>
    <x:col min="15" max="15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ĐỢT CHUYỂN TIỀN TỪ SÀN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2" t="str">
        <x:v>Nhập cả đợt cũ còn treo đầu kỳ. Phí cột F chỉ nhập khi đã xác nhận và chưa nằm trong Giao_dich_san.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58" customHeight="1">
      <x:c r="A6" s="20" t="str">
        <x:v>Sàn</x:v>
      </x:c>
      <x:c r="B6" s="21" t="str">
        <x:v>Shop</x:v>
      </x:c>
      <x:c r="C6" s="21" t="str">
        <x:v>Mã đợt chuyển</x:v>
      </x:c>
      <x:c r="D6" s="21" t="str">
        <x:v>Ngày trừ số dư</x:v>
      </x:c>
      <x:c r="E6" s="21" t="str">
        <x:v>Tiền trừ số dư</x:v>
      </x:c>
      <x:c r="F6" s="21" t="str">
        <x:v>Phí chuyển đã xác nhận</x:v>
      </x:c>
      <x:c r="G6" s="21" t="str">
        <x:v>NH đã nhận trước kỳ</x:v>
      </x:c>
      <x:c r="H6" s="21" t="str">
        <x:v>Nguồn / ghi chú</x:v>
      </x:c>
      <x:c r="I6" s="21" t="str">
        <x:v>Khóa đợt chuyển</x:v>
      </x:c>
      <x:c r="J6" s="21" t="str">
        <x:v>NH nhận trong kỳ</x:v>
      </x:c>
      <x:c r="K6" s="21" t="str">
        <x:v>NH nhận lũy kế</x:v>
      </x:c>
      <x:c r="L6" s="21" t="str">
        <x:v>Còn đang chuyển</x:v>
      </x:c>
      <x:c r="M6" s="21" t="str">
        <x:v>Tình trạng</x:v>
      </x:c>
      <x:c r="N6" s="21" t="str">
        <x:v>Kiểm tra dữ liệu</x:v>
      </x:c>
      <x:c r="O6" s="22" t="str">
        <x:v>Dự kiến NH nhận</x:v>
      </x:c>
    </x:row>
    <x:row r="7" ht="22" customHeight="1">
      <x:c r="A7" s="10" t="str">
        <x:v>TikTok Shop</x:v>
      </x:c>
      <x:c r="B7" s="10" t="str">
        <x:v>DEMO_TT</x:v>
      </x:c>
      <x:c r="C7" s="24" t="str">
        <x:v>TT-P0</x:v>
      </x:c>
      <x:c r="D7" s="25" t="d">
        <x:v>2026-08-31T00:00:00.000Z</x:v>
      </x:c>
      <x:c r="E7" s="26" t="n">
        <x:v>100000</x:v>
      </x:c>
      <x:c r="F7" s="26" t="n">
        <x:v>0</x:v>
      </x:c>
      <x:c r="G7" s="26" t="n">
        <x:v>0</x:v>
      </x:c>
      <x:c r="H7" s="10" t="str">
        <x:v>Đang chuyển đầu tháng</x:v>
      </x:c>
      <x:c r="I7" s="23" t="str">
        <x:f>IF(C7="","",A7&amp;"|"&amp;B7&amp;"|"&amp;C7)</x:f>
        <x:v>TikTok Shop|DEMO_TT|TT-P0</x:v>
      </x:c>
      <x:c r="J7" s="27" t="n">
        <x:f>IF(C7="","",SUMIFS(T_NH[Tiền thực nhận],T_NH[Khóa đợt chuyển],I7,T_NH[Ngày báo Có],"&gt;="&amp;'Tong_hop'!$C$4,T_NH[Ngày báo Có],"&lt;"&amp;'Tong_hop'!$F$4))</x:f>
        <x:v>100000</x:v>
      </x:c>
      <x:c r="K7" s="27" t="n">
        <x:f>IF(C7="","",IF(ISNUMBER(G7),G7+J7,"n.a."))</x:f>
        <x:v>100000</x:v>
      </x:c>
      <x:c r="L7" s="27" t="n">
        <x:f>IF(C7="","",IF(D7&gt;='Tong_hop'!$F$4,0,IF(AND(ISNUMBER(O7),ISNUMBER(K7)),O7-K7,"n.a.")))</x:f>
        <x:v>0</x:v>
      </x:c>
      <x:c r="M7" s="23" t="str">
        <x:f>IF(C7="","",IF(N7&lt;&gt;"","Sửa dữ liệu",IF(D7&gt;='Tong_hop'!$F$4,"Ngoài kỳ",IF(ABS(L7)&lt;='Tong_hop'!$I$4,"Đã nhận đủ",IF(L7&lt;0,"Nhận vượt",IF(K7&gt;0,"Nhận thiếu","Đang chuyển"))))))</x:f>
        <x:v>Đã nhận đủ</x:v>
      </x:c>
      <x:c r="N7" s="23" t="str">
        <x:f>IF(COUNTA(A7:H7)=0,"",IF(OR(NOT(OR(A7="TikTok Shop",A7="Shopee",A7="Lazada")),B7="",C7="",NOT(ISNUMBER(D7)),COUNT(E7:G7)&lt;&gt;3,E7&lt;0,F7&lt;0,F7&gt;E7,G7&lt;0),"Thiếu/sai dữ liệu",IF(NOT(COUNTIFS(T_SoDu[Khóa shop],A7&amp;"|"&amp;B7)=1),"Shop chưa khai báo",IF(COUNTIFS(T_Chuyen[Khóa đợt chuyển],I7)&lt;&gt;1,"Trùng đợt chuyển",""))))</x:f>
      </x:c>
      <x:c r="O7" s="27" t="n">
        <x:f>IF(C7="","",IF(COUNT(E7:F7)=2,E7-F7,"n.a."))</x:f>
        <x:v>100000</x:v>
      </x:c>
    </x:row>
    <x:row r="8" ht="22" customHeight="1">
      <x:c r="A8" s="10" t="str">
        <x:v>TikTok Shop</x:v>
      </x:c>
      <x:c r="B8" s="10" t="str">
        <x:v>DEMO_TT</x:v>
      </x:c>
      <x:c r="C8" s="24" t="str">
        <x:v>TT-P1</x:v>
      </x:c>
      <x:c r="D8" s="25" t="d">
        <x:v>2026-09-15T00:00:00.000Z</x:v>
      </x:c>
      <x:c r="E8" s="26" t="n">
        <x:v>1000000</x:v>
      </x:c>
      <x:c r="F8" s="26" t="n">
        <x:v>10000</x:v>
      </x:c>
      <x:c r="G8" s="26" t="n">
        <x:v>0</x:v>
      </x:c>
      <x:c r="H8" s="10" t="str">
        <x:v>Phí chuyển 10.000 chưa nằm trong GD sàn</x:v>
      </x:c>
      <x:c r="I8" s="23" t="str">
        <x:f>IF(C8="","",A8&amp;"|"&amp;B8&amp;"|"&amp;C8)</x:f>
        <x:v>TikTok Shop|DEMO_TT|TT-P1</x:v>
      </x:c>
      <x:c r="J8" s="27" t="n">
        <x:f>IF(C8="","",SUMIFS(T_NH[Tiền thực nhận],T_NH[Khóa đợt chuyển],I8,T_NH[Ngày báo Có],"&gt;="&amp;'Tong_hop'!$C$4,T_NH[Ngày báo Có],"&lt;"&amp;'Tong_hop'!$F$4))</x:f>
        <x:v>990000</x:v>
      </x:c>
      <x:c r="K8" s="27" t="n">
        <x:f>IF(C8="","",IF(ISNUMBER(G8),G8+J8,"n.a."))</x:f>
        <x:v>990000</x:v>
      </x:c>
      <x:c r="L8" s="27" t="n">
        <x:f>IF(C8="","",IF(D8&gt;='Tong_hop'!$F$4,0,IF(AND(ISNUMBER(O8),ISNUMBER(K8)),O8-K8,"n.a.")))</x:f>
        <x:v>0</x:v>
      </x:c>
      <x:c r="M8" s="23" t="str">
        <x:f>IF(C8="","",IF(N8&lt;&gt;"","Sửa dữ liệu",IF(D8&gt;='Tong_hop'!$F$4,"Ngoài kỳ",IF(ABS(L8)&lt;='Tong_hop'!$I$4,"Đã nhận đủ",IF(L8&lt;0,"Nhận vượt",IF(K8&gt;0,"Nhận thiếu","Đang chuyển"))))))</x:f>
        <x:v>Đã nhận đủ</x:v>
      </x:c>
      <x:c r="N8" s="23" t="str">
        <x:f>IF(COUNTA(A8:H8)=0,"",IF(OR(NOT(OR(A8="TikTok Shop",A8="Shopee",A8="Lazada")),B8="",C8="",NOT(ISNUMBER(D8)),COUNT(E8:G8)&lt;&gt;3,E8&lt;0,F8&lt;0,F8&gt;E8,G8&lt;0),"Thiếu/sai dữ liệu",IF(NOT(COUNTIFS(T_SoDu[Khóa shop],A8&amp;"|"&amp;B8)=1),"Shop chưa khai báo",IF(COUNTIFS(T_Chuyen[Khóa đợt chuyển],I8)&lt;&gt;1,"Trùng đợt chuyển",""))))</x:f>
      </x:c>
      <x:c r="O8" s="27" t="n">
        <x:f>IF(C8="","",IF(COUNT(E8:F8)=2,E8-F8,"n.a."))</x:f>
        <x:v>990000</x:v>
      </x:c>
    </x:row>
    <x:row r="9" ht="22" customHeight="1">
      <x:c r="A9" s="10" t="str">
        <x:v>TikTok Shop</x:v>
      </x:c>
      <x:c r="B9" s="10" t="str">
        <x:v>DEMO_TT</x:v>
      </x:c>
      <x:c r="C9" s="24" t="str">
        <x:v>TT-P2</x:v>
      </x:c>
      <x:c r="D9" s="25" t="d">
        <x:v>2026-09-30T00:00:00.000Z</x:v>
      </x:c>
      <x:c r="E9" s="26" t="n">
        <x:v>400000</x:v>
      </x:c>
      <x:c r="F9" s="26" t="n">
        <x:v>0</x:v>
      </x:c>
      <x:c r="G9" s="26" t="n">
        <x:v>0</x:v>
      </x:c>
      <x:c r="H9" s="10" t="str">
        <x:v>Ngân hàng nhận ngày 02/10</x:v>
      </x:c>
      <x:c r="I9" s="23" t="str">
        <x:f>IF(C9="","",A9&amp;"|"&amp;B9&amp;"|"&amp;C9)</x:f>
        <x:v>TikTok Shop|DEMO_TT|TT-P2</x:v>
      </x:c>
      <x:c r="J9" s="27" t="n">
        <x:f>IF(C9="","",SUMIFS(T_NH[Tiền thực nhận],T_NH[Khóa đợt chuyển],I9,T_NH[Ngày báo Có],"&gt;="&amp;'Tong_hop'!$C$4,T_NH[Ngày báo Có],"&lt;"&amp;'Tong_hop'!$F$4))</x:f>
        <x:v>0</x:v>
      </x:c>
      <x:c r="K9" s="27" t="n">
        <x:f>IF(C9="","",IF(ISNUMBER(G9),G9+J9,"n.a."))</x:f>
        <x:v>0</x:v>
      </x:c>
      <x:c r="L9" s="27" t="n">
        <x:f>IF(C9="","",IF(D9&gt;='Tong_hop'!$F$4,0,IF(AND(ISNUMBER(O9),ISNUMBER(K9)),O9-K9,"n.a.")))</x:f>
        <x:v>400000</x:v>
      </x:c>
      <x:c r="M9" s="23" t="str">
        <x:f>IF(C9="","",IF(N9&lt;&gt;"","Sửa dữ liệu",IF(D9&gt;='Tong_hop'!$F$4,"Ngoài kỳ",IF(ABS(L9)&lt;='Tong_hop'!$I$4,"Đã nhận đủ",IF(L9&lt;0,"Nhận vượt",IF(K9&gt;0,"Nhận thiếu","Đang chuyển"))))))</x:f>
        <x:v>Đang chuyển</x:v>
      </x:c>
      <x:c r="N9" s="23" t="str">
        <x:f>IF(COUNTA(A9:H9)=0,"",IF(OR(NOT(OR(A9="TikTok Shop",A9="Shopee",A9="Lazada")),B9="",C9="",NOT(ISNUMBER(D9)),COUNT(E9:G9)&lt;&gt;3,E9&lt;0,F9&lt;0,F9&gt;E9,G9&lt;0),"Thiếu/sai dữ liệu",IF(NOT(COUNTIFS(T_SoDu[Khóa shop],A9&amp;"|"&amp;B9)=1),"Shop chưa khai báo",IF(COUNTIFS(T_Chuyen[Khóa đợt chuyển],I9)&lt;&gt;1,"Trùng đợt chuyển",""))))</x:f>
      </x:c>
      <x:c r="O9" s="27" t="n">
        <x:f>IF(C9="","",IF(COUNT(E9:F9)=2,E9-F9,"n.a."))</x:f>
        <x:v>400000</x:v>
      </x:c>
    </x:row>
    <x:row r="10" ht="22" customHeight="1">
      <x:c r="A10" s="10" t="str">
        <x:v>Shopee</x:v>
      </x:c>
      <x:c r="B10" s="10" t="str">
        <x:v>DEMO_SP</x:v>
      </x:c>
      <x:c r="C10" s="24" t="str">
        <x:v>SP-P0</x:v>
      </x:c>
      <x:c r="D10" s="25" t="d">
        <x:v>2026-08-31T00:00:00.000Z</x:v>
      </x:c>
      <x:c r="E10" s="26" t="n">
        <x:v>100000</x:v>
      </x:c>
      <x:c r="F10" s="26" t="n">
        <x:v>0</x:v>
      </x:c>
      <x:c r="G10" s="26" t="n">
        <x:v>0</x:v>
      </x:c>
      <x:c r="H10" s="10" t="str">
        <x:v>Đang chuyển đầu tháng</x:v>
      </x:c>
      <x:c r="I10" s="23" t="str">
        <x:f>IF(C10="","",A10&amp;"|"&amp;B10&amp;"|"&amp;C10)</x:f>
        <x:v>Shopee|DEMO_SP|SP-P0</x:v>
      </x:c>
      <x:c r="J10" s="27" t="n">
        <x:f>IF(C10="","",SUMIFS(T_NH[Tiền thực nhận],T_NH[Khóa đợt chuyển],I10,T_NH[Ngày báo Có],"&gt;="&amp;'Tong_hop'!$C$4,T_NH[Ngày báo Có],"&lt;"&amp;'Tong_hop'!$F$4))</x:f>
        <x:v>100000</x:v>
      </x:c>
      <x:c r="K10" s="27" t="n">
        <x:f>IF(C10="","",IF(ISNUMBER(G10),G10+J10,"n.a."))</x:f>
        <x:v>100000</x:v>
      </x:c>
      <x:c r="L10" s="27" t="n">
        <x:f>IF(C10="","",IF(D10&gt;='Tong_hop'!$F$4,0,IF(AND(ISNUMBER(O10),ISNUMBER(K10)),O10-K10,"n.a.")))</x:f>
        <x:v>0</x:v>
      </x:c>
      <x:c r="M10" s="23" t="str">
        <x:f>IF(C10="","",IF(N10&lt;&gt;"","Sửa dữ liệu",IF(D10&gt;='Tong_hop'!$F$4,"Ngoài kỳ",IF(ABS(L10)&lt;='Tong_hop'!$I$4,"Đã nhận đủ",IF(L10&lt;0,"Nhận vượt",IF(K10&gt;0,"Nhận thiếu","Đang chuyển"))))))</x:f>
        <x:v>Đã nhận đủ</x:v>
      </x:c>
      <x:c r="N10" s="23" t="str">
        <x:f>IF(COUNTA(A10:H10)=0,"",IF(OR(NOT(OR(A10="TikTok Shop",A10="Shopee",A10="Lazada")),B10="",C10="",NOT(ISNUMBER(D10)),COUNT(E10:G10)&lt;&gt;3,E10&lt;0,F10&lt;0,F10&gt;E10,G10&lt;0),"Thiếu/sai dữ liệu",IF(NOT(COUNTIFS(T_SoDu[Khóa shop],A10&amp;"|"&amp;B10)=1),"Shop chưa khai báo",IF(COUNTIFS(T_Chuyen[Khóa đợt chuyển],I10)&lt;&gt;1,"Trùng đợt chuyển",""))))</x:f>
      </x:c>
      <x:c r="O10" s="27" t="n">
        <x:f>IF(C10="","",IF(COUNT(E10:F10)=2,E10-F10,"n.a."))</x:f>
        <x:v>100000</x:v>
      </x:c>
    </x:row>
    <x:row r="11" ht="22" customHeight="1">
      <x:c r="A11" s="10" t="str">
        <x:v>Shopee</x:v>
      </x:c>
      <x:c r="B11" s="10" t="str">
        <x:v>DEMO_SP</x:v>
      </x:c>
      <x:c r="C11" s="24" t="str">
        <x:v>SP-P1</x:v>
      </x:c>
      <x:c r="D11" s="25" t="d">
        <x:v>2026-09-20T00:00:00.000Z</x:v>
      </x:c>
      <x:c r="E11" s="26" t="n">
        <x:v>1800000</x:v>
      </x:c>
      <x:c r="F11" s="26" t="n">
        <x:v>0</x:v>
      </x:c>
      <x:c r="G11" s="26" t="n">
        <x:v>0</x:v>
      </x:c>
      <x:c r="H11" s="10" t="str">
        <x:v>Đã nhận đủ</x:v>
      </x:c>
      <x:c r="I11" s="23" t="str">
        <x:f>IF(C11="","",A11&amp;"|"&amp;B11&amp;"|"&amp;C11)</x:f>
        <x:v>Shopee|DEMO_SP|SP-P1</x:v>
      </x:c>
      <x:c r="J11" s="27" t="n">
        <x:f>IF(C11="","",SUMIFS(T_NH[Tiền thực nhận],T_NH[Khóa đợt chuyển],I11,T_NH[Ngày báo Có],"&gt;="&amp;'Tong_hop'!$C$4,T_NH[Ngày báo Có],"&lt;"&amp;'Tong_hop'!$F$4))</x:f>
        <x:v>1800000</x:v>
      </x:c>
      <x:c r="K11" s="27" t="n">
        <x:f>IF(C11="","",IF(ISNUMBER(G11),G11+J11,"n.a."))</x:f>
        <x:v>1800000</x:v>
      </x:c>
      <x:c r="L11" s="27" t="n">
        <x:f>IF(C11="","",IF(D11&gt;='Tong_hop'!$F$4,0,IF(AND(ISNUMBER(O11),ISNUMBER(K11)),O11-K11,"n.a.")))</x:f>
        <x:v>0</x:v>
      </x:c>
      <x:c r="M11" s="23" t="str">
        <x:f>IF(C11="","",IF(N11&lt;&gt;"","Sửa dữ liệu",IF(D11&gt;='Tong_hop'!$F$4,"Ngoài kỳ",IF(ABS(L11)&lt;='Tong_hop'!$I$4,"Đã nhận đủ",IF(L11&lt;0,"Nhận vượt",IF(K11&gt;0,"Nhận thiếu","Đang chuyển"))))))</x:f>
        <x:v>Đã nhận đủ</x:v>
      </x:c>
      <x:c r="N11" s="23" t="str">
        <x:f>IF(COUNTA(A11:H11)=0,"",IF(OR(NOT(OR(A11="TikTok Shop",A11="Shopee",A11="Lazada")),B11="",C11="",NOT(ISNUMBER(D11)),COUNT(E11:G11)&lt;&gt;3,E11&lt;0,F11&lt;0,F11&gt;E11,G11&lt;0),"Thiếu/sai dữ liệu",IF(NOT(COUNTIFS(T_SoDu[Khóa shop],A11&amp;"|"&amp;B11)=1),"Shop chưa khai báo",IF(COUNTIFS(T_Chuyen[Khóa đợt chuyển],I11)&lt;&gt;1,"Trùng đợt chuyển",""))))</x:f>
      </x:c>
      <x:c r="O11" s="27" t="n">
        <x:f>IF(C11="","",IF(COUNT(E11:F11)=2,E11-F11,"n.a."))</x:f>
        <x:v>1800000</x:v>
      </x:c>
    </x:row>
    <x:row r="12" ht="22" customHeight="1">
      <x:c r="A12" s="10" t="str">
        <x:v>Shopee</x:v>
      </x:c>
      <x:c r="B12" s="10" t="str">
        <x:v>DEMO_SP</x:v>
      </x:c>
      <x:c r="C12" s="24" t="str">
        <x:v>SP-P2</x:v>
      </x:c>
      <x:c r="D12" s="25" t="d">
        <x:v>2026-09-30T00:00:00.000Z</x:v>
      </x:c>
      <x:c r="E12" s="26" t="n">
        <x:v>500000</x:v>
      </x:c>
      <x:c r="F12" s="26" t="n">
        <x:v>0</x:v>
      </x:c>
      <x:c r="G12" s="26" t="n">
        <x:v>0</x:v>
      </x:c>
      <x:c r="H12" s="10" t="str">
        <x:v>Ngân hàng nhận ngày 02/10</x:v>
      </x:c>
      <x:c r="I12" s="23" t="str">
        <x:f>IF(C12="","",A12&amp;"|"&amp;B12&amp;"|"&amp;C12)</x:f>
        <x:v>Shopee|DEMO_SP|SP-P2</x:v>
      </x:c>
      <x:c r="J12" s="27" t="n">
        <x:f>IF(C12="","",SUMIFS(T_NH[Tiền thực nhận],T_NH[Khóa đợt chuyển],I12,T_NH[Ngày báo Có],"&gt;="&amp;'Tong_hop'!$C$4,T_NH[Ngày báo Có],"&lt;"&amp;'Tong_hop'!$F$4))</x:f>
        <x:v>0</x:v>
      </x:c>
      <x:c r="K12" s="27" t="n">
        <x:f>IF(C12="","",IF(ISNUMBER(G12),G12+J12,"n.a."))</x:f>
        <x:v>0</x:v>
      </x:c>
      <x:c r="L12" s="27" t="n">
        <x:f>IF(C12="","",IF(D12&gt;='Tong_hop'!$F$4,0,IF(AND(ISNUMBER(O12),ISNUMBER(K12)),O12-K12,"n.a.")))</x:f>
        <x:v>500000</x:v>
      </x:c>
      <x:c r="M12" s="23" t="str">
        <x:f>IF(C12="","",IF(N12&lt;&gt;"","Sửa dữ liệu",IF(D12&gt;='Tong_hop'!$F$4,"Ngoài kỳ",IF(ABS(L12)&lt;='Tong_hop'!$I$4,"Đã nhận đủ",IF(L12&lt;0,"Nhận vượt",IF(K12&gt;0,"Nhận thiếu","Đang chuyển"))))))</x:f>
        <x:v>Đang chuyển</x:v>
      </x:c>
      <x:c r="N12" s="23" t="str">
        <x:f>IF(COUNTA(A12:H12)=0,"",IF(OR(NOT(OR(A12="TikTok Shop",A12="Shopee",A12="Lazada")),B12="",C12="",NOT(ISNUMBER(D12)),COUNT(E12:G12)&lt;&gt;3,E12&lt;0,F12&lt;0,F12&gt;E12,G12&lt;0),"Thiếu/sai dữ liệu",IF(NOT(COUNTIFS(T_SoDu[Khóa shop],A12&amp;"|"&amp;B12)=1),"Shop chưa khai báo",IF(COUNTIFS(T_Chuyen[Khóa đợt chuyển],I12)&lt;&gt;1,"Trùng đợt chuyển",""))))</x:f>
      </x:c>
      <x:c r="O12" s="27" t="n">
        <x:f>IF(C12="","",IF(COUNT(E12:F12)=2,E12-F12,"n.a."))</x:f>
        <x:v>500000</x:v>
      </x:c>
    </x:row>
    <x:row r="13" ht="22" customHeight="1">
      <x:c r="A13" s="10" t="str">
        <x:v>Lazada</x:v>
      </x:c>
      <x:c r="B13" s="10" t="str">
        <x:v>DEMO_LZ</x:v>
      </x:c>
      <x:c r="C13" s="24" t="str">
        <x:v>LZ-P0</x:v>
      </x:c>
      <x:c r="D13" s="25" t="d">
        <x:v>2026-08-31T00:00:00.000Z</x:v>
      </x:c>
      <x:c r="E13" s="26" t="n">
        <x:v>100000</x:v>
      </x:c>
      <x:c r="F13" s="26" t="n">
        <x:v>0</x:v>
      </x:c>
      <x:c r="G13" s="26" t="n">
        <x:v>0</x:v>
      </x:c>
      <x:c r="H13" s="10" t="str">
        <x:v>Đang chuyển đầu tháng</x:v>
      </x:c>
      <x:c r="I13" s="23" t="str">
        <x:f>IF(C13="","",A13&amp;"|"&amp;B13&amp;"|"&amp;C13)</x:f>
        <x:v>Lazada|DEMO_LZ|LZ-P0</x:v>
      </x:c>
      <x:c r="J13" s="27" t="n">
        <x:f>IF(C13="","",SUMIFS(T_NH[Tiền thực nhận],T_NH[Khóa đợt chuyển],I13,T_NH[Ngày báo Có],"&gt;="&amp;'Tong_hop'!$C$4,T_NH[Ngày báo Có],"&lt;"&amp;'Tong_hop'!$F$4))</x:f>
        <x:v>100000</x:v>
      </x:c>
      <x:c r="K13" s="27" t="n">
        <x:f>IF(C13="","",IF(ISNUMBER(G13),G13+J13,"n.a."))</x:f>
        <x:v>100000</x:v>
      </x:c>
      <x:c r="L13" s="27" t="n">
        <x:f>IF(C13="","",IF(D13&gt;='Tong_hop'!$F$4,0,IF(AND(ISNUMBER(O13),ISNUMBER(K13)),O13-K13,"n.a.")))</x:f>
        <x:v>0</x:v>
      </x:c>
      <x:c r="M13" s="23" t="str">
        <x:f>IF(C13="","",IF(N13&lt;&gt;"","Sửa dữ liệu",IF(D13&gt;='Tong_hop'!$F$4,"Ngoài kỳ",IF(ABS(L13)&lt;='Tong_hop'!$I$4,"Đã nhận đủ",IF(L13&lt;0,"Nhận vượt",IF(K13&gt;0,"Nhận thiếu","Đang chuyển"))))))</x:f>
        <x:v>Đã nhận đủ</x:v>
      </x:c>
      <x:c r="N13" s="23" t="str">
        <x:f>IF(COUNTA(A13:H13)=0,"",IF(OR(NOT(OR(A13="TikTok Shop",A13="Shopee",A13="Lazada")),B13="",C13="",NOT(ISNUMBER(D13)),COUNT(E13:G13)&lt;&gt;3,E13&lt;0,F13&lt;0,F13&gt;E13,G13&lt;0),"Thiếu/sai dữ liệu",IF(NOT(COUNTIFS(T_SoDu[Khóa shop],A13&amp;"|"&amp;B13)=1),"Shop chưa khai báo",IF(COUNTIFS(T_Chuyen[Khóa đợt chuyển],I13)&lt;&gt;1,"Trùng đợt chuyển",""))))</x:f>
      </x:c>
      <x:c r="O13" s="27" t="n">
        <x:f>IF(C13="","",IF(COUNT(E13:F13)=2,E13-F13,"n.a."))</x:f>
        <x:v>100000</x:v>
      </x:c>
    </x:row>
    <x:row r="14" ht="22" customHeight="1">
      <x:c r="A14" s="10" t="str">
        <x:v>Lazada</x:v>
      </x:c>
      <x:c r="B14" s="10" t="str">
        <x:v>DEMO_LZ</x:v>
      </x:c>
      <x:c r="C14" s="24" t="str">
        <x:v>LZ-P1</x:v>
      </x:c>
      <x:c r="D14" s="25" t="d">
        <x:v>2026-09-15T00:00:00.000Z</x:v>
      </x:c>
      <x:c r="E14" s="26" t="n">
        <x:v>1000000</x:v>
      </x:c>
      <x:c r="F14" s="26" t="n">
        <x:v>0</x:v>
      </x:c>
      <x:c r="G14" s="26" t="n">
        <x:v>0</x:v>
      </x:c>
      <x:c r="H14" s="10" t="str">
        <x:v>Cố ý thiếu báo Có 1.000</x:v>
      </x:c>
      <x:c r="I14" s="23" t="str">
        <x:f>IF(C14="","",A14&amp;"|"&amp;B14&amp;"|"&amp;C14)</x:f>
        <x:v>Lazada|DEMO_LZ|LZ-P1</x:v>
      </x:c>
      <x:c r="J14" s="27" t="n">
        <x:f>IF(C14="","",SUMIFS(T_NH[Tiền thực nhận],T_NH[Khóa đợt chuyển],I14,T_NH[Ngày báo Có],"&gt;="&amp;'Tong_hop'!$C$4,T_NH[Ngày báo Có],"&lt;"&amp;'Tong_hop'!$F$4))</x:f>
        <x:v>999000</x:v>
      </x:c>
      <x:c r="K14" s="27" t="n">
        <x:f>IF(C14="","",IF(ISNUMBER(G14),G14+J14,"n.a."))</x:f>
        <x:v>999000</x:v>
      </x:c>
      <x:c r="L14" s="27" t="n">
        <x:f>IF(C14="","",IF(D14&gt;='Tong_hop'!$F$4,0,IF(AND(ISNUMBER(O14),ISNUMBER(K14)),O14-K14,"n.a.")))</x:f>
        <x:v>1000</x:v>
      </x:c>
      <x:c r="M14" s="23" t="str">
        <x:f>IF(C14="","",IF(N14&lt;&gt;"","Sửa dữ liệu",IF(D14&gt;='Tong_hop'!$F$4,"Ngoài kỳ",IF(ABS(L14)&lt;='Tong_hop'!$I$4,"Đã nhận đủ",IF(L14&lt;0,"Nhận vượt",IF(K14&gt;0,"Nhận thiếu","Đang chuyển"))))))</x:f>
        <x:v>Nhận thiếu</x:v>
      </x:c>
      <x:c r="N14" s="23" t="str">
        <x:f>IF(COUNTA(A14:H14)=0,"",IF(OR(NOT(OR(A14="TikTok Shop",A14="Shopee",A14="Lazada")),B14="",C14="",NOT(ISNUMBER(D14)),COUNT(E14:G14)&lt;&gt;3,E14&lt;0,F14&lt;0,F14&gt;E14,G14&lt;0),"Thiếu/sai dữ liệu",IF(NOT(COUNTIFS(T_SoDu[Khóa shop],A14&amp;"|"&amp;B14)=1),"Shop chưa khai báo",IF(COUNTIFS(T_Chuyen[Khóa đợt chuyển],I14)&lt;&gt;1,"Trùng đợt chuyển",""))))</x:f>
      </x:c>
      <x:c r="O14" s="27" t="n">
        <x:f>IF(C14="","",IF(COUNT(E14:F14)=2,E14-F14,"n.a."))</x:f>
        <x:v>1000000</x:v>
      </x:c>
    </x:row>
    <x:row r="15" ht="22" customHeight="1">
      <x:c r="A15" s="10" t="str">
        <x:v>Lazada</x:v>
      </x:c>
      <x:c r="B15" s="10" t="str">
        <x:v>DEMO_LZ</x:v>
      </x:c>
      <x:c r="C15" s="24" t="str">
        <x:v>LZ-P2</x:v>
      </x:c>
      <x:c r="D15" s="25" t="d">
        <x:v>2026-09-30T00:00:00.000Z</x:v>
      </x:c>
      <x:c r="E15" s="26" t="n">
        <x:v>300000</x:v>
      </x:c>
      <x:c r="F15" s="26" t="n">
        <x:v>0</x:v>
      </x:c>
      <x:c r="G15" s="26" t="n">
        <x:v>0</x:v>
      </x:c>
      <x:c r="H15" s="10" t="str">
        <x:v>Ngân hàng nhận ngày 02/10</x:v>
      </x:c>
      <x:c r="I15" s="23" t="str">
        <x:f>IF(C15="","",A15&amp;"|"&amp;B15&amp;"|"&amp;C15)</x:f>
        <x:v>Lazada|DEMO_LZ|LZ-P2</x:v>
      </x:c>
      <x:c r="J15" s="27" t="n">
        <x:f>IF(C15="","",SUMIFS(T_NH[Tiền thực nhận],T_NH[Khóa đợt chuyển],I15,T_NH[Ngày báo Có],"&gt;="&amp;'Tong_hop'!$C$4,T_NH[Ngày báo Có],"&lt;"&amp;'Tong_hop'!$F$4))</x:f>
        <x:v>0</x:v>
      </x:c>
      <x:c r="K15" s="27" t="n">
        <x:f>IF(C15="","",IF(ISNUMBER(G15),G15+J15,"n.a."))</x:f>
        <x:v>0</x:v>
      </x:c>
      <x:c r="L15" s="27" t="n">
        <x:f>IF(C15="","",IF(D15&gt;='Tong_hop'!$F$4,0,IF(AND(ISNUMBER(O15),ISNUMBER(K15)),O15-K15,"n.a.")))</x:f>
        <x:v>300000</x:v>
      </x:c>
      <x:c r="M15" s="23" t="str">
        <x:f>IF(C15="","",IF(N15&lt;&gt;"","Sửa dữ liệu",IF(D15&gt;='Tong_hop'!$F$4,"Ngoài kỳ",IF(ABS(L15)&lt;='Tong_hop'!$I$4,"Đã nhận đủ",IF(L15&lt;0,"Nhận vượt",IF(K15&gt;0,"Nhận thiếu","Đang chuyển"))))))</x:f>
        <x:v>Đang chuyển</x:v>
      </x:c>
      <x:c r="N15" s="23" t="str">
        <x:f>IF(COUNTA(A15:H15)=0,"",IF(OR(NOT(OR(A15="TikTok Shop",A15="Shopee",A15="Lazada")),B15="",C15="",NOT(ISNUMBER(D15)),COUNT(E15:G15)&lt;&gt;3,E15&lt;0,F15&lt;0,F15&gt;E15,G15&lt;0),"Thiếu/sai dữ liệu",IF(NOT(COUNTIFS(T_SoDu[Khóa shop],A15&amp;"|"&amp;B15)=1),"Shop chưa khai báo",IF(COUNTIFS(T_Chuyen[Khóa đợt chuyển],I15)&lt;&gt;1,"Trùng đợt chuyển",""))))</x:f>
      </x:c>
      <x:c r="O15" s="27" t="n">
        <x:f>IF(C15="","",IF(COUNT(E15:F15)=2,E15-F15,"n.a."))</x:f>
        <x:v>300000</x:v>
      </x:c>
    </x:row>
    <x:row r="16" ht="22" customHeight="1">
      <x:c r="A16" s="10"/>
      <x:c r="B16" s="10"/>
      <x:c r="C16" s="24"/>
      <x:c r="D16" s="25"/>
      <x:c r="E16" s="26"/>
      <x:c r="F16" s="26"/>
      <x:c r="G16" s="26"/>
      <x:c r="H16" s="10"/>
      <x:c r="I16" s="23" t="str">
        <x:f>IF(C16="","",A16&amp;"|"&amp;B16&amp;"|"&amp;C16)</x:f>
      </x:c>
      <x:c r="J16" s="27" t="str">
        <x:f>IF(C16="","",SUMIFS(T_NH[Tiền thực nhận],T_NH[Khóa đợt chuyển],I16,T_NH[Ngày báo Có],"&gt;="&amp;'Tong_hop'!$C$4,T_NH[Ngày báo Có],"&lt;"&amp;'Tong_hop'!$F$4))</x:f>
      </x:c>
      <x:c r="K16" s="27" t="str">
        <x:f>IF(C16="","",IF(ISNUMBER(G16),G16+J16,"n.a."))</x:f>
      </x:c>
      <x:c r="L16" s="27" t="str">
        <x:f>IF(C16="","",IF(D16&gt;='Tong_hop'!$F$4,0,IF(AND(ISNUMBER(O16),ISNUMBER(K16)),O16-K16,"n.a.")))</x:f>
      </x:c>
      <x:c r="M16" s="23" t="str">
        <x:f>IF(C16="","",IF(N16&lt;&gt;"","Sửa dữ liệu",IF(D16&gt;='Tong_hop'!$F$4,"Ngoài kỳ",IF(ABS(L16)&lt;='Tong_hop'!$I$4,"Đã nhận đủ",IF(L16&lt;0,"Nhận vượt",IF(K16&gt;0,"Nhận thiếu","Đang chuyển"))))))</x:f>
      </x:c>
      <x:c r="N16" s="23" t="str">
        <x:f>IF(COUNTA(A16:H16)=0,"",IF(OR(NOT(OR(A16="TikTok Shop",A16="Shopee",A16="Lazada")),B16="",C16="",NOT(ISNUMBER(D16)),COUNT(E16:G16)&lt;&gt;3,E16&lt;0,F16&lt;0,F16&gt;E16,G16&lt;0),"Thiếu/sai dữ liệu",IF(NOT(COUNTIFS(T_SoDu[Khóa shop],A16&amp;"|"&amp;B16)=1),"Shop chưa khai báo",IF(COUNTIFS(T_Chuyen[Khóa đợt chuyển],I16)&lt;&gt;1,"Trùng đợt chuyển",""))))</x:f>
      </x:c>
      <x:c r="O16" s="27" t="str">
        <x:f>IF(C16="","",IF(COUNT(E16:F16)=2,E16-F16,"n.a."))</x:f>
      </x:c>
    </x:row>
    <x:row r="17" ht="22" customHeight="1">
      <x:c r="A17" s="10"/>
      <x:c r="B17" s="10"/>
      <x:c r="C17" s="24"/>
      <x:c r="D17" s="25"/>
      <x:c r="E17" s="26"/>
      <x:c r="F17" s="26"/>
      <x:c r="G17" s="26"/>
      <x:c r="H17" s="10"/>
      <x:c r="I17" s="23" t="str">
        <x:f>IF(C17="","",A17&amp;"|"&amp;B17&amp;"|"&amp;C17)</x:f>
      </x:c>
      <x:c r="J17" s="27" t="str">
        <x:f>IF(C17="","",SUMIFS(T_NH[Tiền thực nhận],T_NH[Khóa đợt chuyển],I17,T_NH[Ngày báo Có],"&gt;="&amp;'Tong_hop'!$C$4,T_NH[Ngày báo Có],"&lt;"&amp;'Tong_hop'!$F$4))</x:f>
      </x:c>
      <x:c r="K17" s="27" t="str">
        <x:f>IF(C17="","",IF(ISNUMBER(G17),G17+J17,"n.a."))</x:f>
      </x:c>
      <x:c r="L17" s="27" t="str">
        <x:f>IF(C17="","",IF(D17&gt;='Tong_hop'!$F$4,0,IF(AND(ISNUMBER(O17),ISNUMBER(K17)),O17-K17,"n.a.")))</x:f>
      </x:c>
      <x:c r="M17" s="23" t="str">
        <x:f>IF(C17="","",IF(N17&lt;&gt;"","Sửa dữ liệu",IF(D17&gt;='Tong_hop'!$F$4,"Ngoài kỳ",IF(ABS(L17)&lt;='Tong_hop'!$I$4,"Đã nhận đủ",IF(L17&lt;0,"Nhận vượt",IF(K17&gt;0,"Nhận thiếu","Đang chuyển"))))))</x:f>
      </x:c>
      <x:c r="N17" s="23" t="str">
        <x:f>IF(COUNTA(A17:H17)=0,"",IF(OR(NOT(OR(A17="TikTok Shop",A17="Shopee",A17="Lazada")),B17="",C17="",NOT(ISNUMBER(D17)),COUNT(E17:G17)&lt;&gt;3,E17&lt;0,F17&lt;0,F17&gt;E17,G17&lt;0),"Thiếu/sai dữ liệu",IF(NOT(COUNTIFS(T_SoDu[Khóa shop],A17&amp;"|"&amp;B17)=1),"Shop chưa khai báo",IF(COUNTIFS(T_Chuyen[Khóa đợt chuyển],I17)&lt;&gt;1,"Trùng đợt chuyển",""))))</x:f>
      </x:c>
      <x:c r="O17" s="27" t="str">
        <x:f>IF(C17="","",IF(COUNT(E17:F17)=2,E17-F17,"n.a."))</x:f>
      </x:c>
    </x:row>
    <x:row r="18" ht="22" customHeight="1">
      <x:c r="A18" s="10"/>
      <x:c r="B18" s="10"/>
      <x:c r="C18" s="24"/>
      <x:c r="D18" s="25"/>
      <x:c r="E18" s="26"/>
      <x:c r="F18" s="26"/>
      <x:c r="G18" s="26"/>
      <x:c r="H18" s="10"/>
      <x:c r="I18" s="23" t="str">
        <x:f>IF(C18="","",A18&amp;"|"&amp;B18&amp;"|"&amp;C18)</x:f>
      </x:c>
      <x:c r="J18" s="27" t="str">
        <x:f>IF(C18="","",SUMIFS(T_NH[Tiền thực nhận],T_NH[Khóa đợt chuyển],I18,T_NH[Ngày báo Có],"&gt;="&amp;'Tong_hop'!$C$4,T_NH[Ngày báo Có],"&lt;"&amp;'Tong_hop'!$F$4))</x:f>
      </x:c>
      <x:c r="K18" s="27" t="str">
        <x:f>IF(C18="","",IF(ISNUMBER(G18),G18+J18,"n.a."))</x:f>
      </x:c>
      <x:c r="L18" s="27" t="str">
        <x:f>IF(C18="","",IF(D18&gt;='Tong_hop'!$F$4,0,IF(AND(ISNUMBER(O18),ISNUMBER(K18)),O18-K18,"n.a.")))</x:f>
      </x:c>
      <x:c r="M18" s="23" t="str">
        <x:f>IF(C18="","",IF(N18&lt;&gt;"","Sửa dữ liệu",IF(D18&gt;='Tong_hop'!$F$4,"Ngoài kỳ",IF(ABS(L18)&lt;='Tong_hop'!$I$4,"Đã nhận đủ",IF(L18&lt;0,"Nhận vượt",IF(K18&gt;0,"Nhận thiếu","Đang chuyển"))))))</x:f>
      </x:c>
      <x:c r="N18" s="23" t="str">
        <x:f>IF(COUNTA(A18:H18)=0,"",IF(OR(NOT(OR(A18="TikTok Shop",A18="Shopee",A18="Lazada")),B18="",C18="",NOT(ISNUMBER(D18)),COUNT(E18:G18)&lt;&gt;3,E18&lt;0,F18&lt;0,F18&gt;E18,G18&lt;0),"Thiếu/sai dữ liệu",IF(NOT(COUNTIFS(T_SoDu[Khóa shop],A18&amp;"|"&amp;B18)=1),"Shop chưa khai báo",IF(COUNTIFS(T_Chuyen[Khóa đợt chuyển],I18)&lt;&gt;1,"Trùng đợt chuyển",""))))</x:f>
      </x:c>
      <x:c r="O18" s="27" t="str">
        <x:f>IF(C18="","",IF(COUNT(E18:F18)=2,E18-F18,"n.a."))</x:f>
      </x:c>
    </x:row>
    <x:row r="19" ht="22" customHeight="1">
      <x:c r="A19" s="10"/>
      <x:c r="B19" s="10"/>
      <x:c r="C19" s="24"/>
      <x:c r="D19" s="25"/>
      <x:c r="E19" s="26"/>
      <x:c r="F19" s="26"/>
      <x:c r="G19" s="26"/>
      <x:c r="H19" s="10"/>
      <x:c r="I19" s="23" t="str">
        <x:f>IF(C19="","",A19&amp;"|"&amp;B19&amp;"|"&amp;C19)</x:f>
      </x:c>
      <x:c r="J19" s="27" t="str">
        <x:f>IF(C19="","",SUMIFS(T_NH[Tiền thực nhận],T_NH[Khóa đợt chuyển],I19,T_NH[Ngày báo Có],"&gt;="&amp;'Tong_hop'!$C$4,T_NH[Ngày báo Có],"&lt;"&amp;'Tong_hop'!$F$4))</x:f>
      </x:c>
      <x:c r="K19" s="27" t="str">
        <x:f>IF(C19="","",IF(ISNUMBER(G19),G19+J19,"n.a."))</x:f>
      </x:c>
      <x:c r="L19" s="27" t="str">
        <x:f>IF(C19="","",IF(D19&gt;='Tong_hop'!$F$4,0,IF(AND(ISNUMBER(O19),ISNUMBER(K19)),O19-K19,"n.a.")))</x:f>
      </x:c>
      <x:c r="M19" s="23" t="str">
        <x:f>IF(C19="","",IF(N19&lt;&gt;"","Sửa dữ liệu",IF(D19&gt;='Tong_hop'!$F$4,"Ngoài kỳ",IF(ABS(L19)&lt;='Tong_hop'!$I$4,"Đã nhận đủ",IF(L19&lt;0,"Nhận vượt",IF(K19&gt;0,"Nhận thiếu","Đang chuyển"))))))</x:f>
      </x:c>
      <x:c r="N19" s="23" t="str">
        <x:f>IF(COUNTA(A19:H19)=0,"",IF(OR(NOT(OR(A19="TikTok Shop",A19="Shopee",A19="Lazada")),B19="",C19="",NOT(ISNUMBER(D19)),COUNT(E19:G19)&lt;&gt;3,E19&lt;0,F19&lt;0,F19&gt;E19,G19&lt;0),"Thiếu/sai dữ liệu",IF(NOT(COUNTIFS(T_SoDu[Khóa shop],A19&amp;"|"&amp;B19)=1),"Shop chưa khai báo",IF(COUNTIFS(T_Chuyen[Khóa đợt chuyển],I19)&lt;&gt;1,"Trùng đợt chuyển",""))))</x:f>
      </x:c>
      <x:c r="O19" s="27" t="str">
        <x:f>IF(C19="","",IF(COUNT(E19:F19)=2,E19-F19,"n.a."))</x:f>
      </x:c>
    </x:row>
    <x:row r="20" ht="22" customHeight="1">
      <x:c r="A20" s="10"/>
      <x:c r="B20" s="10"/>
      <x:c r="C20" s="24"/>
      <x:c r="D20" s="25"/>
      <x:c r="E20" s="26"/>
      <x:c r="F20" s="26"/>
      <x:c r="G20" s="26"/>
      <x:c r="H20" s="10"/>
      <x:c r="I20" s="23" t="str">
        <x:f>IF(C20="","",A20&amp;"|"&amp;B20&amp;"|"&amp;C20)</x:f>
      </x:c>
      <x:c r="J20" s="27" t="str">
        <x:f>IF(C20="","",SUMIFS(T_NH[Tiền thực nhận],T_NH[Khóa đợt chuyển],I20,T_NH[Ngày báo Có],"&gt;="&amp;'Tong_hop'!$C$4,T_NH[Ngày báo Có],"&lt;"&amp;'Tong_hop'!$F$4))</x:f>
      </x:c>
      <x:c r="K20" s="27" t="str">
        <x:f>IF(C20="","",IF(ISNUMBER(G20),G20+J20,"n.a."))</x:f>
      </x:c>
      <x:c r="L20" s="27" t="str">
        <x:f>IF(C20="","",IF(D20&gt;='Tong_hop'!$F$4,0,IF(AND(ISNUMBER(O20),ISNUMBER(K20)),O20-K20,"n.a.")))</x:f>
      </x:c>
      <x:c r="M20" s="23" t="str">
        <x:f>IF(C20="","",IF(N20&lt;&gt;"","Sửa dữ liệu",IF(D20&gt;='Tong_hop'!$F$4,"Ngoài kỳ",IF(ABS(L20)&lt;='Tong_hop'!$I$4,"Đã nhận đủ",IF(L20&lt;0,"Nhận vượt",IF(K20&gt;0,"Nhận thiếu","Đang chuyển"))))))</x:f>
      </x:c>
      <x:c r="N20" s="23" t="str">
        <x:f>IF(COUNTA(A20:H20)=0,"",IF(OR(NOT(OR(A20="TikTok Shop",A20="Shopee",A20="Lazada")),B20="",C20="",NOT(ISNUMBER(D20)),COUNT(E20:G20)&lt;&gt;3,E20&lt;0,F20&lt;0,F20&gt;E20,G20&lt;0),"Thiếu/sai dữ liệu",IF(NOT(COUNTIFS(T_SoDu[Khóa shop],A20&amp;"|"&amp;B20)=1),"Shop chưa khai báo",IF(COUNTIFS(T_Chuyen[Khóa đợt chuyển],I20)&lt;&gt;1,"Trùng đợt chuyển",""))))</x:f>
      </x:c>
      <x:c r="O20" s="27" t="str">
        <x:f>IF(C20="","",IF(COUNT(E20:F20)=2,E20-F20,"n.a."))</x:f>
      </x:c>
    </x:row>
    <x:row r="21" ht="22" customHeight="1">
      <x:c r="A21" s="10"/>
      <x:c r="B21" s="10"/>
      <x:c r="C21" s="24"/>
      <x:c r="D21" s="25"/>
      <x:c r="E21" s="26"/>
      <x:c r="F21" s="26"/>
      <x:c r="G21" s="26"/>
      <x:c r="H21" s="10"/>
      <x:c r="I21" s="23" t="str">
        <x:f>IF(C21="","",A21&amp;"|"&amp;B21&amp;"|"&amp;C21)</x:f>
      </x:c>
      <x:c r="J21" s="27" t="str">
        <x:f>IF(C21="","",SUMIFS(T_NH[Tiền thực nhận],T_NH[Khóa đợt chuyển],I21,T_NH[Ngày báo Có],"&gt;="&amp;'Tong_hop'!$C$4,T_NH[Ngày báo Có],"&lt;"&amp;'Tong_hop'!$F$4))</x:f>
      </x:c>
      <x:c r="K21" s="27" t="str">
        <x:f>IF(C21="","",IF(ISNUMBER(G21),G21+J21,"n.a."))</x:f>
      </x:c>
      <x:c r="L21" s="27" t="str">
        <x:f>IF(C21="","",IF(D21&gt;='Tong_hop'!$F$4,0,IF(AND(ISNUMBER(O21),ISNUMBER(K21)),O21-K21,"n.a.")))</x:f>
      </x:c>
      <x:c r="M21" s="23" t="str">
        <x:f>IF(C21="","",IF(N21&lt;&gt;"","Sửa dữ liệu",IF(D21&gt;='Tong_hop'!$F$4,"Ngoài kỳ",IF(ABS(L21)&lt;='Tong_hop'!$I$4,"Đã nhận đủ",IF(L21&lt;0,"Nhận vượt",IF(K21&gt;0,"Nhận thiếu","Đang chuyển"))))))</x:f>
      </x:c>
      <x:c r="N21" s="23" t="str">
        <x:f>IF(COUNTA(A21:H21)=0,"",IF(OR(NOT(OR(A21="TikTok Shop",A21="Shopee",A21="Lazada")),B21="",C21="",NOT(ISNUMBER(D21)),COUNT(E21:G21)&lt;&gt;3,E21&lt;0,F21&lt;0,F21&gt;E21,G21&lt;0),"Thiếu/sai dữ liệu",IF(NOT(COUNTIFS(T_SoDu[Khóa shop],A21&amp;"|"&amp;B21)=1),"Shop chưa khai báo",IF(COUNTIFS(T_Chuyen[Khóa đợt chuyển],I21)&lt;&gt;1,"Trùng đợt chuyển",""))))</x:f>
      </x:c>
      <x:c r="O21" s="27" t="str">
        <x:f>IF(C21="","",IF(COUNT(E21:F21)=2,E21-F21,"n.a."))</x:f>
      </x:c>
    </x:row>
    <x:row r="22" ht="22" customHeight="1">
      <x:c r="A22" s="10"/>
      <x:c r="B22" s="10"/>
      <x:c r="C22" s="24"/>
      <x:c r="D22" s="25"/>
      <x:c r="E22" s="26"/>
      <x:c r="F22" s="26"/>
      <x:c r="G22" s="26"/>
      <x:c r="H22" s="10"/>
      <x:c r="I22" s="23" t="str">
        <x:f>IF(C22="","",A22&amp;"|"&amp;B22&amp;"|"&amp;C22)</x:f>
      </x:c>
      <x:c r="J22" s="27" t="str">
        <x:f>IF(C22="","",SUMIFS(T_NH[Tiền thực nhận],T_NH[Khóa đợt chuyển],I22,T_NH[Ngày báo Có],"&gt;="&amp;'Tong_hop'!$C$4,T_NH[Ngày báo Có],"&lt;"&amp;'Tong_hop'!$F$4))</x:f>
      </x:c>
      <x:c r="K22" s="27" t="str">
        <x:f>IF(C22="","",IF(ISNUMBER(G22),G22+J22,"n.a."))</x:f>
      </x:c>
      <x:c r="L22" s="27" t="str">
        <x:f>IF(C22="","",IF(D22&gt;='Tong_hop'!$F$4,0,IF(AND(ISNUMBER(O22),ISNUMBER(K22)),O22-K22,"n.a.")))</x:f>
      </x:c>
      <x:c r="M22" s="23" t="str">
        <x:f>IF(C22="","",IF(N22&lt;&gt;"","Sửa dữ liệu",IF(D22&gt;='Tong_hop'!$F$4,"Ngoài kỳ",IF(ABS(L22)&lt;='Tong_hop'!$I$4,"Đã nhận đủ",IF(L22&lt;0,"Nhận vượt",IF(K22&gt;0,"Nhận thiếu","Đang chuyển"))))))</x:f>
      </x:c>
      <x:c r="N22" s="23" t="str">
        <x:f>IF(COUNTA(A22:H22)=0,"",IF(OR(NOT(OR(A22="TikTok Shop",A22="Shopee",A22="Lazada")),B22="",C22="",NOT(ISNUMBER(D22)),COUNT(E22:G22)&lt;&gt;3,E22&lt;0,F22&lt;0,F22&gt;E22,G22&lt;0),"Thiếu/sai dữ liệu",IF(NOT(COUNTIFS(T_SoDu[Khóa shop],A22&amp;"|"&amp;B22)=1),"Shop chưa khai báo",IF(COUNTIFS(T_Chuyen[Khóa đợt chuyển],I22)&lt;&gt;1,"Trùng đợt chuyển",""))))</x:f>
      </x:c>
      <x:c r="O22" s="27" t="str">
        <x:f>IF(C22="","",IF(COUNT(E22:F22)=2,E22-F22,"n.a."))</x:f>
      </x:c>
    </x:row>
    <x:row r="23" ht="22" customHeight="1">
      <x:c r="A23" s="10"/>
      <x:c r="B23" s="10"/>
      <x:c r="C23" s="24"/>
      <x:c r="D23" s="25"/>
      <x:c r="E23" s="26"/>
      <x:c r="F23" s="26"/>
      <x:c r="G23" s="26"/>
      <x:c r="H23" s="10"/>
      <x:c r="I23" s="23" t="str">
        <x:f>IF(C23="","",A23&amp;"|"&amp;B23&amp;"|"&amp;C23)</x:f>
      </x:c>
      <x:c r="J23" s="27" t="str">
        <x:f>IF(C23="","",SUMIFS(T_NH[Tiền thực nhận],T_NH[Khóa đợt chuyển],I23,T_NH[Ngày báo Có],"&gt;="&amp;'Tong_hop'!$C$4,T_NH[Ngày báo Có],"&lt;"&amp;'Tong_hop'!$F$4))</x:f>
      </x:c>
      <x:c r="K23" s="27" t="str">
        <x:f>IF(C23="","",IF(ISNUMBER(G23),G23+J23,"n.a."))</x:f>
      </x:c>
      <x:c r="L23" s="27" t="str">
        <x:f>IF(C23="","",IF(D23&gt;='Tong_hop'!$F$4,0,IF(AND(ISNUMBER(O23),ISNUMBER(K23)),O23-K23,"n.a.")))</x:f>
      </x:c>
      <x:c r="M23" s="23" t="str">
        <x:f>IF(C23="","",IF(N23&lt;&gt;"","Sửa dữ liệu",IF(D23&gt;='Tong_hop'!$F$4,"Ngoài kỳ",IF(ABS(L23)&lt;='Tong_hop'!$I$4,"Đã nhận đủ",IF(L23&lt;0,"Nhận vượt",IF(K23&gt;0,"Nhận thiếu","Đang chuyển"))))))</x:f>
      </x:c>
      <x:c r="N23" s="23" t="str">
        <x:f>IF(COUNTA(A23:H23)=0,"",IF(OR(NOT(OR(A23="TikTok Shop",A23="Shopee",A23="Lazada")),B23="",C23="",NOT(ISNUMBER(D23)),COUNT(E23:G23)&lt;&gt;3,E23&lt;0,F23&lt;0,F23&gt;E23,G23&lt;0),"Thiếu/sai dữ liệu",IF(NOT(COUNTIFS(T_SoDu[Khóa shop],A23&amp;"|"&amp;B23)=1),"Shop chưa khai báo",IF(COUNTIFS(T_Chuyen[Khóa đợt chuyển],I23)&lt;&gt;1,"Trùng đợt chuyển",""))))</x:f>
      </x:c>
      <x:c r="O23" s="27" t="str">
        <x:f>IF(C23="","",IF(COUNT(E23:F23)=2,E23-F23,"n.a."))</x:f>
      </x:c>
    </x:row>
    <x:row r="24" ht="22" customHeight="1">
      <x:c r="A24" s="10"/>
      <x:c r="B24" s="10"/>
      <x:c r="C24" s="24"/>
      <x:c r="D24" s="25"/>
      <x:c r="E24" s="26"/>
      <x:c r="F24" s="26"/>
      <x:c r="G24" s="26"/>
      <x:c r="H24" s="10"/>
      <x:c r="I24" s="23" t="str">
        <x:f>IF(C24="","",A24&amp;"|"&amp;B24&amp;"|"&amp;C24)</x:f>
      </x:c>
      <x:c r="J24" s="27" t="str">
        <x:f>IF(C24="","",SUMIFS(T_NH[Tiền thực nhận],T_NH[Khóa đợt chuyển],I24,T_NH[Ngày báo Có],"&gt;="&amp;'Tong_hop'!$C$4,T_NH[Ngày báo Có],"&lt;"&amp;'Tong_hop'!$F$4))</x:f>
      </x:c>
      <x:c r="K24" s="27" t="str">
        <x:f>IF(C24="","",IF(ISNUMBER(G24),G24+J24,"n.a."))</x:f>
      </x:c>
      <x:c r="L24" s="27" t="str">
        <x:f>IF(C24="","",IF(D24&gt;='Tong_hop'!$F$4,0,IF(AND(ISNUMBER(O24),ISNUMBER(K24)),O24-K24,"n.a.")))</x:f>
      </x:c>
      <x:c r="M24" s="23" t="str">
        <x:f>IF(C24="","",IF(N24&lt;&gt;"","Sửa dữ liệu",IF(D24&gt;='Tong_hop'!$F$4,"Ngoài kỳ",IF(ABS(L24)&lt;='Tong_hop'!$I$4,"Đã nhận đủ",IF(L24&lt;0,"Nhận vượt",IF(K24&gt;0,"Nhận thiếu","Đang chuyển"))))))</x:f>
      </x:c>
      <x:c r="N24" s="23" t="str">
        <x:f>IF(COUNTA(A24:H24)=0,"",IF(OR(NOT(OR(A24="TikTok Shop",A24="Shopee",A24="Lazada")),B24="",C24="",NOT(ISNUMBER(D24)),COUNT(E24:G24)&lt;&gt;3,E24&lt;0,F24&lt;0,F24&gt;E24,G24&lt;0),"Thiếu/sai dữ liệu",IF(NOT(COUNTIFS(T_SoDu[Khóa shop],A24&amp;"|"&amp;B24)=1),"Shop chưa khai báo",IF(COUNTIFS(T_Chuyen[Khóa đợt chuyển],I24)&lt;&gt;1,"Trùng đợt chuyển",""))))</x:f>
      </x:c>
      <x:c r="O24" s="27" t="str">
        <x:f>IF(C24="","",IF(COUNT(E24:F24)=2,E24-F24,"n.a."))</x:f>
      </x:c>
    </x:row>
    <x:row r="25" ht="22" customHeight="1">
      <x:c r="A25" s="10"/>
      <x:c r="B25" s="10"/>
      <x:c r="C25" s="24"/>
      <x:c r="D25" s="25"/>
      <x:c r="E25" s="26"/>
      <x:c r="F25" s="26"/>
      <x:c r="G25" s="26"/>
      <x:c r="H25" s="10"/>
      <x:c r="I25" s="23" t="str">
        <x:f>IF(C25="","",A25&amp;"|"&amp;B25&amp;"|"&amp;C25)</x:f>
      </x:c>
      <x:c r="J25" s="27" t="str">
        <x:f>IF(C25="","",SUMIFS(T_NH[Tiền thực nhận],T_NH[Khóa đợt chuyển],I25,T_NH[Ngày báo Có],"&gt;="&amp;'Tong_hop'!$C$4,T_NH[Ngày báo Có],"&lt;"&amp;'Tong_hop'!$F$4))</x:f>
      </x:c>
      <x:c r="K25" s="27" t="str">
        <x:f>IF(C25="","",IF(ISNUMBER(G25),G25+J25,"n.a."))</x:f>
      </x:c>
      <x:c r="L25" s="27" t="str">
        <x:f>IF(C25="","",IF(D25&gt;='Tong_hop'!$F$4,0,IF(AND(ISNUMBER(O25),ISNUMBER(K25)),O25-K25,"n.a.")))</x:f>
      </x:c>
      <x:c r="M25" s="23" t="str">
        <x:f>IF(C25="","",IF(N25&lt;&gt;"","Sửa dữ liệu",IF(D25&gt;='Tong_hop'!$F$4,"Ngoài kỳ",IF(ABS(L25)&lt;='Tong_hop'!$I$4,"Đã nhận đủ",IF(L25&lt;0,"Nhận vượt",IF(K25&gt;0,"Nhận thiếu","Đang chuyển"))))))</x:f>
      </x:c>
      <x:c r="N25" s="23" t="str">
        <x:f>IF(COUNTA(A25:H25)=0,"",IF(OR(NOT(OR(A25="TikTok Shop",A25="Shopee",A25="Lazada")),B25="",C25="",NOT(ISNUMBER(D25)),COUNT(E25:G25)&lt;&gt;3,E25&lt;0,F25&lt;0,F25&gt;E25,G25&lt;0),"Thiếu/sai dữ liệu",IF(NOT(COUNTIFS(T_SoDu[Khóa shop],A25&amp;"|"&amp;B25)=1),"Shop chưa khai báo",IF(COUNTIFS(T_Chuyen[Khóa đợt chuyển],I25)&lt;&gt;1,"Trùng đợt chuyển",""))))</x:f>
      </x:c>
      <x:c r="O25" s="27" t="str">
        <x:f>IF(C25="","",IF(COUNT(E25:F25)=2,E25-F25,"n.a."))</x:f>
      </x:c>
    </x:row>
    <x:row r="26" ht="22" customHeight="1">
      <x:c r="A26" s="10"/>
      <x:c r="B26" s="10"/>
      <x:c r="C26" s="24"/>
      <x:c r="D26" s="25"/>
      <x:c r="E26" s="26"/>
      <x:c r="F26" s="26"/>
      <x:c r="G26" s="26"/>
      <x:c r="H26" s="10"/>
      <x:c r="I26" s="23" t="str">
        <x:f>IF(C26="","",A26&amp;"|"&amp;B26&amp;"|"&amp;C26)</x:f>
      </x:c>
      <x:c r="J26" s="27" t="str">
        <x:f>IF(C26="","",SUMIFS(T_NH[Tiền thực nhận],T_NH[Khóa đợt chuyển],I26,T_NH[Ngày báo Có],"&gt;="&amp;'Tong_hop'!$C$4,T_NH[Ngày báo Có],"&lt;"&amp;'Tong_hop'!$F$4))</x:f>
      </x:c>
      <x:c r="K26" s="27" t="str">
        <x:f>IF(C26="","",IF(ISNUMBER(G26),G26+J26,"n.a."))</x:f>
      </x:c>
      <x:c r="L26" s="27" t="str">
        <x:f>IF(C26="","",IF(D26&gt;='Tong_hop'!$F$4,0,IF(AND(ISNUMBER(O26),ISNUMBER(K26)),O26-K26,"n.a.")))</x:f>
      </x:c>
      <x:c r="M26" s="23" t="str">
        <x:f>IF(C26="","",IF(N26&lt;&gt;"","Sửa dữ liệu",IF(D26&gt;='Tong_hop'!$F$4,"Ngoài kỳ",IF(ABS(L26)&lt;='Tong_hop'!$I$4,"Đã nhận đủ",IF(L26&lt;0,"Nhận vượt",IF(K26&gt;0,"Nhận thiếu","Đang chuyển"))))))</x:f>
      </x:c>
      <x:c r="N26" s="23" t="str">
        <x:f>IF(COUNTA(A26:H26)=0,"",IF(OR(NOT(OR(A26="TikTok Shop",A26="Shopee",A26="Lazada")),B26="",C26="",NOT(ISNUMBER(D26)),COUNT(E26:G26)&lt;&gt;3,E26&lt;0,F26&lt;0,F26&gt;E26,G26&lt;0),"Thiếu/sai dữ liệu",IF(NOT(COUNTIFS(T_SoDu[Khóa shop],A26&amp;"|"&amp;B26)=1),"Shop chưa khai báo",IF(COUNTIFS(T_Chuyen[Khóa đợt chuyển],I26)&lt;&gt;1,"Trùng đợt chuyển",""))))</x:f>
      </x:c>
      <x:c r="O26" s="27" t="str">
        <x:f>IF(C26="","",IF(COUNT(E26:F26)=2,E26-F26,"n.a."))</x:f>
      </x:c>
    </x:row>
    <x:row r="27" ht="22" customHeight="1">
      <x:c r="A27" s="10"/>
      <x:c r="B27" s="10"/>
      <x:c r="C27" s="24"/>
      <x:c r="D27" s="25"/>
      <x:c r="E27" s="26"/>
      <x:c r="F27" s="26"/>
      <x:c r="G27" s="26"/>
      <x:c r="H27" s="10"/>
      <x:c r="I27" s="23" t="str">
        <x:f>IF(C27="","",A27&amp;"|"&amp;B27&amp;"|"&amp;C27)</x:f>
      </x:c>
      <x:c r="J27" s="27" t="str">
        <x:f>IF(C27="","",SUMIFS(T_NH[Tiền thực nhận],T_NH[Khóa đợt chuyển],I27,T_NH[Ngày báo Có],"&gt;="&amp;'Tong_hop'!$C$4,T_NH[Ngày báo Có],"&lt;"&amp;'Tong_hop'!$F$4))</x:f>
      </x:c>
      <x:c r="K27" s="27" t="str">
        <x:f>IF(C27="","",IF(ISNUMBER(G27),G27+J27,"n.a."))</x:f>
      </x:c>
      <x:c r="L27" s="27" t="str">
        <x:f>IF(C27="","",IF(D27&gt;='Tong_hop'!$F$4,0,IF(AND(ISNUMBER(O27),ISNUMBER(K27)),O27-K27,"n.a.")))</x:f>
      </x:c>
      <x:c r="M27" s="23" t="str">
        <x:f>IF(C27="","",IF(N27&lt;&gt;"","Sửa dữ liệu",IF(D27&gt;='Tong_hop'!$F$4,"Ngoài kỳ",IF(ABS(L27)&lt;='Tong_hop'!$I$4,"Đã nhận đủ",IF(L27&lt;0,"Nhận vượt",IF(K27&gt;0,"Nhận thiếu","Đang chuyển"))))))</x:f>
      </x:c>
      <x:c r="N27" s="23" t="str">
        <x:f>IF(COUNTA(A27:H27)=0,"",IF(OR(NOT(OR(A27="TikTok Shop",A27="Shopee",A27="Lazada")),B27="",C27="",NOT(ISNUMBER(D27)),COUNT(E27:G27)&lt;&gt;3,E27&lt;0,F27&lt;0,F27&gt;E27,G27&lt;0),"Thiếu/sai dữ liệu",IF(NOT(COUNTIFS(T_SoDu[Khóa shop],A27&amp;"|"&amp;B27)=1),"Shop chưa khai báo",IF(COUNTIFS(T_Chuyen[Khóa đợt chuyển],I27)&lt;&gt;1,"Trùng đợt chuyển",""))))</x:f>
      </x:c>
      <x:c r="O27" s="27" t="str">
        <x:f>IF(C27="","",IF(COUNT(E27:F27)=2,E27-F27,"n.a."))</x:f>
      </x:c>
    </x:row>
    <x:row r="28" ht="22" customHeight="1">
      <x:c r="A28" s="10"/>
      <x:c r="B28" s="10"/>
      <x:c r="C28" s="24"/>
      <x:c r="D28" s="25"/>
      <x:c r="E28" s="26"/>
      <x:c r="F28" s="26"/>
      <x:c r="G28" s="26"/>
      <x:c r="H28" s="10"/>
      <x:c r="I28" s="23" t="str">
        <x:f>IF(C28="","",A28&amp;"|"&amp;B28&amp;"|"&amp;C28)</x:f>
      </x:c>
      <x:c r="J28" s="27" t="str">
        <x:f>IF(C28="","",SUMIFS(T_NH[Tiền thực nhận],T_NH[Khóa đợt chuyển],I28,T_NH[Ngày báo Có],"&gt;="&amp;'Tong_hop'!$C$4,T_NH[Ngày báo Có],"&lt;"&amp;'Tong_hop'!$F$4))</x:f>
      </x:c>
      <x:c r="K28" s="27" t="str">
        <x:f>IF(C28="","",IF(ISNUMBER(G28),G28+J28,"n.a."))</x:f>
      </x:c>
      <x:c r="L28" s="27" t="str">
        <x:f>IF(C28="","",IF(D28&gt;='Tong_hop'!$F$4,0,IF(AND(ISNUMBER(O28),ISNUMBER(K28)),O28-K28,"n.a.")))</x:f>
      </x:c>
      <x:c r="M28" s="23" t="str">
        <x:f>IF(C28="","",IF(N28&lt;&gt;"","Sửa dữ liệu",IF(D28&gt;='Tong_hop'!$F$4,"Ngoài kỳ",IF(ABS(L28)&lt;='Tong_hop'!$I$4,"Đã nhận đủ",IF(L28&lt;0,"Nhận vượt",IF(K28&gt;0,"Nhận thiếu","Đang chuyển"))))))</x:f>
      </x:c>
      <x:c r="N28" s="23" t="str">
        <x:f>IF(COUNTA(A28:H28)=0,"",IF(OR(NOT(OR(A28="TikTok Shop",A28="Shopee",A28="Lazada")),B28="",C28="",NOT(ISNUMBER(D28)),COUNT(E28:G28)&lt;&gt;3,E28&lt;0,F28&lt;0,F28&gt;E28,G28&lt;0),"Thiếu/sai dữ liệu",IF(NOT(COUNTIFS(T_SoDu[Khóa shop],A28&amp;"|"&amp;B28)=1),"Shop chưa khai báo",IF(COUNTIFS(T_Chuyen[Khóa đợt chuyển],I28)&lt;&gt;1,"Trùng đợt chuyển",""))))</x:f>
      </x:c>
      <x:c r="O28" s="27" t="str">
        <x:f>IF(C28="","",IF(COUNT(E28:F28)=2,E28-F28,"n.a."))</x:f>
      </x:c>
    </x:row>
    <x:row r="29" ht="22" customHeight="1">
      <x:c r="A29" s="10"/>
      <x:c r="B29" s="10"/>
      <x:c r="C29" s="24"/>
      <x:c r="D29" s="25"/>
      <x:c r="E29" s="26"/>
      <x:c r="F29" s="26"/>
      <x:c r="G29" s="26"/>
      <x:c r="H29" s="10"/>
      <x:c r="I29" s="23" t="str">
        <x:f>IF(C29="","",A29&amp;"|"&amp;B29&amp;"|"&amp;C29)</x:f>
      </x:c>
      <x:c r="J29" s="27" t="str">
        <x:f>IF(C29="","",SUMIFS(T_NH[Tiền thực nhận],T_NH[Khóa đợt chuyển],I29,T_NH[Ngày báo Có],"&gt;="&amp;'Tong_hop'!$C$4,T_NH[Ngày báo Có],"&lt;"&amp;'Tong_hop'!$F$4))</x:f>
      </x:c>
      <x:c r="K29" s="27" t="str">
        <x:f>IF(C29="","",IF(ISNUMBER(G29),G29+J29,"n.a."))</x:f>
      </x:c>
      <x:c r="L29" s="27" t="str">
        <x:f>IF(C29="","",IF(D29&gt;='Tong_hop'!$F$4,0,IF(AND(ISNUMBER(O29),ISNUMBER(K29)),O29-K29,"n.a.")))</x:f>
      </x:c>
      <x:c r="M29" s="23" t="str">
        <x:f>IF(C29="","",IF(N29&lt;&gt;"","Sửa dữ liệu",IF(D29&gt;='Tong_hop'!$F$4,"Ngoài kỳ",IF(ABS(L29)&lt;='Tong_hop'!$I$4,"Đã nhận đủ",IF(L29&lt;0,"Nhận vượt",IF(K29&gt;0,"Nhận thiếu","Đang chuyển"))))))</x:f>
      </x:c>
      <x:c r="N29" s="23" t="str">
        <x:f>IF(COUNTA(A29:H29)=0,"",IF(OR(NOT(OR(A29="TikTok Shop",A29="Shopee",A29="Lazada")),B29="",C29="",NOT(ISNUMBER(D29)),COUNT(E29:G29)&lt;&gt;3,E29&lt;0,F29&lt;0,F29&gt;E29,G29&lt;0),"Thiếu/sai dữ liệu",IF(NOT(COUNTIFS(T_SoDu[Khóa shop],A29&amp;"|"&amp;B29)=1),"Shop chưa khai báo",IF(COUNTIFS(T_Chuyen[Khóa đợt chuyển],I29)&lt;&gt;1,"Trùng đợt chuyển",""))))</x:f>
      </x:c>
      <x:c r="O29" s="27" t="str">
        <x:f>IF(C29="","",IF(COUNT(E29:F29)=2,E29-F29,"n.a."))</x:f>
      </x:c>
    </x:row>
    <x:row r="30" ht="22" customHeight="1">
      <x:c r="A30" s="10"/>
      <x:c r="B30" s="10"/>
      <x:c r="C30" s="24"/>
      <x:c r="D30" s="25"/>
      <x:c r="E30" s="26"/>
      <x:c r="F30" s="26"/>
      <x:c r="G30" s="26"/>
      <x:c r="H30" s="10"/>
      <x:c r="I30" s="23" t="str">
        <x:f>IF(C30="","",A30&amp;"|"&amp;B30&amp;"|"&amp;C30)</x:f>
      </x:c>
      <x:c r="J30" s="27" t="str">
        <x:f>IF(C30="","",SUMIFS(T_NH[Tiền thực nhận],T_NH[Khóa đợt chuyển],I30,T_NH[Ngày báo Có],"&gt;="&amp;'Tong_hop'!$C$4,T_NH[Ngày báo Có],"&lt;"&amp;'Tong_hop'!$F$4))</x:f>
      </x:c>
      <x:c r="K30" s="27" t="str">
        <x:f>IF(C30="","",IF(ISNUMBER(G30),G30+J30,"n.a."))</x:f>
      </x:c>
      <x:c r="L30" s="27" t="str">
        <x:f>IF(C30="","",IF(D30&gt;='Tong_hop'!$F$4,0,IF(AND(ISNUMBER(O30),ISNUMBER(K30)),O30-K30,"n.a.")))</x:f>
      </x:c>
      <x:c r="M30" s="23" t="str">
        <x:f>IF(C30="","",IF(N30&lt;&gt;"","Sửa dữ liệu",IF(D30&gt;='Tong_hop'!$F$4,"Ngoài kỳ",IF(ABS(L30)&lt;='Tong_hop'!$I$4,"Đã nhận đủ",IF(L30&lt;0,"Nhận vượt",IF(K30&gt;0,"Nhận thiếu","Đang chuyển"))))))</x:f>
      </x:c>
      <x:c r="N30" s="23" t="str">
        <x:f>IF(COUNTA(A30:H30)=0,"",IF(OR(NOT(OR(A30="TikTok Shop",A30="Shopee",A30="Lazada")),B30="",C30="",NOT(ISNUMBER(D30)),COUNT(E30:G30)&lt;&gt;3,E30&lt;0,F30&lt;0,F30&gt;E30,G30&lt;0),"Thiếu/sai dữ liệu",IF(NOT(COUNTIFS(T_SoDu[Khóa shop],A30&amp;"|"&amp;B30)=1),"Shop chưa khai báo",IF(COUNTIFS(T_Chuyen[Khóa đợt chuyển],I30)&lt;&gt;1,"Trùng đợt chuyển",""))))</x:f>
      </x:c>
      <x:c r="O30" s="27" t="str">
        <x:f>IF(C30="","",IF(COUNT(E30:F30)=2,E30-F30,"n.a."))</x:f>
      </x:c>
    </x:row>
    <x:row r="31" ht="22" customHeight="1">
      <x:c r="A31" s="10"/>
      <x:c r="B31" s="10"/>
      <x:c r="C31" s="24"/>
      <x:c r="D31" s="25"/>
      <x:c r="E31" s="26"/>
      <x:c r="F31" s="26"/>
      <x:c r="G31" s="26"/>
      <x:c r="H31" s="10"/>
      <x:c r="I31" s="23" t="str">
        <x:f>IF(C31="","",A31&amp;"|"&amp;B31&amp;"|"&amp;C31)</x:f>
      </x:c>
      <x:c r="J31" s="27" t="str">
        <x:f>IF(C31="","",SUMIFS(T_NH[Tiền thực nhận],T_NH[Khóa đợt chuyển],I31,T_NH[Ngày báo Có],"&gt;="&amp;'Tong_hop'!$C$4,T_NH[Ngày báo Có],"&lt;"&amp;'Tong_hop'!$F$4))</x:f>
      </x:c>
      <x:c r="K31" s="27" t="str">
        <x:f>IF(C31="","",IF(ISNUMBER(G31),G31+J31,"n.a."))</x:f>
      </x:c>
      <x:c r="L31" s="27" t="str">
        <x:f>IF(C31="","",IF(D31&gt;='Tong_hop'!$F$4,0,IF(AND(ISNUMBER(O31),ISNUMBER(K31)),O31-K31,"n.a.")))</x:f>
      </x:c>
      <x:c r="M31" s="23" t="str">
        <x:f>IF(C31="","",IF(N31&lt;&gt;"","Sửa dữ liệu",IF(D31&gt;='Tong_hop'!$F$4,"Ngoài kỳ",IF(ABS(L31)&lt;='Tong_hop'!$I$4,"Đã nhận đủ",IF(L31&lt;0,"Nhận vượt",IF(K31&gt;0,"Nhận thiếu","Đang chuyển"))))))</x:f>
      </x:c>
      <x:c r="N31" s="23" t="str">
        <x:f>IF(COUNTA(A31:H31)=0,"",IF(OR(NOT(OR(A31="TikTok Shop",A31="Shopee",A31="Lazada")),B31="",C31="",NOT(ISNUMBER(D31)),COUNT(E31:G31)&lt;&gt;3,E31&lt;0,F31&lt;0,F31&gt;E31,G31&lt;0),"Thiếu/sai dữ liệu",IF(NOT(COUNTIFS(T_SoDu[Khóa shop],A31&amp;"|"&amp;B31)=1),"Shop chưa khai báo",IF(COUNTIFS(T_Chuyen[Khóa đợt chuyển],I31)&lt;&gt;1,"Trùng đợt chuyển",""))))</x:f>
      </x:c>
      <x:c r="O31" s="27" t="str">
        <x:f>IF(C31="","",IF(COUNT(E31:F31)=2,E31-F31,"n.a."))</x:f>
      </x:c>
    </x:row>
    <x:row r="32" ht="22" customHeight="1">
      <x:c r="A32" s="10"/>
      <x:c r="B32" s="10"/>
      <x:c r="C32" s="24"/>
      <x:c r="D32" s="25"/>
      <x:c r="E32" s="26"/>
      <x:c r="F32" s="26"/>
      <x:c r="G32" s="26"/>
      <x:c r="H32" s="10"/>
      <x:c r="I32" s="23" t="str">
        <x:f>IF(C32="","",A32&amp;"|"&amp;B32&amp;"|"&amp;C32)</x:f>
      </x:c>
      <x:c r="J32" s="27" t="str">
        <x:f>IF(C32="","",SUMIFS(T_NH[Tiền thực nhận],T_NH[Khóa đợt chuyển],I32,T_NH[Ngày báo Có],"&gt;="&amp;'Tong_hop'!$C$4,T_NH[Ngày báo Có],"&lt;"&amp;'Tong_hop'!$F$4))</x:f>
      </x:c>
      <x:c r="K32" s="27" t="str">
        <x:f>IF(C32="","",IF(ISNUMBER(G32),G32+J32,"n.a."))</x:f>
      </x:c>
      <x:c r="L32" s="27" t="str">
        <x:f>IF(C32="","",IF(D32&gt;='Tong_hop'!$F$4,0,IF(AND(ISNUMBER(O32),ISNUMBER(K32)),O32-K32,"n.a.")))</x:f>
      </x:c>
      <x:c r="M32" s="23" t="str">
        <x:f>IF(C32="","",IF(N32&lt;&gt;"","Sửa dữ liệu",IF(D32&gt;='Tong_hop'!$F$4,"Ngoài kỳ",IF(ABS(L32)&lt;='Tong_hop'!$I$4,"Đã nhận đủ",IF(L32&lt;0,"Nhận vượt",IF(K32&gt;0,"Nhận thiếu","Đang chuyển"))))))</x:f>
      </x:c>
      <x:c r="N32" s="23" t="str">
        <x:f>IF(COUNTA(A32:H32)=0,"",IF(OR(NOT(OR(A32="TikTok Shop",A32="Shopee",A32="Lazada")),B32="",C32="",NOT(ISNUMBER(D32)),COUNT(E32:G32)&lt;&gt;3,E32&lt;0,F32&lt;0,F32&gt;E32,G32&lt;0),"Thiếu/sai dữ liệu",IF(NOT(COUNTIFS(T_SoDu[Khóa shop],A32&amp;"|"&amp;B32)=1),"Shop chưa khai báo",IF(COUNTIFS(T_Chuyen[Khóa đợt chuyển],I32)&lt;&gt;1,"Trùng đợt chuyển",""))))</x:f>
      </x:c>
      <x:c r="O32" s="27" t="str">
        <x:f>IF(C32="","",IF(COUNT(E32:F32)=2,E32-F32,"n.a."))</x:f>
      </x:c>
    </x:row>
    <x:row r="33" ht="22" customHeight="1">
      <x:c r="A33" s="10"/>
      <x:c r="B33" s="10"/>
      <x:c r="C33" s="24"/>
      <x:c r="D33" s="25"/>
      <x:c r="E33" s="26"/>
      <x:c r="F33" s="26"/>
      <x:c r="G33" s="26"/>
      <x:c r="H33" s="10"/>
      <x:c r="I33" s="23" t="str">
        <x:f>IF(C33="","",A33&amp;"|"&amp;B33&amp;"|"&amp;C33)</x:f>
      </x:c>
      <x:c r="J33" s="27" t="str">
        <x:f>IF(C33="","",SUMIFS(T_NH[Tiền thực nhận],T_NH[Khóa đợt chuyển],I33,T_NH[Ngày báo Có],"&gt;="&amp;'Tong_hop'!$C$4,T_NH[Ngày báo Có],"&lt;"&amp;'Tong_hop'!$F$4))</x:f>
      </x:c>
      <x:c r="K33" s="27" t="str">
        <x:f>IF(C33="","",IF(ISNUMBER(G33),G33+J33,"n.a."))</x:f>
      </x:c>
      <x:c r="L33" s="27" t="str">
        <x:f>IF(C33="","",IF(D33&gt;='Tong_hop'!$F$4,0,IF(AND(ISNUMBER(O33),ISNUMBER(K33)),O33-K33,"n.a.")))</x:f>
      </x:c>
      <x:c r="M33" s="23" t="str">
        <x:f>IF(C33="","",IF(N33&lt;&gt;"","Sửa dữ liệu",IF(D33&gt;='Tong_hop'!$F$4,"Ngoài kỳ",IF(ABS(L33)&lt;='Tong_hop'!$I$4,"Đã nhận đủ",IF(L33&lt;0,"Nhận vượt",IF(K33&gt;0,"Nhận thiếu","Đang chuyển"))))))</x:f>
      </x:c>
      <x:c r="N33" s="23" t="str">
        <x:f>IF(COUNTA(A33:H33)=0,"",IF(OR(NOT(OR(A33="TikTok Shop",A33="Shopee",A33="Lazada")),B33="",C33="",NOT(ISNUMBER(D33)),COUNT(E33:G33)&lt;&gt;3,E33&lt;0,F33&lt;0,F33&gt;E33,G33&lt;0),"Thiếu/sai dữ liệu",IF(NOT(COUNTIFS(T_SoDu[Khóa shop],A33&amp;"|"&amp;B33)=1),"Shop chưa khai báo",IF(COUNTIFS(T_Chuyen[Khóa đợt chuyển],I33)&lt;&gt;1,"Trùng đợt chuyển",""))))</x:f>
      </x:c>
      <x:c r="O33" s="27" t="str">
        <x:f>IF(C33="","",IF(COUNT(E33:F33)=2,E33-F33,"n.a."))</x:f>
      </x:c>
    </x:row>
    <x:row r="34" ht="22" customHeight="1">
      <x:c r="A34" s="10"/>
      <x:c r="B34" s="10"/>
      <x:c r="C34" s="24"/>
      <x:c r="D34" s="25"/>
      <x:c r="E34" s="26"/>
      <x:c r="F34" s="26"/>
      <x:c r="G34" s="26"/>
      <x:c r="H34" s="10"/>
      <x:c r="I34" s="23" t="str">
        <x:f>IF(C34="","",A34&amp;"|"&amp;B34&amp;"|"&amp;C34)</x:f>
      </x:c>
      <x:c r="J34" s="27" t="str">
        <x:f>IF(C34="","",SUMIFS(T_NH[Tiền thực nhận],T_NH[Khóa đợt chuyển],I34,T_NH[Ngày báo Có],"&gt;="&amp;'Tong_hop'!$C$4,T_NH[Ngày báo Có],"&lt;"&amp;'Tong_hop'!$F$4))</x:f>
      </x:c>
      <x:c r="K34" s="27" t="str">
        <x:f>IF(C34="","",IF(ISNUMBER(G34),G34+J34,"n.a."))</x:f>
      </x:c>
      <x:c r="L34" s="27" t="str">
        <x:f>IF(C34="","",IF(D34&gt;='Tong_hop'!$F$4,0,IF(AND(ISNUMBER(O34),ISNUMBER(K34)),O34-K34,"n.a.")))</x:f>
      </x:c>
      <x:c r="M34" s="23" t="str">
        <x:f>IF(C34="","",IF(N34&lt;&gt;"","Sửa dữ liệu",IF(D34&gt;='Tong_hop'!$F$4,"Ngoài kỳ",IF(ABS(L34)&lt;='Tong_hop'!$I$4,"Đã nhận đủ",IF(L34&lt;0,"Nhận vượt",IF(K34&gt;0,"Nhận thiếu","Đang chuyển"))))))</x:f>
      </x:c>
      <x:c r="N34" s="23" t="str">
        <x:f>IF(COUNTA(A34:H34)=0,"",IF(OR(NOT(OR(A34="TikTok Shop",A34="Shopee",A34="Lazada")),B34="",C34="",NOT(ISNUMBER(D34)),COUNT(E34:G34)&lt;&gt;3,E34&lt;0,F34&lt;0,F34&gt;E34,G34&lt;0),"Thiếu/sai dữ liệu",IF(NOT(COUNTIFS(T_SoDu[Khóa shop],A34&amp;"|"&amp;B34)=1),"Shop chưa khai báo",IF(COUNTIFS(T_Chuyen[Khóa đợt chuyển],I34)&lt;&gt;1,"Trùng đợt chuyển",""))))</x:f>
      </x:c>
      <x:c r="O34" s="27" t="str">
        <x:f>IF(C34="","",IF(COUNT(E34:F34)=2,E34-F34,"n.a."))</x:f>
      </x:c>
    </x:row>
    <x:row r="35" ht="22" customHeight="1">
      <x:c r="A35" s="10"/>
      <x:c r="B35" s="10"/>
      <x:c r="C35" s="24"/>
      <x:c r="D35" s="25"/>
      <x:c r="E35" s="26"/>
      <x:c r="F35" s="26"/>
      <x:c r="G35" s="26"/>
      <x:c r="H35" s="10"/>
      <x:c r="I35" s="23" t="str">
        <x:f>IF(C35="","",A35&amp;"|"&amp;B35&amp;"|"&amp;C35)</x:f>
      </x:c>
      <x:c r="J35" s="27" t="str">
        <x:f>IF(C35="","",SUMIFS(T_NH[Tiền thực nhận],T_NH[Khóa đợt chuyển],I35,T_NH[Ngày báo Có],"&gt;="&amp;'Tong_hop'!$C$4,T_NH[Ngày báo Có],"&lt;"&amp;'Tong_hop'!$F$4))</x:f>
      </x:c>
      <x:c r="K35" s="27" t="str">
        <x:f>IF(C35="","",IF(ISNUMBER(G35),G35+J35,"n.a."))</x:f>
      </x:c>
      <x:c r="L35" s="27" t="str">
        <x:f>IF(C35="","",IF(D35&gt;='Tong_hop'!$F$4,0,IF(AND(ISNUMBER(O35),ISNUMBER(K35)),O35-K35,"n.a.")))</x:f>
      </x:c>
      <x:c r="M35" s="23" t="str">
        <x:f>IF(C35="","",IF(N35&lt;&gt;"","Sửa dữ liệu",IF(D35&gt;='Tong_hop'!$F$4,"Ngoài kỳ",IF(ABS(L35)&lt;='Tong_hop'!$I$4,"Đã nhận đủ",IF(L35&lt;0,"Nhận vượt",IF(K35&gt;0,"Nhận thiếu","Đang chuyển"))))))</x:f>
      </x:c>
      <x:c r="N35" s="23" t="str">
        <x:f>IF(COUNTA(A35:H35)=0,"",IF(OR(NOT(OR(A35="TikTok Shop",A35="Shopee",A35="Lazada")),B35="",C35="",NOT(ISNUMBER(D35)),COUNT(E35:G35)&lt;&gt;3,E35&lt;0,F35&lt;0,F35&gt;E35,G35&lt;0),"Thiếu/sai dữ liệu",IF(NOT(COUNTIFS(T_SoDu[Khóa shop],A35&amp;"|"&amp;B35)=1),"Shop chưa khai báo",IF(COUNTIFS(T_Chuyen[Khóa đợt chuyển],I35)&lt;&gt;1,"Trùng đợt chuyển",""))))</x:f>
      </x:c>
      <x:c r="O35" s="27" t="str">
        <x:f>IF(C35="","",IF(COUNT(E35:F35)=2,E35-F35,"n.a."))</x:f>
      </x:c>
    </x:row>
    <x:row r="36" ht="22" customHeight="1">
      <x:c r="A36" s="10"/>
      <x:c r="B36" s="10"/>
      <x:c r="C36" s="24"/>
      <x:c r="D36" s="25"/>
      <x:c r="E36" s="26"/>
      <x:c r="F36" s="26"/>
      <x:c r="G36" s="26"/>
      <x:c r="H36" s="10"/>
      <x:c r="I36" s="23" t="str">
        <x:f>IF(C36="","",A36&amp;"|"&amp;B36&amp;"|"&amp;C36)</x:f>
      </x:c>
      <x:c r="J36" s="27" t="str">
        <x:f>IF(C36="","",SUMIFS(T_NH[Tiền thực nhận],T_NH[Khóa đợt chuyển],I36,T_NH[Ngày báo Có],"&gt;="&amp;'Tong_hop'!$C$4,T_NH[Ngày báo Có],"&lt;"&amp;'Tong_hop'!$F$4))</x:f>
      </x:c>
      <x:c r="K36" s="27" t="str">
        <x:f>IF(C36="","",IF(ISNUMBER(G36),G36+J36,"n.a."))</x:f>
      </x:c>
      <x:c r="L36" s="27" t="str">
        <x:f>IF(C36="","",IF(D36&gt;='Tong_hop'!$F$4,0,IF(AND(ISNUMBER(O36),ISNUMBER(K36)),O36-K36,"n.a.")))</x:f>
      </x:c>
      <x:c r="M36" s="23" t="str">
        <x:f>IF(C36="","",IF(N36&lt;&gt;"","Sửa dữ liệu",IF(D36&gt;='Tong_hop'!$F$4,"Ngoài kỳ",IF(ABS(L36)&lt;='Tong_hop'!$I$4,"Đã nhận đủ",IF(L36&lt;0,"Nhận vượt",IF(K36&gt;0,"Nhận thiếu","Đang chuyển"))))))</x:f>
      </x:c>
      <x:c r="N36" s="23" t="str">
        <x:f>IF(COUNTA(A36:H36)=0,"",IF(OR(NOT(OR(A36="TikTok Shop",A36="Shopee",A36="Lazada")),B36="",C36="",NOT(ISNUMBER(D36)),COUNT(E36:G36)&lt;&gt;3,E36&lt;0,F36&lt;0,F36&gt;E36,G36&lt;0),"Thiếu/sai dữ liệu",IF(NOT(COUNTIFS(T_SoDu[Khóa shop],A36&amp;"|"&amp;B36)=1),"Shop chưa khai báo",IF(COUNTIFS(T_Chuyen[Khóa đợt chuyển],I36)&lt;&gt;1,"Trùng đợt chuyển",""))))</x:f>
      </x:c>
      <x:c r="O36" s="27" t="str">
        <x:f>IF(C36="","",IF(COUNT(E36:F36)=2,E36-F36,"n.a."))</x:f>
      </x:c>
    </x:row>
    <x:row r="37" ht="22" customHeight="1">
      <x:c r="A37" s="10"/>
      <x:c r="B37" s="10"/>
      <x:c r="C37" s="24"/>
      <x:c r="D37" s="25"/>
      <x:c r="E37" s="26"/>
      <x:c r="F37" s="26"/>
      <x:c r="G37" s="26"/>
      <x:c r="H37" s="10"/>
      <x:c r="I37" s="23" t="str">
        <x:f>IF(C37="","",A37&amp;"|"&amp;B37&amp;"|"&amp;C37)</x:f>
      </x:c>
      <x:c r="J37" s="27" t="str">
        <x:f>IF(C37="","",SUMIFS(T_NH[Tiền thực nhận],T_NH[Khóa đợt chuyển],I37,T_NH[Ngày báo Có],"&gt;="&amp;'Tong_hop'!$C$4,T_NH[Ngày báo Có],"&lt;"&amp;'Tong_hop'!$F$4))</x:f>
      </x:c>
      <x:c r="K37" s="27" t="str">
        <x:f>IF(C37="","",IF(ISNUMBER(G37),G37+J37,"n.a."))</x:f>
      </x:c>
      <x:c r="L37" s="27" t="str">
        <x:f>IF(C37="","",IF(D37&gt;='Tong_hop'!$F$4,0,IF(AND(ISNUMBER(O37),ISNUMBER(K37)),O37-K37,"n.a.")))</x:f>
      </x:c>
      <x:c r="M37" s="23" t="str">
        <x:f>IF(C37="","",IF(N37&lt;&gt;"","Sửa dữ liệu",IF(D37&gt;='Tong_hop'!$F$4,"Ngoài kỳ",IF(ABS(L37)&lt;='Tong_hop'!$I$4,"Đã nhận đủ",IF(L37&lt;0,"Nhận vượt",IF(K37&gt;0,"Nhận thiếu","Đang chuyển"))))))</x:f>
      </x:c>
      <x:c r="N37" s="23" t="str">
        <x:f>IF(COUNTA(A37:H37)=0,"",IF(OR(NOT(OR(A37="TikTok Shop",A37="Shopee",A37="Lazada")),B37="",C37="",NOT(ISNUMBER(D37)),COUNT(E37:G37)&lt;&gt;3,E37&lt;0,F37&lt;0,F37&gt;E37,G37&lt;0),"Thiếu/sai dữ liệu",IF(NOT(COUNTIFS(T_SoDu[Khóa shop],A37&amp;"|"&amp;B37)=1),"Shop chưa khai báo",IF(COUNTIFS(T_Chuyen[Khóa đợt chuyển],I37)&lt;&gt;1,"Trùng đợt chuyển",""))))</x:f>
      </x:c>
      <x:c r="O37" s="27" t="str">
        <x:f>IF(C37="","",IF(COUNT(E37:F37)=2,E37-F37,"n.a."))</x:f>
      </x:c>
    </x:row>
    <x:row r="38" ht="22" customHeight="1">
      <x:c r="A38" s="10"/>
      <x:c r="B38" s="10"/>
      <x:c r="C38" s="24"/>
      <x:c r="D38" s="25"/>
      <x:c r="E38" s="26"/>
      <x:c r="F38" s="26"/>
      <x:c r="G38" s="26"/>
      <x:c r="H38" s="10"/>
      <x:c r="I38" s="23" t="str">
        <x:f>IF(C38="","",A38&amp;"|"&amp;B38&amp;"|"&amp;C38)</x:f>
      </x:c>
      <x:c r="J38" s="27" t="str">
        <x:f>IF(C38="","",SUMIFS(T_NH[Tiền thực nhận],T_NH[Khóa đợt chuyển],I38,T_NH[Ngày báo Có],"&gt;="&amp;'Tong_hop'!$C$4,T_NH[Ngày báo Có],"&lt;"&amp;'Tong_hop'!$F$4))</x:f>
      </x:c>
      <x:c r="K38" s="27" t="str">
        <x:f>IF(C38="","",IF(ISNUMBER(G38),G38+J38,"n.a."))</x:f>
      </x:c>
      <x:c r="L38" s="27" t="str">
        <x:f>IF(C38="","",IF(D38&gt;='Tong_hop'!$F$4,0,IF(AND(ISNUMBER(O38),ISNUMBER(K38)),O38-K38,"n.a.")))</x:f>
      </x:c>
      <x:c r="M38" s="23" t="str">
        <x:f>IF(C38="","",IF(N38&lt;&gt;"","Sửa dữ liệu",IF(D38&gt;='Tong_hop'!$F$4,"Ngoài kỳ",IF(ABS(L38)&lt;='Tong_hop'!$I$4,"Đã nhận đủ",IF(L38&lt;0,"Nhận vượt",IF(K38&gt;0,"Nhận thiếu","Đang chuyển"))))))</x:f>
      </x:c>
      <x:c r="N38" s="23" t="str">
        <x:f>IF(COUNTA(A38:H38)=0,"",IF(OR(NOT(OR(A38="TikTok Shop",A38="Shopee",A38="Lazada")),B38="",C38="",NOT(ISNUMBER(D38)),COUNT(E38:G38)&lt;&gt;3,E38&lt;0,F38&lt;0,F38&gt;E38,G38&lt;0),"Thiếu/sai dữ liệu",IF(NOT(COUNTIFS(T_SoDu[Khóa shop],A38&amp;"|"&amp;B38)=1),"Shop chưa khai báo",IF(COUNTIFS(T_Chuyen[Khóa đợt chuyển],I38)&lt;&gt;1,"Trùng đợt chuyển",""))))</x:f>
      </x:c>
      <x:c r="O38" s="27" t="str">
        <x:f>IF(C38="","",IF(COUNT(E38:F38)=2,E38-F38,"n.a."))</x:f>
      </x:c>
    </x:row>
    <x:row r="39" ht="22" customHeight="1">
      <x:c r="A39" s="10"/>
      <x:c r="B39" s="10"/>
      <x:c r="C39" s="24"/>
      <x:c r="D39" s="25"/>
      <x:c r="E39" s="26"/>
      <x:c r="F39" s="26"/>
      <x:c r="G39" s="26"/>
      <x:c r="H39" s="10"/>
      <x:c r="I39" s="23" t="str">
        <x:f>IF(C39="","",A39&amp;"|"&amp;B39&amp;"|"&amp;C39)</x:f>
      </x:c>
      <x:c r="J39" s="27" t="str">
        <x:f>IF(C39="","",SUMIFS(T_NH[Tiền thực nhận],T_NH[Khóa đợt chuyển],I39,T_NH[Ngày báo Có],"&gt;="&amp;'Tong_hop'!$C$4,T_NH[Ngày báo Có],"&lt;"&amp;'Tong_hop'!$F$4))</x:f>
      </x:c>
      <x:c r="K39" s="27" t="str">
        <x:f>IF(C39="","",IF(ISNUMBER(G39),G39+J39,"n.a."))</x:f>
      </x:c>
      <x:c r="L39" s="27" t="str">
        <x:f>IF(C39="","",IF(D39&gt;='Tong_hop'!$F$4,0,IF(AND(ISNUMBER(O39),ISNUMBER(K39)),O39-K39,"n.a.")))</x:f>
      </x:c>
      <x:c r="M39" s="23" t="str">
        <x:f>IF(C39="","",IF(N39&lt;&gt;"","Sửa dữ liệu",IF(D39&gt;='Tong_hop'!$F$4,"Ngoài kỳ",IF(ABS(L39)&lt;='Tong_hop'!$I$4,"Đã nhận đủ",IF(L39&lt;0,"Nhận vượt",IF(K39&gt;0,"Nhận thiếu","Đang chuyển"))))))</x:f>
      </x:c>
      <x:c r="N39" s="23" t="str">
        <x:f>IF(COUNTA(A39:H39)=0,"",IF(OR(NOT(OR(A39="TikTok Shop",A39="Shopee",A39="Lazada")),B39="",C39="",NOT(ISNUMBER(D39)),COUNT(E39:G39)&lt;&gt;3,E39&lt;0,F39&lt;0,F39&gt;E39,G39&lt;0),"Thiếu/sai dữ liệu",IF(NOT(COUNTIFS(T_SoDu[Khóa shop],A39&amp;"|"&amp;B39)=1),"Shop chưa khai báo",IF(COUNTIFS(T_Chuyen[Khóa đợt chuyển],I39)&lt;&gt;1,"Trùng đợt chuyển",""))))</x:f>
      </x:c>
      <x:c r="O39" s="27" t="str">
        <x:f>IF(C39="","",IF(COUNT(E39:F39)=2,E39-F39,"n.a."))</x:f>
      </x:c>
    </x:row>
    <x:row r="40" ht="22" customHeight="1">
      <x:c r="A40" s="10"/>
      <x:c r="B40" s="10"/>
      <x:c r="C40" s="24"/>
      <x:c r="D40" s="25"/>
      <x:c r="E40" s="26"/>
      <x:c r="F40" s="26"/>
      <x:c r="G40" s="26"/>
      <x:c r="H40" s="10"/>
      <x:c r="I40" s="23" t="str">
        <x:f>IF(C40="","",A40&amp;"|"&amp;B40&amp;"|"&amp;C40)</x:f>
      </x:c>
      <x:c r="J40" s="27" t="str">
        <x:f>IF(C40="","",SUMIFS(T_NH[Tiền thực nhận],T_NH[Khóa đợt chuyển],I40,T_NH[Ngày báo Có],"&gt;="&amp;'Tong_hop'!$C$4,T_NH[Ngày báo Có],"&lt;"&amp;'Tong_hop'!$F$4))</x:f>
      </x:c>
      <x:c r="K40" s="27" t="str">
        <x:f>IF(C40="","",IF(ISNUMBER(G40),G40+J40,"n.a."))</x:f>
      </x:c>
      <x:c r="L40" s="27" t="str">
        <x:f>IF(C40="","",IF(D40&gt;='Tong_hop'!$F$4,0,IF(AND(ISNUMBER(O40),ISNUMBER(K40)),O40-K40,"n.a.")))</x:f>
      </x:c>
      <x:c r="M40" s="23" t="str">
        <x:f>IF(C40="","",IF(N40&lt;&gt;"","Sửa dữ liệu",IF(D40&gt;='Tong_hop'!$F$4,"Ngoài kỳ",IF(ABS(L40)&lt;='Tong_hop'!$I$4,"Đã nhận đủ",IF(L40&lt;0,"Nhận vượt",IF(K40&gt;0,"Nhận thiếu","Đang chuyển"))))))</x:f>
      </x:c>
      <x:c r="N40" s="23" t="str">
        <x:f>IF(COUNTA(A40:H40)=0,"",IF(OR(NOT(OR(A40="TikTok Shop",A40="Shopee",A40="Lazada")),B40="",C40="",NOT(ISNUMBER(D40)),COUNT(E40:G40)&lt;&gt;3,E40&lt;0,F40&lt;0,F40&gt;E40,G40&lt;0),"Thiếu/sai dữ liệu",IF(NOT(COUNTIFS(T_SoDu[Khóa shop],A40&amp;"|"&amp;B40)=1),"Shop chưa khai báo",IF(COUNTIFS(T_Chuyen[Khóa đợt chuyển],I40)&lt;&gt;1,"Trùng đợt chuyển",""))))</x:f>
      </x:c>
      <x:c r="O40" s="27" t="str">
        <x:f>IF(C40="","",IF(COUNT(E40:F40)=2,E40-F40,"n.a."))</x:f>
      </x:c>
    </x:row>
    <x:row r="41" ht="22" customHeight="1">
      <x:c r="A41" s="10"/>
      <x:c r="B41" s="10"/>
      <x:c r="C41" s="24"/>
      <x:c r="D41" s="25"/>
      <x:c r="E41" s="26"/>
      <x:c r="F41" s="26"/>
      <x:c r="G41" s="26"/>
      <x:c r="H41" s="10"/>
      <x:c r="I41" s="23" t="str">
        <x:f>IF(C41="","",A41&amp;"|"&amp;B41&amp;"|"&amp;C41)</x:f>
      </x:c>
      <x:c r="J41" s="27" t="str">
        <x:f>IF(C41="","",SUMIFS(T_NH[Tiền thực nhận],T_NH[Khóa đợt chuyển],I41,T_NH[Ngày báo Có],"&gt;="&amp;'Tong_hop'!$C$4,T_NH[Ngày báo Có],"&lt;"&amp;'Tong_hop'!$F$4))</x:f>
      </x:c>
      <x:c r="K41" s="27" t="str">
        <x:f>IF(C41="","",IF(ISNUMBER(G41),G41+J41,"n.a."))</x:f>
      </x:c>
      <x:c r="L41" s="27" t="str">
        <x:f>IF(C41="","",IF(D41&gt;='Tong_hop'!$F$4,0,IF(AND(ISNUMBER(O41),ISNUMBER(K41)),O41-K41,"n.a.")))</x:f>
      </x:c>
      <x:c r="M41" s="23" t="str">
        <x:f>IF(C41="","",IF(N41&lt;&gt;"","Sửa dữ liệu",IF(D41&gt;='Tong_hop'!$F$4,"Ngoài kỳ",IF(ABS(L41)&lt;='Tong_hop'!$I$4,"Đã nhận đủ",IF(L41&lt;0,"Nhận vượt",IF(K41&gt;0,"Nhận thiếu","Đang chuyển"))))))</x:f>
      </x:c>
      <x:c r="N41" s="23" t="str">
        <x:f>IF(COUNTA(A41:H41)=0,"",IF(OR(NOT(OR(A41="TikTok Shop",A41="Shopee",A41="Lazada")),B41="",C41="",NOT(ISNUMBER(D41)),COUNT(E41:G41)&lt;&gt;3,E41&lt;0,F41&lt;0,F41&gt;E41,G41&lt;0),"Thiếu/sai dữ liệu",IF(NOT(COUNTIFS(T_SoDu[Khóa shop],A41&amp;"|"&amp;B41)=1),"Shop chưa khai báo",IF(COUNTIFS(T_Chuyen[Khóa đợt chuyển],I41)&lt;&gt;1,"Trùng đợt chuyển",""))))</x:f>
      </x:c>
      <x:c r="O41" s="27" t="str">
        <x:f>IF(C41="","",IF(COUNT(E41:F41)=2,E41-F41,"n.a."))</x:f>
      </x:c>
    </x:row>
    <x:row r="42" ht="22" customHeight="1">
      <x:c r="A42" s="10"/>
      <x:c r="B42" s="10"/>
      <x:c r="C42" s="24"/>
      <x:c r="D42" s="25"/>
      <x:c r="E42" s="26"/>
      <x:c r="F42" s="26"/>
      <x:c r="G42" s="26"/>
      <x:c r="H42" s="10"/>
      <x:c r="I42" s="23" t="str">
        <x:f>IF(C42="","",A42&amp;"|"&amp;B42&amp;"|"&amp;C42)</x:f>
      </x:c>
      <x:c r="J42" s="27" t="str">
        <x:f>IF(C42="","",SUMIFS(T_NH[Tiền thực nhận],T_NH[Khóa đợt chuyển],I42,T_NH[Ngày báo Có],"&gt;="&amp;'Tong_hop'!$C$4,T_NH[Ngày báo Có],"&lt;"&amp;'Tong_hop'!$F$4))</x:f>
      </x:c>
      <x:c r="K42" s="27" t="str">
        <x:f>IF(C42="","",IF(ISNUMBER(G42),G42+J42,"n.a."))</x:f>
      </x:c>
      <x:c r="L42" s="27" t="str">
        <x:f>IF(C42="","",IF(D42&gt;='Tong_hop'!$F$4,0,IF(AND(ISNUMBER(O42),ISNUMBER(K42)),O42-K42,"n.a.")))</x:f>
      </x:c>
      <x:c r="M42" s="23" t="str">
        <x:f>IF(C42="","",IF(N42&lt;&gt;"","Sửa dữ liệu",IF(D42&gt;='Tong_hop'!$F$4,"Ngoài kỳ",IF(ABS(L42)&lt;='Tong_hop'!$I$4,"Đã nhận đủ",IF(L42&lt;0,"Nhận vượt",IF(K42&gt;0,"Nhận thiếu","Đang chuyển"))))))</x:f>
      </x:c>
      <x:c r="N42" s="23" t="str">
        <x:f>IF(COUNTA(A42:H42)=0,"",IF(OR(NOT(OR(A42="TikTok Shop",A42="Shopee",A42="Lazada")),B42="",C42="",NOT(ISNUMBER(D42)),COUNT(E42:G42)&lt;&gt;3,E42&lt;0,F42&lt;0,F42&gt;E42,G42&lt;0),"Thiếu/sai dữ liệu",IF(NOT(COUNTIFS(T_SoDu[Khóa shop],A42&amp;"|"&amp;B42)=1),"Shop chưa khai báo",IF(COUNTIFS(T_Chuyen[Khóa đợt chuyển],I42)&lt;&gt;1,"Trùng đợt chuyển",""))))</x:f>
      </x:c>
      <x:c r="O42" s="27" t="str">
        <x:f>IF(C42="","",IF(COUNT(E42:F42)=2,E42-F42,"n.a."))</x:f>
      </x:c>
    </x:row>
    <x:row r="43" ht="22" customHeight="1">
      <x:c r="A43" s="10"/>
      <x:c r="B43" s="10"/>
      <x:c r="C43" s="24"/>
      <x:c r="D43" s="25"/>
      <x:c r="E43" s="26"/>
      <x:c r="F43" s="26"/>
      <x:c r="G43" s="26"/>
      <x:c r="H43" s="10"/>
      <x:c r="I43" s="23" t="str">
        <x:f>IF(C43="","",A43&amp;"|"&amp;B43&amp;"|"&amp;C43)</x:f>
      </x:c>
      <x:c r="J43" s="27" t="str">
        <x:f>IF(C43="","",SUMIFS(T_NH[Tiền thực nhận],T_NH[Khóa đợt chuyển],I43,T_NH[Ngày báo Có],"&gt;="&amp;'Tong_hop'!$C$4,T_NH[Ngày báo Có],"&lt;"&amp;'Tong_hop'!$F$4))</x:f>
      </x:c>
      <x:c r="K43" s="27" t="str">
        <x:f>IF(C43="","",IF(ISNUMBER(G43),G43+J43,"n.a."))</x:f>
      </x:c>
      <x:c r="L43" s="27" t="str">
        <x:f>IF(C43="","",IF(D43&gt;='Tong_hop'!$F$4,0,IF(AND(ISNUMBER(O43),ISNUMBER(K43)),O43-K43,"n.a.")))</x:f>
      </x:c>
      <x:c r="M43" s="23" t="str">
        <x:f>IF(C43="","",IF(N43&lt;&gt;"","Sửa dữ liệu",IF(D43&gt;='Tong_hop'!$F$4,"Ngoài kỳ",IF(ABS(L43)&lt;='Tong_hop'!$I$4,"Đã nhận đủ",IF(L43&lt;0,"Nhận vượt",IF(K43&gt;0,"Nhận thiếu","Đang chuyển"))))))</x:f>
      </x:c>
      <x:c r="N43" s="23" t="str">
        <x:f>IF(COUNTA(A43:H43)=0,"",IF(OR(NOT(OR(A43="TikTok Shop",A43="Shopee",A43="Lazada")),B43="",C43="",NOT(ISNUMBER(D43)),COUNT(E43:G43)&lt;&gt;3,E43&lt;0,F43&lt;0,F43&gt;E43,G43&lt;0),"Thiếu/sai dữ liệu",IF(NOT(COUNTIFS(T_SoDu[Khóa shop],A43&amp;"|"&amp;B43)=1),"Shop chưa khai báo",IF(COUNTIFS(T_Chuyen[Khóa đợt chuyển],I43)&lt;&gt;1,"Trùng đợt chuyển",""))))</x:f>
      </x:c>
      <x:c r="O43" s="27" t="str">
        <x:f>IF(C43="","",IF(COUNT(E43:F43)=2,E43-F43,"n.a."))</x:f>
      </x:c>
    </x:row>
    <x:row r="44" ht="22" customHeight="1">
      <x:c r="A44" s="10"/>
      <x:c r="B44" s="10"/>
      <x:c r="C44" s="24"/>
      <x:c r="D44" s="25"/>
      <x:c r="E44" s="26"/>
      <x:c r="F44" s="26"/>
      <x:c r="G44" s="26"/>
      <x:c r="H44" s="10"/>
      <x:c r="I44" s="23" t="str">
        <x:f>IF(C44="","",A44&amp;"|"&amp;B44&amp;"|"&amp;C44)</x:f>
      </x:c>
      <x:c r="J44" s="27" t="str">
        <x:f>IF(C44="","",SUMIFS(T_NH[Tiền thực nhận],T_NH[Khóa đợt chuyển],I44,T_NH[Ngày báo Có],"&gt;="&amp;'Tong_hop'!$C$4,T_NH[Ngày báo Có],"&lt;"&amp;'Tong_hop'!$F$4))</x:f>
      </x:c>
      <x:c r="K44" s="27" t="str">
        <x:f>IF(C44="","",IF(ISNUMBER(G44),G44+J44,"n.a."))</x:f>
      </x:c>
      <x:c r="L44" s="27" t="str">
        <x:f>IF(C44="","",IF(D44&gt;='Tong_hop'!$F$4,0,IF(AND(ISNUMBER(O44),ISNUMBER(K44)),O44-K44,"n.a.")))</x:f>
      </x:c>
      <x:c r="M44" s="23" t="str">
        <x:f>IF(C44="","",IF(N44&lt;&gt;"","Sửa dữ liệu",IF(D44&gt;='Tong_hop'!$F$4,"Ngoài kỳ",IF(ABS(L44)&lt;='Tong_hop'!$I$4,"Đã nhận đủ",IF(L44&lt;0,"Nhận vượt",IF(K44&gt;0,"Nhận thiếu","Đang chuyển"))))))</x:f>
      </x:c>
      <x:c r="N44" s="23" t="str">
        <x:f>IF(COUNTA(A44:H44)=0,"",IF(OR(NOT(OR(A44="TikTok Shop",A44="Shopee",A44="Lazada")),B44="",C44="",NOT(ISNUMBER(D44)),COUNT(E44:G44)&lt;&gt;3,E44&lt;0,F44&lt;0,F44&gt;E44,G44&lt;0),"Thiếu/sai dữ liệu",IF(NOT(COUNTIFS(T_SoDu[Khóa shop],A44&amp;"|"&amp;B44)=1),"Shop chưa khai báo",IF(COUNTIFS(T_Chuyen[Khóa đợt chuyển],I44)&lt;&gt;1,"Trùng đợt chuyển",""))))</x:f>
      </x:c>
      <x:c r="O44" s="27" t="str">
        <x:f>IF(C44="","",IF(COUNT(E44:F44)=2,E44-F44,"n.a."))</x:f>
      </x:c>
    </x:row>
    <x:row r="45" ht="22" customHeight="1">
      <x:c r="A45" s="10"/>
      <x:c r="B45" s="10"/>
      <x:c r="C45" s="24"/>
      <x:c r="D45" s="25"/>
      <x:c r="E45" s="26"/>
      <x:c r="F45" s="26"/>
      <x:c r="G45" s="26"/>
      <x:c r="H45" s="10"/>
      <x:c r="I45" s="23" t="str">
        <x:f>IF(C45="","",A45&amp;"|"&amp;B45&amp;"|"&amp;C45)</x:f>
      </x:c>
      <x:c r="J45" s="27" t="str">
        <x:f>IF(C45="","",SUMIFS(T_NH[Tiền thực nhận],T_NH[Khóa đợt chuyển],I45,T_NH[Ngày báo Có],"&gt;="&amp;'Tong_hop'!$C$4,T_NH[Ngày báo Có],"&lt;"&amp;'Tong_hop'!$F$4))</x:f>
      </x:c>
      <x:c r="K45" s="27" t="str">
        <x:f>IF(C45="","",IF(ISNUMBER(G45),G45+J45,"n.a."))</x:f>
      </x:c>
      <x:c r="L45" s="27" t="str">
        <x:f>IF(C45="","",IF(D45&gt;='Tong_hop'!$F$4,0,IF(AND(ISNUMBER(O45),ISNUMBER(K45)),O45-K45,"n.a.")))</x:f>
      </x:c>
      <x:c r="M45" s="23" t="str">
        <x:f>IF(C45="","",IF(N45&lt;&gt;"","Sửa dữ liệu",IF(D45&gt;='Tong_hop'!$F$4,"Ngoài kỳ",IF(ABS(L45)&lt;='Tong_hop'!$I$4,"Đã nhận đủ",IF(L45&lt;0,"Nhận vượt",IF(K45&gt;0,"Nhận thiếu","Đang chuyển"))))))</x:f>
      </x:c>
      <x:c r="N45" s="23" t="str">
        <x:f>IF(COUNTA(A45:H45)=0,"",IF(OR(NOT(OR(A45="TikTok Shop",A45="Shopee",A45="Lazada")),B45="",C45="",NOT(ISNUMBER(D45)),COUNT(E45:G45)&lt;&gt;3,E45&lt;0,F45&lt;0,F45&gt;E45,G45&lt;0),"Thiếu/sai dữ liệu",IF(NOT(COUNTIFS(T_SoDu[Khóa shop],A45&amp;"|"&amp;B45)=1),"Shop chưa khai báo",IF(COUNTIFS(T_Chuyen[Khóa đợt chuyển],I45)&lt;&gt;1,"Trùng đợt chuyển",""))))</x:f>
      </x:c>
      <x:c r="O45" s="27" t="str">
        <x:f>IF(C45="","",IF(COUNT(E45:F45)=2,E45-F45,"n.a."))</x:f>
      </x:c>
    </x:row>
    <x:row r="46" ht="22" customHeight="1">
      <x:c r="A46" s="10"/>
      <x:c r="B46" s="10"/>
      <x:c r="C46" s="24"/>
      <x:c r="D46" s="25"/>
      <x:c r="E46" s="26"/>
      <x:c r="F46" s="26"/>
      <x:c r="G46" s="26"/>
      <x:c r="H46" s="10"/>
      <x:c r="I46" s="23" t="str">
        <x:f>IF(C46="","",A46&amp;"|"&amp;B46&amp;"|"&amp;C46)</x:f>
      </x:c>
      <x:c r="J46" s="27" t="str">
        <x:f>IF(C46="","",SUMIFS(T_NH[Tiền thực nhận],T_NH[Khóa đợt chuyển],I46,T_NH[Ngày báo Có],"&gt;="&amp;'Tong_hop'!$C$4,T_NH[Ngày báo Có],"&lt;"&amp;'Tong_hop'!$F$4))</x:f>
      </x:c>
      <x:c r="K46" s="27" t="str">
        <x:f>IF(C46="","",IF(ISNUMBER(G46),G46+J46,"n.a."))</x:f>
      </x:c>
      <x:c r="L46" s="27" t="str">
        <x:f>IF(C46="","",IF(D46&gt;='Tong_hop'!$F$4,0,IF(AND(ISNUMBER(O46),ISNUMBER(K46)),O46-K46,"n.a.")))</x:f>
      </x:c>
      <x:c r="M46" s="23" t="str">
        <x:f>IF(C46="","",IF(N46&lt;&gt;"","Sửa dữ liệu",IF(D46&gt;='Tong_hop'!$F$4,"Ngoài kỳ",IF(ABS(L46)&lt;='Tong_hop'!$I$4,"Đã nhận đủ",IF(L46&lt;0,"Nhận vượt",IF(K46&gt;0,"Nhận thiếu","Đang chuyển"))))))</x:f>
      </x:c>
      <x:c r="N46" s="23" t="str">
        <x:f>IF(COUNTA(A46:H46)=0,"",IF(OR(NOT(OR(A46="TikTok Shop",A46="Shopee",A46="Lazada")),B46="",C46="",NOT(ISNUMBER(D46)),COUNT(E46:G46)&lt;&gt;3,E46&lt;0,F46&lt;0,F46&gt;E46,G46&lt;0),"Thiếu/sai dữ liệu",IF(NOT(COUNTIFS(T_SoDu[Khóa shop],A46&amp;"|"&amp;B46)=1),"Shop chưa khai báo",IF(COUNTIFS(T_Chuyen[Khóa đợt chuyển],I46)&lt;&gt;1,"Trùng đợt chuyển",""))))</x:f>
      </x:c>
      <x:c r="O46" s="27" t="str">
        <x:f>IF(C46="","",IF(COUNT(E46:F46)=2,E46-F46,"n.a."))</x:f>
      </x:c>
    </x:row>
    <x:row r="47" ht="22" customHeight="1">
      <x:c r="A47" s="10"/>
      <x:c r="B47" s="10"/>
      <x:c r="C47" s="24"/>
      <x:c r="D47" s="25"/>
      <x:c r="E47" s="26"/>
      <x:c r="F47" s="26"/>
      <x:c r="G47" s="26"/>
      <x:c r="H47" s="10"/>
      <x:c r="I47" s="23" t="str">
        <x:f>IF(C47="","",A47&amp;"|"&amp;B47&amp;"|"&amp;C47)</x:f>
      </x:c>
      <x:c r="J47" s="27" t="str">
        <x:f>IF(C47="","",SUMIFS(T_NH[Tiền thực nhận],T_NH[Khóa đợt chuyển],I47,T_NH[Ngày báo Có],"&gt;="&amp;'Tong_hop'!$C$4,T_NH[Ngày báo Có],"&lt;"&amp;'Tong_hop'!$F$4))</x:f>
      </x:c>
      <x:c r="K47" s="27" t="str">
        <x:f>IF(C47="","",IF(ISNUMBER(G47),G47+J47,"n.a."))</x:f>
      </x:c>
      <x:c r="L47" s="27" t="str">
        <x:f>IF(C47="","",IF(D47&gt;='Tong_hop'!$F$4,0,IF(AND(ISNUMBER(O47),ISNUMBER(K47)),O47-K47,"n.a.")))</x:f>
      </x:c>
      <x:c r="M47" s="23" t="str">
        <x:f>IF(C47="","",IF(N47&lt;&gt;"","Sửa dữ liệu",IF(D47&gt;='Tong_hop'!$F$4,"Ngoài kỳ",IF(ABS(L47)&lt;='Tong_hop'!$I$4,"Đã nhận đủ",IF(L47&lt;0,"Nhận vượt",IF(K47&gt;0,"Nhận thiếu","Đang chuyển"))))))</x:f>
      </x:c>
      <x:c r="N47" s="23" t="str">
        <x:f>IF(COUNTA(A47:H47)=0,"",IF(OR(NOT(OR(A47="TikTok Shop",A47="Shopee",A47="Lazada")),B47="",C47="",NOT(ISNUMBER(D47)),COUNT(E47:G47)&lt;&gt;3,E47&lt;0,F47&lt;0,F47&gt;E47,G47&lt;0),"Thiếu/sai dữ liệu",IF(NOT(COUNTIFS(T_SoDu[Khóa shop],A47&amp;"|"&amp;B47)=1),"Shop chưa khai báo",IF(COUNTIFS(T_Chuyen[Khóa đợt chuyển],I47)&lt;&gt;1,"Trùng đợt chuyển",""))))</x:f>
      </x:c>
      <x:c r="O47" s="27" t="str">
        <x:f>IF(C47="","",IF(COUNT(E47:F47)=2,E47-F47,"n.a."))</x:f>
      </x:c>
    </x:row>
    <x:row r="48" ht="22" customHeight="1">
      <x:c r="A48" s="10"/>
      <x:c r="B48" s="10"/>
      <x:c r="C48" s="24"/>
      <x:c r="D48" s="25"/>
      <x:c r="E48" s="26"/>
      <x:c r="F48" s="26"/>
      <x:c r="G48" s="26"/>
      <x:c r="H48" s="10"/>
      <x:c r="I48" s="23" t="str">
        <x:f>IF(C48="","",A48&amp;"|"&amp;B48&amp;"|"&amp;C48)</x:f>
      </x:c>
      <x:c r="J48" s="27" t="str">
        <x:f>IF(C48="","",SUMIFS(T_NH[Tiền thực nhận],T_NH[Khóa đợt chuyển],I48,T_NH[Ngày báo Có],"&gt;="&amp;'Tong_hop'!$C$4,T_NH[Ngày báo Có],"&lt;"&amp;'Tong_hop'!$F$4))</x:f>
      </x:c>
      <x:c r="K48" s="27" t="str">
        <x:f>IF(C48="","",IF(ISNUMBER(G48),G48+J48,"n.a."))</x:f>
      </x:c>
      <x:c r="L48" s="27" t="str">
        <x:f>IF(C48="","",IF(D48&gt;='Tong_hop'!$F$4,0,IF(AND(ISNUMBER(O48),ISNUMBER(K48)),O48-K48,"n.a.")))</x:f>
      </x:c>
      <x:c r="M48" s="23" t="str">
        <x:f>IF(C48="","",IF(N48&lt;&gt;"","Sửa dữ liệu",IF(D48&gt;='Tong_hop'!$F$4,"Ngoài kỳ",IF(ABS(L48)&lt;='Tong_hop'!$I$4,"Đã nhận đủ",IF(L48&lt;0,"Nhận vượt",IF(K48&gt;0,"Nhận thiếu","Đang chuyển"))))))</x:f>
      </x:c>
      <x:c r="N48" s="23" t="str">
        <x:f>IF(COUNTA(A48:H48)=0,"",IF(OR(NOT(OR(A48="TikTok Shop",A48="Shopee",A48="Lazada")),B48="",C48="",NOT(ISNUMBER(D48)),COUNT(E48:G48)&lt;&gt;3,E48&lt;0,F48&lt;0,F48&gt;E48,G48&lt;0),"Thiếu/sai dữ liệu",IF(NOT(COUNTIFS(T_SoDu[Khóa shop],A48&amp;"|"&amp;B48)=1),"Shop chưa khai báo",IF(COUNTIFS(T_Chuyen[Khóa đợt chuyển],I48)&lt;&gt;1,"Trùng đợt chuyển",""))))</x:f>
      </x:c>
      <x:c r="O48" s="27" t="str">
        <x:f>IF(C48="","",IF(COUNT(E48:F48)=2,E48-F48,"n.a."))</x:f>
      </x:c>
    </x:row>
    <x:row r="49" ht="22" customHeight="1">
      <x:c r="A49" s="10"/>
      <x:c r="B49" s="10"/>
      <x:c r="C49" s="24"/>
      <x:c r="D49" s="25"/>
      <x:c r="E49" s="26"/>
      <x:c r="F49" s="26"/>
      <x:c r="G49" s="26"/>
      <x:c r="H49" s="10"/>
      <x:c r="I49" s="23" t="str">
        <x:f>IF(C49="","",A49&amp;"|"&amp;B49&amp;"|"&amp;C49)</x:f>
      </x:c>
      <x:c r="J49" s="27" t="str">
        <x:f>IF(C49="","",SUMIFS(T_NH[Tiền thực nhận],T_NH[Khóa đợt chuyển],I49,T_NH[Ngày báo Có],"&gt;="&amp;'Tong_hop'!$C$4,T_NH[Ngày báo Có],"&lt;"&amp;'Tong_hop'!$F$4))</x:f>
      </x:c>
      <x:c r="K49" s="27" t="str">
        <x:f>IF(C49="","",IF(ISNUMBER(G49),G49+J49,"n.a."))</x:f>
      </x:c>
      <x:c r="L49" s="27" t="str">
        <x:f>IF(C49="","",IF(D49&gt;='Tong_hop'!$F$4,0,IF(AND(ISNUMBER(O49),ISNUMBER(K49)),O49-K49,"n.a.")))</x:f>
      </x:c>
      <x:c r="M49" s="23" t="str">
        <x:f>IF(C49="","",IF(N49&lt;&gt;"","Sửa dữ liệu",IF(D49&gt;='Tong_hop'!$F$4,"Ngoài kỳ",IF(ABS(L49)&lt;='Tong_hop'!$I$4,"Đã nhận đủ",IF(L49&lt;0,"Nhận vượt",IF(K49&gt;0,"Nhận thiếu","Đang chuyển"))))))</x:f>
      </x:c>
      <x:c r="N49" s="23" t="str">
        <x:f>IF(COUNTA(A49:H49)=0,"",IF(OR(NOT(OR(A49="TikTok Shop",A49="Shopee",A49="Lazada")),B49="",C49="",NOT(ISNUMBER(D49)),COUNT(E49:G49)&lt;&gt;3,E49&lt;0,F49&lt;0,F49&gt;E49,G49&lt;0),"Thiếu/sai dữ liệu",IF(NOT(COUNTIFS(T_SoDu[Khóa shop],A49&amp;"|"&amp;B49)=1),"Shop chưa khai báo",IF(COUNTIFS(T_Chuyen[Khóa đợt chuyển],I49)&lt;&gt;1,"Trùng đợt chuyển",""))))</x:f>
      </x:c>
      <x:c r="O49" s="27" t="str">
        <x:f>IF(C49="","",IF(COUNT(E49:F49)=2,E49-F49,"n.a."))</x:f>
      </x:c>
    </x:row>
    <x:row r="50" ht="22" customHeight="1">
      <x:c r="A50" s="10"/>
      <x:c r="B50" s="10"/>
      <x:c r="C50" s="24"/>
      <x:c r="D50" s="25"/>
      <x:c r="E50" s="26"/>
      <x:c r="F50" s="26"/>
      <x:c r="G50" s="26"/>
      <x:c r="H50" s="10"/>
      <x:c r="I50" s="23" t="str">
        <x:f>IF(C50="","",A50&amp;"|"&amp;B50&amp;"|"&amp;C50)</x:f>
      </x:c>
      <x:c r="J50" s="27" t="str">
        <x:f>IF(C50="","",SUMIFS(T_NH[Tiền thực nhận],T_NH[Khóa đợt chuyển],I50,T_NH[Ngày báo Có],"&gt;="&amp;'Tong_hop'!$C$4,T_NH[Ngày báo Có],"&lt;"&amp;'Tong_hop'!$F$4))</x:f>
      </x:c>
      <x:c r="K50" s="27" t="str">
        <x:f>IF(C50="","",IF(ISNUMBER(G50),G50+J50,"n.a."))</x:f>
      </x:c>
      <x:c r="L50" s="27" t="str">
        <x:f>IF(C50="","",IF(D50&gt;='Tong_hop'!$F$4,0,IF(AND(ISNUMBER(O50),ISNUMBER(K50)),O50-K50,"n.a.")))</x:f>
      </x:c>
      <x:c r="M50" s="23" t="str">
        <x:f>IF(C50="","",IF(N50&lt;&gt;"","Sửa dữ liệu",IF(D50&gt;='Tong_hop'!$F$4,"Ngoài kỳ",IF(ABS(L50)&lt;='Tong_hop'!$I$4,"Đã nhận đủ",IF(L50&lt;0,"Nhận vượt",IF(K50&gt;0,"Nhận thiếu","Đang chuyển"))))))</x:f>
      </x:c>
      <x:c r="N50" s="23" t="str">
        <x:f>IF(COUNTA(A50:H50)=0,"",IF(OR(NOT(OR(A50="TikTok Shop",A50="Shopee",A50="Lazada")),B50="",C50="",NOT(ISNUMBER(D50)),COUNT(E50:G50)&lt;&gt;3,E50&lt;0,F50&lt;0,F50&gt;E50,G50&lt;0),"Thiếu/sai dữ liệu",IF(NOT(COUNTIFS(T_SoDu[Khóa shop],A50&amp;"|"&amp;B50)=1),"Shop chưa khai báo",IF(COUNTIFS(T_Chuyen[Khóa đợt chuyển],I50)&lt;&gt;1,"Trùng đợt chuyển",""))))</x:f>
      </x:c>
      <x:c r="O50" s="27" t="str">
        <x:f>IF(C50="","",IF(COUNT(E50:F50)=2,E50-F50,"n.a."))</x:f>
      </x:c>
    </x:row>
    <x:row r="51" ht="22" customHeight="1">
      <x:c r="A51" s="10"/>
      <x:c r="B51" s="10"/>
      <x:c r="C51" s="24"/>
      <x:c r="D51" s="25"/>
      <x:c r="E51" s="26"/>
      <x:c r="F51" s="26"/>
      <x:c r="G51" s="26"/>
      <x:c r="H51" s="10"/>
      <x:c r="I51" s="23" t="str">
        <x:f>IF(C51="","",A51&amp;"|"&amp;B51&amp;"|"&amp;C51)</x:f>
      </x:c>
      <x:c r="J51" s="27" t="str">
        <x:f>IF(C51="","",SUMIFS(T_NH[Tiền thực nhận],T_NH[Khóa đợt chuyển],I51,T_NH[Ngày báo Có],"&gt;="&amp;'Tong_hop'!$C$4,T_NH[Ngày báo Có],"&lt;"&amp;'Tong_hop'!$F$4))</x:f>
      </x:c>
      <x:c r="K51" s="27" t="str">
        <x:f>IF(C51="","",IF(ISNUMBER(G51),G51+J51,"n.a."))</x:f>
      </x:c>
      <x:c r="L51" s="27" t="str">
        <x:f>IF(C51="","",IF(D51&gt;='Tong_hop'!$F$4,0,IF(AND(ISNUMBER(O51),ISNUMBER(K51)),O51-K51,"n.a.")))</x:f>
      </x:c>
      <x:c r="M51" s="23" t="str">
        <x:f>IF(C51="","",IF(N51&lt;&gt;"","Sửa dữ liệu",IF(D51&gt;='Tong_hop'!$F$4,"Ngoài kỳ",IF(ABS(L51)&lt;='Tong_hop'!$I$4,"Đã nhận đủ",IF(L51&lt;0,"Nhận vượt",IF(K51&gt;0,"Nhận thiếu","Đang chuyển"))))))</x:f>
      </x:c>
      <x:c r="N51" s="23" t="str">
        <x:f>IF(COUNTA(A51:H51)=0,"",IF(OR(NOT(OR(A51="TikTok Shop",A51="Shopee",A51="Lazada")),B51="",C51="",NOT(ISNUMBER(D51)),COUNT(E51:G51)&lt;&gt;3,E51&lt;0,F51&lt;0,F51&gt;E51,G51&lt;0),"Thiếu/sai dữ liệu",IF(NOT(COUNTIFS(T_SoDu[Khóa shop],A51&amp;"|"&amp;B51)=1),"Shop chưa khai báo",IF(COUNTIFS(T_Chuyen[Khóa đợt chuyển],I51)&lt;&gt;1,"Trùng đợt chuyển",""))))</x:f>
      </x:c>
      <x:c r="O51" s="27" t="str">
        <x:f>IF(C51="","",IF(COUNT(E51:F51)=2,E51-F51,"n.a."))</x:f>
      </x:c>
    </x:row>
    <x:row r="52" ht="22" customHeight="1">
      <x:c r="A52" s="10"/>
      <x:c r="B52" s="10"/>
      <x:c r="C52" s="24"/>
      <x:c r="D52" s="25"/>
      <x:c r="E52" s="26"/>
      <x:c r="F52" s="26"/>
      <x:c r="G52" s="26"/>
      <x:c r="H52" s="10"/>
      <x:c r="I52" s="23" t="str">
        <x:f>IF(C52="","",A52&amp;"|"&amp;B52&amp;"|"&amp;C52)</x:f>
      </x:c>
      <x:c r="J52" s="27" t="str">
        <x:f>IF(C52="","",SUMIFS(T_NH[Tiền thực nhận],T_NH[Khóa đợt chuyển],I52,T_NH[Ngày báo Có],"&gt;="&amp;'Tong_hop'!$C$4,T_NH[Ngày báo Có],"&lt;"&amp;'Tong_hop'!$F$4))</x:f>
      </x:c>
      <x:c r="K52" s="27" t="str">
        <x:f>IF(C52="","",IF(ISNUMBER(G52),G52+J52,"n.a."))</x:f>
      </x:c>
      <x:c r="L52" s="27" t="str">
        <x:f>IF(C52="","",IF(D52&gt;='Tong_hop'!$F$4,0,IF(AND(ISNUMBER(O52),ISNUMBER(K52)),O52-K52,"n.a.")))</x:f>
      </x:c>
      <x:c r="M52" s="23" t="str">
        <x:f>IF(C52="","",IF(N52&lt;&gt;"","Sửa dữ liệu",IF(D52&gt;='Tong_hop'!$F$4,"Ngoài kỳ",IF(ABS(L52)&lt;='Tong_hop'!$I$4,"Đã nhận đủ",IF(L52&lt;0,"Nhận vượt",IF(K52&gt;0,"Nhận thiếu","Đang chuyển"))))))</x:f>
      </x:c>
      <x:c r="N52" s="23" t="str">
        <x:f>IF(COUNTA(A52:H52)=0,"",IF(OR(NOT(OR(A52="TikTok Shop",A52="Shopee",A52="Lazada")),B52="",C52="",NOT(ISNUMBER(D52)),COUNT(E52:G52)&lt;&gt;3,E52&lt;0,F52&lt;0,F52&gt;E52,G52&lt;0),"Thiếu/sai dữ liệu",IF(NOT(COUNTIFS(T_SoDu[Khóa shop],A52&amp;"|"&amp;B52)=1),"Shop chưa khai báo",IF(COUNTIFS(T_Chuyen[Khóa đợt chuyển],I52)&lt;&gt;1,"Trùng đợt chuyển",""))))</x:f>
      </x:c>
      <x:c r="O52" s="27" t="str">
        <x:f>IF(C52="","",IF(COUNT(E52:F52)=2,E52-F52,"n.a."))</x:f>
      </x:c>
    </x:row>
    <x:row r="53" ht="22" customHeight="1">
      <x:c r="A53" s="10"/>
      <x:c r="B53" s="10"/>
      <x:c r="C53" s="24"/>
      <x:c r="D53" s="25"/>
      <x:c r="E53" s="26"/>
      <x:c r="F53" s="26"/>
      <x:c r="G53" s="26"/>
      <x:c r="H53" s="10"/>
      <x:c r="I53" s="23" t="str">
        <x:f>IF(C53="","",A53&amp;"|"&amp;B53&amp;"|"&amp;C53)</x:f>
      </x:c>
      <x:c r="J53" s="27" t="str">
        <x:f>IF(C53="","",SUMIFS(T_NH[Tiền thực nhận],T_NH[Khóa đợt chuyển],I53,T_NH[Ngày báo Có],"&gt;="&amp;'Tong_hop'!$C$4,T_NH[Ngày báo Có],"&lt;"&amp;'Tong_hop'!$F$4))</x:f>
      </x:c>
      <x:c r="K53" s="27" t="str">
        <x:f>IF(C53="","",IF(ISNUMBER(G53),G53+J53,"n.a."))</x:f>
      </x:c>
      <x:c r="L53" s="27" t="str">
        <x:f>IF(C53="","",IF(D53&gt;='Tong_hop'!$F$4,0,IF(AND(ISNUMBER(O53),ISNUMBER(K53)),O53-K53,"n.a.")))</x:f>
      </x:c>
      <x:c r="M53" s="23" t="str">
        <x:f>IF(C53="","",IF(N53&lt;&gt;"","Sửa dữ liệu",IF(D53&gt;='Tong_hop'!$F$4,"Ngoài kỳ",IF(ABS(L53)&lt;='Tong_hop'!$I$4,"Đã nhận đủ",IF(L53&lt;0,"Nhận vượt",IF(K53&gt;0,"Nhận thiếu","Đang chuyển"))))))</x:f>
      </x:c>
      <x:c r="N53" s="23" t="str">
        <x:f>IF(COUNTA(A53:H53)=0,"",IF(OR(NOT(OR(A53="TikTok Shop",A53="Shopee",A53="Lazada")),B53="",C53="",NOT(ISNUMBER(D53)),COUNT(E53:G53)&lt;&gt;3,E53&lt;0,F53&lt;0,F53&gt;E53,G53&lt;0),"Thiếu/sai dữ liệu",IF(NOT(COUNTIFS(T_SoDu[Khóa shop],A53&amp;"|"&amp;B53)=1),"Shop chưa khai báo",IF(COUNTIFS(T_Chuyen[Khóa đợt chuyển],I53)&lt;&gt;1,"Trùng đợt chuyển",""))))</x:f>
      </x:c>
      <x:c r="O53" s="27" t="str">
        <x:f>IF(C53="","",IF(COUNT(E53:F53)=2,E53-F53,"n.a."))</x:f>
      </x:c>
    </x:row>
    <x:row r="54" ht="22" customHeight="1">
      <x:c r="A54" s="10"/>
      <x:c r="B54" s="10"/>
      <x:c r="C54" s="24"/>
      <x:c r="D54" s="25"/>
      <x:c r="E54" s="26"/>
      <x:c r="F54" s="26"/>
      <x:c r="G54" s="26"/>
      <x:c r="H54" s="10"/>
      <x:c r="I54" s="23" t="str">
        <x:f>IF(C54="","",A54&amp;"|"&amp;B54&amp;"|"&amp;C54)</x:f>
      </x:c>
      <x:c r="J54" s="27" t="str">
        <x:f>IF(C54="","",SUMIFS(T_NH[Tiền thực nhận],T_NH[Khóa đợt chuyển],I54,T_NH[Ngày báo Có],"&gt;="&amp;'Tong_hop'!$C$4,T_NH[Ngày báo Có],"&lt;"&amp;'Tong_hop'!$F$4))</x:f>
      </x:c>
      <x:c r="K54" s="27" t="str">
        <x:f>IF(C54="","",IF(ISNUMBER(G54),G54+J54,"n.a."))</x:f>
      </x:c>
      <x:c r="L54" s="27" t="str">
        <x:f>IF(C54="","",IF(D54&gt;='Tong_hop'!$F$4,0,IF(AND(ISNUMBER(O54),ISNUMBER(K54)),O54-K54,"n.a.")))</x:f>
      </x:c>
      <x:c r="M54" s="23" t="str">
        <x:f>IF(C54="","",IF(N54&lt;&gt;"","Sửa dữ liệu",IF(D54&gt;='Tong_hop'!$F$4,"Ngoài kỳ",IF(ABS(L54)&lt;='Tong_hop'!$I$4,"Đã nhận đủ",IF(L54&lt;0,"Nhận vượt",IF(K54&gt;0,"Nhận thiếu","Đang chuyển"))))))</x:f>
      </x:c>
      <x:c r="N54" s="23" t="str">
        <x:f>IF(COUNTA(A54:H54)=0,"",IF(OR(NOT(OR(A54="TikTok Shop",A54="Shopee",A54="Lazada")),B54="",C54="",NOT(ISNUMBER(D54)),COUNT(E54:G54)&lt;&gt;3,E54&lt;0,F54&lt;0,F54&gt;E54,G54&lt;0),"Thiếu/sai dữ liệu",IF(NOT(COUNTIFS(T_SoDu[Khóa shop],A54&amp;"|"&amp;B54)=1),"Shop chưa khai báo",IF(COUNTIFS(T_Chuyen[Khóa đợt chuyển],I54)&lt;&gt;1,"Trùng đợt chuyển",""))))</x:f>
      </x:c>
      <x:c r="O54" s="27" t="str">
        <x:f>IF(C54="","",IF(COUNT(E54:F54)=2,E54-F54,"n.a."))</x:f>
      </x:c>
    </x:row>
    <x:row r="55" ht="22" customHeight="1">
      <x:c r="A55" s="10"/>
      <x:c r="B55" s="10"/>
      <x:c r="C55" s="24"/>
      <x:c r="D55" s="25"/>
      <x:c r="E55" s="26"/>
      <x:c r="F55" s="26"/>
      <x:c r="G55" s="26"/>
      <x:c r="H55" s="10"/>
      <x:c r="I55" s="23" t="str">
        <x:f>IF(C55="","",A55&amp;"|"&amp;B55&amp;"|"&amp;C55)</x:f>
      </x:c>
      <x:c r="J55" s="27" t="str">
        <x:f>IF(C55="","",SUMIFS(T_NH[Tiền thực nhận],T_NH[Khóa đợt chuyển],I55,T_NH[Ngày báo Có],"&gt;="&amp;'Tong_hop'!$C$4,T_NH[Ngày báo Có],"&lt;"&amp;'Tong_hop'!$F$4))</x:f>
      </x:c>
      <x:c r="K55" s="27" t="str">
        <x:f>IF(C55="","",IF(ISNUMBER(G55),G55+J55,"n.a."))</x:f>
      </x:c>
      <x:c r="L55" s="27" t="str">
        <x:f>IF(C55="","",IF(D55&gt;='Tong_hop'!$F$4,0,IF(AND(ISNUMBER(O55),ISNUMBER(K55)),O55-K55,"n.a.")))</x:f>
      </x:c>
      <x:c r="M55" s="23" t="str">
        <x:f>IF(C55="","",IF(N55&lt;&gt;"","Sửa dữ liệu",IF(D55&gt;='Tong_hop'!$F$4,"Ngoài kỳ",IF(ABS(L55)&lt;='Tong_hop'!$I$4,"Đã nhận đủ",IF(L55&lt;0,"Nhận vượt",IF(K55&gt;0,"Nhận thiếu","Đang chuyển"))))))</x:f>
      </x:c>
      <x:c r="N55" s="23" t="str">
        <x:f>IF(COUNTA(A55:H55)=0,"",IF(OR(NOT(OR(A55="TikTok Shop",A55="Shopee",A55="Lazada")),B55="",C55="",NOT(ISNUMBER(D55)),COUNT(E55:G55)&lt;&gt;3,E55&lt;0,F55&lt;0,F55&gt;E55,G55&lt;0),"Thiếu/sai dữ liệu",IF(NOT(COUNTIFS(T_SoDu[Khóa shop],A55&amp;"|"&amp;B55)=1),"Shop chưa khai báo",IF(COUNTIFS(T_Chuyen[Khóa đợt chuyển],I55)&lt;&gt;1,"Trùng đợt chuyển",""))))</x:f>
      </x:c>
      <x:c r="O55" s="27" t="str">
        <x:f>IF(C55="","",IF(COUNT(E55:F55)=2,E55-F55,"n.a."))</x:f>
      </x:c>
    </x:row>
    <x:row r="56" ht="22" customHeight="1">
      <x:c r="A56" s="10"/>
      <x:c r="B56" s="10"/>
      <x:c r="C56" s="24"/>
      <x:c r="D56" s="25"/>
      <x:c r="E56" s="26"/>
      <x:c r="F56" s="26"/>
      <x:c r="G56" s="26"/>
      <x:c r="H56" s="10"/>
      <x:c r="I56" s="23" t="str">
        <x:f>IF(C56="","",A56&amp;"|"&amp;B56&amp;"|"&amp;C56)</x:f>
      </x:c>
      <x:c r="J56" s="27" t="str">
        <x:f>IF(C56="","",SUMIFS(T_NH[Tiền thực nhận],T_NH[Khóa đợt chuyển],I56,T_NH[Ngày báo Có],"&gt;="&amp;'Tong_hop'!$C$4,T_NH[Ngày báo Có],"&lt;"&amp;'Tong_hop'!$F$4))</x:f>
      </x:c>
      <x:c r="K56" s="27" t="str">
        <x:f>IF(C56="","",IF(ISNUMBER(G56),G56+J56,"n.a."))</x:f>
      </x:c>
      <x:c r="L56" s="27" t="str">
        <x:f>IF(C56="","",IF(D56&gt;='Tong_hop'!$F$4,0,IF(AND(ISNUMBER(O56),ISNUMBER(K56)),O56-K56,"n.a.")))</x:f>
      </x:c>
      <x:c r="M56" s="23" t="str">
        <x:f>IF(C56="","",IF(N56&lt;&gt;"","Sửa dữ liệu",IF(D56&gt;='Tong_hop'!$F$4,"Ngoài kỳ",IF(ABS(L56)&lt;='Tong_hop'!$I$4,"Đã nhận đủ",IF(L56&lt;0,"Nhận vượt",IF(K56&gt;0,"Nhận thiếu","Đang chuyển"))))))</x:f>
      </x:c>
      <x:c r="N56" s="23" t="str">
        <x:f>IF(COUNTA(A56:H56)=0,"",IF(OR(NOT(OR(A56="TikTok Shop",A56="Shopee",A56="Lazada")),B56="",C56="",NOT(ISNUMBER(D56)),COUNT(E56:G56)&lt;&gt;3,E56&lt;0,F56&lt;0,F56&gt;E56,G56&lt;0),"Thiếu/sai dữ liệu",IF(NOT(COUNTIFS(T_SoDu[Khóa shop],A56&amp;"|"&amp;B56)=1),"Shop chưa khai báo",IF(COUNTIFS(T_Chuyen[Khóa đợt chuyển],I56)&lt;&gt;1,"Trùng đợt chuyển",""))))</x:f>
      </x:c>
      <x:c r="O56" s="27" t="str">
        <x:f>IF(C56="","",IF(COUNT(E56:F56)=2,E56-F56,"n.a."))</x:f>
      </x:c>
    </x:row>
    <x:row r="57" ht="22" customHeight="1">
      <x:c r="A57" s="10"/>
      <x:c r="B57" s="10"/>
      <x:c r="C57" s="24"/>
      <x:c r="D57" s="25"/>
      <x:c r="E57" s="26"/>
      <x:c r="F57" s="26"/>
      <x:c r="G57" s="26"/>
      <x:c r="H57" s="10"/>
      <x:c r="I57" s="23" t="str">
        <x:f>IF(C57="","",A57&amp;"|"&amp;B57&amp;"|"&amp;C57)</x:f>
      </x:c>
      <x:c r="J57" s="27" t="str">
        <x:f>IF(C57="","",SUMIFS(T_NH[Tiền thực nhận],T_NH[Khóa đợt chuyển],I57,T_NH[Ngày báo Có],"&gt;="&amp;'Tong_hop'!$C$4,T_NH[Ngày báo Có],"&lt;"&amp;'Tong_hop'!$F$4))</x:f>
      </x:c>
      <x:c r="K57" s="27" t="str">
        <x:f>IF(C57="","",IF(ISNUMBER(G57),G57+J57,"n.a."))</x:f>
      </x:c>
      <x:c r="L57" s="27" t="str">
        <x:f>IF(C57="","",IF(D57&gt;='Tong_hop'!$F$4,0,IF(AND(ISNUMBER(O57),ISNUMBER(K57)),O57-K57,"n.a.")))</x:f>
      </x:c>
      <x:c r="M57" s="23" t="str">
        <x:f>IF(C57="","",IF(N57&lt;&gt;"","Sửa dữ liệu",IF(D57&gt;='Tong_hop'!$F$4,"Ngoài kỳ",IF(ABS(L57)&lt;='Tong_hop'!$I$4,"Đã nhận đủ",IF(L57&lt;0,"Nhận vượt",IF(K57&gt;0,"Nhận thiếu","Đang chuyển"))))))</x:f>
      </x:c>
      <x:c r="N57" s="23" t="str">
        <x:f>IF(COUNTA(A57:H57)=0,"",IF(OR(NOT(OR(A57="TikTok Shop",A57="Shopee",A57="Lazada")),B57="",C57="",NOT(ISNUMBER(D57)),COUNT(E57:G57)&lt;&gt;3,E57&lt;0,F57&lt;0,F57&gt;E57,G57&lt;0),"Thiếu/sai dữ liệu",IF(NOT(COUNTIFS(T_SoDu[Khóa shop],A57&amp;"|"&amp;B57)=1),"Shop chưa khai báo",IF(COUNTIFS(T_Chuyen[Khóa đợt chuyển],I57)&lt;&gt;1,"Trùng đợt chuyển",""))))</x:f>
      </x:c>
      <x:c r="O57" s="27" t="str">
        <x:f>IF(C57="","",IF(COUNT(E57:F57)=2,E57-F57,"n.a."))</x:f>
      </x:c>
    </x:row>
    <x:row r="58" ht="22" customHeight="1">
      <x:c r="A58" s="10"/>
      <x:c r="B58" s="10"/>
      <x:c r="C58" s="24"/>
      <x:c r="D58" s="25"/>
      <x:c r="E58" s="26"/>
      <x:c r="F58" s="26"/>
      <x:c r="G58" s="26"/>
      <x:c r="H58" s="10"/>
      <x:c r="I58" s="23" t="str">
        <x:f>IF(C58="","",A58&amp;"|"&amp;B58&amp;"|"&amp;C58)</x:f>
      </x:c>
      <x:c r="J58" s="27" t="str">
        <x:f>IF(C58="","",SUMIFS(T_NH[Tiền thực nhận],T_NH[Khóa đợt chuyển],I58,T_NH[Ngày báo Có],"&gt;="&amp;'Tong_hop'!$C$4,T_NH[Ngày báo Có],"&lt;"&amp;'Tong_hop'!$F$4))</x:f>
      </x:c>
      <x:c r="K58" s="27" t="str">
        <x:f>IF(C58="","",IF(ISNUMBER(G58),G58+J58,"n.a."))</x:f>
      </x:c>
      <x:c r="L58" s="27" t="str">
        <x:f>IF(C58="","",IF(D58&gt;='Tong_hop'!$F$4,0,IF(AND(ISNUMBER(O58),ISNUMBER(K58)),O58-K58,"n.a.")))</x:f>
      </x:c>
      <x:c r="M58" s="23" t="str">
        <x:f>IF(C58="","",IF(N58&lt;&gt;"","Sửa dữ liệu",IF(D58&gt;='Tong_hop'!$F$4,"Ngoài kỳ",IF(ABS(L58)&lt;='Tong_hop'!$I$4,"Đã nhận đủ",IF(L58&lt;0,"Nhận vượt",IF(K58&gt;0,"Nhận thiếu","Đang chuyển"))))))</x:f>
      </x:c>
      <x:c r="N58" s="23" t="str">
        <x:f>IF(COUNTA(A58:H58)=0,"",IF(OR(NOT(OR(A58="TikTok Shop",A58="Shopee",A58="Lazada")),B58="",C58="",NOT(ISNUMBER(D58)),COUNT(E58:G58)&lt;&gt;3,E58&lt;0,F58&lt;0,F58&gt;E58,G58&lt;0),"Thiếu/sai dữ liệu",IF(NOT(COUNTIFS(T_SoDu[Khóa shop],A58&amp;"|"&amp;B58)=1),"Shop chưa khai báo",IF(COUNTIFS(T_Chuyen[Khóa đợt chuyển],I58)&lt;&gt;1,"Trùng đợt chuyển",""))))</x:f>
      </x:c>
      <x:c r="O58" s="27" t="str">
        <x:f>IF(C58="","",IF(COUNT(E58:F58)=2,E58-F58,"n.a."))</x:f>
      </x:c>
    </x:row>
    <x:row r="59" ht="22" customHeight="1">
      <x:c r="A59" s="10"/>
      <x:c r="B59" s="10"/>
      <x:c r="C59" s="24"/>
      <x:c r="D59" s="25"/>
      <x:c r="E59" s="26"/>
      <x:c r="F59" s="26"/>
      <x:c r="G59" s="26"/>
      <x:c r="H59" s="10"/>
      <x:c r="I59" s="23" t="str">
        <x:f>IF(C59="","",A59&amp;"|"&amp;B59&amp;"|"&amp;C59)</x:f>
      </x:c>
      <x:c r="J59" s="27" t="str">
        <x:f>IF(C59="","",SUMIFS(T_NH[Tiền thực nhận],T_NH[Khóa đợt chuyển],I59,T_NH[Ngày báo Có],"&gt;="&amp;'Tong_hop'!$C$4,T_NH[Ngày báo Có],"&lt;"&amp;'Tong_hop'!$F$4))</x:f>
      </x:c>
      <x:c r="K59" s="27" t="str">
        <x:f>IF(C59="","",IF(ISNUMBER(G59),G59+J59,"n.a."))</x:f>
      </x:c>
      <x:c r="L59" s="27" t="str">
        <x:f>IF(C59="","",IF(D59&gt;='Tong_hop'!$F$4,0,IF(AND(ISNUMBER(O59),ISNUMBER(K59)),O59-K59,"n.a.")))</x:f>
      </x:c>
      <x:c r="M59" s="23" t="str">
        <x:f>IF(C59="","",IF(N59&lt;&gt;"","Sửa dữ liệu",IF(D59&gt;='Tong_hop'!$F$4,"Ngoài kỳ",IF(ABS(L59)&lt;='Tong_hop'!$I$4,"Đã nhận đủ",IF(L59&lt;0,"Nhận vượt",IF(K59&gt;0,"Nhận thiếu","Đang chuyển"))))))</x:f>
      </x:c>
      <x:c r="N59" s="23" t="str">
        <x:f>IF(COUNTA(A59:H59)=0,"",IF(OR(NOT(OR(A59="TikTok Shop",A59="Shopee",A59="Lazada")),B59="",C59="",NOT(ISNUMBER(D59)),COUNT(E59:G59)&lt;&gt;3,E59&lt;0,F59&lt;0,F59&gt;E59,G59&lt;0),"Thiếu/sai dữ liệu",IF(NOT(COUNTIFS(T_SoDu[Khóa shop],A59&amp;"|"&amp;B59)=1),"Shop chưa khai báo",IF(COUNTIFS(T_Chuyen[Khóa đợt chuyển],I59)&lt;&gt;1,"Trùng đợt chuyển",""))))</x:f>
      </x:c>
      <x:c r="O59" s="27" t="str">
        <x:f>IF(C59="","",IF(COUNT(E59:F59)=2,E59-F59,"n.a."))</x:f>
      </x:c>
    </x:row>
    <x:row r="60" ht="22" customHeight="1">
      <x:c r="A60" s="10"/>
      <x:c r="B60" s="10"/>
      <x:c r="C60" s="24"/>
      <x:c r="D60" s="25"/>
      <x:c r="E60" s="26"/>
      <x:c r="F60" s="26"/>
      <x:c r="G60" s="26"/>
      <x:c r="H60" s="10"/>
      <x:c r="I60" s="23" t="str">
        <x:f>IF(C60="","",A60&amp;"|"&amp;B60&amp;"|"&amp;C60)</x:f>
      </x:c>
      <x:c r="J60" s="27" t="str">
        <x:f>IF(C60="","",SUMIFS(T_NH[Tiền thực nhận],T_NH[Khóa đợt chuyển],I60,T_NH[Ngày báo Có],"&gt;="&amp;'Tong_hop'!$C$4,T_NH[Ngày báo Có],"&lt;"&amp;'Tong_hop'!$F$4))</x:f>
      </x:c>
      <x:c r="K60" s="27" t="str">
        <x:f>IF(C60="","",IF(ISNUMBER(G60),G60+J60,"n.a."))</x:f>
      </x:c>
      <x:c r="L60" s="27" t="str">
        <x:f>IF(C60="","",IF(D60&gt;='Tong_hop'!$F$4,0,IF(AND(ISNUMBER(O60),ISNUMBER(K60)),O60-K60,"n.a.")))</x:f>
      </x:c>
      <x:c r="M60" s="23" t="str">
        <x:f>IF(C60="","",IF(N60&lt;&gt;"","Sửa dữ liệu",IF(D60&gt;='Tong_hop'!$F$4,"Ngoài kỳ",IF(ABS(L60)&lt;='Tong_hop'!$I$4,"Đã nhận đủ",IF(L60&lt;0,"Nhận vượt",IF(K60&gt;0,"Nhận thiếu","Đang chuyển"))))))</x:f>
      </x:c>
      <x:c r="N60" s="23" t="str">
        <x:f>IF(COUNTA(A60:H60)=0,"",IF(OR(NOT(OR(A60="TikTok Shop",A60="Shopee",A60="Lazada")),B60="",C60="",NOT(ISNUMBER(D60)),COUNT(E60:G60)&lt;&gt;3,E60&lt;0,F60&lt;0,F60&gt;E60,G60&lt;0),"Thiếu/sai dữ liệu",IF(NOT(COUNTIFS(T_SoDu[Khóa shop],A60&amp;"|"&amp;B60)=1),"Shop chưa khai báo",IF(COUNTIFS(T_Chuyen[Khóa đợt chuyển],I60)&lt;&gt;1,"Trùng đợt chuyển",""))))</x:f>
      </x:c>
      <x:c r="O60" s="27" t="str">
        <x:f>IF(C60="","",IF(COUNT(E60:F60)=2,E60-F60,"n.a."))</x:f>
      </x:c>
    </x:row>
    <x:row r="61" ht="22" customHeight="1">
      <x:c r="A61" s="10"/>
      <x:c r="B61" s="10"/>
      <x:c r="C61" s="24"/>
      <x:c r="D61" s="25"/>
      <x:c r="E61" s="26"/>
      <x:c r="F61" s="26"/>
      <x:c r="G61" s="26"/>
      <x:c r="H61" s="10"/>
      <x:c r="I61" s="23" t="str">
        <x:f>IF(C61="","",A61&amp;"|"&amp;B61&amp;"|"&amp;C61)</x:f>
      </x:c>
      <x:c r="J61" s="27" t="str">
        <x:f>IF(C61="","",SUMIFS(T_NH[Tiền thực nhận],T_NH[Khóa đợt chuyển],I61,T_NH[Ngày báo Có],"&gt;="&amp;'Tong_hop'!$C$4,T_NH[Ngày báo Có],"&lt;"&amp;'Tong_hop'!$F$4))</x:f>
      </x:c>
      <x:c r="K61" s="27" t="str">
        <x:f>IF(C61="","",IF(ISNUMBER(G61),G61+J61,"n.a."))</x:f>
      </x:c>
      <x:c r="L61" s="27" t="str">
        <x:f>IF(C61="","",IF(D61&gt;='Tong_hop'!$F$4,0,IF(AND(ISNUMBER(O61),ISNUMBER(K61)),O61-K61,"n.a.")))</x:f>
      </x:c>
      <x:c r="M61" s="23" t="str">
        <x:f>IF(C61="","",IF(N61&lt;&gt;"","Sửa dữ liệu",IF(D61&gt;='Tong_hop'!$F$4,"Ngoài kỳ",IF(ABS(L61)&lt;='Tong_hop'!$I$4,"Đã nhận đủ",IF(L61&lt;0,"Nhận vượt",IF(K61&gt;0,"Nhận thiếu","Đang chuyển"))))))</x:f>
      </x:c>
      <x:c r="N61" s="23" t="str">
        <x:f>IF(COUNTA(A61:H61)=0,"",IF(OR(NOT(OR(A61="TikTok Shop",A61="Shopee",A61="Lazada")),B61="",C61="",NOT(ISNUMBER(D61)),COUNT(E61:G61)&lt;&gt;3,E61&lt;0,F61&lt;0,F61&gt;E61,G61&lt;0),"Thiếu/sai dữ liệu",IF(NOT(COUNTIFS(T_SoDu[Khóa shop],A61&amp;"|"&amp;B61)=1),"Shop chưa khai báo",IF(COUNTIFS(T_Chuyen[Khóa đợt chuyển],I61)&lt;&gt;1,"Trùng đợt chuyển",""))))</x:f>
      </x:c>
      <x:c r="O61" s="27" t="str">
        <x:f>IF(C61="","",IF(COUNT(E61:F61)=2,E61-F61,"n.a."))</x:f>
      </x:c>
    </x:row>
    <x:row r="62" ht="22" customHeight="1">
      <x:c r="A62" s="10"/>
      <x:c r="B62" s="10"/>
      <x:c r="C62" s="24"/>
      <x:c r="D62" s="25"/>
      <x:c r="E62" s="26"/>
      <x:c r="F62" s="26"/>
      <x:c r="G62" s="26"/>
      <x:c r="H62" s="10"/>
      <x:c r="I62" s="23" t="str">
        <x:f>IF(C62="","",A62&amp;"|"&amp;B62&amp;"|"&amp;C62)</x:f>
      </x:c>
      <x:c r="J62" s="27" t="str">
        <x:f>IF(C62="","",SUMIFS(T_NH[Tiền thực nhận],T_NH[Khóa đợt chuyển],I62,T_NH[Ngày báo Có],"&gt;="&amp;'Tong_hop'!$C$4,T_NH[Ngày báo Có],"&lt;"&amp;'Tong_hop'!$F$4))</x:f>
      </x:c>
      <x:c r="K62" s="27" t="str">
        <x:f>IF(C62="","",IF(ISNUMBER(G62),G62+J62,"n.a."))</x:f>
      </x:c>
      <x:c r="L62" s="27" t="str">
        <x:f>IF(C62="","",IF(D62&gt;='Tong_hop'!$F$4,0,IF(AND(ISNUMBER(O62),ISNUMBER(K62)),O62-K62,"n.a.")))</x:f>
      </x:c>
      <x:c r="M62" s="23" t="str">
        <x:f>IF(C62="","",IF(N62&lt;&gt;"","Sửa dữ liệu",IF(D62&gt;='Tong_hop'!$F$4,"Ngoài kỳ",IF(ABS(L62)&lt;='Tong_hop'!$I$4,"Đã nhận đủ",IF(L62&lt;0,"Nhận vượt",IF(K62&gt;0,"Nhận thiếu","Đang chuyển"))))))</x:f>
      </x:c>
      <x:c r="N62" s="23" t="str">
        <x:f>IF(COUNTA(A62:H62)=0,"",IF(OR(NOT(OR(A62="TikTok Shop",A62="Shopee",A62="Lazada")),B62="",C62="",NOT(ISNUMBER(D62)),COUNT(E62:G62)&lt;&gt;3,E62&lt;0,F62&lt;0,F62&gt;E62,G62&lt;0),"Thiếu/sai dữ liệu",IF(NOT(COUNTIFS(T_SoDu[Khóa shop],A62&amp;"|"&amp;B62)=1),"Shop chưa khai báo",IF(COUNTIFS(T_Chuyen[Khóa đợt chuyển],I62)&lt;&gt;1,"Trùng đợt chuyển",""))))</x:f>
      </x:c>
      <x:c r="O62" s="27" t="str">
        <x:f>IF(C62="","",IF(COUNT(E62:F62)=2,E62-F62,"n.a."))</x:f>
      </x:c>
    </x:row>
    <x:row r="63" ht="22" customHeight="1">
      <x:c r="A63" s="10"/>
      <x:c r="B63" s="10"/>
      <x:c r="C63" s="24"/>
      <x:c r="D63" s="25"/>
      <x:c r="E63" s="26"/>
      <x:c r="F63" s="26"/>
      <x:c r="G63" s="26"/>
      <x:c r="H63" s="10"/>
      <x:c r="I63" s="23" t="str">
        <x:f>IF(C63="","",A63&amp;"|"&amp;B63&amp;"|"&amp;C63)</x:f>
      </x:c>
      <x:c r="J63" s="27" t="str">
        <x:f>IF(C63="","",SUMIFS(T_NH[Tiền thực nhận],T_NH[Khóa đợt chuyển],I63,T_NH[Ngày báo Có],"&gt;="&amp;'Tong_hop'!$C$4,T_NH[Ngày báo Có],"&lt;"&amp;'Tong_hop'!$F$4))</x:f>
      </x:c>
      <x:c r="K63" s="27" t="str">
        <x:f>IF(C63="","",IF(ISNUMBER(G63),G63+J63,"n.a."))</x:f>
      </x:c>
      <x:c r="L63" s="27" t="str">
        <x:f>IF(C63="","",IF(D63&gt;='Tong_hop'!$F$4,0,IF(AND(ISNUMBER(O63),ISNUMBER(K63)),O63-K63,"n.a.")))</x:f>
      </x:c>
      <x:c r="M63" s="23" t="str">
        <x:f>IF(C63="","",IF(N63&lt;&gt;"","Sửa dữ liệu",IF(D63&gt;='Tong_hop'!$F$4,"Ngoài kỳ",IF(ABS(L63)&lt;='Tong_hop'!$I$4,"Đã nhận đủ",IF(L63&lt;0,"Nhận vượt",IF(K63&gt;0,"Nhận thiếu","Đang chuyển"))))))</x:f>
      </x:c>
      <x:c r="N63" s="23" t="str">
        <x:f>IF(COUNTA(A63:H63)=0,"",IF(OR(NOT(OR(A63="TikTok Shop",A63="Shopee",A63="Lazada")),B63="",C63="",NOT(ISNUMBER(D63)),COUNT(E63:G63)&lt;&gt;3,E63&lt;0,F63&lt;0,F63&gt;E63,G63&lt;0),"Thiếu/sai dữ liệu",IF(NOT(COUNTIFS(T_SoDu[Khóa shop],A63&amp;"|"&amp;B63)=1),"Shop chưa khai báo",IF(COUNTIFS(T_Chuyen[Khóa đợt chuyển],I63)&lt;&gt;1,"Trùng đợt chuyển",""))))</x:f>
      </x:c>
      <x:c r="O63" s="27" t="str">
        <x:f>IF(C63="","",IF(COUNT(E63:F63)=2,E63-F63,"n.a."))</x:f>
      </x:c>
    </x:row>
    <x:row r="64" ht="22" customHeight="1">
      <x:c r="A64" s="10"/>
      <x:c r="B64" s="10"/>
      <x:c r="C64" s="24"/>
      <x:c r="D64" s="25"/>
      <x:c r="E64" s="26"/>
      <x:c r="F64" s="26"/>
      <x:c r="G64" s="26"/>
      <x:c r="H64" s="10"/>
      <x:c r="I64" s="23" t="str">
        <x:f>IF(C64="","",A64&amp;"|"&amp;B64&amp;"|"&amp;C64)</x:f>
      </x:c>
      <x:c r="J64" s="27" t="str">
        <x:f>IF(C64="","",SUMIFS(T_NH[Tiền thực nhận],T_NH[Khóa đợt chuyển],I64,T_NH[Ngày báo Có],"&gt;="&amp;'Tong_hop'!$C$4,T_NH[Ngày báo Có],"&lt;"&amp;'Tong_hop'!$F$4))</x:f>
      </x:c>
      <x:c r="K64" s="27" t="str">
        <x:f>IF(C64="","",IF(ISNUMBER(G64),G64+J64,"n.a."))</x:f>
      </x:c>
      <x:c r="L64" s="27" t="str">
        <x:f>IF(C64="","",IF(D64&gt;='Tong_hop'!$F$4,0,IF(AND(ISNUMBER(O64),ISNUMBER(K64)),O64-K64,"n.a.")))</x:f>
      </x:c>
      <x:c r="M64" s="23" t="str">
        <x:f>IF(C64="","",IF(N64&lt;&gt;"","Sửa dữ liệu",IF(D64&gt;='Tong_hop'!$F$4,"Ngoài kỳ",IF(ABS(L64)&lt;='Tong_hop'!$I$4,"Đã nhận đủ",IF(L64&lt;0,"Nhận vượt",IF(K64&gt;0,"Nhận thiếu","Đang chuyển"))))))</x:f>
      </x:c>
      <x:c r="N64" s="23" t="str">
        <x:f>IF(COUNTA(A64:H64)=0,"",IF(OR(NOT(OR(A64="TikTok Shop",A64="Shopee",A64="Lazada")),B64="",C64="",NOT(ISNUMBER(D64)),COUNT(E64:G64)&lt;&gt;3,E64&lt;0,F64&lt;0,F64&gt;E64,G64&lt;0),"Thiếu/sai dữ liệu",IF(NOT(COUNTIFS(T_SoDu[Khóa shop],A64&amp;"|"&amp;B64)=1),"Shop chưa khai báo",IF(COUNTIFS(T_Chuyen[Khóa đợt chuyển],I64)&lt;&gt;1,"Trùng đợt chuyển",""))))</x:f>
      </x:c>
      <x:c r="O64" s="27" t="str">
        <x:f>IF(C64="","",IF(COUNT(E64:F64)=2,E64-F64,"n.a."))</x:f>
      </x:c>
    </x:row>
    <x:row r="65" ht="22" customHeight="1">
      <x:c r="A65" s="10"/>
      <x:c r="B65" s="10"/>
      <x:c r="C65" s="24"/>
      <x:c r="D65" s="25"/>
      <x:c r="E65" s="26"/>
      <x:c r="F65" s="26"/>
      <x:c r="G65" s="26"/>
      <x:c r="H65" s="10"/>
      <x:c r="I65" s="23" t="str">
        <x:f>IF(C65="","",A65&amp;"|"&amp;B65&amp;"|"&amp;C65)</x:f>
      </x:c>
      <x:c r="J65" s="27" t="str">
        <x:f>IF(C65="","",SUMIFS(T_NH[Tiền thực nhận],T_NH[Khóa đợt chuyển],I65,T_NH[Ngày báo Có],"&gt;="&amp;'Tong_hop'!$C$4,T_NH[Ngày báo Có],"&lt;"&amp;'Tong_hop'!$F$4))</x:f>
      </x:c>
      <x:c r="K65" s="27" t="str">
        <x:f>IF(C65="","",IF(ISNUMBER(G65),G65+J65,"n.a."))</x:f>
      </x:c>
      <x:c r="L65" s="27" t="str">
        <x:f>IF(C65="","",IF(D65&gt;='Tong_hop'!$F$4,0,IF(AND(ISNUMBER(O65),ISNUMBER(K65)),O65-K65,"n.a.")))</x:f>
      </x:c>
      <x:c r="M65" s="23" t="str">
        <x:f>IF(C65="","",IF(N65&lt;&gt;"","Sửa dữ liệu",IF(D65&gt;='Tong_hop'!$F$4,"Ngoài kỳ",IF(ABS(L65)&lt;='Tong_hop'!$I$4,"Đã nhận đủ",IF(L65&lt;0,"Nhận vượt",IF(K65&gt;0,"Nhận thiếu","Đang chuyển"))))))</x:f>
      </x:c>
      <x:c r="N65" s="23" t="str">
        <x:f>IF(COUNTA(A65:H65)=0,"",IF(OR(NOT(OR(A65="TikTok Shop",A65="Shopee",A65="Lazada")),B65="",C65="",NOT(ISNUMBER(D65)),COUNT(E65:G65)&lt;&gt;3,E65&lt;0,F65&lt;0,F65&gt;E65,G65&lt;0),"Thiếu/sai dữ liệu",IF(NOT(COUNTIFS(T_SoDu[Khóa shop],A65&amp;"|"&amp;B65)=1),"Shop chưa khai báo",IF(COUNTIFS(T_Chuyen[Khóa đợt chuyển],I65)&lt;&gt;1,"Trùng đợt chuyển",""))))</x:f>
      </x:c>
      <x:c r="O65" s="27" t="str">
        <x:f>IF(C65="","",IF(COUNT(E65:F65)=2,E65-F65,"n.a."))</x:f>
      </x:c>
    </x:row>
    <x:row r="66" ht="22" customHeight="1">
      <x:c r="A66" s="10"/>
      <x:c r="B66" s="10"/>
      <x:c r="C66" s="24"/>
      <x:c r="D66" s="25"/>
      <x:c r="E66" s="26"/>
      <x:c r="F66" s="26"/>
      <x:c r="G66" s="26"/>
      <x:c r="H66" s="10"/>
      <x:c r="I66" s="23" t="str">
        <x:f>IF(C66="","",A66&amp;"|"&amp;B66&amp;"|"&amp;C66)</x:f>
      </x:c>
      <x:c r="J66" s="27" t="str">
        <x:f>IF(C66="","",SUMIFS(T_NH[Tiền thực nhận],T_NH[Khóa đợt chuyển],I66,T_NH[Ngày báo Có],"&gt;="&amp;'Tong_hop'!$C$4,T_NH[Ngày báo Có],"&lt;"&amp;'Tong_hop'!$F$4))</x:f>
      </x:c>
      <x:c r="K66" s="27" t="str">
        <x:f>IF(C66="","",IF(ISNUMBER(G66),G66+J66,"n.a."))</x:f>
      </x:c>
      <x:c r="L66" s="27" t="str">
        <x:f>IF(C66="","",IF(D66&gt;='Tong_hop'!$F$4,0,IF(AND(ISNUMBER(O66),ISNUMBER(K66)),O66-K66,"n.a.")))</x:f>
      </x:c>
      <x:c r="M66" s="23" t="str">
        <x:f>IF(C66="","",IF(N66&lt;&gt;"","Sửa dữ liệu",IF(D66&gt;='Tong_hop'!$F$4,"Ngoài kỳ",IF(ABS(L66)&lt;='Tong_hop'!$I$4,"Đã nhận đủ",IF(L66&lt;0,"Nhận vượt",IF(K66&gt;0,"Nhận thiếu","Đang chuyển"))))))</x:f>
      </x:c>
      <x:c r="N66" s="23" t="str">
        <x:f>IF(COUNTA(A66:H66)=0,"",IF(OR(NOT(OR(A66="TikTok Shop",A66="Shopee",A66="Lazada")),B66="",C66="",NOT(ISNUMBER(D66)),COUNT(E66:G66)&lt;&gt;3,E66&lt;0,F66&lt;0,F66&gt;E66,G66&lt;0),"Thiếu/sai dữ liệu",IF(NOT(COUNTIFS(T_SoDu[Khóa shop],A66&amp;"|"&amp;B66)=1),"Shop chưa khai báo",IF(COUNTIFS(T_Chuyen[Khóa đợt chuyển],I66)&lt;&gt;1,"Trùng đợt chuyển",""))))</x:f>
      </x:c>
      <x:c r="O66" s="27" t="str">
        <x:f>IF(C66="","",IF(COUNT(E66:F66)=2,E66-F66,"n.a."))</x:f>
      </x:c>
    </x:row>
    <x:row r="67" ht="22" customHeight="1">
      <x:c r="A67" s="10"/>
      <x:c r="B67" s="10"/>
      <x:c r="C67" s="24"/>
      <x:c r="D67" s="25"/>
      <x:c r="E67" s="26"/>
      <x:c r="F67" s="26"/>
      <x:c r="G67" s="26"/>
      <x:c r="H67" s="10"/>
      <x:c r="I67" s="23" t="str">
        <x:f>IF(C67="","",A67&amp;"|"&amp;B67&amp;"|"&amp;C67)</x:f>
      </x:c>
      <x:c r="J67" s="27" t="str">
        <x:f>IF(C67="","",SUMIFS(T_NH[Tiền thực nhận],T_NH[Khóa đợt chuyển],I67,T_NH[Ngày báo Có],"&gt;="&amp;'Tong_hop'!$C$4,T_NH[Ngày báo Có],"&lt;"&amp;'Tong_hop'!$F$4))</x:f>
      </x:c>
      <x:c r="K67" s="27" t="str">
        <x:f>IF(C67="","",IF(ISNUMBER(G67),G67+J67,"n.a."))</x:f>
      </x:c>
      <x:c r="L67" s="27" t="str">
        <x:f>IF(C67="","",IF(D67&gt;='Tong_hop'!$F$4,0,IF(AND(ISNUMBER(O67),ISNUMBER(K67)),O67-K67,"n.a.")))</x:f>
      </x:c>
      <x:c r="M67" s="23" t="str">
        <x:f>IF(C67="","",IF(N67&lt;&gt;"","Sửa dữ liệu",IF(D67&gt;='Tong_hop'!$F$4,"Ngoài kỳ",IF(ABS(L67)&lt;='Tong_hop'!$I$4,"Đã nhận đủ",IF(L67&lt;0,"Nhận vượt",IF(K67&gt;0,"Nhận thiếu","Đang chuyển"))))))</x:f>
      </x:c>
      <x:c r="N67" s="23" t="str">
        <x:f>IF(COUNTA(A67:H67)=0,"",IF(OR(NOT(OR(A67="TikTok Shop",A67="Shopee",A67="Lazada")),B67="",C67="",NOT(ISNUMBER(D67)),COUNT(E67:G67)&lt;&gt;3,E67&lt;0,F67&lt;0,F67&gt;E67,G67&lt;0),"Thiếu/sai dữ liệu",IF(NOT(COUNTIFS(T_SoDu[Khóa shop],A67&amp;"|"&amp;B67)=1),"Shop chưa khai báo",IF(COUNTIFS(T_Chuyen[Khóa đợt chuyển],I67)&lt;&gt;1,"Trùng đợt chuyển",""))))</x:f>
      </x:c>
      <x:c r="O67" s="27" t="str">
        <x:f>IF(C67="","",IF(COUNT(E67:F67)=2,E67-F67,"n.a."))</x:f>
      </x:c>
    </x:row>
    <x:row r="68" ht="22" customHeight="1">
      <x:c r="A68" s="10"/>
      <x:c r="B68" s="10"/>
      <x:c r="C68" s="24"/>
      <x:c r="D68" s="25"/>
      <x:c r="E68" s="26"/>
      <x:c r="F68" s="26"/>
      <x:c r="G68" s="26"/>
      <x:c r="H68" s="10"/>
      <x:c r="I68" s="23" t="str">
        <x:f>IF(C68="","",A68&amp;"|"&amp;B68&amp;"|"&amp;C68)</x:f>
      </x:c>
      <x:c r="J68" s="27" t="str">
        <x:f>IF(C68="","",SUMIFS(T_NH[Tiền thực nhận],T_NH[Khóa đợt chuyển],I68,T_NH[Ngày báo Có],"&gt;="&amp;'Tong_hop'!$C$4,T_NH[Ngày báo Có],"&lt;"&amp;'Tong_hop'!$F$4))</x:f>
      </x:c>
      <x:c r="K68" s="27" t="str">
        <x:f>IF(C68="","",IF(ISNUMBER(G68),G68+J68,"n.a."))</x:f>
      </x:c>
      <x:c r="L68" s="27" t="str">
        <x:f>IF(C68="","",IF(D68&gt;='Tong_hop'!$F$4,0,IF(AND(ISNUMBER(O68),ISNUMBER(K68)),O68-K68,"n.a.")))</x:f>
      </x:c>
      <x:c r="M68" s="23" t="str">
        <x:f>IF(C68="","",IF(N68&lt;&gt;"","Sửa dữ liệu",IF(D68&gt;='Tong_hop'!$F$4,"Ngoài kỳ",IF(ABS(L68)&lt;='Tong_hop'!$I$4,"Đã nhận đủ",IF(L68&lt;0,"Nhận vượt",IF(K68&gt;0,"Nhận thiếu","Đang chuyển"))))))</x:f>
      </x:c>
      <x:c r="N68" s="23" t="str">
        <x:f>IF(COUNTA(A68:H68)=0,"",IF(OR(NOT(OR(A68="TikTok Shop",A68="Shopee",A68="Lazada")),B68="",C68="",NOT(ISNUMBER(D68)),COUNT(E68:G68)&lt;&gt;3,E68&lt;0,F68&lt;0,F68&gt;E68,G68&lt;0),"Thiếu/sai dữ liệu",IF(NOT(COUNTIFS(T_SoDu[Khóa shop],A68&amp;"|"&amp;B68)=1),"Shop chưa khai báo",IF(COUNTIFS(T_Chuyen[Khóa đợt chuyển],I68)&lt;&gt;1,"Trùng đợt chuyển",""))))</x:f>
      </x:c>
      <x:c r="O68" s="27" t="str">
        <x:f>IF(C68="","",IF(COUNT(E68:F68)=2,E68-F68,"n.a."))</x:f>
      </x:c>
    </x:row>
    <x:row r="69" ht="22" customHeight="1">
      <x:c r="A69" s="10"/>
      <x:c r="B69" s="10"/>
      <x:c r="C69" s="24"/>
      <x:c r="D69" s="25"/>
      <x:c r="E69" s="26"/>
      <x:c r="F69" s="26"/>
      <x:c r="G69" s="26"/>
      <x:c r="H69" s="10"/>
      <x:c r="I69" s="23" t="str">
        <x:f>IF(C69="","",A69&amp;"|"&amp;B69&amp;"|"&amp;C69)</x:f>
      </x:c>
      <x:c r="J69" s="27" t="str">
        <x:f>IF(C69="","",SUMIFS(T_NH[Tiền thực nhận],T_NH[Khóa đợt chuyển],I69,T_NH[Ngày báo Có],"&gt;="&amp;'Tong_hop'!$C$4,T_NH[Ngày báo Có],"&lt;"&amp;'Tong_hop'!$F$4))</x:f>
      </x:c>
      <x:c r="K69" s="27" t="str">
        <x:f>IF(C69="","",IF(ISNUMBER(G69),G69+J69,"n.a."))</x:f>
      </x:c>
      <x:c r="L69" s="27" t="str">
        <x:f>IF(C69="","",IF(D69&gt;='Tong_hop'!$F$4,0,IF(AND(ISNUMBER(O69),ISNUMBER(K69)),O69-K69,"n.a.")))</x:f>
      </x:c>
      <x:c r="M69" s="23" t="str">
        <x:f>IF(C69="","",IF(N69&lt;&gt;"","Sửa dữ liệu",IF(D69&gt;='Tong_hop'!$F$4,"Ngoài kỳ",IF(ABS(L69)&lt;='Tong_hop'!$I$4,"Đã nhận đủ",IF(L69&lt;0,"Nhận vượt",IF(K69&gt;0,"Nhận thiếu","Đang chuyển"))))))</x:f>
      </x:c>
      <x:c r="N69" s="23" t="str">
        <x:f>IF(COUNTA(A69:H69)=0,"",IF(OR(NOT(OR(A69="TikTok Shop",A69="Shopee",A69="Lazada")),B69="",C69="",NOT(ISNUMBER(D69)),COUNT(E69:G69)&lt;&gt;3,E69&lt;0,F69&lt;0,F69&gt;E69,G69&lt;0),"Thiếu/sai dữ liệu",IF(NOT(COUNTIFS(T_SoDu[Khóa shop],A69&amp;"|"&amp;B69)=1),"Shop chưa khai báo",IF(COUNTIFS(T_Chuyen[Khóa đợt chuyển],I69)&lt;&gt;1,"Trùng đợt chuyển",""))))</x:f>
      </x:c>
      <x:c r="O69" s="27" t="str">
        <x:f>IF(C69="","",IF(COUNT(E69:F69)=2,E69-F69,"n.a."))</x:f>
      </x:c>
    </x:row>
    <x:row r="70" ht="22" customHeight="1">
      <x:c r="A70" s="10"/>
      <x:c r="B70" s="10"/>
      <x:c r="C70" s="24"/>
      <x:c r="D70" s="25"/>
      <x:c r="E70" s="26"/>
      <x:c r="F70" s="26"/>
      <x:c r="G70" s="26"/>
      <x:c r="H70" s="10"/>
      <x:c r="I70" s="23" t="str">
        <x:f>IF(C70="","",A70&amp;"|"&amp;B70&amp;"|"&amp;C70)</x:f>
      </x:c>
      <x:c r="J70" s="27" t="str">
        <x:f>IF(C70="","",SUMIFS(T_NH[Tiền thực nhận],T_NH[Khóa đợt chuyển],I70,T_NH[Ngày báo Có],"&gt;="&amp;'Tong_hop'!$C$4,T_NH[Ngày báo Có],"&lt;"&amp;'Tong_hop'!$F$4))</x:f>
      </x:c>
      <x:c r="K70" s="27" t="str">
        <x:f>IF(C70="","",IF(ISNUMBER(G70),G70+J70,"n.a."))</x:f>
      </x:c>
      <x:c r="L70" s="27" t="str">
        <x:f>IF(C70="","",IF(D70&gt;='Tong_hop'!$F$4,0,IF(AND(ISNUMBER(O70),ISNUMBER(K70)),O70-K70,"n.a.")))</x:f>
      </x:c>
      <x:c r="M70" s="23" t="str">
        <x:f>IF(C70="","",IF(N70&lt;&gt;"","Sửa dữ liệu",IF(D70&gt;='Tong_hop'!$F$4,"Ngoài kỳ",IF(ABS(L70)&lt;='Tong_hop'!$I$4,"Đã nhận đủ",IF(L70&lt;0,"Nhận vượt",IF(K70&gt;0,"Nhận thiếu","Đang chuyển"))))))</x:f>
      </x:c>
      <x:c r="N70" s="23" t="str">
        <x:f>IF(COUNTA(A70:H70)=0,"",IF(OR(NOT(OR(A70="TikTok Shop",A70="Shopee",A70="Lazada")),B70="",C70="",NOT(ISNUMBER(D70)),COUNT(E70:G70)&lt;&gt;3,E70&lt;0,F70&lt;0,F70&gt;E70,G70&lt;0),"Thiếu/sai dữ liệu",IF(NOT(COUNTIFS(T_SoDu[Khóa shop],A70&amp;"|"&amp;B70)=1),"Shop chưa khai báo",IF(COUNTIFS(T_Chuyen[Khóa đợt chuyển],I70)&lt;&gt;1,"Trùng đợt chuyển",""))))</x:f>
      </x:c>
      <x:c r="O70" s="27" t="str">
        <x:f>IF(C70="","",IF(COUNT(E70:F70)=2,E70-F70,"n.a."))</x:f>
      </x:c>
    </x:row>
    <x:row r="71" ht="22" customHeight="1">
      <x:c r="A71" s="10"/>
      <x:c r="B71" s="10"/>
      <x:c r="C71" s="24"/>
      <x:c r="D71" s="25"/>
      <x:c r="E71" s="26"/>
      <x:c r="F71" s="26"/>
      <x:c r="G71" s="26"/>
      <x:c r="H71" s="10"/>
      <x:c r="I71" s="23" t="str">
        <x:f>IF(C71="","",A71&amp;"|"&amp;B71&amp;"|"&amp;C71)</x:f>
      </x:c>
      <x:c r="J71" s="27" t="str">
        <x:f>IF(C71="","",SUMIFS(T_NH[Tiền thực nhận],T_NH[Khóa đợt chuyển],I71,T_NH[Ngày báo Có],"&gt;="&amp;'Tong_hop'!$C$4,T_NH[Ngày báo Có],"&lt;"&amp;'Tong_hop'!$F$4))</x:f>
      </x:c>
      <x:c r="K71" s="27" t="str">
        <x:f>IF(C71="","",IF(ISNUMBER(G71),G71+J71,"n.a."))</x:f>
      </x:c>
      <x:c r="L71" s="27" t="str">
        <x:f>IF(C71="","",IF(D71&gt;='Tong_hop'!$F$4,0,IF(AND(ISNUMBER(O71),ISNUMBER(K71)),O71-K71,"n.a.")))</x:f>
      </x:c>
      <x:c r="M71" s="23" t="str">
        <x:f>IF(C71="","",IF(N71&lt;&gt;"","Sửa dữ liệu",IF(D71&gt;='Tong_hop'!$F$4,"Ngoài kỳ",IF(ABS(L71)&lt;='Tong_hop'!$I$4,"Đã nhận đủ",IF(L71&lt;0,"Nhận vượt",IF(K71&gt;0,"Nhận thiếu","Đang chuyển"))))))</x:f>
      </x:c>
      <x:c r="N71" s="23" t="str">
        <x:f>IF(COUNTA(A71:H71)=0,"",IF(OR(NOT(OR(A71="TikTok Shop",A71="Shopee",A71="Lazada")),B71="",C71="",NOT(ISNUMBER(D71)),COUNT(E71:G71)&lt;&gt;3,E71&lt;0,F71&lt;0,F71&gt;E71,G71&lt;0),"Thiếu/sai dữ liệu",IF(NOT(COUNTIFS(T_SoDu[Khóa shop],A71&amp;"|"&amp;B71)=1),"Shop chưa khai báo",IF(COUNTIFS(T_Chuyen[Khóa đợt chuyển],I71)&lt;&gt;1,"Trùng đợt chuyển",""))))</x:f>
      </x:c>
      <x:c r="O71" s="27" t="str">
        <x:f>IF(C71="","",IF(COUNT(E71:F71)=2,E71-F71,"n.a."))</x:f>
      </x:c>
    </x:row>
    <x:row r="72" ht="22" customHeight="1">
      <x:c r="A72" s="10"/>
      <x:c r="B72" s="10"/>
      <x:c r="C72" s="24"/>
      <x:c r="D72" s="25"/>
      <x:c r="E72" s="26"/>
      <x:c r="F72" s="26"/>
      <x:c r="G72" s="26"/>
      <x:c r="H72" s="10"/>
      <x:c r="I72" s="23" t="str">
        <x:f>IF(C72="","",A72&amp;"|"&amp;B72&amp;"|"&amp;C72)</x:f>
      </x:c>
      <x:c r="J72" s="27" t="str">
        <x:f>IF(C72="","",SUMIFS(T_NH[Tiền thực nhận],T_NH[Khóa đợt chuyển],I72,T_NH[Ngày báo Có],"&gt;="&amp;'Tong_hop'!$C$4,T_NH[Ngày báo Có],"&lt;"&amp;'Tong_hop'!$F$4))</x:f>
      </x:c>
      <x:c r="K72" s="27" t="str">
        <x:f>IF(C72="","",IF(ISNUMBER(G72),G72+J72,"n.a."))</x:f>
      </x:c>
      <x:c r="L72" s="27" t="str">
        <x:f>IF(C72="","",IF(D72&gt;='Tong_hop'!$F$4,0,IF(AND(ISNUMBER(O72),ISNUMBER(K72)),O72-K72,"n.a.")))</x:f>
      </x:c>
      <x:c r="M72" s="23" t="str">
        <x:f>IF(C72="","",IF(N72&lt;&gt;"","Sửa dữ liệu",IF(D72&gt;='Tong_hop'!$F$4,"Ngoài kỳ",IF(ABS(L72)&lt;='Tong_hop'!$I$4,"Đã nhận đủ",IF(L72&lt;0,"Nhận vượt",IF(K72&gt;0,"Nhận thiếu","Đang chuyển"))))))</x:f>
      </x:c>
      <x:c r="N72" s="23" t="str">
        <x:f>IF(COUNTA(A72:H72)=0,"",IF(OR(NOT(OR(A72="TikTok Shop",A72="Shopee",A72="Lazada")),B72="",C72="",NOT(ISNUMBER(D72)),COUNT(E72:G72)&lt;&gt;3,E72&lt;0,F72&lt;0,F72&gt;E72,G72&lt;0),"Thiếu/sai dữ liệu",IF(NOT(COUNTIFS(T_SoDu[Khóa shop],A72&amp;"|"&amp;B72)=1),"Shop chưa khai báo",IF(COUNTIFS(T_Chuyen[Khóa đợt chuyển],I72)&lt;&gt;1,"Trùng đợt chuyển",""))))</x:f>
      </x:c>
      <x:c r="O72" s="27" t="str">
        <x:f>IF(C72="","",IF(COUNT(E72:F72)=2,E72-F72,"n.a."))</x:f>
      </x:c>
    </x:row>
    <x:row r="73" ht="22" customHeight="1">
      <x:c r="A73" s="10"/>
      <x:c r="B73" s="10"/>
      <x:c r="C73" s="24"/>
      <x:c r="D73" s="25"/>
      <x:c r="E73" s="26"/>
      <x:c r="F73" s="26"/>
      <x:c r="G73" s="26"/>
      <x:c r="H73" s="10"/>
      <x:c r="I73" s="23" t="str">
        <x:f>IF(C73="","",A73&amp;"|"&amp;B73&amp;"|"&amp;C73)</x:f>
      </x:c>
      <x:c r="J73" s="27" t="str">
        <x:f>IF(C73="","",SUMIFS(T_NH[Tiền thực nhận],T_NH[Khóa đợt chuyển],I73,T_NH[Ngày báo Có],"&gt;="&amp;'Tong_hop'!$C$4,T_NH[Ngày báo Có],"&lt;"&amp;'Tong_hop'!$F$4))</x:f>
      </x:c>
      <x:c r="K73" s="27" t="str">
        <x:f>IF(C73="","",IF(ISNUMBER(G73),G73+J73,"n.a."))</x:f>
      </x:c>
      <x:c r="L73" s="27" t="str">
        <x:f>IF(C73="","",IF(D73&gt;='Tong_hop'!$F$4,0,IF(AND(ISNUMBER(O73),ISNUMBER(K73)),O73-K73,"n.a.")))</x:f>
      </x:c>
      <x:c r="M73" s="23" t="str">
        <x:f>IF(C73="","",IF(N73&lt;&gt;"","Sửa dữ liệu",IF(D73&gt;='Tong_hop'!$F$4,"Ngoài kỳ",IF(ABS(L73)&lt;='Tong_hop'!$I$4,"Đã nhận đủ",IF(L73&lt;0,"Nhận vượt",IF(K73&gt;0,"Nhận thiếu","Đang chuyển"))))))</x:f>
      </x:c>
      <x:c r="N73" s="23" t="str">
        <x:f>IF(COUNTA(A73:H73)=0,"",IF(OR(NOT(OR(A73="TikTok Shop",A73="Shopee",A73="Lazada")),B73="",C73="",NOT(ISNUMBER(D73)),COUNT(E73:G73)&lt;&gt;3,E73&lt;0,F73&lt;0,F73&gt;E73,G73&lt;0),"Thiếu/sai dữ liệu",IF(NOT(COUNTIFS(T_SoDu[Khóa shop],A73&amp;"|"&amp;B73)=1),"Shop chưa khai báo",IF(COUNTIFS(T_Chuyen[Khóa đợt chuyển],I73)&lt;&gt;1,"Trùng đợt chuyển",""))))</x:f>
      </x:c>
      <x:c r="O73" s="27" t="str">
        <x:f>IF(C73="","",IF(COUNT(E73:F73)=2,E73-F73,"n.a."))</x:f>
      </x:c>
    </x:row>
    <x:row r="74" ht="22" customHeight="1">
      <x:c r="A74" s="10"/>
      <x:c r="B74" s="10"/>
      <x:c r="C74" s="24"/>
      <x:c r="D74" s="25"/>
      <x:c r="E74" s="26"/>
      <x:c r="F74" s="26"/>
      <x:c r="G74" s="26"/>
      <x:c r="H74" s="10"/>
      <x:c r="I74" s="23" t="str">
        <x:f>IF(C74="","",A74&amp;"|"&amp;B74&amp;"|"&amp;C74)</x:f>
      </x:c>
      <x:c r="J74" s="27" t="str">
        <x:f>IF(C74="","",SUMIFS(T_NH[Tiền thực nhận],T_NH[Khóa đợt chuyển],I74,T_NH[Ngày báo Có],"&gt;="&amp;'Tong_hop'!$C$4,T_NH[Ngày báo Có],"&lt;"&amp;'Tong_hop'!$F$4))</x:f>
      </x:c>
      <x:c r="K74" s="27" t="str">
        <x:f>IF(C74="","",IF(ISNUMBER(G74),G74+J74,"n.a."))</x:f>
      </x:c>
      <x:c r="L74" s="27" t="str">
        <x:f>IF(C74="","",IF(D74&gt;='Tong_hop'!$F$4,0,IF(AND(ISNUMBER(O74),ISNUMBER(K74)),O74-K74,"n.a.")))</x:f>
      </x:c>
      <x:c r="M74" s="23" t="str">
        <x:f>IF(C74="","",IF(N74&lt;&gt;"","Sửa dữ liệu",IF(D74&gt;='Tong_hop'!$F$4,"Ngoài kỳ",IF(ABS(L74)&lt;='Tong_hop'!$I$4,"Đã nhận đủ",IF(L74&lt;0,"Nhận vượt",IF(K74&gt;0,"Nhận thiếu","Đang chuyển"))))))</x:f>
      </x:c>
      <x:c r="N74" s="23" t="str">
        <x:f>IF(COUNTA(A74:H74)=0,"",IF(OR(NOT(OR(A74="TikTok Shop",A74="Shopee",A74="Lazada")),B74="",C74="",NOT(ISNUMBER(D74)),COUNT(E74:G74)&lt;&gt;3,E74&lt;0,F74&lt;0,F74&gt;E74,G74&lt;0),"Thiếu/sai dữ liệu",IF(NOT(COUNTIFS(T_SoDu[Khóa shop],A74&amp;"|"&amp;B74)=1),"Shop chưa khai báo",IF(COUNTIFS(T_Chuyen[Khóa đợt chuyển],I74)&lt;&gt;1,"Trùng đợt chuyển",""))))</x:f>
      </x:c>
      <x:c r="O74" s="27" t="str">
        <x:f>IF(C74="","",IF(COUNT(E74:F74)=2,E74-F74,"n.a."))</x:f>
      </x:c>
    </x:row>
    <x:row r="75" ht="22" customHeight="1">
      <x:c r="A75" s="10"/>
      <x:c r="B75" s="10"/>
      <x:c r="C75" s="24"/>
      <x:c r="D75" s="25"/>
      <x:c r="E75" s="26"/>
      <x:c r="F75" s="26"/>
      <x:c r="G75" s="26"/>
      <x:c r="H75" s="10"/>
      <x:c r="I75" s="23" t="str">
        <x:f>IF(C75="","",A75&amp;"|"&amp;B75&amp;"|"&amp;C75)</x:f>
      </x:c>
      <x:c r="J75" s="27" t="str">
        <x:f>IF(C75="","",SUMIFS(T_NH[Tiền thực nhận],T_NH[Khóa đợt chuyển],I75,T_NH[Ngày báo Có],"&gt;="&amp;'Tong_hop'!$C$4,T_NH[Ngày báo Có],"&lt;"&amp;'Tong_hop'!$F$4))</x:f>
      </x:c>
      <x:c r="K75" s="27" t="str">
        <x:f>IF(C75="","",IF(ISNUMBER(G75),G75+J75,"n.a."))</x:f>
      </x:c>
      <x:c r="L75" s="27" t="str">
        <x:f>IF(C75="","",IF(D75&gt;='Tong_hop'!$F$4,0,IF(AND(ISNUMBER(O75),ISNUMBER(K75)),O75-K75,"n.a.")))</x:f>
      </x:c>
      <x:c r="M75" s="23" t="str">
        <x:f>IF(C75="","",IF(N75&lt;&gt;"","Sửa dữ liệu",IF(D75&gt;='Tong_hop'!$F$4,"Ngoài kỳ",IF(ABS(L75)&lt;='Tong_hop'!$I$4,"Đã nhận đủ",IF(L75&lt;0,"Nhận vượt",IF(K75&gt;0,"Nhận thiếu","Đang chuyển"))))))</x:f>
      </x:c>
      <x:c r="N75" s="23" t="str">
        <x:f>IF(COUNTA(A75:H75)=0,"",IF(OR(NOT(OR(A75="TikTok Shop",A75="Shopee",A75="Lazada")),B75="",C75="",NOT(ISNUMBER(D75)),COUNT(E75:G75)&lt;&gt;3,E75&lt;0,F75&lt;0,F75&gt;E75,G75&lt;0),"Thiếu/sai dữ liệu",IF(NOT(COUNTIFS(T_SoDu[Khóa shop],A75&amp;"|"&amp;B75)=1),"Shop chưa khai báo",IF(COUNTIFS(T_Chuyen[Khóa đợt chuyển],I75)&lt;&gt;1,"Trùng đợt chuyển",""))))</x:f>
      </x:c>
      <x:c r="O75" s="27" t="str">
        <x:f>IF(C75="","",IF(COUNT(E75:F75)=2,E75-F75,"n.a."))</x:f>
      </x:c>
    </x:row>
    <x:row r="76" ht="22" customHeight="1">
      <x:c r="A76" s="10"/>
      <x:c r="B76" s="10"/>
      <x:c r="C76" s="24"/>
      <x:c r="D76" s="25"/>
      <x:c r="E76" s="26"/>
      <x:c r="F76" s="26"/>
      <x:c r="G76" s="26"/>
      <x:c r="H76" s="10"/>
      <x:c r="I76" s="23" t="str">
        <x:f>IF(C76="","",A76&amp;"|"&amp;B76&amp;"|"&amp;C76)</x:f>
      </x:c>
      <x:c r="J76" s="27" t="str">
        <x:f>IF(C76="","",SUMIFS(T_NH[Tiền thực nhận],T_NH[Khóa đợt chuyển],I76,T_NH[Ngày báo Có],"&gt;="&amp;'Tong_hop'!$C$4,T_NH[Ngày báo Có],"&lt;"&amp;'Tong_hop'!$F$4))</x:f>
      </x:c>
      <x:c r="K76" s="27" t="str">
        <x:f>IF(C76="","",IF(ISNUMBER(G76),G76+J76,"n.a."))</x:f>
      </x:c>
      <x:c r="L76" s="27" t="str">
        <x:f>IF(C76="","",IF(D76&gt;='Tong_hop'!$F$4,0,IF(AND(ISNUMBER(O76),ISNUMBER(K76)),O76-K76,"n.a.")))</x:f>
      </x:c>
      <x:c r="M76" s="23" t="str">
        <x:f>IF(C76="","",IF(N76&lt;&gt;"","Sửa dữ liệu",IF(D76&gt;='Tong_hop'!$F$4,"Ngoài kỳ",IF(ABS(L76)&lt;='Tong_hop'!$I$4,"Đã nhận đủ",IF(L76&lt;0,"Nhận vượt",IF(K76&gt;0,"Nhận thiếu","Đang chuyển"))))))</x:f>
      </x:c>
      <x:c r="N76" s="23" t="str">
        <x:f>IF(COUNTA(A76:H76)=0,"",IF(OR(NOT(OR(A76="TikTok Shop",A76="Shopee",A76="Lazada")),B76="",C76="",NOT(ISNUMBER(D76)),COUNT(E76:G76)&lt;&gt;3,E76&lt;0,F76&lt;0,F76&gt;E76,G76&lt;0),"Thiếu/sai dữ liệu",IF(NOT(COUNTIFS(T_SoDu[Khóa shop],A76&amp;"|"&amp;B76)=1),"Shop chưa khai báo",IF(COUNTIFS(T_Chuyen[Khóa đợt chuyển],I76)&lt;&gt;1,"Trùng đợt chuyển",""))))</x:f>
      </x:c>
      <x:c r="O76" s="27" t="str">
        <x:f>IF(C76="","",IF(COUNT(E76:F76)=2,E76-F76,"n.a."))</x:f>
      </x:c>
    </x:row>
    <x:row r="77" ht="22" customHeight="1">
      <x:c r="A77" s="10"/>
      <x:c r="B77" s="10"/>
      <x:c r="C77" s="24"/>
      <x:c r="D77" s="25"/>
      <x:c r="E77" s="26"/>
      <x:c r="F77" s="26"/>
      <x:c r="G77" s="26"/>
      <x:c r="H77" s="10"/>
      <x:c r="I77" s="23" t="str">
        <x:f>IF(C77="","",A77&amp;"|"&amp;B77&amp;"|"&amp;C77)</x:f>
      </x:c>
      <x:c r="J77" s="27" t="str">
        <x:f>IF(C77="","",SUMIFS(T_NH[Tiền thực nhận],T_NH[Khóa đợt chuyển],I77,T_NH[Ngày báo Có],"&gt;="&amp;'Tong_hop'!$C$4,T_NH[Ngày báo Có],"&lt;"&amp;'Tong_hop'!$F$4))</x:f>
      </x:c>
      <x:c r="K77" s="27" t="str">
        <x:f>IF(C77="","",IF(ISNUMBER(G77),G77+J77,"n.a."))</x:f>
      </x:c>
      <x:c r="L77" s="27" t="str">
        <x:f>IF(C77="","",IF(D77&gt;='Tong_hop'!$F$4,0,IF(AND(ISNUMBER(O77),ISNUMBER(K77)),O77-K77,"n.a.")))</x:f>
      </x:c>
      <x:c r="M77" s="23" t="str">
        <x:f>IF(C77="","",IF(N77&lt;&gt;"","Sửa dữ liệu",IF(D77&gt;='Tong_hop'!$F$4,"Ngoài kỳ",IF(ABS(L77)&lt;='Tong_hop'!$I$4,"Đã nhận đủ",IF(L77&lt;0,"Nhận vượt",IF(K77&gt;0,"Nhận thiếu","Đang chuyển"))))))</x:f>
      </x:c>
      <x:c r="N77" s="23" t="str">
        <x:f>IF(COUNTA(A77:H77)=0,"",IF(OR(NOT(OR(A77="TikTok Shop",A77="Shopee",A77="Lazada")),B77="",C77="",NOT(ISNUMBER(D77)),COUNT(E77:G77)&lt;&gt;3,E77&lt;0,F77&lt;0,F77&gt;E77,G77&lt;0),"Thiếu/sai dữ liệu",IF(NOT(COUNTIFS(T_SoDu[Khóa shop],A77&amp;"|"&amp;B77)=1),"Shop chưa khai báo",IF(COUNTIFS(T_Chuyen[Khóa đợt chuyển],I77)&lt;&gt;1,"Trùng đợt chuyển",""))))</x:f>
      </x:c>
      <x:c r="O77" s="27" t="str">
        <x:f>IF(C77="","",IF(COUNT(E77:F77)=2,E77-F77,"n.a."))</x:f>
      </x:c>
    </x:row>
    <x:row r="78" ht="22" customHeight="1">
      <x:c r="A78" s="10"/>
      <x:c r="B78" s="10"/>
      <x:c r="C78" s="24"/>
      <x:c r="D78" s="25"/>
      <x:c r="E78" s="26"/>
      <x:c r="F78" s="26"/>
      <x:c r="G78" s="26"/>
      <x:c r="H78" s="10"/>
      <x:c r="I78" s="23" t="str">
        <x:f>IF(C78="","",A78&amp;"|"&amp;B78&amp;"|"&amp;C78)</x:f>
      </x:c>
      <x:c r="J78" s="27" t="str">
        <x:f>IF(C78="","",SUMIFS(T_NH[Tiền thực nhận],T_NH[Khóa đợt chuyển],I78,T_NH[Ngày báo Có],"&gt;="&amp;'Tong_hop'!$C$4,T_NH[Ngày báo Có],"&lt;"&amp;'Tong_hop'!$F$4))</x:f>
      </x:c>
      <x:c r="K78" s="27" t="str">
        <x:f>IF(C78="","",IF(ISNUMBER(G78),G78+J78,"n.a."))</x:f>
      </x:c>
      <x:c r="L78" s="27" t="str">
        <x:f>IF(C78="","",IF(D78&gt;='Tong_hop'!$F$4,0,IF(AND(ISNUMBER(O78),ISNUMBER(K78)),O78-K78,"n.a.")))</x:f>
      </x:c>
      <x:c r="M78" s="23" t="str">
        <x:f>IF(C78="","",IF(N78&lt;&gt;"","Sửa dữ liệu",IF(D78&gt;='Tong_hop'!$F$4,"Ngoài kỳ",IF(ABS(L78)&lt;='Tong_hop'!$I$4,"Đã nhận đủ",IF(L78&lt;0,"Nhận vượt",IF(K78&gt;0,"Nhận thiếu","Đang chuyển"))))))</x:f>
      </x:c>
      <x:c r="N78" s="23" t="str">
        <x:f>IF(COUNTA(A78:H78)=0,"",IF(OR(NOT(OR(A78="TikTok Shop",A78="Shopee",A78="Lazada")),B78="",C78="",NOT(ISNUMBER(D78)),COUNT(E78:G78)&lt;&gt;3,E78&lt;0,F78&lt;0,F78&gt;E78,G78&lt;0),"Thiếu/sai dữ liệu",IF(NOT(COUNTIFS(T_SoDu[Khóa shop],A78&amp;"|"&amp;B78)=1),"Shop chưa khai báo",IF(COUNTIFS(T_Chuyen[Khóa đợt chuyển],I78)&lt;&gt;1,"Trùng đợt chuyển",""))))</x:f>
      </x:c>
      <x:c r="O78" s="27" t="str">
        <x:f>IF(C78="","",IF(COUNT(E78:F78)=2,E78-F78,"n.a."))</x:f>
      </x:c>
    </x:row>
    <x:row r="79" ht="22" customHeight="1">
      <x:c r="A79" s="10"/>
      <x:c r="B79" s="10"/>
      <x:c r="C79" s="24"/>
      <x:c r="D79" s="25"/>
      <x:c r="E79" s="26"/>
      <x:c r="F79" s="26"/>
      <x:c r="G79" s="26"/>
      <x:c r="H79" s="10"/>
      <x:c r="I79" s="23" t="str">
        <x:f>IF(C79="","",A79&amp;"|"&amp;B79&amp;"|"&amp;C79)</x:f>
      </x:c>
      <x:c r="J79" s="27" t="str">
        <x:f>IF(C79="","",SUMIFS(T_NH[Tiền thực nhận],T_NH[Khóa đợt chuyển],I79,T_NH[Ngày báo Có],"&gt;="&amp;'Tong_hop'!$C$4,T_NH[Ngày báo Có],"&lt;"&amp;'Tong_hop'!$F$4))</x:f>
      </x:c>
      <x:c r="K79" s="27" t="str">
        <x:f>IF(C79="","",IF(ISNUMBER(G79),G79+J79,"n.a."))</x:f>
      </x:c>
      <x:c r="L79" s="27" t="str">
        <x:f>IF(C79="","",IF(D79&gt;='Tong_hop'!$F$4,0,IF(AND(ISNUMBER(O79),ISNUMBER(K79)),O79-K79,"n.a.")))</x:f>
      </x:c>
      <x:c r="M79" s="23" t="str">
        <x:f>IF(C79="","",IF(N79&lt;&gt;"","Sửa dữ liệu",IF(D79&gt;='Tong_hop'!$F$4,"Ngoài kỳ",IF(ABS(L79)&lt;='Tong_hop'!$I$4,"Đã nhận đủ",IF(L79&lt;0,"Nhận vượt",IF(K79&gt;0,"Nhận thiếu","Đang chuyển"))))))</x:f>
      </x:c>
      <x:c r="N79" s="23" t="str">
        <x:f>IF(COUNTA(A79:H79)=0,"",IF(OR(NOT(OR(A79="TikTok Shop",A79="Shopee",A79="Lazada")),B79="",C79="",NOT(ISNUMBER(D79)),COUNT(E79:G79)&lt;&gt;3,E79&lt;0,F79&lt;0,F79&gt;E79,G79&lt;0),"Thiếu/sai dữ liệu",IF(NOT(COUNTIFS(T_SoDu[Khóa shop],A79&amp;"|"&amp;B79)=1),"Shop chưa khai báo",IF(COUNTIFS(T_Chuyen[Khóa đợt chuyển],I79)&lt;&gt;1,"Trùng đợt chuyển",""))))</x:f>
      </x:c>
      <x:c r="O79" s="27" t="str">
        <x:f>IF(C79="","",IF(COUNT(E79:F79)=2,E79-F79,"n.a."))</x:f>
      </x:c>
    </x:row>
    <x:row r="80" ht="22" customHeight="1">
      <x:c r="A80" s="10"/>
      <x:c r="B80" s="10"/>
      <x:c r="C80" s="24"/>
      <x:c r="D80" s="25"/>
      <x:c r="E80" s="26"/>
      <x:c r="F80" s="26"/>
      <x:c r="G80" s="26"/>
      <x:c r="H80" s="10"/>
      <x:c r="I80" s="23" t="str">
        <x:f>IF(C80="","",A80&amp;"|"&amp;B80&amp;"|"&amp;C80)</x:f>
      </x:c>
      <x:c r="J80" s="27" t="str">
        <x:f>IF(C80="","",SUMIFS(T_NH[Tiền thực nhận],T_NH[Khóa đợt chuyển],I80,T_NH[Ngày báo Có],"&gt;="&amp;'Tong_hop'!$C$4,T_NH[Ngày báo Có],"&lt;"&amp;'Tong_hop'!$F$4))</x:f>
      </x:c>
      <x:c r="K80" s="27" t="str">
        <x:f>IF(C80="","",IF(ISNUMBER(G80),G80+J80,"n.a."))</x:f>
      </x:c>
      <x:c r="L80" s="27" t="str">
        <x:f>IF(C80="","",IF(D80&gt;='Tong_hop'!$F$4,0,IF(AND(ISNUMBER(O80),ISNUMBER(K80)),O80-K80,"n.a.")))</x:f>
      </x:c>
      <x:c r="M80" s="23" t="str">
        <x:f>IF(C80="","",IF(N80&lt;&gt;"","Sửa dữ liệu",IF(D80&gt;='Tong_hop'!$F$4,"Ngoài kỳ",IF(ABS(L80)&lt;='Tong_hop'!$I$4,"Đã nhận đủ",IF(L80&lt;0,"Nhận vượt",IF(K80&gt;0,"Nhận thiếu","Đang chuyển"))))))</x:f>
      </x:c>
      <x:c r="N80" s="23" t="str">
        <x:f>IF(COUNTA(A80:H80)=0,"",IF(OR(NOT(OR(A80="TikTok Shop",A80="Shopee",A80="Lazada")),B80="",C80="",NOT(ISNUMBER(D80)),COUNT(E80:G80)&lt;&gt;3,E80&lt;0,F80&lt;0,F80&gt;E80,G80&lt;0),"Thiếu/sai dữ liệu",IF(NOT(COUNTIFS(T_SoDu[Khóa shop],A80&amp;"|"&amp;B80)=1),"Shop chưa khai báo",IF(COUNTIFS(T_Chuyen[Khóa đợt chuyển],I80)&lt;&gt;1,"Trùng đợt chuyển",""))))</x:f>
      </x:c>
      <x:c r="O80" s="27" t="str">
        <x:f>IF(C80="","",IF(COUNT(E80:F80)=2,E80-F80,"n.a."))</x:f>
      </x:c>
    </x:row>
    <x:row r="81" ht="22" customHeight="1">
      <x:c r="A81" s="10"/>
      <x:c r="B81" s="10"/>
      <x:c r="C81" s="24"/>
      <x:c r="D81" s="25"/>
      <x:c r="E81" s="26"/>
      <x:c r="F81" s="26"/>
      <x:c r="G81" s="26"/>
      <x:c r="H81" s="10"/>
      <x:c r="I81" s="23" t="str">
        <x:f>IF(C81="","",A81&amp;"|"&amp;B81&amp;"|"&amp;C81)</x:f>
      </x:c>
      <x:c r="J81" s="27" t="str">
        <x:f>IF(C81="","",SUMIFS(T_NH[Tiền thực nhận],T_NH[Khóa đợt chuyển],I81,T_NH[Ngày báo Có],"&gt;="&amp;'Tong_hop'!$C$4,T_NH[Ngày báo Có],"&lt;"&amp;'Tong_hop'!$F$4))</x:f>
      </x:c>
      <x:c r="K81" s="27" t="str">
        <x:f>IF(C81="","",IF(ISNUMBER(G81),G81+J81,"n.a."))</x:f>
      </x:c>
      <x:c r="L81" s="27" t="str">
        <x:f>IF(C81="","",IF(D81&gt;='Tong_hop'!$F$4,0,IF(AND(ISNUMBER(O81),ISNUMBER(K81)),O81-K81,"n.a.")))</x:f>
      </x:c>
      <x:c r="M81" s="23" t="str">
        <x:f>IF(C81="","",IF(N81&lt;&gt;"","Sửa dữ liệu",IF(D81&gt;='Tong_hop'!$F$4,"Ngoài kỳ",IF(ABS(L81)&lt;='Tong_hop'!$I$4,"Đã nhận đủ",IF(L81&lt;0,"Nhận vượt",IF(K81&gt;0,"Nhận thiếu","Đang chuyển"))))))</x:f>
      </x:c>
      <x:c r="N81" s="23" t="str">
        <x:f>IF(COUNTA(A81:H81)=0,"",IF(OR(NOT(OR(A81="TikTok Shop",A81="Shopee",A81="Lazada")),B81="",C81="",NOT(ISNUMBER(D81)),COUNT(E81:G81)&lt;&gt;3,E81&lt;0,F81&lt;0,F81&gt;E81,G81&lt;0),"Thiếu/sai dữ liệu",IF(NOT(COUNTIFS(T_SoDu[Khóa shop],A81&amp;"|"&amp;B81)=1),"Shop chưa khai báo",IF(COUNTIFS(T_Chuyen[Khóa đợt chuyển],I81)&lt;&gt;1,"Trùng đợt chuyển",""))))</x:f>
      </x:c>
      <x:c r="O81" s="27" t="str">
        <x:f>IF(C81="","",IF(COUNT(E81:F81)=2,E81-F81,"n.a."))</x:f>
      </x:c>
    </x:row>
    <x:row r="82" ht="22" customHeight="1">
      <x:c r="A82" s="10"/>
      <x:c r="B82" s="10"/>
      <x:c r="C82" s="24"/>
      <x:c r="D82" s="25"/>
      <x:c r="E82" s="26"/>
      <x:c r="F82" s="26"/>
      <x:c r="G82" s="26"/>
      <x:c r="H82" s="10"/>
      <x:c r="I82" s="23" t="str">
        <x:f>IF(C82="","",A82&amp;"|"&amp;B82&amp;"|"&amp;C82)</x:f>
      </x:c>
      <x:c r="J82" s="27" t="str">
        <x:f>IF(C82="","",SUMIFS(T_NH[Tiền thực nhận],T_NH[Khóa đợt chuyển],I82,T_NH[Ngày báo Có],"&gt;="&amp;'Tong_hop'!$C$4,T_NH[Ngày báo Có],"&lt;"&amp;'Tong_hop'!$F$4))</x:f>
      </x:c>
      <x:c r="K82" s="27" t="str">
        <x:f>IF(C82="","",IF(ISNUMBER(G82),G82+J82,"n.a."))</x:f>
      </x:c>
      <x:c r="L82" s="27" t="str">
        <x:f>IF(C82="","",IF(D82&gt;='Tong_hop'!$F$4,0,IF(AND(ISNUMBER(O82),ISNUMBER(K82)),O82-K82,"n.a.")))</x:f>
      </x:c>
      <x:c r="M82" s="23" t="str">
        <x:f>IF(C82="","",IF(N82&lt;&gt;"","Sửa dữ liệu",IF(D82&gt;='Tong_hop'!$F$4,"Ngoài kỳ",IF(ABS(L82)&lt;='Tong_hop'!$I$4,"Đã nhận đủ",IF(L82&lt;0,"Nhận vượt",IF(K82&gt;0,"Nhận thiếu","Đang chuyển"))))))</x:f>
      </x:c>
      <x:c r="N82" s="23" t="str">
        <x:f>IF(COUNTA(A82:H82)=0,"",IF(OR(NOT(OR(A82="TikTok Shop",A82="Shopee",A82="Lazada")),B82="",C82="",NOT(ISNUMBER(D82)),COUNT(E82:G82)&lt;&gt;3,E82&lt;0,F82&lt;0,F82&gt;E82,G82&lt;0),"Thiếu/sai dữ liệu",IF(NOT(COUNTIFS(T_SoDu[Khóa shop],A82&amp;"|"&amp;B82)=1),"Shop chưa khai báo",IF(COUNTIFS(T_Chuyen[Khóa đợt chuyển],I82)&lt;&gt;1,"Trùng đợt chuyển",""))))</x:f>
      </x:c>
      <x:c r="O82" s="27" t="str">
        <x:f>IF(C82="","",IF(COUNT(E82:F82)=2,E82-F82,"n.a."))</x:f>
      </x:c>
    </x:row>
    <x:row r="83" ht="22" customHeight="1">
      <x:c r="A83" s="10"/>
      <x:c r="B83" s="10"/>
      <x:c r="C83" s="24"/>
      <x:c r="D83" s="25"/>
      <x:c r="E83" s="26"/>
      <x:c r="F83" s="26"/>
      <x:c r="G83" s="26"/>
      <x:c r="H83" s="10"/>
      <x:c r="I83" s="23" t="str">
        <x:f>IF(C83="","",A83&amp;"|"&amp;B83&amp;"|"&amp;C83)</x:f>
      </x:c>
      <x:c r="J83" s="27" t="str">
        <x:f>IF(C83="","",SUMIFS(T_NH[Tiền thực nhận],T_NH[Khóa đợt chuyển],I83,T_NH[Ngày báo Có],"&gt;="&amp;'Tong_hop'!$C$4,T_NH[Ngày báo Có],"&lt;"&amp;'Tong_hop'!$F$4))</x:f>
      </x:c>
      <x:c r="K83" s="27" t="str">
        <x:f>IF(C83="","",IF(ISNUMBER(G83),G83+J83,"n.a."))</x:f>
      </x:c>
      <x:c r="L83" s="27" t="str">
        <x:f>IF(C83="","",IF(D83&gt;='Tong_hop'!$F$4,0,IF(AND(ISNUMBER(O83),ISNUMBER(K83)),O83-K83,"n.a.")))</x:f>
      </x:c>
      <x:c r="M83" s="23" t="str">
        <x:f>IF(C83="","",IF(N83&lt;&gt;"","Sửa dữ liệu",IF(D83&gt;='Tong_hop'!$F$4,"Ngoài kỳ",IF(ABS(L83)&lt;='Tong_hop'!$I$4,"Đã nhận đủ",IF(L83&lt;0,"Nhận vượt",IF(K83&gt;0,"Nhận thiếu","Đang chuyển"))))))</x:f>
      </x:c>
      <x:c r="N83" s="23" t="str">
        <x:f>IF(COUNTA(A83:H83)=0,"",IF(OR(NOT(OR(A83="TikTok Shop",A83="Shopee",A83="Lazada")),B83="",C83="",NOT(ISNUMBER(D83)),COUNT(E83:G83)&lt;&gt;3,E83&lt;0,F83&lt;0,F83&gt;E83,G83&lt;0),"Thiếu/sai dữ liệu",IF(NOT(COUNTIFS(T_SoDu[Khóa shop],A83&amp;"|"&amp;B83)=1),"Shop chưa khai báo",IF(COUNTIFS(T_Chuyen[Khóa đợt chuyển],I83)&lt;&gt;1,"Trùng đợt chuyển",""))))</x:f>
      </x:c>
      <x:c r="O83" s="27" t="str">
        <x:f>IF(C83="","",IF(COUNT(E83:F83)=2,E83-F83,"n.a."))</x:f>
      </x:c>
    </x:row>
    <x:row r="84" ht="22" customHeight="1">
      <x:c r="A84" s="10"/>
      <x:c r="B84" s="10"/>
      <x:c r="C84" s="24"/>
      <x:c r="D84" s="25"/>
      <x:c r="E84" s="26"/>
      <x:c r="F84" s="26"/>
      <x:c r="G84" s="26"/>
      <x:c r="H84" s="10"/>
      <x:c r="I84" s="23" t="str">
        <x:f>IF(C84="","",A84&amp;"|"&amp;B84&amp;"|"&amp;C84)</x:f>
      </x:c>
      <x:c r="J84" s="27" t="str">
        <x:f>IF(C84="","",SUMIFS(T_NH[Tiền thực nhận],T_NH[Khóa đợt chuyển],I84,T_NH[Ngày báo Có],"&gt;="&amp;'Tong_hop'!$C$4,T_NH[Ngày báo Có],"&lt;"&amp;'Tong_hop'!$F$4))</x:f>
      </x:c>
      <x:c r="K84" s="27" t="str">
        <x:f>IF(C84="","",IF(ISNUMBER(G84),G84+J84,"n.a."))</x:f>
      </x:c>
      <x:c r="L84" s="27" t="str">
        <x:f>IF(C84="","",IF(D84&gt;='Tong_hop'!$F$4,0,IF(AND(ISNUMBER(O84),ISNUMBER(K84)),O84-K84,"n.a.")))</x:f>
      </x:c>
      <x:c r="M84" s="23" t="str">
        <x:f>IF(C84="","",IF(N84&lt;&gt;"","Sửa dữ liệu",IF(D84&gt;='Tong_hop'!$F$4,"Ngoài kỳ",IF(ABS(L84)&lt;='Tong_hop'!$I$4,"Đã nhận đủ",IF(L84&lt;0,"Nhận vượt",IF(K84&gt;0,"Nhận thiếu","Đang chuyển"))))))</x:f>
      </x:c>
      <x:c r="N84" s="23" t="str">
        <x:f>IF(COUNTA(A84:H84)=0,"",IF(OR(NOT(OR(A84="TikTok Shop",A84="Shopee",A84="Lazada")),B84="",C84="",NOT(ISNUMBER(D84)),COUNT(E84:G84)&lt;&gt;3,E84&lt;0,F84&lt;0,F84&gt;E84,G84&lt;0),"Thiếu/sai dữ liệu",IF(NOT(COUNTIFS(T_SoDu[Khóa shop],A84&amp;"|"&amp;B84)=1),"Shop chưa khai báo",IF(COUNTIFS(T_Chuyen[Khóa đợt chuyển],I84)&lt;&gt;1,"Trùng đợt chuyển",""))))</x:f>
      </x:c>
      <x:c r="O84" s="27" t="str">
        <x:f>IF(C84="","",IF(COUNT(E84:F84)=2,E84-F84,"n.a."))</x:f>
      </x:c>
    </x:row>
    <x:row r="85" ht="22" customHeight="1">
      <x:c r="A85" s="10"/>
      <x:c r="B85" s="10"/>
      <x:c r="C85" s="24"/>
      <x:c r="D85" s="25"/>
      <x:c r="E85" s="26"/>
      <x:c r="F85" s="26"/>
      <x:c r="G85" s="26"/>
      <x:c r="H85" s="10"/>
      <x:c r="I85" s="23" t="str">
        <x:f>IF(C85="","",A85&amp;"|"&amp;B85&amp;"|"&amp;C85)</x:f>
      </x:c>
      <x:c r="J85" s="27" t="str">
        <x:f>IF(C85="","",SUMIFS(T_NH[Tiền thực nhận],T_NH[Khóa đợt chuyển],I85,T_NH[Ngày báo Có],"&gt;="&amp;'Tong_hop'!$C$4,T_NH[Ngày báo Có],"&lt;"&amp;'Tong_hop'!$F$4))</x:f>
      </x:c>
      <x:c r="K85" s="27" t="str">
        <x:f>IF(C85="","",IF(ISNUMBER(G85),G85+J85,"n.a."))</x:f>
      </x:c>
      <x:c r="L85" s="27" t="str">
        <x:f>IF(C85="","",IF(D85&gt;='Tong_hop'!$F$4,0,IF(AND(ISNUMBER(O85),ISNUMBER(K85)),O85-K85,"n.a.")))</x:f>
      </x:c>
      <x:c r="M85" s="23" t="str">
        <x:f>IF(C85="","",IF(N85&lt;&gt;"","Sửa dữ liệu",IF(D85&gt;='Tong_hop'!$F$4,"Ngoài kỳ",IF(ABS(L85)&lt;='Tong_hop'!$I$4,"Đã nhận đủ",IF(L85&lt;0,"Nhận vượt",IF(K85&gt;0,"Nhận thiếu","Đang chuyển"))))))</x:f>
      </x:c>
      <x:c r="N85" s="23" t="str">
        <x:f>IF(COUNTA(A85:H85)=0,"",IF(OR(NOT(OR(A85="TikTok Shop",A85="Shopee",A85="Lazada")),B85="",C85="",NOT(ISNUMBER(D85)),COUNT(E85:G85)&lt;&gt;3,E85&lt;0,F85&lt;0,F85&gt;E85,G85&lt;0),"Thiếu/sai dữ liệu",IF(NOT(COUNTIFS(T_SoDu[Khóa shop],A85&amp;"|"&amp;B85)=1),"Shop chưa khai báo",IF(COUNTIFS(T_Chuyen[Khóa đợt chuyển],I85)&lt;&gt;1,"Trùng đợt chuyển",""))))</x:f>
      </x:c>
      <x:c r="O85" s="27" t="str">
        <x:f>IF(C85="","",IF(COUNT(E85:F85)=2,E85-F85,"n.a."))</x:f>
      </x:c>
    </x:row>
    <x:row r="86" ht="22" customHeight="1">
      <x:c r="A86" s="10"/>
      <x:c r="B86" s="10"/>
      <x:c r="C86" s="24"/>
      <x:c r="D86" s="25"/>
      <x:c r="E86" s="26"/>
      <x:c r="F86" s="26"/>
      <x:c r="G86" s="26"/>
      <x:c r="H86" s="10"/>
      <x:c r="I86" s="23" t="str">
        <x:f>IF(C86="","",A86&amp;"|"&amp;B86&amp;"|"&amp;C86)</x:f>
      </x:c>
      <x:c r="J86" s="27" t="str">
        <x:f>IF(C86="","",SUMIFS(T_NH[Tiền thực nhận],T_NH[Khóa đợt chuyển],I86,T_NH[Ngày báo Có],"&gt;="&amp;'Tong_hop'!$C$4,T_NH[Ngày báo Có],"&lt;"&amp;'Tong_hop'!$F$4))</x:f>
      </x:c>
      <x:c r="K86" s="27" t="str">
        <x:f>IF(C86="","",IF(ISNUMBER(G86),G86+J86,"n.a."))</x:f>
      </x:c>
      <x:c r="L86" s="27" t="str">
        <x:f>IF(C86="","",IF(D86&gt;='Tong_hop'!$F$4,0,IF(AND(ISNUMBER(O86),ISNUMBER(K86)),O86-K86,"n.a.")))</x:f>
      </x:c>
      <x:c r="M86" s="23" t="str">
        <x:f>IF(C86="","",IF(N86&lt;&gt;"","Sửa dữ liệu",IF(D86&gt;='Tong_hop'!$F$4,"Ngoài kỳ",IF(ABS(L86)&lt;='Tong_hop'!$I$4,"Đã nhận đủ",IF(L86&lt;0,"Nhận vượt",IF(K86&gt;0,"Nhận thiếu","Đang chuyển"))))))</x:f>
      </x:c>
      <x:c r="N86" s="23" t="str">
        <x:f>IF(COUNTA(A86:H86)=0,"",IF(OR(NOT(OR(A86="TikTok Shop",A86="Shopee",A86="Lazada")),B86="",C86="",NOT(ISNUMBER(D86)),COUNT(E86:G86)&lt;&gt;3,E86&lt;0,F86&lt;0,F86&gt;E86,G86&lt;0),"Thiếu/sai dữ liệu",IF(NOT(COUNTIFS(T_SoDu[Khóa shop],A86&amp;"|"&amp;B86)=1),"Shop chưa khai báo",IF(COUNTIFS(T_Chuyen[Khóa đợt chuyển],I86)&lt;&gt;1,"Trùng đợt chuyển",""))))</x:f>
      </x:c>
      <x:c r="O86" s="27" t="str">
        <x:f>IF(C86="","",IF(COUNT(E86:F86)=2,E86-F86,"n.a."))</x:f>
      </x:c>
    </x:row>
    <x:row r="87" ht="22" customHeight="1">
      <x:c r="A87" s="10"/>
      <x:c r="B87" s="10"/>
      <x:c r="C87" s="24"/>
      <x:c r="D87" s="25"/>
      <x:c r="E87" s="26"/>
      <x:c r="F87" s="26"/>
      <x:c r="G87" s="26"/>
      <x:c r="H87" s="10"/>
      <x:c r="I87" s="23" t="str">
        <x:f>IF(C87="","",A87&amp;"|"&amp;B87&amp;"|"&amp;C87)</x:f>
      </x:c>
      <x:c r="J87" s="27" t="str">
        <x:f>IF(C87="","",SUMIFS(T_NH[Tiền thực nhận],T_NH[Khóa đợt chuyển],I87,T_NH[Ngày báo Có],"&gt;="&amp;'Tong_hop'!$C$4,T_NH[Ngày báo Có],"&lt;"&amp;'Tong_hop'!$F$4))</x:f>
      </x:c>
      <x:c r="K87" s="27" t="str">
        <x:f>IF(C87="","",IF(ISNUMBER(G87),G87+J87,"n.a."))</x:f>
      </x:c>
      <x:c r="L87" s="27" t="str">
        <x:f>IF(C87="","",IF(D87&gt;='Tong_hop'!$F$4,0,IF(AND(ISNUMBER(O87),ISNUMBER(K87)),O87-K87,"n.a.")))</x:f>
      </x:c>
      <x:c r="M87" s="23" t="str">
        <x:f>IF(C87="","",IF(N87&lt;&gt;"","Sửa dữ liệu",IF(D87&gt;='Tong_hop'!$F$4,"Ngoài kỳ",IF(ABS(L87)&lt;='Tong_hop'!$I$4,"Đã nhận đủ",IF(L87&lt;0,"Nhận vượt",IF(K87&gt;0,"Nhận thiếu","Đang chuyển"))))))</x:f>
      </x:c>
      <x:c r="N87" s="23" t="str">
        <x:f>IF(COUNTA(A87:H87)=0,"",IF(OR(NOT(OR(A87="TikTok Shop",A87="Shopee",A87="Lazada")),B87="",C87="",NOT(ISNUMBER(D87)),COUNT(E87:G87)&lt;&gt;3,E87&lt;0,F87&lt;0,F87&gt;E87,G87&lt;0),"Thiếu/sai dữ liệu",IF(NOT(COUNTIFS(T_SoDu[Khóa shop],A87&amp;"|"&amp;B87)=1),"Shop chưa khai báo",IF(COUNTIFS(T_Chuyen[Khóa đợt chuyển],I87)&lt;&gt;1,"Trùng đợt chuyển",""))))</x:f>
      </x:c>
      <x:c r="O87" s="27" t="str">
        <x:f>IF(C87="","",IF(COUNT(E87:F87)=2,E87-F87,"n.a."))</x:f>
      </x:c>
    </x:row>
    <x:row r="88" ht="22" customHeight="1">
      <x:c r="A88" s="10"/>
      <x:c r="B88" s="10"/>
      <x:c r="C88" s="24"/>
      <x:c r="D88" s="25"/>
      <x:c r="E88" s="26"/>
      <x:c r="F88" s="26"/>
      <x:c r="G88" s="26"/>
      <x:c r="H88" s="10"/>
      <x:c r="I88" s="23" t="str">
        <x:f>IF(C88="","",A88&amp;"|"&amp;B88&amp;"|"&amp;C88)</x:f>
      </x:c>
      <x:c r="J88" s="27" t="str">
        <x:f>IF(C88="","",SUMIFS(T_NH[Tiền thực nhận],T_NH[Khóa đợt chuyển],I88,T_NH[Ngày báo Có],"&gt;="&amp;'Tong_hop'!$C$4,T_NH[Ngày báo Có],"&lt;"&amp;'Tong_hop'!$F$4))</x:f>
      </x:c>
      <x:c r="K88" s="27" t="str">
        <x:f>IF(C88="","",IF(ISNUMBER(G88),G88+J88,"n.a."))</x:f>
      </x:c>
      <x:c r="L88" s="27" t="str">
        <x:f>IF(C88="","",IF(D88&gt;='Tong_hop'!$F$4,0,IF(AND(ISNUMBER(O88),ISNUMBER(K88)),O88-K88,"n.a.")))</x:f>
      </x:c>
      <x:c r="M88" s="23" t="str">
        <x:f>IF(C88="","",IF(N88&lt;&gt;"","Sửa dữ liệu",IF(D88&gt;='Tong_hop'!$F$4,"Ngoài kỳ",IF(ABS(L88)&lt;='Tong_hop'!$I$4,"Đã nhận đủ",IF(L88&lt;0,"Nhận vượt",IF(K88&gt;0,"Nhận thiếu","Đang chuyển"))))))</x:f>
      </x:c>
      <x:c r="N88" s="23" t="str">
        <x:f>IF(COUNTA(A88:H88)=0,"",IF(OR(NOT(OR(A88="TikTok Shop",A88="Shopee",A88="Lazada")),B88="",C88="",NOT(ISNUMBER(D88)),COUNT(E88:G88)&lt;&gt;3,E88&lt;0,F88&lt;0,F88&gt;E88,G88&lt;0),"Thiếu/sai dữ liệu",IF(NOT(COUNTIFS(T_SoDu[Khóa shop],A88&amp;"|"&amp;B88)=1),"Shop chưa khai báo",IF(COUNTIFS(T_Chuyen[Khóa đợt chuyển],I88)&lt;&gt;1,"Trùng đợt chuyển",""))))</x:f>
      </x:c>
      <x:c r="O88" s="27" t="str">
        <x:f>IF(C88="","",IF(COUNT(E88:F88)=2,E88-F88,"n.a."))</x:f>
      </x:c>
    </x:row>
    <x:row r="89" ht="22" customHeight="1">
      <x:c r="A89" s="10"/>
      <x:c r="B89" s="10"/>
      <x:c r="C89" s="24"/>
      <x:c r="D89" s="25"/>
      <x:c r="E89" s="26"/>
      <x:c r="F89" s="26"/>
      <x:c r="G89" s="26"/>
      <x:c r="H89" s="10"/>
      <x:c r="I89" s="23" t="str">
        <x:f>IF(C89="","",A89&amp;"|"&amp;B89&amp;"|"&amp;C89)</x:f>
      </x:c>
      <x:c r="J89" s="27" t="str">
        <x:f>IF(C89="","",SUMIFS(T_NH[Tiền thực nhận],T_NH[Khóa đợt chuyển],I89,T_NH[Ngày báo Có],"&gt;="&amp;'Tong_hop'!$C$4,T_NH[Ngày báo Có],"&lt;"&amp;'Tong_hop'!$F$4))</x:f>
      </x:c>
      <x:c r="K89" s="27" t="str">
        <x:f>IF(C89="","",IF(ISNUMBER(G89),G89+J89,"n.a."))</x:f>
      </x:c>
      <x:c r="L89" s="27" t="str">
        <x:f>IF(C89="","",IF(D89&gt;='Tong_hop'!$F$4,0,IF(AND(ISNUMBER(O89),ISNUMBER(K89)),O89-K89,"n.a.")))</x:f>
      </x:c>
      <x:c r="M89" s="23" t="str">
        <x:f>IF(C89="","",IF(N89&lt;&gt;"","Sửa dữ liệu",IF(D89&gt;='Tong_hop'!$F$4,"Ngoài kỳ",IF(ABS(L89)&lt;='Tong_hop'!$I$4,"Đã nhận đủ",IF(L89&lt;0,"Nhận vượt",IF(K89&gt;0,"Nhận thiếu","Đang chuyển"))))))</x:f>
      </x:c>
      <x:c r="N89" s="23" t="str">
        <x:f>IF(COUNTA(A89:H89)=0,"",IF(OR(NOT(OR(A89="TikTok Shop",A89="Shopee",A89="Lazada")),B89="",C89="",NOT(ISNUMBER(D89)),COUNT(E89:G89)&lt;&gt;3,E89&lt;0,F89&lt;0,F89&gt;E89,G89&lt;0),"Thiếu/sai dữ liệu",IF(NOT(COUNTIFS(T_SoDu[Khóa shop],A89&amp;"|"&amp;B89)=1),"Shop chưa khai báo",IF(COUNTIFS(T_Chuyen[Khóa đợt chuyển],I89)&lt;&gt;1,"Trùng đợt chuyển",""))))</x:f>
      </x:c>
      <x:c r="O89" s="27" t="str">
        <x:f>IF(C89="","",IF(COUNT(E89:F89)=2,E89-F89,"n.a."))</x:f>
      </x:c>
    </x:row>
    <x:row r="90" ht="22" customHeight="1">
      <x:c r="A90" s="10"/>
      <x:c r="B90" s="10"/>
      <x:c r="C90" s="24"/>
      <x:c r="D90" s="25"/>
      <x:c r="E90" s="26"/>
      <x:c r="F90" s="26"/>
      <x:c r="G90" s="26"/>
      <x:c r="H90" s="10"/>
      <x:c r="I90" s="23" t="str">
        <x:f>IF(C90="","",A90&amp;"|"&amp;B90&amp;"|"&amp;C90)</x:f>
      </x:c>
      <x:c r="J90" s="27" t="str">
        <x:f>IF(C90="","",SUMIFS(T_NH[Tiền thực nhận],T_NH[Khóa đợt chuyển],I90,T_NH[Ngày báo Có],"&gt;="&amp;'Tong_hop'!$C$4,T_NH[Ngày báo Có],"&lt;"&amp;'Tong_hop'!$F$4))</x:f>
      </x:c>
      <x:c r="K90" s="27" t="str">
        <x:f>IF(C90="","",IF(ISNUMBER(G90),G90+J90,"n.a."))</x:f>
      </x:c>
      <x:c r="L90" s="27" t="str">
        <x:f>IF(C90="","",IF(D90&gt;='Tong_hop'!$F$4,0,IF(AND(ISNUMBER(O90),ISNUMBER(K90)),O90-K90,"n.a.")))</x:f>
      </x:c>
      <x:c r="M90" s="23" t="str">
        <x:f>IF(C90="","",IF(N90&lt;&gt;"","Sửa dữ liệu",IF(D90&gt;='Tong_hop'!$F$4,"Ngoài kỳ",IF(ABS(L90)&lt;='Tong_hop'!$I$4,"Đã nhận đủ",IF(L90&lt;0,"Nhận vượt",IF(K90&gt;0,"Nhận thiếu","Đang chuyển"))))))</x:f>
      </x:c>
      <x:c r="N90" s="23" t="str">
        <x:f>IF(COUNTA(A90:H90)=0,"",IF(OR(NOT(OR(A90="TikTok Shop",A90="Shopee",A90="Lazada")),B90="",C90="",NOT(ISNUMBER(D90)),COUNT(E90:G90)&lt;&gt;3,E90&lt;0,F90&lt;0,F90&gt;E90,G90&lt;0),"Thiếu/sai dữ liệu",IF(NOT(COUNTIFS(T_SoDu[Khóa shop],A90&amp;"|"&amp;B90)=1),"Shop chưa khai báo",IF(COUNTIFS(T_Chuyen[Khóa đợt chuyển],I90)&lt;&gt;1,"Trùng đợt chuyển",""))))</x:f>
      </x:c>
      <x:c r="O90" s="27" t="str">
        <x:f>IF(C90="","",IF(COUNT(E90:F90)=2,E90-F90,"n.a."))</x:f>
      </x:c>
    </x:row>
    <x:row r="91" ht="22" customHeight="1">
      <x:c r="A91" s="10"/>
      <x:c r="B91" s="10"/>
      <x:c r="C91" s="24"/>
      <x:c r="D91" s="25"/>
      <x:c r="E91" s="26"/>
      <x:c r="F91" s="26"/>
      <x:c r="G91" s="26"/>
      <x:c r="H91" s="10"/>
      <x:c r="I91" s="23" t="str">
        <x:f>IF(C91="","",A91&amp;"|"&amp;B91&amp;"|"&amp;C91)</x:f>
      </x:c>
      <x:c r="J91" s="27" t="str">
        <x:f>IF(C91="","",SUMIFS(T_NH[Tiền thực nhận],T_NH[Khóa đợt chuyển],I91,T_NH[Ngày báo Có],"&gt;="&amp;'Tong_hop'!$C$4,T_NH[Ngày báo Có],"&lt;"&amp;'Tong_hop'!$F$4))</x:f>
      </x:c>
      <x:c r="K91" s="27" t="str">
        <x:f>IF(C91="","",IF(ISNUMBER(G91),G91+J91,"n.a."))</x:f>
      </x:c>
      <x:c r="L91" s="27" t="str">
        <x:f>IF(C91="","",IF(D91&gt;='Tong_hop'!$F$4,0,IF(AND(ISNUMBER(O91),ISNUMBER(K91)),O91-K91,"n.a.")))</x:f>
      </x:c>
      <x:c r="M91" s="23" t="str">
        <x:f>IF(C91="","",IF(N91&lt;&gt;"","Sửa dữ liệu",IF(D91&gt;='Tong_hop'!$F$4,"Ngoài kỳ",IF(ABS(L91)&lt;='Tong_hop'!$I$4,"Đã nhận đủ",IF(L91&lt;0,"Nhận vượt",IF(K91&gt;0,"Nhận thiếu","Đang chuyển"))))))</x:f>
      </x:c>
      <x:c r="N91" s="23" t="str">
        <x:f>IF(COUNTA(A91:H91)=0,"",IF(OR(NOT(OR(A91="TikTok Shop",A91="Shopee",A91="Lazada")),B91="",C91="",NOT(ISNUMBER(D91)),COUNT(E91:G91)&lt;&gt;3,E91&lt;0,F91&lt;0,F91&gt;E91,G91&lt;0),"Thiếu/sai dữ liệu",IF(NOT(COUNTIFS(T_SoDu[Khóa shop],A91&amp;"|"&amp;B91)=1),"Shop chưa khai báo",IF(COUNTIFS(T_Chuyen[Khóa đợt chuyển],I91)&lt;&gt;1,"Trùng đợt chuyển",""))))</x:f>
      </x:c>
      <x:c r="O91" s="27" t="str">
        <x:f>IF(C91="","",IF(COUNT(E91:F91)=2,E91-F91,"n.a."))</x:f>
      </x:c>
    </x:row>
    <x:row r="92" ht="22" customHeight="1">
      <x:c r="A92" s="10"/>
      <x:c r="B92" s="10"/>
      <x:c r="C92" s="24"/>
      <x:c r="D92" s="25"/>
      <x:c r="E92" s="26"/>
      <x:c r="F92" s="26"/>
      <x:c r="G92" s="26"/>
      <x:c r="H92" s="10"/>
      <x:c r="I92" s="23" t="str">
        <x:f>IF(C92="","",A92&amp;"|"&amp;B92&amp;"|"&amp;C92)</x:f>
      </x:c>
      <x:c r="J92" s="27" t="str">
        <x:f>IF(C92="","",SUMIFS(T_NH[Tiền thực nhận],T_NH[Khóa đợt chuyển],I92,T_NH[Ngày báo Có],"&gt;="&amp;'Tong_hop'!$C$4,T_NH[Ngày báo Có],"&lt;"&amp;'Tong_hop'!$F$4))</x:f>
      </x:c>
      <x:c r="K92" s="27" t="str">
        <x:f>IF(C92="","",IF(ISNUMBER(G92),G92+J92,"n.a."))</x:f>
      </x:c>
      <x:c r="L92" s="27" t="str">
        <x:f>IF(C92="","",IF(D92&gt;='Tong_hop'!$F$4,0,IF(AND(ISNUMBER(O92),ISNUMBER(K92)),O92-K92,"n.a.")))</x:f>
      </x:c>
      <x:c r="M92" s="23" t="str">
        <x:f>IF(C92="","",IF(N92&lt;&gt;"","Sửa dữ liệu",IF(D92&gt;='Tong_hop'!$F$4,"Ngoài kỳ",IF(ABS(L92)&lt;='Tong_hop'!$I$4,"Đã nhận đủ",IF(L92&lt;0,"Nhận vượt",IF(K92&gt;0,"Nhận thiếu","Đang chuyển"))))))</x:f>
      </x:c>
      <x:c r="N92" s="23" t="str">
        <x:f>IF(COUNTA(A92:H92)=0,"",IF(OR(NOT(OR(A92="TikTok Shop",A92="Shopee",A92="Lazada")),B92="",C92="",NOT(ISNUMBER(D92)),COUNT(E92:G92)&lt;&gt;3,E92&lt;0,F92&lt;0,F92&gt;E92,G92&lt;0),"Thiếu/sai dữ liệu",IF(NOT(COUNTIFS(T_SoDu[Khóa shop],A92&amp;"|"&amp;B92)=1),"Shop chưa khai báo",IF(COUNTIFS(T_Chuyen[Khóa đợt chuyển],I92)&lt;&gt;1,"Trùng đợt chuyển",""))))</x:f>
      </x:c>
      <x:c r="O92" s="27" t="str">
        <x:f>IF(C92="","",IF(COUNT(E92:F92)=2,E92-F92,"n.a."))</x:f>
      </x:c>
    </x:row>
    <x:row r="93" ht="22" customHeight="1">
      <x:c r="A93" s="10"/>
      <x:c r="B93" s="10"/>
      <x:c r="C93" s="24"/>
      <x:c r="D93" s="25"/>
      <x:c r="E93" s="26"/>
      <x:c r="F93" s="26"/>
      <x:c r="G93" s="26"/>
      <x:c r="H93" s="10"/>
      <x:c r="I93" s="23" t="str">
        <x:f>IF(C93="","",A93&amp;"|"&amp;B93&amp;"|"&amp;C93)</x:f>
      </x:c>
      <x:c r="J93" s="27" t="str">
        <x:f>IF(C93="","",SUMIFS(T_NH[Tiền thực nhận],T_NH[Khóa đợt chuyển],I93,T_NH[Ngày báo Có],"&gt;="&amp;'Tong_hop'!$C$4,T_NH[Ngày báo Có],"&lt;"&amp;'Tong_hop'!$F$4))</x:f>
      </x:c>
      <x:c r="K93" s="27" t="str">
        <x:f>IF(C93="","",IF(ISNUMBER(G93),G93+J93,"n.a."))</x:f>
      </x:c>
      <x:c r="L93" s="27" t="str">
        <x:f>IF(C93="","",IF(D93&gt;='Tong_hop'!$F$4,0,IF(AND(ISNUMBER(O93),ISNUMBER(K93)),O93-K93,"n.a.")))</x:f>
      </x:c>
      <x:c r="M93" s="23" t="str">
        <x:f>IF(C93="","",IF(N93&lt;&gt;"","Sửa dữ liệu",IF(D93&gt;='Tong_hop'!$F$4,"Ngoài kỳ",IF(ABS(L93)&lt;='Tong_hop'!$I$4,"Đã nhận đủ",IF(L93&lt;0,"Nhận vượt",IF(K93&gt;0,"Nhận thiếu","Đang chuyển"))))))</x:f>
      </x:c>
      <x:c r="N93" s="23" t="str">
        <x:f>IF(COUNTA(A93:H93)=0,"",IF(OR(NOT(OR(A93="TikTok Shop",A93="Shopee",A93="Lazada")),B93="",C93="",NOT(ISNUMBER(D93)),COUNT(E93:G93)&lt;&gt;3,E93&lt;0,F93&lt;0,F93&gt;E93,G93&lt;0),"Thiếu/sai dữ liệu",IF(NOT(COUNTIFS(T_SoDu[Khóa shop],A93&amp;"|"&amp;B93)=1),"Shop chưa khai báo",IF(COUNTIFS(T_Chuyen[Khóa đợt chuyển],I93)&lt;&gt;1,"Trùng đợt chuyển",""))))</x:f>
      </x:c>
      <x:c r="O93" s="27" t="str">
        <x:f>IF(C93="","",IF(COUNT(E93:F93)=2,E93-F93,"n.a."))</x:f>
      </x:c>
    </x:row>
    <x:row r="94" ht="22" customHeight="1">
      <x:c r="A94" s="10"/>
      <x:c r="B94" s="10"/>
      <x:c r="C94" s="24"/>
      <x:c r="D94" s="25"/>
      <x:c r="E94" s="26"/>
      <x:c r="F94" s="26"/>
      <x:c r="G94" s="26"/>
      <x:c r="H94" s="10"/>
      <x:c r="I94" s="23" t="str">
        <x:f>IF(C94="","",A94&amp;"|"&amp;B94&amp;"|"&amp;C94)</x:f>
      </x:c>
      <x:c r="J94" s="27" t="str">
        <x:f>IF(C94="","",SUMIFS(T_NH[Tiền thực nhận],T_NH[Khóa đợt chuyển],I94,T_NH[Ngày báo Có],"&gt;="&amp;'Tong_hop'!$C$4,T_NH[Ngày báo Có],"&lt;"&amp;'Tong_hop'!$F$4))</x:f>
      </x:c>
      <x:c r="K94" s="27" t="str">
        <x:f>IF(C94="","",IF(ISNUMBER(G94),G94+J94,"n.a."))</x:f>
      </x:c>
      <x:c r="L94" s="27" t="str">
        <x:f>IF(C94="","",IF(D94&gt;='Tong_hop'!$F$4,0,IF(AND(ISNUMBER(O94),ISNUMBER(K94)),O94-K94,"n.a.")))</x:f>
      </x:c>
      <x:c r="M94" s="23" t="str">
        <x:f>IF(C94="","",IF(N94&lt;&gt;"","Sửa dữ liệu",IF(D94&gt;='Tong_hop'!$F$4,"Ngoài kỳ",IF(ABS(L94)&lt;='Tong_hop'!$I$4,"Đã nhận đủ",IF(L94&lt;0,"Nhận vượt",IF(K94&gt;0,"Nhận thiếu","Đang chuyển"))))))</x:f>
      </x:c>
      <x:c r="N94" s="23" t="str">
        <x:f>IF(COUNTA(A94:H94)=0,"",IF(OR(NOT(OR(A94="TikTok Shop",A94="Shopee",A94="Lazada")),B94="",C94="",NOT(ISNUMBER(D94)),COUNT(E94:G94)&lt;&gt;3,E94&lt;0,F94&lt;0,F94&gt;E94,G94&lt;0),"Thiếu/sai dữ liệu",IF(NOT(COUNTIFS(T_SoDu[Khóa shop],A94&amp;"|"&amp;B94)=1),"Shop chưa khai báo",IF(COUNTIFS(T_Chuyen[Khóa đợt chuyển],I94)&lt;&gt;1,"Trùng đợt chuyển",""))))</x:f>
      </x:c>
      <x:c r="O94" s="27" t="str">
        <x:f>IF(C94="","",IF(COUNT(E94:F94)=2,E94-F94,"n.a."))</x:f>
      </x:c>
    </x:row>
    <x:row r="95" ht="22" customHeight="1">
      <x:c r="A95" s="10"/>
      <x:c r="B95" s="10"/>
      <x:c r="C95" s="24"/>
      <x:c r="D95" s="25"/>
      <x:c r="E95" s="26"/>
      <x:c r="F95" s="26"/>
      <x:c r="G95" s="26"/>
      <x:c r="H95" s="10"/>
      <x:c r="I95" s="23" t="str">
        <x:f>IF(C95="","",A95&amp;"|"&amp;B95&amp;"|"&amp;C95)</x:f>
      </x:c>
      <x:c r="J95" s="27" t="str">
        <x:f>IF(C95="","",SUMIFS(T_NH[Tiền thực nhận],T_NH[Khóa đợt chuyển],I95,T_NH[Ngày báo Có],"&gt;="&amp;'Tong_hop'!$C$4,T_NH[Ngày báo Có],"&lt;"&amp;'Tong_hop'!$F$4))</x:f>
      </x:c>
      <x:c r="K95" s="27" t="str">
        <x:f>IF(C95="","",IF(ISNUMBER(G95),G95+J95,"n.a."))</x:f>
      </x:c>
      <x:c r="L95" s="27" t="str">
        <x:f>IF(C95="","",IF(D95&gt;='Tong_hop'!$F$4,0,IF(AND(ISNUMBER(O95),ISNUMBER(K95)),O95-K95,"n.a.")))</x:f>
      </x:c>
      <x:c r="M95" s="23" t="str">
        <x:f>IF(C95="","",IF(N95&lt;&gt;"","Sửa dữ liệu",IF(D95&gt;='Tong_hop'!$F$4,"Ngoài kỳ",IF(ABS(L95)&lt;='Tong_hop'!$I$4,"Đã nhận đủ",IF(L95&lt;0,"Nhận vượt",IF(K95&gt;0,"Nhận thiếu","Đang chuyển"))))))</x:f>
      </x:c>
      <x:c r="N95" s="23" t="str">
        <x:f>IF(COUNTA(A95:H95)=0,"",IF(OR(NOT(OR(A95="TikTok Shop",A95="Shopee",A95="Lazada")),B95="",C95="",NOT(ISNUMBER(D95)),COUNT(E95:G95)&lt;&gt;3,E95&lt;0,F95&lt;0,F95&gt;E95,G95&lt;0),"Thiếu/sai dữ liệu",IF(NOT(COUNTIFS(T_SoDu[Khóa shop],A95&amp;"|"&amp;B95)=1),"Shop chưa khai báo",IF(COUNTIFS(T_Chuyen[Khóa đợt chuyển],I95)&lt;&gt;1,"Trùng đợt chuyển",""))))</x:f>
      </x:c>
      <x:c r="O95" s="27" t="str">
        <x:f>IF(C95="","",IF(COUNT(E95:F95)=2,E95-F95,"n.a."))</x:f>
      </x:c>
    </x:row>
    <x:row r="96" ht="22" customHeight="1">
      <x:c r="A96" s="10"/>
      <x:c r="B96" s="10"/>
      <x:c r="C96" s="24"/>
      <x:c r="D96" s="25"/>
      <x:c r="E96" s="26"/>
      <x:c r="F96" s="26"/>
      <x:c r="G96" s="26"/>
      <x:c r="H96" s="10"/>
      <x:c r="I96" s="23" t="str">
        <x:f>IF(C96="","",A96&amp;"|"&amp;B96&amp;"|"&amp;C96)</x:f>
      </x:c>
      <x:c r="J96" s="27" t="str">
        <x:f>IF(C96="","",SUMIFS(T_NH[Tiền thực nhận],T_NH[Khóa đợt chuyển],I96,T_NH[Ngày báo Có],"&gt;="&amp;'Tong_hop'!$C$4,T_NH[Ngày báo Có],"&lt;"&amp;'Tong_hop'!$F$4))</x:f>
      </x:c>
      <x:c r="K96" s="27" t="str">
        <x:f>IF(C96="","",IF(ISNUMBER(G96),G96+J96,"n.a."))</x:f>
      </x:c>
      <x:c r="L96" s="27" t="str">
        <x:f>IF(C96="","",IF(D96&gt;='Tong_hop'!$F$4,0,IF(AND(ISNUMBER(O96),ISNUMBER(K96)),O96-K96,"n.a.")))</x:f>
      </x:c>
      <x:c r="M96" s="23" t="str">
        <x:f>IF(C96="","",IF(N96&lt;&gt;"","Sửa dữ liệu",IF(D96&gt;='Tong_hop'!$F$4,"Ngoài kỳ",IF(ABS(L96)&lt;='Tong_hop'!$I$4,"Đã nhận đủ",IF(L96&lt;0,"Nhận vượt",IF(K96&gt;0,"Nhận thiếu","Đang chuyển"))))))</x:f>
      </x:c>
      <x:c r="N96" s="23" t="str">
        <x:f>IF(COUNTA(A96:H96)=0,"",IF(OR(NOT(OR(A96="TikTok Shop",A96="Shopee",A96="Lazada")),B96="",C96="",NOT(ISNUMBER(D96)),COUNT(E96:G96)&lt;&gt;3,E96&lt;0,F96&lt;0,F96&gt;E96,G96&lt;0),"Thiếu/sai dữ liệu",IF(NOT(COUNTIFS(T_SoDu[Khóa shop],A96&amp;"|"&amp;B96)=1),"Shop chưa khai báo",IF(COUNTIFS(T_Chuyen[Khóa đợt chuyển],I96)&lt;&gt;1,"Trùng đợt chuyển",""))))</x:f>
      </x:c>
      <x:c r="O96" s="27" t="str">
        <x:f>IF(C96="","",IF(COUNT(E96:F96)=2,E96-F96,"n.a."))</x:f>
      </x:c>
    </x:row>
    <x:row r="97" ht="22" customHeight="1">
      <x:c r="A97" s="10"/>
      <x:c r="B97" s="10"/>
      <x:c r="C97" s="24"/>
      <x:c r="D97" s="25"/>
      <x:c r="E97" s="26"/>
      <x:c r="F97" s="26"/>
      <x:c r="G97" s="26"/>
      <x:c r="H97" s="10"/>
      <x:c r="I97" s="23" t="str">
        <x:f>IF(C97="","",A97&amp;"|"&amp;B97&amp;"|"&amp;C97)</x:f>
      </x:c>
      <x:c r="J97" s="27" t="str">
        <x:f>IF(C97="","",SUMIFS(T_NH[Tiền thực nhận],T_NH[Khóa đợt chuyển],I97,T_NH[Ngày báo Có],"&gt;="&amp;'Tong_hop'!$C$4,T_NH[Ngày báo Có],"&lt;"&amp;'Tong_hop'!$F$4))</x:f>
      </x:c>
      <x:c r="K97" s="27" t="str">
        <x:f>IF(C97="","",IF(ISNUMBER(G97),G97+J97,"n.a."))</x:f>
      </x:c>
      <x:c r="L97" s="27" t="str">
        <x:f>IF(C97="","",IF(D97&gt;='Tong_hop'!$F$4,0,IF(AND(ISNUMBER(O97),ISNUMBER(K97)),O97-K97,"n.a.")))</x:f>
      </x:c>
      <x:c r="M97" s="23" t="str">
        <x:f>IF(C97="","",IF(N97&lt;&gt;"","Sửa dữ liệu",IF(D97&gt;='Tong_hop'!$F$4,"Ngoài kỳ",IF(ABS(L97)&lt;='Tong_hop'!$I$4,"Đã nhận đủ",IF(L97&lt;0,"Nhận vượt",IF(K97&gt;0,"Nhận thiếu","Đang chuyển"))))))</x:f>
      </x:c>
      <x:c r="N97" s="23" t="str">
        <x:f>IF(COUNTA(A97:H97)=0,"",IF(OR(NOT(OR(A97="TikTok Shop",A97="Shopee",A97="Lazada")),B97="",C97="",NOT(ISNUMBER(D97)),COUNT(E97:G97)&lt;&gt;3,E97&lt;0,F97&lt;0,F97&gt;E97,G97&lt;0),"Thiếu/sai dữ liệu",IF(NOT(COUNTIFS(T_SoDu[Khóa shop],A97&amp;"|"&amp;B97)=1),"Shop chưa khai báo",IF(COUNTIFS(T_Chuyen[Khóa đợt chuyển],I97)&lt;&gt;1,"Trùng đợt chuyển",""))))</x:f>
      </x:c>
      <x:c r="O97" s="27" t="str">
        <x:f>IF(C97="","",IF(COUNT(E97:F97)=2,E97-F97,"n.a."))</x:f>
      </x:c>
    </x:row>
    <x:row r="98" ht="22" customHeight="1">
      <x:c r="A98" s="10"/>
      <x:c r="B98" s="10"/>
      <x:c r="C98" s="24"/>
      <x:c r="D98" s="25"/>
      <x:c r="E98" s="26"/>
      <x:c r="F98" s="26"/>
      <x:c r="G98" s="26"/>
      <x:c r="H98" s="10"/>
      <x:c r="I98" s="23" t="str">
        <x:f>IF(C98="","",A98&amp;"|"&amp;B98&amp;"|"&amp;C98)</x:f>
      </x:c>
      <x:c r="J98" s="27" t="str">
        <x:f>IF(C98="","",SUMIFS(T_NH[Tiền thực nhận],T_NH[Khóa đợt chuyển],I98,T_NH[Ngày báo Có],"&gt;="&amp;'Tong_hop'!$C$4,T_NH[Ngày báo Có],"&lt;"&amp;'Tong_hop'!$F$4))</x:f>
      </x:c>
      <x:c r="K98" s="27" t="str">
        <x:f>IF(C98="","",IF(ISNUMBER(G98),G98+J98,"n.a."))</x:f>
      </x:c>
      <x:c r="L98" s="27" t="str">
        <x:f>IF(C98="","",IF(D98&gt;='Tong_hop'!$F$4,0,IF(AND(ISNUMBER(O98),ISNUMBER(K98)),O98-K98,"n.a.")))</x:f>
      </x:c>
      <x:c r="M98" s="23" t="str">
        <x:f>IF(C98="","",IF(N98&lt;&gt;"","Sửa dữ liệu",IF(D98&gt;='Tong_hop'!$F$4,"Ngoài kỳ",IF(ABS(L98)&lt;='Tong_hop'!$I$4,"Đã nhận đủ",IF(L98&lt;0,"Nhận vượt",IF(K98&gt;0,"Nhận thiếu","Đang chuyển"))))))</x:f>
      </x:c>
      <x:c r="N98" s="23" t="str">
        <x:f>IF(COUNTA(A98:H98)=0,"",IF(OR(NOT(OR(A98="TikTok Shop",A98="Shopee",A98="Lazada")),B98="",C98="",NOT(ISNUMBER(D98)),COUNT(E98:G98)&lt;&gt;3,E98&lt;0,F98&lt;0,F98&gt;E98,G98&lt;0),"Thiếu/sai dữ liệu",IF(NOT(COUNTIFS(T_SoDu[Khóa shop],A98&amp;"|"&amp;B98)=1),"Shop chưa khai báo",IF(COUNTIFS(T_Chuyen[Khóa đợt chuyển],I98)&lt;&gt;1,"Trùng đợt chuyển",""))))</x:f>
      </x:c>
      <x:c r="O98" s="27" t="str">
        <x:f>IF(C98="","",IF(COUNT(E98:F98)=2,E98-F98,"n.a."))</x:f>
      </x:c>
    </x:row>
    <x:row r="99" ht="22" customHeight="1">
      <x:c r="A99" s="10"/>
      <x:c r="B99" s="10"/>
      <x:c r="C99" s="24"/>
      <x:c r="D99" s="25"/>
      <x:c r="E99" s="26"/>
      <x:c r="F99" s="26"/>
      <x:c r="G99" s="26"/>
      <x:c r="H99" s="10"/>
      <x:c r="I99" s="23" t="str">
        <x:f>IF(C99="","",A99&amp;"|"&amp;B99&amp;"|"&amp;C99)</x:f>
      </x:c>
      <x:c r="J99" s="27" t="str">
        <x:f>IF(C99="","",SUMIFS(T_NH[Tiền thực nhận],T_NH[Khóa đợt chuyển],I99,T_NH[Ngày báo Có],"&gt;="&amp;'Tong_hop'!$C$4,T_NH[Ngày báo Có],"&lt;"&amp;'Tong_hop'!$F$4))</x:f>
      </x:c>
      <x:c r="K99" s="27" t="str">
        <x:f>IF(C99="","",IF(ISNUMBER(G99),G99+J99,"n.a."))</x:f>
      </x:c>
      <x:c r="L99" s="27" t="str">
        <x:f>IF(C99="","",IF(D99&gt;='Tong_hop'!$F$4,0,IF(AND(ISNUMBER(O99),ISNUMBER(K99)),O99-K99,"n.a.")))</x:f>
      </x:c>
      <x:c r="M99" s="23" t="str">
        <x:f>IF(C99="","",IF(N99&lt;&gt;"","Sửa dữ liệu",IF(D99&gt;='Tong_hop'!$F$4,"Ngoài kỳ",IF(ABS(L99)&lt;='Tong_hop'!$I$4,"Đã nhận đủ",IF(L99&lt;0,"Nhận vượt",IF(K99&gt;0,"Nhận thiếu","Đang chuyển"))))))</x:f>
      </x:c>
      <x:c r="N99" s="23" t="str">
        <x:f>IF(COUNTA(A99:H99)=0,"",IF(OR(NOT(OR(A99="TikTok Shop",A99="Shopee",A99="Lazada")),B99="",C99="",NOT(ISNUMBER(D99)),COUNT(E99:G99)&lt;&gt;3,E99&lt;0,F99&lt;0,F99&gt;E99,G99&lt;0),"Thiếu/sai dữ liệu",IF(NOT(COUNTIFS(T_SoDu[Khóa shop],A99&amp;"|"&amp;B99)=1),"Shop chưa khai báo",IF(COUNTIFS(T_Chuyen[Khóa đợt chuyển],I99)&lt;&gt;1,"Trùng đợt chuyển",""))))</x:f>
      </x:c>
      <x:c r="O99" s="27" t="str">
        <x:f>IF(C99="","",IF(COUNT(E99:F99)=2,E99-F99,"n.a."))</x:f>
      </x:c>
    </x:row>
    <x:row r="100" ht="22" customHeight="1">
      <x:c r="A100" s="10"/>
      <x:c r="B100" s="10"/>
      <x:c r="C100" s="24"/>
      <x:c r="D100" s="25"/>
      <x:c r="E100" s="26"/>
      <x:c r="F100" s="26"/>
      <x:c r="G100" s="26"/>
      <x:c r="H100" s="10"/>
      <x:c r="I100" s="23" t="str">
        <x:f>IF(C100="","",A100&amp;"|"&amp;B100&amp;"|"&amp;C100)</x:f>
      </x:c>
      <x:c r="J100" s="27" t="str">
        <x:f>IF(C100="","",SUMIFS(T_NH[Tiền thực nhận],T_NH[Khóa đợt chuyển],I100,T_NH[Ngày báo Có],"&gt;="&amp;'Tong_hop'!$C$4,T_NH[Ngày báo Có],"&lt;"&amp;'Tong_hop'!$F$4))</x:f>
      </x:c>
      <x:c r="K100" s="27" t="str">
        <x:f>IF(C100="","",IF(ISNUMBER(G100),G100+J100,"n.a."))</x:f>
      </x:c>
      <x:c r="L100" s="27" t="str">
        <x:f>IF(C100="","",IF(D100&gt;='Tong_hop'!$F$4,0,IF(AND(ISNUMBER(O100),ISNUMBER(K100)),O100-K100,"n.a.")))</x:f>
      </x:c>
      <x:c r="M100" s="23" t="str">
        <x:f>IF(C100="","",IF(N100&lt;&gt;"","Sửa dữ liệu",IF(D100&gt;='Tong_hop'!$F$4,"Ngoài kỳ",IF(ABS(L100)&lt;='Tong_hop'!$I$4,"Đã nhận đủ",IF(L100&lt;0,"Nhận vượt",IF(K100&gt;0,"Nhận thiếu","Đang chuyển"))))))</x:f>
      </x:c>
      <x:c r="N100" s="23" t="str">
        <x:f>IF(COUNTA(A100:H100)=0,"",IF(OR(NOT(OR(A100="TikTok Shop",A100="Shopee",A100="Lazada")),B100="",C100="",NOT(ISNUMBER(D100)),COUNT(E100:G100)&lt;&gt;3,E100&lt;0,F100&lt;0,F100&gt;E100,G100&lt;0),"Thiếu/sai dữ liệu",IF(NOT(COUNTIFS(T_SoDu[Khóa shop],A100&amp;"|"&amp;B100)=1),"Shop chưa khai báo",IF(COUNTIFS(T_Chuyen[Khóa đợt chuyển],I100)&lt;&gt;1,"Trùng đợt chuyển",""))))</x:f>
      </x:c>
      <x:c r="O100" s="27" t="str">
        <x:f>IF(C100="","",IF(COUNT(E100:F100)=2,E100-F100,"n.a."))</x:f>
      </x:c>
    </x:row>
    <x:row r="101" ht="22" customHeight="1">
      <x:c r="A101" s="10"/>
      <x:c r="B101" s="10"/>
      <x:c r="C101" s="24"/>
      <x:c r="D101" s="25"/>
      <x:c r="E101" s="26"/>
      <x:c r="F101" s="26"/>
      <x:c r="G101" s="26"/>
      <x:c r="H101" s="10"/>
      <x:c r="I101" s="23" t="str">
        <x:f>IF(C101="","",A101&amp;"|"&amp;B101&amp;"|"&amp;C101)</x:f>
      </x:c>
      <x:c r="J101" s="27" t="str">
        <x:f>IF(C101="","",SUMIFS(T_NH[Tiền thực nhận],T_NH[Khóa đợt chuyển],I101,T_NH[Ngày báo Có],"&gt;="&amp;'Tong_hop'!$C$4,T_NH[Ngày báo Có],"&lt;"&amp;'Tong_hop'!$F$4))</x:f>
      </x:c>
      <x:c r="K101" s="27" t="str">
        <x:f>IF(C101="","",IF(ISNUMBER(G101),G101+J101,"n.a."))</x:f>
      </x:c>
      <x:c r="L101" s="27" t="str">
        <x:f>IF(C101="","",IF(D101&gt;='Tong_hop'!$F$4,0,IF(AND(ISNUMBER(O101),ISNUMBER(K101)),O101-K101,"n.a.")))</x:f>
      </x:c>
      <x:c r="M101" s="23" t="str">
        <x:f>IF(C101="","",IF(N101&lt;&gt;"","Sửa dữ liệu",IF(D101&gt;='Tong_hop'!$F$4,"Ngoài kỳ",IF(ABS(L101)&lt;='Tong_hop'!$I$4,"Đã nhận đủ",IF(L101&lt;0,"Nhận vượt",IF(K101&gt;0,"Nhận thiếu","Đang chuyển"))))))</x:f>
      </x:c>
      <x:c r="N101" s="23" t="str">
        <x:f>IF(COUNTA(A101:H101)=0,"",IF(OR(NOT(OR(A101="TikTok Shop",A101="Shopee",A101="Lazada")),B101="",C101="",NOT(ISNUMBER(D101)),COUNT(E101:G101)&lt;&gt;3,E101&lt;0,F101&lt;0,F101&gt;E101,G101&lt;0),"Thiếu/sai dữ liệu",IF(NOT(COUNTIFS(T_SoDu[Khóa shop],A101&amp;"|"&amp;B101)=1),"Shop chưa khai báo",IF(COUNTIFS(T_Chuyen[Khóa đợt chuyển],I101)&lt;&gt;1,"Trùng đợt chuyển",""))))</x:f>
      </x:c>
      <x:c r="O101" s="27" t="str">
        <x:f>IF(C101="","",IF(COUNT(E101:F101)=2,E101-F101,"n.a."))</x:f>
      </x:c>
    </x:row>
    <x:row r="102" ht="22" customHeight="1">
      <x:c r="A102" s="10"/>
      <x:c r="B102" s="10"/>
      <x:c r="C102" s="24"/>
      <x:c r="D102" s="25"/>
      <x:c r="E102" s="26"/>
      <x:c r="F102" s="26"/>
      <x:c r="G102" s="26"/>
      <x:c r="H102" s="10"/>
      <x:c r="I102" s="23" t="str">
        <x:f>IF(C102="","",A102&amp;"|"&amp;B102&amp;"|"&amp;C102)</x:f>
      </x:c>
      <x:c r="J102" s="27" t="str">
        <x:f>IF(C102="","",SUMIFS(T_NH[Tiền thực nhận],T_NH[Khóa đợt chuyển],I102,T_NH[Ngày báo Có],"&gt;="&amp;'Tong_hop'!$C$4,T_NH[Ngày báo Có],"&lt;"&amp;'Tong_hop'!$F$4))</x:f>
      </x:c>
      <x:c r="K102" s="27" t="str">
        <x:f>IF(C102="","",IF(ISNUMBER(G102),G102+J102,"n.a."))</x:f>
      </x:c>
      <x:c r="L102" s="27" t="str">
        <x:f>IF(C102="","",IF(D102&gt;='Tong_hop'!$F$4,0,IF(AND(ISNUMBER(O102),ISNUMBER(K102)),O102-K102,"n.a.")))</x:f>
      </x:c>
      <x:c r="M102" s="23" t="str">
        <x:f>IF(C102="","",IF(N102&lt;&gt;"","Sửa dữ liệu",IF(D102&gt;='Tong_hop'!$F$4,"Ngoài kỳ",IF(ABS(L102)&lt;='Tong_hop'!$I$4,"Đã nhận đủ",IF(L102&lt;0,"Nhận vượt",IF(K102&gt;0,"Nhận thiếu","Đang chuyển"))))))</x:f>
      </x:c>
      <x:c r="N102" s="23" t="str">
        <x:f>IF(COUNTA(A102:H102)=0,"",IF(OR(NOT(OR(A102="TikTok Shop",A102="Shopee",A102="Lazada")),B102="",C102="",NOT(ISNUMBER(D102)),COUNT(E102:G102)&lt;&gt;3,E102&lt;0,F102&lt;0,F102&gt;E102,G102&lt;0),"Thiếu/sai dữ liệu",IF(NOT(COUNTIFS(T_SoDu[Khóa shop],A102&amp;"|"&amp;B102)=1),"Shop chưa khai báo",IF(COUNTIFS(T_Chuyen[Khóa đợt chuyển],I102)&lt;&gt;1,"Trùng đợt chuyển",""))))</x:f>
      </x:c>
      <x:c r="O102" s="27" t="str">
        <x:f>IF(C102="","",IF(COUNT(E102:F102)=2,E102-F102,"n.a."))</x:f>
      </x:c>
    </x:row>
    <x:row r="103" ht="22" customHeight="1">
      <x:c r="A103" s="10"/>
      <x:c r="B103" s="10"/>
      <x:c r="C103" s="24"/>
      <x:c r="D103" s="25"/>
      <x:c r="E103" s="26"/>
      <x:c r="F103" s="26"/>
      <x:c r="G103" s="26"/>
      <x:c r="H103" s="10"/>
      <x:c r="I103" s="23" t="str">
        <x:f>IF(C103="","",A103&amp;"|"&amp;B103&amp;"|"&amp;C103)</x:f>
      </x:c>
      <x:c r="J103" s="27" t="str">
        <x:f>IF(C103="","",SUMIFS(T_NH[Tiền thực nhận],T_NH[Khóa đợt chuyển],I103,T_NH[Ngày báo Có],"&gt;="&amp;'Tong_hop'!$C$4,T_NH[Ngày báo Có],"&lt;"&amp;'Tong_hop'!$F$4))</x:f>
      </x:c>
      <x:c r="K103" s="27" t="str">
        <x:f>IF(C103="","",IF(ISNUMBER(G103),G103+J103,"n.a."))</x:f>
      </x:c>
      <x:c r="L103" s="27" t="str">
        <x:f>IF(C103="","",IF(D103&gt;='Tong_hop'!$F$4,0,IF(AND(ISNUMBER(O103),ISNUMBER(K103)),O103-K103,"n.a.")))</x:f>
      </x:c>
      <x:c r="M103" s="23" t="str">
        <x:f>IF(C103="","",IF(N103&lt;&gt;"","Sửa dữ liệu",IF(D103&gt;='Tong_hop'!$F$4,"Ngoài kỳ",IF(ABS(L103)&lt;='Tong_hop'!$I$4,"Đã nhận đủ",IF(L103&lt;0,"Nhận vượt",IF(K103&gt;0,"Nhận thiếu","Đang chuyển"))))))</x:f>
      </x:c>
      <x:c r="N103" s="23" t="str">
        <x:f>IF(COUNTA(A103:H103)=0,"",IF(OR(NOT(OR(A103="TikTok Shop",A103="Shopee",A103="Lazada")),B103="",C103="",NOT(ISNUMBER(D103)),COUNT(E103:G103)&lt;&gt;3,E103&lt;0,F103&lt;0,F103&gt;E103,G103&lt;0),"Thiếu/sai dữ liệu",IF(NOT(COUNTIFS(T_SoDu[Khóa shop],A103&amp;"|"&amp;B103)=1),"Shop chưa khai báo",IF(COUNTIFS(T_Chuyen[Khóa đợt chuyển],I103)&lt;&gt;1,"Trùng đợt chuyển",""))))</x:f>
      </x:c>
      <x:c r="O103" s="27" t="str">
        <x:f>IF(C103="","",IF(COUNT(E103:F103)=2,E103-F103,"n.a."))</x:f>
      </x:c>
    </x:row>
    <x:row r="104" ht="22" customHeight="1">
      <x:c r="A104" s="10"/>
      <x:c r="B104" s="10"/>
      <x:c r="C104" s="24"/>
      <x:c r="D104" s="25"/>
      <x:c r="E104" s="26"/>
      <x:c r="F104" s="26"/>
      <x:c r="G104" s="26"/>
      <x:c r="H104" s="10"/>
      <x:c r="I104" s="23" t="str">
        <x:f>IF(C104="","",A104&amp;"|"&amp;B104&amp;"|"&amp;C104)</x:f>
      </x:c>
      <x:c r="J104" s="27" t="str">
        <x:f>IF(C104="","",SUMIFS(T_NH[Tiền thực nhận],T_NH[Khóa đợt chuyển],I104,T_NH[Ngày báo Có],"&gt;="&amp;'Tong_hop'!$C$4,T_NH[Ngày báo Có],"&lt;"&amp;'Tong_hop'!$F$4))</x:f>
      </x:c>
      <x:c r="K104" s="27" t="str">
        <x:f>IF(C104="","",IF(ISNUMBER(G104),G104+J104,"n.a."))</x:f>
      </x:c>
      <x:c r="L104" s="27" t="str">
        <x:f>IF(C104="","",IF(D104&gt;='Tong_hop'!$F$4,0,IF(AND(ISNUMBER(O104),ISNUMBER(K104)),O104-K104,"n.a.")))</x:f>
      </x:c>
      <x:c r="M104" s="23" t="str">
        <x:f>IF(C104="","",IF(N104&lt;&gt;"","Sửa dữ liệu",IF(D104&gt;='Tong_hop'!$F$4,"Ngoài kỳ",IF(ABS(L104)&lt;='Tong_hop'!$I$4,"Đã nhận đủ",IF(L104&lt;0,"Nhận vượt",IF(K104&gt;0,"Nhận thiếu","Đang chuyển"))))))</x:f>
      </x:c>
      <x:c r="N104" s="23" t="str">
        <x:f>IF(COUNTA(A104:H104)=0,"",IF(OR(NOT(OR(A104="TikTok Shop",A104="Shopee",A104="Lazada")),B104="",C104="",NOT(ISNUMBER(D104)),COUNT(E104:G104)&lt;&gt;3,E104&lt;0,F104&lt;0,F104&gt;E104,G104&lt;0),"Thiếu/sai dữ liệu",IF(NOT(COUNTIFS(T_SoDu[Khóa shop],A104&amp;"|"&amp;B104)=1),"Shop chưa khai báo",IF(COUNTIFS(T_Chuyen[Khóa đợt chuyển],I104)&lt;&gt;1,"Trùng đợt chuyển",""))))</x:f>
      </x:c>
      <x:c r="O104" s="27" t="str">
        <x:f>IF(C104="","",IF(COUNT(E104:F104)=2,E104-F104,"n.a."))</x:f>
      </x:c>
    </x:row>
    <x:row r="105" ht="22" customHeight="1">
      <x:c r="A105" s="10"/>
      <x:c r="B105" s="10"/>
      <x:c r="C105" s="24"/>
      <x:c r="D105" s="25"/>
      <x:c r="E105" s="26"/>
      <x:c r="F105" s="26"/>
      <x:c r="G105" s="26"/>
      <x:c r="H105" s="10"/>
      <x:c r="I105" s="23" t="str">
        <x:f>IF(C105="","",A105&amp;"|"&amp;B105&amp;"|"&amp;C105)</x:f>
      </x:c>
      <x:c r="J105" s="27" t="str">
        <x:f>IF(C105="","",SUMIFS(T_NH[Tiền thực nhận],T_NH[Khóa đợt chuyển],I105,T_NH[Ngày báo Có],"&gt;="&amp;'Tong_hop'!$C$4,T_NH[Ngày báo Có],"&lt;"&amp;'Tong_hop'!$F$4))</x:f>
      </x:c>
      <x:c r="K105" s="27" t="str">
        <x:f>IF(C105="","",IF(ISNUMBER(G105),G105+J105,"n.a."))</x:f>
      </x:c>
      <x:c r="L105" s="27" t="str">
        <x:f>IF(C105="","",IF(D105&gt;='Tong_hop'!$F$4,0,IF(AND(ISNUMBER(O105),ISNUMBER(K105)),O105-K105,"n.a.")))</x:f>
      </x:c>
      <x:c r="M105" s="23" t="str">
        <x:f>IF(C105="","",IF(N105&lt;&gt;"","Sửa dữ liệu",IF(D105&gt;='Tong_hop'!$F$4,"Ngoài kỳ",IF(ABS(L105)&lt;='Tong_hop'!$I$4,"Đã nhận đủ",IF(L105&lt;0,"Nhận vượt",IF(K105&gt;0,"Nhận thiếu","Đang chuyển"))))))</x:f>
      </x:c>
      <x:c r="N105" s="23" t="str">
        <x:f>IF(COUNTA(A105:H105)=0,"",IF(OR(NOT(OR(A105="TikTok Shop",A105="Shopee",A105="Lazada")),B105="",C105="",NOT(ISNUMBER(D105)),COUNT(E105:G105)&lt;&gt;3,E105&lt;0,F105&lt;0,F105&gt;E105,G105&lt;0),"Thiếu/sai dữ liệu",IF(NOT(COUNTIFS(T_SoDu[Khóa shop],A105&amp;"|"&amp;B105)=1),"Shop chưa khai báo",IF(COUNTIFS(T_Chuyen[Khóa đợt chuyển],I105)&lt;&gt;1,"Trùng đợt chuyển",""))))</x:f>
      </x:c>
      <x:c r="O105" s="27" t="str">
        <x:f>IF(C105="","",IF(COUNT(E105:F105)=2,E105-F105,"n.a."))</x:f>
      </x:c>
    </x:row>
    <x:row r="106" ht="22" customHeight="1">
      <x:c r="A106" s="10"/>
      <x:c r="B106" s="10"/>
      <x:c r="C106" s="24"/>
      <x:c r="D106" s="25"/>
      <x:c r="E106" s="26"/>
      <x:c r="F106" s="26"/>
      <x:c r="G106" s="26"/>
      <x:c r="H106" s="10"/>
      <x:c r="I106" s="23" t="str">
        <x:f>IF(C106="","",A106&amp;"|"&amp;B106&amp;"|"&amp;C106)</x:f>
      </x:c>
      <x:c r="J106" s="27" t="str">
        <x:f>IF(C106="","",SUMIFS(T_NH[Tiền thực nhận],T_NH[Khóa đợt chuyển],I106,T_NH[Ngày báo Có],"&gt;="&amp;'Tong_hop'!$C$4,T_NH[Ngày báo Có],"&lt;"&amp;'Tong_hop'!$F$4))</x:f>
      </x:c>
      <x:c r="K106" s="27" t="str">
        <x:f>IF(C106="","",IF(ISNUMBER(G106),G106+J106,"n.a."))</x:f>
      </x:c>
      <x:c r="L106" s="27" t="str">
        <x:f>IF(C106="","",IF(D106&gt;='Tong_hop'!$F$4,0,IF(AND(ISNUMBER(O106),ISNUMBER(K106)),O106-K106,"n.a.")))</x:f>
      </x:c>
      <x:c r="M106" s="23" t="str">
        <x:f>IF(C106="","",IF(N106&lt;&gt;"","Sửa dữ liệu",IF(D106&gt;='Tong_hop'!$F$4,"Ngoài kỳ",IF(ABS(L106)&lt;='Tong_hop'!$I$4,"Đã nhận đủ",IF(L106&lt;0,"Nhận vượt",IF(K106&gt;0,"Nhận thiếu","Đang chuyển"))))))</x:f>
      </x:c>
      <x:c r="N106" s="23" t="str">
        <x:f>IF(COUNTA(A106:H106)=0,"",IF(OR(NOT(OR(A106="TikTok Shop",A106="Shopee",A106="Lazada")),B106="",C106="",NOT(ISNUMBER(D106)),COUNT(E106:G106)&lt;&gt;3,E106&lt;0,F106&lt;0,F106&gt;E106,G106&lt;0),"Thiếu/sai dữ liệu",IF(NOT(COUNTIFS(T_SoDu[Khóa shop],A106&amp;"|"&amp;B106)=1),"Shop chưa khai báo",IF(COUNTIFS(T_Chuyen[Khóa đợt chuyển],I106)&lt;&gt;1,"Trùng đợt chuyển",""))))</x:f>
      </x:c>
      <x:c r="O106" s="27" t="str">
        <x:f>IF(C106="","",IF(COUNT(E106:F106)=2,E106-F106,"n.a."))</x:f>
      </x:c>
    </x:row>
  </x:sheetData>
  <x:conditionalFormatting sqref="N7:N106">
    <x:cfRule type="expression" dxfId="9" priority="1">
      <x:formula>N7&lt;&gt;""</x:formula>
    </x:cfRule>
  </x:conditionalFormatting>
  <x:conditionalFormatting sqref="L7:M106">
    <x:cfRule type="expression" dxfId="14" priority="2">
      <x:formula>OR($M7="Nhận thiếu",$M7="Nhận vượt")</x:formula>
    </x:cfRule>
  </x:conditionalFormatting>
  <x:dataValidations count="1">
    <x:dataValidation type="list" sqref="A7:A106">
      <x:formula1>"TikTok Shop,Shopee,Lazada"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f155ecacaf4d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0" hidden="0" customWidth="1"/>
    <x:col min="10" max="10" width="40" hidden="0" customWidth="1"/>
    <x:col min="11" max="11" width="18" hidden="0" customWidth="1"/>
    <x:col min="12" max="12" width="2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TIỀN NGÂN HÀNG THỰC NHẬN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2" t="str">
        <x:v>Một dòng / báo Có. Gắn mã đợt chuyển trước khi chốt. Dòng chưa gắn hoặc trùng mã sẽ được cảnh báo.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58" customHeight="1">
      <x:c r="A6" s="20" t="str">
        <x:v>Sàn</x:v>
      </x:c>
      <x:c r="B6" s="21" t="str">
        <x:v>Shop</x:v>
      </x:c>
      <x:c r="C6" s="21" t="str">
        <x:v>Mã giao dịch NH</x:v>
      </x:c>
      <x:c r="D6" s="21" t="str">
        <x:v>Mã đợt chuyển</x:v>
      </x:c>
      <x:c r="E6" s="21" t="str">
        <x:v>Ngày báo Có</x:v>
      </x:c>
      <x:c r="F6" s="21" t="str">
        <x:v>Tiền thực nhận</x:v>
      </x:c>
      <x:c r="G6" s="21" t="str">
        <x:v>Tài khoản NH</x:v>
      </x:c>
      <x:c r="H6" s="21" t="str">
        <x:v>Diễn giải / nguồn</x:v>
      </x:c>
      <x:c r="I6" s="21" t="str">
        <x:v>Khóa đợt chuyển</x:v>
      </x:c>
      <x:c r="J6" s="21" t="str">
        <x:v>Khóa giao dịch NH</x:v>
      </x:c>
      <x:c r="K6" s="21" t="str">
        <x:v>Phạm vi kỳ</x:v>
      </x:c>
      <x:c r="L6" s="22" t="str">
        <x:v>Kiểm tra dữ liệu</x:v>
      </x:c>
    </x:row>
    <x:row r="7" ht="22" customHeight="1">
      <x:c r="A7" s="10" t="str">
        <x:v>TikTok Shop</x:v>
      </x:c>
      <x:c r="B7" s="10" t="str">
        <x:v>DEMO_TT</x:v>
      </x:c>
      <x:c r="C7" s="24" t="str">
        <x:v>NH-TT01</x:v>
      </x:c>
      <x:c r="D7" s="24" t="str">
        <x:v>TT-P0</x:v>
      </x:c>
      <x:c r="E7" s="25" t="d">
        <x:v>2026-09-02T00:00:00.000Z</x:v>
      </x:c>
      <x:c r="F7" s="26" t="n">
        <x:v>100000</x:v>
      </x:c>
      <x:c r="G7" s="24" t="str">
        <x:v>DEMO112</x:v>
      </x:c>
      <x:c r="H7" s="10" t="str">
        <x:v>Thu khoản đang chuyển đầu kỳ</x:v>
      </x:c>
      <x:c r="I7" s="23" t="str">
        <x:f>IF(D7="","",A7&amp;"|"&amp;B7&amp;"|"&amp;D7)</x:f>
        <x:v>TikTok Shop|DEMO_TT|TT-P0</x:v>
      </x:c>
      <x:c r="J7" s="23" t="str">
        <x:f>IF(C7="","",G7&amp;"|"&amp;C7)</x:f>
        <x:v>DEMO112|NH-TT01</x:v>
      </x:c>
      <x:c r="K7" s="23" t="str">
        <x:f>IF(C7="","",IF(AND(E7&gt;='Tong_hop'!$C$4,E7&lt;'Tong_hop'!$F$4),"Trong kỳ","Ngoài kỳ"))</x:f>
        <x:v>Trong kỳ</x:v>
      </x:c>
      <x:c r="L7" s="23" t="str">
        <x:f>IF(COUNTA(A7:H7)=0,"",IF(OR(NOT(OR(A7="TikTok Shop",A7="Shopee",A7="Lazada")),B7="",C7="",D7="",NOT(ISNUMBER(E7)),NOT(ISNUMBER(F7)),F7&lt;0,G7=""),"Thiếu/sai dữ liệu",IF(NOT(COUNTIFS(T_SoDu[Khóa shop],A7&amp;"|"&amp;B7)=1),"Shop chưa khai báo",IF(COUNTIFS(T_NH[Khóa giao dịch NH],J7)&lt;&gt;1,"Trùng giao dịch NH",IF(COUNTIFS(T_Chuyen[Khóa đợt chuyển],I7)&lt;&gt;1,"Chưa ghép đợt chuyển","")))))</x:f>
      </x:c>
    </x:row>
    <x:row r="8" ht="22" customHeight="1">
      <x:c r="A8" s="10" t="str">
        <x:v>TikTok Shop</x:v>
      </x:c>
      <x:c r="B8" s="10" t="str">
        <x:v>DEMO_TT</x:v>
      </x:c>
      <x:c r="C8" s="24" t="str">
        <x:v>NH-TT02</x:v>
      </x:c>
      <x:c r="D8" s="24" t="str">
        <x:v>TT-P1</x:v>
      </x:c>
      <x:c r="E8" s="25" t="d">
        <x:v>2026-09-16T00:00:00.000Z</x:v>
      </x:c>
      <x:c r="F8" s="26" t="n">
        <x:v>990000</x:v>
      </x:c>
      <x:c r="G8" s="24" t="str">
        <x:v>DEMO112</x:v>
      </x:c>
      <x:c r="H8" s="10" t="str">
        <x:v>Thực nhận sau phí chuyển</x:v>
      </x:c>
      <x:c r="I8" s="23" t="str">
        <x:f>IF(D8="","",A8&amp;"|"&amp;B8&amp;"|"&amp;D8)</x:f>
        <x:v>TikTok Shop|DEMO_TT|TT-P1</x:v>
      </x:c>
      <x:c r="J8" s="23" t="str">
        <x:f>IF(C8="","",G8&amp;"|"&amp;C8)</x:f>
        <x:v>DEMO112|NH-TT02</x:v>
      </x:c>
      <x:c r="K8" s="23" t="str">
        <x:f>IF(C8="","",IF(AND(E8&gt;='Tong_hop'!$C$4,E8&lt;'Tong_hop'!$F$4),"Trong kỳ","Ngoài kỳ"))</x:f>
        <x:v>Trong kỳ</x:v>
      </x:c>
      <x:c r="L8" s="23" t="str">
        <x:f>IF(COUNTA(A8:H8)=0,"",IF(OR(NOT(OR(A8="TikTok Shop",A8="Shopee",A8="Lazada")),B8="",C8="",D8="",NOT(ISNUMBER(E8)),NOT(ISNUMBER(F8)),F8&lt;0,G8=""),"Thiếu/sai dữ liệu",IF(NOT(COUNTIFS(T_SoDu[Khóa shop],A8&amp;"|"&amp;B8)=1),"Shop chưa khai báo",IF(COUNTIFS(T_NH[Khóa giao dịch NH],J8)&lt;&gt;1,"Trùng giao dịch NH",IF(COUNTIFS(T_Chuyen[Khóa đợt chuyển],I8)&lt;&gt;1,"Chưa ghép đợt chuyển","")))))</x:f>
      </x:c>
    </x:row>
    <x:row r="9" ht="22" customHeight="1">
      <x:c r="A9" s="10" t="str">
        <x:v>TikTok Shop</x:v>
      </x:c>
      <x:c r="B9" s="10" t="str">
        <x:v>DEMO_TT</x:v>
      </x:c>
      <x:c r="C9" s="24" t="str">
        <x:v>NH-TT03</x:v>
      </x:c>
      <x:c r="D9" s="24" t="str">
        <x:v>TT-P2</x:v>
      </x:c>
      <x:c r="E9" s="25" t="d">
        <x:v>2026-10-02T00:00:00.000Z</x:v>
      </x:c>
      <x:c r="F9" s="26" t="n">
        <x:v>400000</x:v>
      </x:c>
      <x:c r="G9" s="24" t="str">
        <x:v>DEMO112</x:v>
      </x:c>
      <x:c r="H9" s="10" t="str">
        <x:v>Ngoài T9</x:v>
      </x:c>
      <x:c r="I9" s="23" t="str">
        <x:f>IF(D9="","",A9&amp;"|"&amp;B9&amp;"|"&amp;D9)</x:f>
        <x:v>TikTok Shop|DEMO_TT|TT-P2</x:v>
      </x:c>
      <x:c r="J9" s="23" t="str">
        <x:f>IF(C9="","",G9&amp;"|"&amp;C9)</x:f>
        <x:v>DEMO112|NH-TT03</x:v>
      </x:c>
      <x:c r="K9" s="23" t="str">
        <x:f>IF(C9="","",IF(AND(E9&gt;='Tong_hop'!$C$4,E9&lt;'Tong_hop'!$F$4),"Trong kỳ","Ngoài kỳ"))</x:f>
        <x:v>Ngoài kỳ</x:v>
      </x:c>
      <x:c r="L9" s="23" t="str">
        <x:f>IF(COUNTA(A9:H9)=0,"",IF(OR(NOT(OR(A9="TikTok Shop",A9="Shopee",A9="Lazada")),B9="",C9="",D9="",NOT(ISNUMBER(E9)),NOT(ISNUMBER(F9)),F9&lt;0,G9=""),"Thiếu/sai dữ liệu",IF(NOT(COUNTIFS(T_SoDu[Khóa shop],A9&amp;"|"&amp;B9)=1),"Shop chưa khai báo",IF(COUNTIFS(T_NH[Khóa giao dịch NH],J9)&lt;&gt;1,"Trùng giao dịch NH",IF(COUNTIFS(T_Chuyen[Khóa đợt chuyển],I9)&lt;&gt;1,"Chưa ghép đợt chuyển","")))))</x:f>
      </x:c>
    </x:row>
    <x:row r="10" ht="22" customHeight="1">
      <x:c r="A10" s="10" t="str">
        <x:v>Shopee</x:v>
      </x:c>
      <x:c r="B10" s="10" t="str">
        <x:v>DEMO_SP</x:v>
      </x:c>
      <x:c r="C10" s="24" t="str">
        <x:v>NH-SP01</x:v>
      </x:c>
      <x:c r="D10" s="24" t="str">
        <x:v>SP-P0</x:v>
      </x:c>
      <x:c r="E10" s="25" t="d">
        <x:v>2026-09-01T00:00:00.000Z</x:v>
      </x:c>
      <x:c r="F10" s="26" t="n">
        <x:v>100000</x:v>
      </x:c>
      <x:c r="G10" s="24" t="str">
        <x:v>DEMO112</x:v>
      </x:c>
      <x:c r="H10" s="10" t="str">
        <x:v>Thu đầu kỳ</x:v>
      </x:c>
      <x:c r="I10" s="23" t="str">
        <x:f>IF(D10="","",A10&amp;"|"&amp;B10&amp;"|"&amp;D10)</x:f>
        <x:v>Shopee|DEMO_SP|SP-P0</x:v>
      </x:c>
      <x:c r="J10" s="23" t="str">
        <x:f>IF(C10="","",G10&amp;"|"&amp;C10)</x:f>
        <x:v>DEMO112|NH-SP01</x:v>
      </x:c>
      <x:c r="K10" s="23" t="str">
        <x:f>IF(C10="","",IF(AND(E10&gt;='Tong_hop'!$C$4,E10&lt;'Tong_hop'!$F$4),"Trong kỳ","Ngoài kỳ"))</x:f>
        <x:v>Trong kỳ</x:v>
      </x:c>
      <x:c r="L10" s="23" t="str">
        <x:f>IF(COUNTA(A10:H10)=0,"",IF(OR(NOT(OR(A10="TikTok Shop",A10="Shopee",A10="Lazada")),B10="",C10="",D10="",NOT(ISNUMBER(E10)),NOT(ISNUMBER(F10)),F10&lt;0,G10=""),"Thiếu/sai dữ liệu",IF(NOT(COUNTIFS(T_SoDu[Khóa shop],A10&amp;"|"&amp;B10)=1),"Shop chưa khai báo",IF(COUNTIFS(T_NH[Khóa giao dịch NH],J10)&lt;&gt;1,"Trùng giao dịch NH",IF(COUNTIFS(T_Chuyen[Khóa đợt chuyển],I10)&lt;&gt;1,"Chưa ghép đợt chuyển","")))))</x:f>
      </x:c>
    </x:row>
    <x:row r="11" ht="22" customHeight="1">
      <x:c r="A11" s="10" t="str">
        <x:v>Shopee</x:v>
      </x:c>
      <x:c r="B11" s="10" t="str">
        <x:v>DEMO_SP</x:v>
      </x:c>
      <x:c r="C11" s="24" t="str">
        <x:v>NH-SP02</x:v>
      </x:c>
      <x:c r="D11" s="24" t="str">
        <x:v>SP-P1</x:v>
      </x:c>
      <x:c r="E11" s="25" t="d">
        <x:v>2026-09-21T00:00:00.000Z</x:v>
      </x:c>
      <x:c r="F11" s="26" t="n">
        <x:v>1800000</x:v>
      </x:c>
      <x:c r="G11" s="24" t="str">
        <x:v>DEMO112</x:v>
      </x:c>
      <x:c r="H11" s="10" t="str">
        <x:v>Thu đủ</x:v>
      </x:c>
      <x:c r="I11" s="23" t="str">
        <x:f>IF(D11="","",A11&amp;"|"&amp;B11&amp;"|"&amp;D11)</x:f>
        <x:v>Shopee|DEMO_SP|SP-P1</x:v>
      </x:c>
      <x:c r="J11" s="23" t="str">
        <x:f>IF(C11="","",G11&amp;"|"&amp;C11)</x:f>
        <x:v>DEMO112|NH-SP02</x:v>
      </x:c>
      <x:c r="K11" s="23" t="str">
        <x:f>IF(C11="","",IF(AND(E11&gt;='Tong_hop'!$C$4,E11&lt;'Tong_hop'!$F$4),"Trong kỳ","Ngoài kỳ"))</x:f>
        <x:v>Trong kỳ</x:v>
      </x:c>
      <x:c r="L11" s="23" t="str">
        <x:f>IF(COUNTA(A11:H11)=0,"",IF(OR(NOT(OR(A11="TikTok Shop",A11="Shopee",A11="Lazada")),B11="",C11="",D11="",NOT(ISNUMBER(E11)),NOT(ISNUMBER(F11)),F11&lt;0,G11=""),"Thiếu/sai dữ liệu",IF(NOT(COUNTIFS(T_SoDu[Khóa shop],A11&amp;"|"&amp;B11)=1),"Shop chưa khai báo",IF(COUNTIFS(T_NH[Khóa giao dịch NH],J11)&lt;&gt;1,"Trùng giao dịch NH",IF(COUNTIFS(T_Chuyen[Khóa đợt chuyển],I11)&lt;&gt;1,"Chưa ghép đợt chuyển","")))))</x:f>
      </x:c>
    </x:row>
    <x:row r="12" ht="22" customHeight="1">
      <x:c r="A12" s="10" t="str">
        <x:v>Shopee</x:v>
      </x:c>
      <x:c r="B12" s="10" t="str">
        <x:v>DEMO_SP</x:v>
      </x:c>
      <x:c r="C12" s="24" t="str">
        <x:v>NH-SP03</x:v>
      </x:c>
      <x:c r="D12" s="24" t="str">
        <x:v>SP-P2</x:v>
      </x:c>
      <x:c r="E12" s="25" t="d">
        <x:v>2026-10-02T00:00:00.000Z</x:v>
      </x:c>
      <x:c r="F12" s="26" t="n">
        <x:v>500000</x:v>
      </x:c>
      <x:c r="G12" s="24" t="str">
        <x:v>DEMO112</x:v>
      </x:c>
      <x:c r="H12" s="10" t="str">
        <x:v>Ngoài T9</x:v>
      </x:c>
      <x:c r="I12" s="23" t="str">
        <x:f>IF(D12="","",A12&amp;"|"&amp;B12&amp;"|"&amp;D12)</x:f>
        <x:v>Shopee|DEMO_SP|SP-P2</x:v>
      </x:c>
      <x:c r="J12" s="23" t="str">
        <x:f>IF(C12="","",G12&amp;"|"&amp;C12)</x:f>
        <x:v>DEMO112|NH-SP03</x:v>
      </x:c>
      <x:c r="K12" s="23" t="str">
        <x:f>IF(C12="","",IF(AND(E12&gt;='Tong_hop'!$C$4,E12&lt;'Tong_hop'!$F$4),"Trong kỳ","Ngoài kỳ"))</x:f>
        <x:v>Ngoài kỳ</x:v>
      </x:c>
      <x:c r="L12" s="23" t="str">
        <x:f>IF(COUNTA(A12:H12)=0,"",IF(OR(NOT(OR(A12="TikTok Shop",A12="Shopee",A12="Lazada")),B12="",C12="",D12="",NOT(ISNUMBER(E12)),NOT(ISNUMBER(F12)),F12&lt;0,G12=""),"Thiếu/sai dữ liệu",IF(NOT(COUNTIFS(T_SoDu[Khóa shop],A12&amp;"|"&amp;B12)=1),"Shop chưa khai báo",IF(COUNTIFS(T_NH[Khóa giao dịch NH],J12)&lt;&gt;1,"Trùng giao dịch NH",IF(COUNTIFS(T_Chuyen[Khóa đợt chuyển],I12)&lt;&gt;1,"Chưa ghép đợt chuyển","")))))</x:f>
      </x:c>
    </x:row>
    <x:row r="13" ht="22" customHeight="1">
      <x:c r="A13" s="10" t="str">
        <x:v>Lazada</x:v>
      </x:c>
      <x:c r="B13" s="10" t="str">
        <x:v>DEMO_LZ</x:v>
      </x:c>
      <x:c r="C13" s="24" t="str">
        <x:v>NH-LZ01</x:v>
      </x:c>
      <x:c r="D13" s="24" t="str">
        <x:v>LZ-P0</x:v>
      </x:c>
      <x:c r="E13" s="25" t="d">
        <x:v>2026-09-01T00:00:00.000Z</x:v>
      </x:c>
      <x:c r="F13" s="26" t="n">
        <x:v>100000</x:v>
      </x:c>
      <x:c r="G13" s="24" t="str">
        <x:v>DEMO112</x:v>
      </x:c>
      <x:c r="H13" s="10" t="str">
        <x:v>Thu đầu kỳ</x:v>
      </x:c>
      <x:c r="I13" s="23" t="str">
        <x:f>IF(D13="","",A13&amp;"|"&amp;B13&amp;"|"&amp;D13)</x:f>
        <x:v>Lazada|DEMO_LZ|LZ-P0</x:v>
      </x:c>
      <x:c r="J13" s="23" t="str">
        <x:f>IF(C13="","",G13&amp;"|"&amp;C13)</x:f>
        <x:v>DEMO112|NH-LZ01</x:v>
      </x:c>
      <x:c r="K13" s="23" t="str">
        <x:f>IF(C13="","",IF(AND(E13&gt;='Tong_hop'!$C$4,E13&lt;'Tong_hop'!$F$4),"Trong kỳ","Ngoài kỳ"))</x:f>
        <x:v>Trong kỳ</x:v>
      </x:c>
      <x:c r="L13" s="23" t="str">
        <x:f>IF(COUNTA(A13:H13)=0,"",IF(OR(NOT(OR(A13="TikTok Shop",A13="Shopee",A13="Lazada")),B13="",C13="",D13="",NOT(ISNUMBER(E13)),NOT(ISNUMBER(F13)),F13&lt;0,G13=""),"Thiếu/sai dữ liệu",IF(NOT(COUNTIFS(T_SoDu[Khóa shop],A13&amp;"|"&amp;B13)=1),"Shop chưa khai báo",IF(COUNTIFS(T_NH[Khóa giao dịch NH],J13)&lt;&gt;1,"Trùng giao dịch NH",IF(COUNTIFS(T_Chuyen[Khóa đợt chuyển],I13)&lt;&gt;1,"Chưa ghép đợt chuyển","")))))</x:f>
      </x:c>
    </x:row>
    <x:row r="14" ht="22" customHeight="1">
      <x:c r="A14" s="10" t="str">
        <x:v>Lazada</x:v>
      </x:c>
      <x:c r="B14" s="10" t="str">
        <x:v>DEMO_LZ</x:v>
      </x:c>
      <x:c r="C14" s="24" t="str">
        <x:v>NH-LZ02</x:v>
      </x:c>
      <x:c r="D14" s="24" t="str">
        <x:v>LZ-P1</x:v>
      </x:c>
      <x:c r="E14" s="25" t="d">
        <x:v>2026-09-16T00:00:00.000Z</x:v>
      </x:c>
      <x:c r="F14" s="26" t="n">
        <x:v>999000</x:v>
      </x:c>
      <x:c r="G14" s="24" t="str">
        <x:v>DEMO112</x:v>
      </x:c>
      <x:c r="H14" s="10" t="str">
        <x:v>Thiếu 1.000 chưa có giải trình</x:v>
      </x:c>
      <x:c r="I14" s="23" t="str">
        <x:f>IF(D14="","",A14&amp;"|"&amp;B14&amp;"|"&amp;D14)</x:f>
        <x:v>Lazada|DEMO_LZ|LZ-P1</x:v>
      </x:c>
      <x:c r="J14" s="23" t="str">
        <x:f>IF(C14="","",G14&amp;"|"&amp;C14)</x:f>
        <x:v>DEMO112|NH-LZ02</x:v>
      </x:c>
      <x:c r="K14" s="23" t="str">
        <x:f>IF(C14="","",IF(AND(E14&gt;='Tong_hop'!$C$4,E14&lt;'Tong_hop'!$F$4),"Trong kỳ","Ngoài kỳ"))</x:f>
        <x:v>Trong kỳ</x:v>
      </x:c>
      <x:c r="L14" s="23" t="str">
        <x:f>IF(COUNTA(A14:H14)=0,"",IF(OR(NOT(OR(A14="TikTok Shop",A14="Shopee",A14="Lazada")),B14="",C14="",D14="",NOT(ISNUMBER(E14)),NOT(ISNUMBER(F14)),F14&lt;0,G14=""),"Thiếu/sai dữ liệu",IF(NOT(COUNTIFS(T_SoDu[Khóa shop],A14&amp;"|"&amp;B14)=1),"Shop chưa khai báo",IF(COUNTIFS(T_NH[Khóa giao dịch NH],J14)&lt;&gt;1,"Trùng giao dịch NH",IF(COUNTIFS(T_Chuyen[Khóa đợt chuyển],I14)&lt;&gt;1,"Chưa ghép đợt chuyển","")))))</x:f>
      </x:c>
    </x:row>
    <x:row r="15" ht="22" customHeight="1">
      <x:c r="A15" s="10" t="str">
        <x:v>Lazada</x:v>
      </x:c>
      <x:c r="B15" s="10" t="str">
        <x:v>DEMO_LZ</x:v>
      </x:c>
      <x:c r="C15" s="24" t="str">
        <x:v>NH-LZ03</x:v>
      </x:c>
      <x:c r="D15" s="24" t="str">
        <x:v>LZ-P2</x:v>
      </x:c>
      <x:c r="E15" s="25" t="d">
        <x:v>2026-10-02T00:00:00.000Z</x:v>
      </x:c>
      <x:c r="F15" s="26" t="n">
        <x:v>300000</x:v>
      </x:c>
      <x:c r="G15" s="24" t="str">
        <x:v>DEMO112</x:v>
      </x:c>
      <x:c r="H15" s="10" t="str">
        <x:v>Ngoài T9</x:v>
      </x:c>
      <x:c r="I15" s="23" t="str">
        <x:f>IF(D15="","",A15&amp;"|"&amp;B15&amp;"|"&amp;D15)</x:f>
        <x:v>Lazada|DEMO_LZ|LZ-P2</x:v>
      </x:c>
      <x:c r="J15" s="23" t="str">
        <x:f>IF(C15="","",G15&amp;"|"&amp;C15)</x:f>
        <x:v>DEMO112|NH-LZ03</x:v>
      </x:c>
      <x:c r="K15" s="23" t="str">
        <x:f>IF(C15="","",IF(AND(E15&gt;='Tong_hop'!$C$4,E15&lt;'Tong_hop'!$F$4),"Trong kỳ","Ngoài kỳ"))</x:f>
        <x:v>Ngoài kỳ</x:v>
      </x:c>
      <x:c r="L15" s="23" t="str">
        <x:f>IF(COUNTA(A15:H15)=0,"",IF(OR(NOT(OR(A15="TikTok Shop",A15="Shopee",A15="Lazada")),B15="",C15="",D15="",NOT(ISNUMBER(E15)),NOT(ISNUMBER(F15)),F15&lt;0,G15=""),"Thiếu/sai dữ liệu",IF(NOT(COUNTIFS(T_SoDu[Khóa shop],A15&amp;"|"&amp;B15)=1),"Shop chưa khai báo",IF(COUNTIFS(T_NH[Khóa giao dịch NH],J15)&lt;&gt;1,"Trùng giao dịch NH",IF(COUNTIFS(T_Chuyen[Khóa đợt chuyển],I15)&lt;&gt;1,"Chưa ghép đợt chuyển","")))))</x:f>
      </x:c>
    </x:row>
    <x:row r="16" ht="22" customHeight="1">
      <x:c r="A16" s="10"/>
      <x:c r="B16" s="10"/>
      <x:c r="C16" s="24"/>
      <x:c r="D16" s="24"/>
      <x:c r="E16" s="25"/>
      <x:c r="F16" s="26"/>
      <x:c r="G16" s="24"/>
      <x:c r="H16" s="10"/>
      <x:c r="I16" s="23" t="str">
        <x:f>IF(D16="","",A16&amp;"|"&amp;B16&amp;"|"&amp;D16)</x:f>
      </x:c>
      <x:c r="J16" s="23" t="str">
        <x:f>IF(C16="","",G16&amp;"|"&amp;C16)</x:f>
      </x:c>
      <x:c r="K16" s="23" t="str">
        <x:f>IF(C16="","",IF(AND(E16&gt;='Tong_hop'!$C$4,E16&lt;'Tong_hop'!$F$4),"Trong kỳ","Ngoài kỳ"))</x:f>
      </x:c>
      <x:c r="L16" s="23" t="str">
        <x:f>IF(COUNTA(A16:H16)=0,"",IF(OR(NOT(OR(A16="TikTok Shop",A16="Shopee",A16="Lazada")),B16="",C16="",D16="",NOT(ISNUMBER(E16)),NOT(ISNUMBER(F16)),F16&lt;0,G16=""),"Thiếu/sai dữ liệu",IF(NOT(COUNTIFS(T_SoDu[Khóa shop],A16&amp;"|"&amp;B16)=1),"Shop chưa khai báo",IF(COUNTIFS(T_NH[Khóa giao dịch NH],J16)&lt;&gt;1,"Trùng giao dịch NH",IF(COUNTIFS(T_Chuyen[Khóa đợt chuyển],I16)&lt;&gt;1,"Chưa ghép đợt chuyển","")))))</x:f>
      </x:c>
    </x:row>
    <x:row r="17" ht="22" customHeight="1">
      <x:c r="A17" s="10"/>
      <x:c r="B17" s="10"/>
      <x:c r="C17" s="24"/>
      <x:c r="D17" s="24"/>
      <x:c r="E17" s="25"/>
      <x:c r="F17" s="26"/>
      <x:c r="G17" s="24"/>
      <x:c r="H17" s="10"/>
      <x:c r="I17" s="23" t="str">
        <x:f>IF(D17="","",A17&amp;"|"&amp;B17&amp;"|"&amp;D17)</x:f>
      </x:c>
      <x:c r="J17" s="23" t="str">
        <x:f>IF(C17="","",G17&amp;"|"&amp;C17)</x:f>
      </x:c>
      <x:c r="K17" s="23" t="str">
        <x:f>IF(C17="","",IF(AND(E17&gt;='Tong_hop'!$C$4,E17&lt;'Tong_hop'!$F$4),"Trong kỳ","Ngoài kỳ"))</x:f>
      </x:c>
      <x:c r="L17" s="23" t="str">
        <x:f>IF(COUNTA(A17:H17)=0,"",IF(OR(NOT(OR(A17="TikTok Shop",A17="Shopee",A17="Lazada")),B17="",C17="",D17="",NOT(ISNUMBER(E17)),NOT(ISNUMBER(F17)),F17&lt;0,G17=""),"Thiếu/sai dữ liệu",IF(NOT(COUNTIFS(T_SoDu[Khóa shop],A17&amp;"|"&amp;B17)=1),"Shop chưa khai báo",IF(COUNTIFS(T_NH[Khóa giao dịch NH],J17)&lt;&gt;1,"Trùng giao dịch NH",IF(COUNTIFS(T_Chuyen[Khóa đợt chuyển],I17)&lt;&gt;1,"Chưa ghép đợt chuyển","")))))</x:f>
      </x:c>
    </x:row>
    <x:row r="18" ht="22" customHeight="1">
      <x:c r="A18" s="10"/>
      <x:c r="B18" s="10"/>
      <x:c r="C18" s="24"/>
      <x:c r="D18" s="24"/>
      <x:c r="E18" s="25"/>
      <x:c r="F18" s="26"/>
      <x:c r="G18" s="24"/>
      <x:c r="H18" s="10"/>
      <x:c r="I18" s="23" t="str">
        <x:f>IF(D18="","",A18&amp;"|"&amp;B18&amp;"|"&amp;D18)</x:f>
      </x:c>
      <x:c r="J18" s="23" t="str">
        <x:f>IF(C18="","",G18&amp;"|"&amp;C18)</x:f>
      </x:c>
      <x:c r="K18" s="23" t="str">
        <x:f>IF(C18="","",IF(AND(E18&gt;='Tong_hop'!$C$4,E18&lt;'Tong_hop'!$F$4),"Trong kỳ","Ngoài kỳ"))</x:f>
      </x:c>
      <x:c r="L18" s="23" t="str">
        <x:f>IF(COUNTA(A18:H18)=0,"",IF(OR(NOT(OR(A18="TikTok Shop",A18="Shopee",A18="Lazada")),B18="",C18="",D18="",NOT(ISNUMBER(E18)),NOT(ISNUMBER(F18)),F18&lt;0,G18=""),"Thiếu/sai dữ liệu",IF(NOT(COUNTIFS(T_SoDu[Khóa shop],A18&amp;"|"&amp;B18)=1),"Shop chưa khai báo",IF(COUNTIFS(T_NH[Khóa giao dịch NH],J18)&lt;&gt;1,"Trùng giao dịch NH",IF(COUNTIFS(T_Chuyen[Khóa đợt chuyển],I18)&lt;&gt;1,"Chưa ghép đợt chuyển","")))))</x:f>
      </x:c>
    </x:row>
    <x:row r="19" ht="22" customHeight="1">
      <x:c r="A19" s="10"/>
      <x:c r="B19" s="10"/>
      <x:c r="C19" s="24"/>
      <x:c r="D19" s="24"/>
      <x:c r="E19" s="25"/>
      <x:c r="F19" s="26"/>
      <x:c r="G19" s="24"/>
      <x:c r="H19" s="10"/>
      <x:c r="I19" s="23" t="str">
        <x:f>IF(D19="","",A19&amp;"|"&amp;B19&amp;"|"&amp;D19)</x:f>
      </x:c>
      <x:c r="J19" s="23" t="str">
        <x:f>IF(C19="","",G19&amp;"|"&amp;C19)</x:f>
      </x:c>
      <x:c r="K19" s="23" t="str">
        <x:f>IF(C19="","",IF(AND(E19&gt;='Tong_hop'!$C$4,E19&lt;'Tong_hop'!$F$4),"Trong kỳ","Ngoài kỳ"))</x:f>
      </x:c>
      <x:c r="L19" s="23" t="str">
        <x:f>IF(COUNTA(A19:H19)=0,"",IF(OR(NOT(OR(A19="TikTok Shop",A19="Shopee",A19="Lazada")),B19="",C19="",D19="",NOT(ISNUMBER(E19)),NOT(ISNUMBER(F19)),F19&lt;0,G19=""),"Thiếu/sai dữ liệu",IF(NOT(COUNTIFS(T_SoDu[Khóa shop],A19&amp;"|"&amp;B19)=1),"Shop chưa khai báo",IF(COUNTIFS(T_NH[Khóa giao dịch NH],J19)&lt;&gt;1,"Trùng giao dịch NH",IF(COUNTIFS(T_Chuyen[Khóa đợt chuyển],I19)&lt;&gt;1,"Chưa ghép đợt chuyển","")))))</x:f>
      </x:c>
    </x:row>
    <x:row r="20" ht="22" customHeight="1">
      <x:c r="A20" s="10"/>
      <x:c r="B20" s="10"/>
      <x:c r="C20" s="24"/>
      <x:c r="D20" s="24"/>
      <x:c r="E20" s="25"/>
      <x:c r="F20" s="26"/>
      <x:c r="G20" s="24"/>
      <x:c r="H20" s="10"/>
      <x:c r="I20" s="23" t="str">
        <x:f>IF(D20="","",A20&amp;"|"&amp;B20&amp;"|"&amp;D20)</x:f>
      </x:c>
      <x:c r="J20" s="23" t="str">
        <x:f>IF(C20="","",G20&amp;"|"&amp;C20)</x:f>
      </x:c>
      <x:c r="K20" s="23" t="str">
        <x:f>IF(C20="","",IF(AND(E20&gt;='Tong_hop'!$C$4,E20&lt;'Tong_hop'!$F$4),"Trong kỳ","Ngoài kỳ"))</x:f>
      </x:c>
      <x:c r="L20" s="23" t="str">
        <x:f>IF(COUNTA(A20:H20)=0,"",IF(OR(NOT(OR(A20="TikTok Shop",A20="Shopee",A20="Lazada")),B20="",C20="",D20="",NOT(ISNUMBER(E20)),NOT(ISNUMBER(F20)),F20&lt;0,G20=""),"Thiếu/sai dữ liệu",IF(NOT(COUNTIFS(T_SoDu[Khóa shop],A20&amp;"|"&amp;B20)=1),"Shop chưa khai báo",IF(COUNTIFS(T_NH[Khóa giao dịch NH],J20)&lt;&gt;1,"Trùng giao dịch NH",IF(COUNTIFS(T_Chuyen[Khóa đợt chuyển],I20)&lt;&gt;1,"Chưa ghép đợt chuyển","")))))</x:f>
      </x:c>
    </x:row>
    <x:row r="21" ht="22" customHeight="1">
      <x:c r="A21" s="10"/>
      <x:c r="B21" s="10"/>
      <x:c r="C21" s="24"/>
      <x:c r="D21" s="24"/>
      <x:c r="E21" s="25"/>
      <x:c r="F21" s="26"/>
      <x:c r="G21" s="24"/>
      <x:c r="H21" s="10"/>
      <x:c r="I21" s="23" t="str">
        <x:f>IF(D21="","",A21&amp;"|"&amp;B21&amp;"|"&amp;D21)</x:f>
      </x:c>
      <x:c r="J21" s="23" t="str">
        <x:f>IF(C21="","",G21&amp;"|"&amp;C21)</x:f>
      </x:c>
      <x:c r="K21" s="23" t="str">
        <x:f>IF(C21="","",IF(AND(E21&gt;='Tong_hop'!$C$4,E21&lt;'Tong_hop'!$F$4),"Trong kỳ","Ngoài kỳ"))</x:f>
      </x:c>
      <x:c r="L21" s="23" t="str">
        <x:f>IF(COUNTA(A21:H21)=0,"",IF(OR(NOT(OR(A21="TikTok Shop",A21="Shopee",A21="Lazada")),B21="",C21="",D21="",NOT(ISNUMBER(E21)),NOT(ISNUMBER(F21)),F21&lt;0,G21=""),"Thiếu/sai dữ liệu",IF(NOT(COUNTIFS(T_SoDu[Khóa shop],A21&amp;"|"&amp;B21)=1),"Shop chưa khai báo",IF(COUNTIFS(T_NH[Khóa giao dịch NH],J21)&lt;&gt;1,"Trùng giao dịch NH",IF(COUNTIFS(T_Chuyen[Khóa đợt chuyển],I21)&lt;&gt;1,"Chưa ghép đợt chuyển","")))))</x:f>
      </x:c>
    </x:row>
    <x:row r="22" ht="22" customHeight="1">
      <x:c r="A22" s="10"/>
      <x:c r="B22" s="10"/>
      <x:c r="C22" s="24"/>
      <x:c r="D22" s="24"/>
      <x:c r="E22" s="25"/>
      <x:c r="F22" s="26"/>
      <x:c r="G22" s="24"/>
      <x:c r="H22" s="10"/>
      <x:c r="I22" s="23" t="str">
        <x:f>IF(D22="","",A22&amp;"|"&amp;B22&amp;"|"&amp;D22)</x:f>
      </x:c>
      <x:c r="J22" s="23" t="str">
        <x:f>IF(C22="","",G22&amp;"|"&amp;C22)</x:f>
      </x:c>
      <x:c r="K22" s="23" t="str">
        <x:f>IF(C22="","",IF(AND(E22&gt;='Tong_hop'!$C$4,E22&lt;'Tong_hop'!$F$4),"Trong kỳ","Ngoài kỳ"))</x:f>
      </x:c>
      <x:c r="L22" s="23" t="str">
        <x:f>IF(COUNTA(A22:H22)=0,"",IF(OR(NOT(OR(A22="TikTok Shop",A22="Shopee",A22="Lazada")),B22="",C22="",D22="",NOT(ISNUMBER(E22)),NOT(ISNUMBER(F22)),F22&lt;0,G22=""),"Thiếu/sai dữ liệu",IF(NOT(COUNTIFS(T_SoDu[Khóa shop],A22&amp;"|"&amp;B22)=1),"Shop chưa khai báo",IF(COUNTIFS(T_NH[Khóa giao dịch NH],J22)&lt;&gt;1,"Trùng giao dịch NH",IF(COUNTIFS(T_Chuyen[Khóa đợt chuyển],I22)&lt;&gt;1,"Chưa ghép đợt chuyển","")))))</x:f>
      </x:c>
    </x:row>
    <x:row r="23" ht="22" customHeight="1">
      <x:c r="A23" s="10"/>
      <x:c r="B23" s="10"/>
      <x:c r="C23" s="24"/>
      <x:c r="D23" s="24"/>
      <x:c r="E23" s="25"/>
      <x:c r="F23" s="26"/>
      <x:c r="G23" s="24"/>
      <x:c r="H23" s="10"/>
      <x:c r="I23" s="23" t="str">
        <x:f>IF(D23="","",A23&amp;"|"&amp;B23&amp;"|"&amp;D23)</x:f>
      </x:c>
      <x:c r="J23" s="23" t="str">
        <x:f>IF(C23="","",G23&amp;"|"&amp;C23)</x:f>
      </x:c>
      <x:c r="K23" s="23" t="str">
        <x:f>IF(C23="","",IF(AND(E23&gt;='Tong_hop'!$C$4,E23&lt;'Tong_hop'!$F$4),"Trong kỳ","Ngoài kỳ"))</x:f>
      </x:c>
      <x:c r="L23" s="23" t="str">
        <x:f>IF(COUNTA(A23:H23)=0,"",IF(OR(NOT(OR(A23="TikTok Shop",A23="Shopee",A23="Lazada")),B23="",C23="",D23="",NOT(ISNUMBER(E23)),NOT(ISNUMBER(F23)),F23&lt;0,G23=""),"Thiếu/sai dữ liệu",IF(NOT(COUNTIFS(T_SoDu[Khóa shop],A23&amp;"|"&amp;B23)=1),"Shop chưa khai báo",IF(COUNTIFS(T_NH[Khóa giao dịch NH],J23)&lt;&gt;1,"Trùng giao dịch NH",IF(COUNTIFS(T_Chuyen[Khóa đợt chuyển],I23)&lt;&gt;1,"Chưa ghép đợt chuyển","")))))</x:f>
      </x:c>
    </x:row>
    <x:row r="24" ht="22" customHeight="1">
      <x:c r="A24" s="10"/>
      <x:c r="B24" s="10"/>
      <x:c r="C24" s="24"/>
      <x:c r="D24" s="24"/>
      <x:c r="E24" s="25"/>
      <x:c r="F24" s="26"/>
      <x:c r="G24" s="24"/>
      <x:c r="H24" s="10"/>
      <x:c r="I24" s="23" t="str">
        <x:f>IF(D24="","",A24&amp;"|"&amp;B24&amp;"|"&amp;D24)</x:f>
      </x:c>
      <x:c r="J24" s="23" t="str">
        <x:f>IF(C24="","",G24&amp;"|"&amp;C24)</x:f>
      </x:c>
      <x:c r="K24" s="23" t="str">
        <x:f>IF(C24="","",IF(AND(E24&gt;='Tong_hop'!$C$4,E24&lt;'Tong_hop'!$F$4),"Trong kỳ","Ngoài kỳ"))</x:f>
      </x:c>
      <x:c r="L24" s="23" t="str">
        <x:f>IF(COUNTA(A24:H24)=0,"",IF(OR(NOT(OR(A24="TikTok Shop",A24="Shopee",A24="Lazada")),B24="",C24="",D24="",NOT(ISNUMBER(E24)),NOT(ISNUMBER(F24)),F24&lt;0,G24=""),"Thiếu/sai dữ liệu",IF(NOT(COUNTIFS(T_SoDu[Khóa shop],A24&amp;"|"&amp;B24)=1),"Shop chưa khai báo",IF(COUNTIFS(T_NH[Khóa giao dịch NH],J24)&lt;&gt;1,"Trùng giao dịch NH",IF(COUNTIFS(T_Chuyen[Khóa đợt chuyển],I24)&lt;&gt;1,"Chưa ghép đợt chuyển","")))))</x:f>
      </x:c>
    </x:row>
    <x:row r="25" ht="22" customHeight="1">
      <x:c r="A25" s="10"/>
      <x:c r="B25" s="10"/>
      <x:c r="C25" s="24"/>
      <x:c r="D25" s="24"/>
      <x:c r="E25" s="25"/>
      <x:c r="F25" s="26"/>
      <x:c r="G25" s="24"/>
      <x:c r="H25" s="10"/>
      <x:c r="I25" s="23" t="str">
        <x:f>IF(D25="","",A25&amp;"|"&amp;B25&amp;"|"&amp;D25)</x:f>
      </x:c>
      <x:c r="J25" s="23" t="str">
        <x:f>IF(C25="","",G25&amp;"|"&amp;C25)</x:f>
      </x:c>
      <x:c r="K25" s="23" t="str">
        <x:f>IF(C25="","",IF(AND(E25&gt;='Tong_hop'!$C$4,E25&lt;'Tong_hop'!$F$4),"Trong kỳ","Ngoài kỳ"))</x:f>
      </x:c>
      <x:c r="L25" s="23" t="str">
        <x:f>IF(COUNTA(A25:H25)=0,"",IF(OR(NOT(OR(A25="TikTok Shop",A25="Shopee",A25="Lazada")),B25="",C25="",D25="",NOT(ISNUMBER(E25)),NOT(ISNUMBER(F25)),F25&lt;0,G25=""),"Thiếu/sai dữ liệu",IF(NOT(COUNTIFS(T_SoDu[Khóa shop],A25&amp;"|"&amp;B25)=1),"Shop chưa khai báo",IF(COUNTIFS(T_NH[Khóa giao dịch NH],J25)&lt;&gt;1,"Trùng giao dịch NH",IF(COUNTIFS(T_Chuyen[Khóa đợt chuyển],I25)&lt;&gt;1,"Chưa ghép đợt chuyển","")))))</x:f>
      </x:c>
    </x:row>
    <x:row r="26" ht="22" customHeight="1">
      <x:c r="A26" s="10"/>
      <x:c r="B26" s="10"/>
      <x:c r="C26" s="24"/>
      <x:c r="D26" s="24"/>
      <x:c r="E26" s="25"/>
      <x:c r="F26" s="26"/>
      <x:c r="G26" s="24"/>
      <x:c r="H26" s="10"/>
      <x:c r="I26" s="23" t="str">
        <x:f>IF(D26="","",A26&amp;"|"&amp;B26&amp;"|"&amp;D26)</x:f>
      </x:c>
      <x:c r="J26" s="23" t="str">
        <x:f>IF(C26="","",G26&amp;"|"&amp;C26)</x:f>
      </x:c>
      <x:c r="K26" s="23" t="str">
        <x:f>IF(C26="","",IF(AND(E26&gt;='Tong_hop'!$C$4,E26&lt;'Tong_hop'!$F$4),"Trong kỳ","Ngoài kỳ"))</x:f>
      </x:c>
      <x:c r="L26" s="23" t="str">
        <x:f>IF(COUNTA(A26:H26)=0,"",IF(OR(NOT(OR(A26="TikTok Shop",A26="Shopee",A26="Lazada")),B26="",C26="",D26="",NOT(ISNUMBER(E26)),NOT(ISNUMBER(F26)),F26&lt;0,G26=""),"Thiếu/sai dữ liệu",IF(NOT(COUNTIFS(T_SoDu[Khóa shop],A26&amp;"|"&amp;B26)=1),"Shop chưa khai báo",IF(COUNTIFS(T_NH[Khóa giao dịch NH],J26)&lt;&gt;1,"Trùng giao dịch NH",IF(COUNTIFS(T_Chuyen[Khóa đợt chuyển],I26)&lt;&gt;1,"Chưa ghép đợt chuyển","")))))</x:f>
      </x:c>
    </x:row>
    <x:row r="27" ht="22" customHeight="1">
      <x:c r="A27" s="10"/>
      <x:c r="B27" s="10"/>
      <x:c r="C27" s="24"/>
      <x:c r="D27" s="24"/>
      <x:c r="E27" s="25"/>
      <x:c r="F27" s="26"/>
      <x:c r="G27" s="24"/>
      <x:c r="H27" s="10"/>
      <x:c r="I27" s="23" t="str">
        <x:f>IF(D27="","",A27&amp;"|"&amp;B27&amp;"|"&amp;D27)</x:f>
      </x:c>
      <x:c r="J27" s="23" t="str">
        <x:f>IF(C27="","",G27&amp;"|"&amp;C27)</x:f>
      </x:c>
      <x:c r="K27" s="23" t="str">
        <x:f>IF(C27="","",IF(AND(E27&gt;='Tong_hop'!$C$4,E27&lt;'Tong_hop'!$F$4),"Trong kỳ","Ngoài kỳ"))</x:f>
      </x:c>
      <x:c r="L27" s="23" t="str">
        <x:f>IF(COUNTA(A27:H27)=0,"",IF(OR(NOT(OR(A27="TikTok Shop",A27="Shopee",A27="Lazada")),B27="",C27="",D27="",NOT(ISNUMBER(E27)),NOT(ISNUMBER(F27)),F27&lt;0,G27=""),"Thiếu/sai dữ liệu",IF(NOT(COUNTIFS(T_SoDu[Khóa shop],A27&amp;"|"&amp;B27)=1),"Shop chưa khai báo",IF(COUNTIFS(T_NH[Khóa giao dịch NH],J27)&lt;&gt;1,"Trùng giao dịch NH",IF(COUNTIFS(T_Chuyen[Khóa đợt chuyển],I27)&lt;&gt;1,"Chưa ghép đợt chuyển","")))))</x:f>
      </x:c>
    </x:row>
    <x:row r="28" ht="22" customHeight="1">
      <x:c r="A28" s="10"/>
      <x:c r="B28" s="10"/>
      <x:c r="C28" s="24"/>
      <x:c r="D28" s="24"/>
      <x:c r="E28" s="25"/>
      <x:c r="F28" s="26"/>
      <x:c r="G28" s="24"/>
      <x:c r="H28" s="10"/>
      <x:c r="I28" s="23" t="str">
        <x:f>IF(D28="","",A28&amp;"|"&amp;B28&amp;"|"&amp;D28)</x:f>
      </x:c>
      <x:c r="J28" s="23" t="str">
        <x:f>IF(C28="","",G28&amp;"|"&amp;C28)</x:f>
      </x:c>
      <x:c r="K28" s="23" t="str">
        <x:f>IF(C28="","",IF(AND(E28&gt;='Tong_hop'!$C$4,E28&lt;'Tong_hop'!$F$4),"Trong kỳ","Ngoài kỳ"))</x:f>
      </x:c>
      <x:c r="L28" s="23" t="str">
        <x:f>IF(COUNTA(A28:H28)=0,"",IF(OR(NOT(OR(A28="TikTok Shop",A28="Shopee",A28="Lazada")),B28="",C28="",D28="",NOT(ISNUMBER(E28)),NOT(ISNUMBER(F28)),F28&lt;0,G28=""),"Thiếu/sai dữ liệu",IF(NOT(COUNTIFS(T_SoDu[Khóa shop],A28&amp;"|"&amp;B28)=1),"Shop chưa khai báo",IF(COUNTIFS(T_NH[Khóa giao dịch NH],J28)&lt;&gt;1,"Trùng giao dịch NH",IF(COUNTIFS(T_Chuyen[Khóa đợt chuyển],I28)&lt;&gt;1,"Chưa ghép đợt chuyển","")))))</x:f>
      </x:c>
    </x:row>
    <x:row r="29" ht="22" customHeight="1">
      <x:c r="A29" s="10"/>
      <x:c r="B29" s="10"/>
      <x:c r="C29" s="24"/>
      <x:c r="D29" s="24"/>
      <x:c r="E29" s="25"/>
      <x:c r="F29" s="26"/>
      <x:c r="G29" s="24"/>
      <x:c r="H29" s="10"/>
      <x:c r="I29" s="23" t="str">
        <x:f>IF(D29="","",A29&amp;"|"&amp;B29&amp;"|"&amp;D29)</x:f>
      </x:c>
      <x:c r="J29" s="23" t="str">
        <x:f>IF(C29="","",G29&amp;"|"&amp;C29)</x:f>
      </x:c>
      <x:c r="K29" s="23" t="str">
        <x:f>IF(C29="","",IF(AND(E29&gt;='Tong_hop'!$C$4,E29&lt;'Tong_hop'!$F$4),"Trong kỳ","Ngoài kỳ"))</x:f>
      </x:c>
      <x:c r="L29" s="23" t="str">
        <x:f>IF(COUNTA(A29:H29)=0,"",IF(OR(NOT(OR(A29="TikTok Shop",A29="Shopee",A29="Lazada")),B29="",C29="",D29="",NOT(ISNUMBER(E29)),NOT(ISNUMBER(F29)),F29&lt;0,G29=""),"Thiếu/sai dữ liệu",IF(NOT(COUNTIFS(T_SoDu[Khóa shop],A29&amp;"|"&amp;B29)=1),"Shop chưa khai báo",IF(COUNTIFS(T_NH[Khóa giao dịch NH],J29)&lt;&gt;1,"Trùng giao dịch NH",IF(COUNTIFS(T_Chuyen[Khóa đợt chuyển],I29)&lt;&gt;1,"Chưa ghép đợt chuyển","")))))</x:f>
      </x:c>
    </x:row>
    <x:row r="30" ht="22" customHeight="1">
      <x:c r="A30" s="10"/>
      <x:c r="B30" s="10"/>
      <x:c r="C30" s="24"/>
      <x:c r="D30" s="24"/>
      <x:c r="E30" s="25"/>
      <x:c r="F30" s="26"/>
      <x:c r="G30" s="24"/>
      <x:c r="H30" s="10"/>
      <x:c r="I30" s="23" t="str">
        <x:f>IF(D30="","",A30&amp;"|"&amp;B30&amp;"|"&amp;D30)</x:f>
      </x:c>
      <x:c r="J30" s="23" t="str">
        <x:f>IF(C30="","",G30&amp;"|"&amp;C30)</x:f>
      </x:c>
      <x:c r="K30" s="23" t="str">
        <x:f>IF(C30="","",IF(AND(E30&gt;='Tong_hop'!$C$4,E30&lt;'Tong_hop'!$F$4),"Trong kỳ","Ngoài kỳ"))</x:f>
      </x:c>
      <x:c r="L30" s="23" t="str">
        <x:f>IF(COUNTA(A30:H30)=0,"",IF(OR(NOT(OR(A30="TikTok Shop",A30="Shopee",A30="Lazada")),B30="",C30="",D30="",NOT(ISNUMBER(E30)),NOT(ISNUMBER(F30)),F30&lt;0,G30=""),"Thiếu/sai dữ liệu",IF(NOT(COUNTIFS(T_SoDu[Khóa shop],A30&amp;"|"&amp;B30)=1),"Shop chưa khai báo",IF(COUNTIFS(T_NH[Khóa giao dịch NH],J30)&lt;&gt;1,"Trùng giao dịch NH",IF(COUNTIFS(T_Chuyen[Khóa đợt chuyển],I30)&lt;&gt;1,"Chưa ghép đợt chuyển","")))))</x:f>
      </x:c>
    </x:row>
    <x:row r="31" ht="22" customHeight="1">
      <x:c r="A31" s="10"/>
      <x:c r="B31" s="10"/>
      <x:c r="C31" s="24"/>
      <x:c r="D31" s="24"/>
      <x:c r="E31" s="25"/>
      <x:c r="F31" s="26"/>
      <x:c r="G31" s="24"/>
      <x:c r="H31" s="10"/>
      <x:c r="I31" s="23" t="str">
        <x:f>IF(D31="","",A31&amp;"|"&amp;B31&amp;"|"&amp;D31)</x:f>
      </x:c>
      <x:c r="J31" s="23" t="str">
        <x:f>IF(C31="","",G31&amp;"|"&amp;C31)</x:f>
      </x:c>
      <x:c r="K31" s="23" t="str">
        <x:f>IF(C31="","",IF(AND(E31&gt;='Tong_hop'!$C$4,E31&lt;'Tong_hop'!$F$4),"Trong kỳ","Ngoài kỳ"))</x:f>
      </x:c>
      <x:c r="L31" s="23" t="str">
        <x:f>IF(COUNTA(A31:H31)=0,"",IF(OR(NOT(OR(A31="TikTok Shop",A31="Shopee",A31="Lazada")),B31="",C31="",D31="",NOT(ISNUMBER(E31)),NOT(ISNUMBER(F31)),F31&lt;0,G31=""),"Thiếu/sai dữ liệu",IF(NOT(COUNTIFS(T_SoDu[Khóa shop],A31&amp;"|"&amp;B31)=1),"Shop chưa khai báo",IF(COUNTIFS(T_NH[Khóa giao dịch NH],J31)&lt;&gt;1,"Trùng giao dịch NH",IF(COUNTIFS(T_Chuyen[Khóa đợt chuyển],I31)&lt;&gt;1,"Chưa ghép đợt chuyển","")))))</x:f>
      </x:c>
    </x:row>
    <x:row r="32" ht="22" customHeight="1">
      <x:c r="A32" s="10"/>
      <x:c r="B32" s="10"/>
      <x:c r="C32" s="24"/>
      <x:c r="D32" s="24"/>
      <x:c r="E32" s="25"/>
      <x:c r="F32" s="26"/>
      <x:c r="G32" s="24"/>
      <x:c r="H32" s="10"/>
      <x:c r="I32" s="23" t="str">
        <x:f>IF(D32="","",A32&amp;"|"&amp;B32&amp;"|"&amp;D32)</x:f>
      </x:c>
      <x:c r="J32" s="23" t="str">
        <x:f>IF(C32="","",G32&amp;"|"&amp;C32)</x:f>
      </x:c>
      <x:c r="K32" s="23" t="str">
        <x:f>IF(C32="","",IF(AND(E32&gt;='Tong_hop'!$C$4,E32&lt;'Tong_hop'!$F$4),"Trong kỳ","Ngoài kỳ"))</x:f>
      </x:c>
      <x:c r="L32" s="23" t="str">
        <x:f>IF(COUNTA(A32:H32)=0,"",IF(OR(NOT(OR(A32="TikTok Shop",A32="Shopee",A32="Lazada")),B32="",C32="",D32="",NOT(ISNUMBER(E32)),NOT(ISNUMBER(F32)),F32&lt;0,G32=""),"Thiếu/sai dữ liệu",IF(NOT(COUNTIFS(T_SoDu[Khóa shop],A32&amp;"|"&amp;B32)=1),"Shop chưa khai báo",IF(COUNTIFS(T_NH[Khóa giao dịch NH],J32)&lt;&gt;1,"Trùng giao dịch NH",IF(COUNTIFS(T_Chuyen[Khóa đợt chuyển],I32)&lt;&gt;1,"Chưa ghép đợt chuyển","")))))</x:f>
      </x:c>
    </x:row>
    <x:row r="33" ht="22" customHeight="1">
      <x:c r="A33" s="10"/>
      <x:c r="B33" s="10"/>
      <x:c r="C33" s="24"/>
      <x:c r="D33" s="24"/>
      <x:c r="E33" s="25"/>
      <x:c r="F33" s="26"/>
      <x:c r="G33" s="24"/>
      <x:c r="H33" s="10"/>
      <x:c r="I33" s="23" t="str">
        <x:f>IF(D33="","",A33&amp;"|"&amp;B33&amp;"|"&amp;D33)</x:f>
      </x:c>
      <x:c r="J33" s="23" t="str">
        <x:f>IF(C33="","",G33&amp;"|"&amp;C33)</x:f>
      </x:c>
      <x:c r="K33" s="23" t="str">
        <x:f>IF(C33="","",IF(AND(E33&gt;='Tong_hop'!$C$4,E33&lt;'Tong_hop'!$F$4),"Trong kỳ","Ngoài kỳ"))</x:f>
      </x:c>
      <x:c r="L33" s="23" t="str">
        <x:f>IF(COUNTA(A33:H33)=0,"",IF(OR(NOT(OR(A33="TikTok Shop",A33="Shopee",A33="Lazada")),B33="",C33="",D33="",NOT(ISNUMBER(E33)),NOT(ISNUMBER(F33)),F33&lt;0,G33=""),"Thiếu/sai dữ liệu",IF(NOT(COUNTIFS(T_SoDu[Khóa shop],A33&amp;"|"&amp;B33)=1),"Shop chưa khai báo",IF(COUNTIFS(T_NH[Khóa giao dịch NH],J33)&lt;&gt;1,"Trùng giao dịch NH",IF(COUNTIFS(T_Chuyen[Khóa đợt chuyển],I33)&lt;&gt;1,"Chưa ghép đợt chuyển","")))))</x:f>
      </x:c>
    </x:row>
    <x:row r="34" ht="22" customHeight="1">
      <x:c r="A34" s="10"/>
      <x:c r="B34" s="10"/>
      <x:c r="C34" s="24"/>
      <x:c r="D34" s="24"/>
      <x:c r="E34" s="25"/>
      <x:c r="F34" s="26"/>
      <x:c r="G34" s="24"/>
      <x:c r="H34" s="10"/>
      <x:c r="I34" s="23" t="str">
        <x:f>IF(D34="","",A34&amp;"|"&amp;B34&amp;"|"&amp;D34)</x:f>
      </x:c>
      <x:c r="J34" s="23" t="str">
        <x:f>IF(C34="","",G34&amp;"|"&amp;C34)</x:f>
      </x:c>
      <x:c r="K34" s="23" t="str">
        <x:f>IF(C34="","",IF(AND(E34&gt;='Tong_hop'!$C$4,E34&lt;'Tong_hop'!$F$4),"Trong kỳ","Ngoài kỳ"))</x:f>
      </x:c>
      <x:c r="L34" s="23" t="str">
        <x:f>IF(COUNTA(A34:H34)=0,"",IF(OR(NOT(OR(A34="TikTok Shop",A34="Shopee",A34="Lazada")),B34="",C34="",D34="",NOT(ISNUMBER(E34)),NOT(ISNUMBER(F34)),F34&lt;0,G34=""),"Thiếu/sai dữ liệu",IF(NOT(COUNTIFS(T_SoDu[Khóa shop],A34&amp;"|"&amp;B34)=1),"Shop chưa khai báo",IF(COUNTIFS(T_NH[Khóa giao dịch NH],J34)&lt;&gt;1,"Trùng giao dịch NH",IF(COUNTIFS(T_Chuyen[Khóa đợt chuyển],I34)&lt;&gt;1,"Chưa ghép đợt chuyển","")))))</x:f>
      </x:c>
    </x:row>
    <x:row r="35" ht="22" customHeight="1">
      <x:c r="A35" s="10"/>
      <x:c r="B35" s="10"/>
      <x:c r="C35" s="24"/>
      <x:c r="D35" s="24"/>
      <x:c r="E35" s="25"/>
      <x:c r="F35" s="26"/>
      <x:c r="G35" s="24"/>
      <x:c r="H35" s="10"/>
      <x:c r="I35" s="23" t="str">
        <x:f>IF(D35="","",A35&amp;"|"&amp;B35&amp;"|"&amp;D35)</x:f>
      </x:c>
      <x:c r="J35" s="23" t="str">
        <x:f>IF(C35="","",G35&amp;"|"&amp;C35)</x:f>
      </x:c>
      <x:c r="K35" s="23" t="str">
        <x:f>IF(C35="","",IF(AND(E35&gt;='Tong_hop'!$C$4,E35&lt;'Tong_hop'!$F$4),"Trong kỳ","Ngoài kỳ"))</x:f>
      </x:c>
      <x:c r="L35" s="23" t="str">
        <x:f>IF(COUNTA(A35:H35)=0,"",IF(OR(NOT(OR(A35="TikTok Shop",A35="Shopee",A35="Lazada")),B35="",C35="",D35="",NOT(ISNUMBER(E35)),NOT(ISNUMBER(F35)),F35&lt;0,G35=""),"Thiếu/sai dữ liệu",IF(NOT(COUNTIFS(T_SoDu[Khóa shop],A35&amp;"|"&amp;B35)=1),"Shop chưa khai báo",IF(COUNTIFS(T_NH[Khóa giao dịch NH],J35)&lt;&gt;1,"Trùng giao dịch NH",IF(COUNTIFS(T_Chuyen[Khóa đợt chuyển],I35)&lt;&gt;1,"Chưa ghép đợt chuyển","")))))</x:f>
      </x:c>
    </x:row>
    <x:row r="36" ht="22" customHeight="1">
      <x:c r="A36" s="10"/>
      <x:c r="B36" s="10"/>
      <x:c r="C36" s="24"/>
      <x:c r="D36" s="24"/>
      <x:c r="E36" s="25"/>
      <x:c r="F36" s="26"/>
      <x:c r="G36" s="24"/>
      <x:c r="H36" s="10"/>
      <x:c r="I36" s="23" t="str">
        <x:f>IF(D36="","",A36&amp;"|"&amp;B36&amp;"|"&amp;D36)</x:f>
      </x:c>
      <x:c r="J36" s="23" t="str">
        <x:f>IF(C36="","",G36&amp;"|"&amp;C36)</x:f>
      </x:c>
      <x:c r="K36" s="23" t="str">
        <x:f>IF(C36="","",IF(AND(E36&gt;='Tong_hop'!$C$4,E36&lt;'Tong_hop'!$F$4),"Trong kỳ","Ngoài kỳ"))</x:f>
      </x:c>
      <x:c r="L36" s="23" t="str">
        <x:f>IF(COUNTA(A36:H36)=0,"",IF(OR(NOT(OR(A36="TikTok Shop",A36="Shopee",A36="Lazada")),B36="",C36="",D36="",NOT(ISNUMBER(E36)),NOT(ISNUMBER(F36)),F36&lt;0,G36=""),"Thiếu/sai dữ liệu",IF(NOT(COUNTIFS(T_SoDu[Khóa shop],A36&amp;"|"&amp;B36)=1),"Shop chưa khai báo",IF(COUNTIFS(T_NH[Khóa giao dịch NH],J36)&lt;&gt;1,"Trùng giao dịch NH",IF(COUNTIFS(T_Chuyen[Khóa đợt chuyển],I36)&lt;&gt;1,"Chưa ghép đợt chuyển","")))))</x:f>
      </x:c>
    </x:row>
    <x:row r="37" ht="22" customHeight="1">
      <x:c r="A37" s="10"/>
      <x:c r="B37" s="10"/>
      <x:c r="C37" s="24"/>
      <x:c r="D37" s="24"/>
      <x:c r="E37" s="25"/>
      <x:c r="F37" s="26"/>
      <x:c r="G37" s="24"/>
      <x:c r="H37" s="10"/>
      <x:c r="I37" s="23" t="str">
        <x:f>IF(D37="","",A37&amp;"|"&amp;B37&amp;"|"&amp;D37)</x:f>
      </x:c>
      <x:c r="J37" s="23" t="str">
        <x:f>IF(C37="","",G37&amp;"|"&amp;C37)</x:f>
      </x:c>
      <x:c r="K37" s="23" t="str">
        <x:f>IF(C37="","",IF(AND(E37&gt;='Tong_hop'!$C$4,E37&lt;'Tong_hop'!$F$4),"Trong kỳ","Ngoài kỳ"))</x:f>
      </x:c>
      <x:c r="L37" s="23" t="str">
        <x:f>IF(COUNTA(A37:H37)=0,"",IF(OR(NOT(OR(A37="TikTok Shop",A37="Shopee",A37="Lazada")),B37="",C37="",D37="",NOT(ISNUMBER(E37)),NOT(ISNUMBER(F37)),F37&lt;0,G37=""),"Thiếu/sai dữ liệu",IF(NOT(COUNTIFS(T_SoDu[Khóa shop],A37&amp;"|"&amp;B37)=1),"Shop chưa khai báo",IF(COUNTIFS(T_NH[Khóa giao dịch NH],J37)&lt;&gt;1,"Trùng giao dịch NH",IF(COUNTIFS(T_Chuyen[Khóa đợt chuyển],I37)&lt;&gt;1,"Chưa ghép đợt chuyển","")))))</x:f>
      </x:c>
    </x:row>
    <x:row r="38" ht="22" customHeight="1">
      <x:c r="A38" s="10"/>
      <x:c r="B38" s="10"/>
      <x:c r="C38" s="24"/>
      <x:c r="D38" s="24"/>
      <x:c r="E38" s="25"/>
      <x:c r="F38" s="26"/>
      <x:c r="G38" s="24"/>
      <x:c r="H38" s="10"/>
      <x:c r="I38" s="23" t="str">
        <x:f>IF(D38="","",A38&amp;"|"&amp;B38&amp;"|"&amp;D38)</x:f>
      </x:c>
      <x:c r="J38" s="23" t="str">
        <x:f>IF(C38="","",G38&amp;"|"&amp;C38)</x:f>
      </x:c>
      <x:c r="K38" s="23" t="str">
        <x:f>IF(C38="","",IF(AND(E38&gt;='Tong_hop'!$C$4,E38&lt;'Tong_hop'!$F$4),"Trong kỳ","Ngoài kỳ"))</x:f>
      </x:c>
      <x:c r="L38" s="23" t="str">
        <x:f>IF(COUNTA(A38:H38)=0,"",IF(OR(NOT(OR(A38="TikTok Shop",A38="Shopee",A38="Lazada")),B38="",C38="",D38="",NOT(ISNUMBER(E38)),NOT(ISNUMBER(F38)),F38&lt;0,G38=""),"Thiếu/sai dữ liệu",IF(NOT(COUNTIFS(T_SoDu[Khóa shop],A38&amp;"|"&amp;B38)=1),"Shop chưa khai báo",IF(COUNTIFS(T_NH[Khóa giao dịch NH],J38)&lt;&gt;1,"Trùng giao dịch NH",IF(COUNTIFS(T_Chuyen[Khóa đợt chuyển],I38)&lt;&gt;1,"Chưa ghép đợt chuyển","")))))</x:f>
      </x:c>
    </x:row>
    <x:row r="39" ht="22" customHeight="1">
      <x:c r="A39" s="10"/>
      <x:c r="B39" s="10"/>
      <x:c r="C39" s="24"/>
      <x:c r="D39" s="24"/>
      <x:c r="E39" s="25"/>
      <x:c r="F39" s="26"/>
      <x:c r="G39" s="24"/>
      <x:c r="H39" s="10"/>
      <x:c r="I39" s="23" t="str">
        <x:f>IF(D39="","",A39&amp;"|"&amp;B39&amp;"|"&amp;D39)</x:f>
      </x:c>
      <x:c r="J39" s="23" t="str">
        <x:f>IF(C39="","",G39&amp;"|"&amp;C39)</x:f>
      </x:c>
      <x:c r="K39" s="23" t="str">
        <x:f>IF(C39="","",IF(AND(E39&gt;='Tong_hop'!$C$4,E39&lt;'Tong_hop'!$F$4),"Trong kỳ","Ngoài kỳ"))</x:f>
      </x:c>
      <x:c r="L39" s="23" t="str">
        <x:f>IF(COUNTA(A39:H39)=0,"",IF(OR(NOT(OR(A39="TikTok Shop",A39="Shopee",A39="Lazada")),B39="",C39="",D39="",NOT(ISNUMBER(E39)),NOT(ISNUMBER(F39)),F39&lt;0,G39=""),"Thiếu/sai dữ liệu",IF(NOT(COUNTIFS(T_SoDu[Khóa shop],A39&amp;"|"&amp;B39)=1),"Shop chưa khai báo",IF(COUNTIFS(T_NH[Khóa giao dịch NH],J39)&lt;&gt;1,"Trùng giao dịch NH",IF(COUNTIFS(T_Chuyen[Khóa đợt chuyển],I39)&lt;&gt;1,"Chưa ghép đợt chuyển","")))))</x:f>
      </x:c>
    </x:row>
    <x:row r="40" ht="22" customHeight="1">
      <x:c r="A40" s="10"/>
      <x:c r="B40" s="10"/>
      <x:c r="C40" s="24"/>
      <x:c r="D40" s="24"/>
      <x:c r="E40" s="25"/>
      <x:c r="F40" s="26"/>
      <x:c r="G40" s="24"/>
      <x:c r="H40" s="10"/>
      <x:c r="I40" s="23" t="str">
        <x:f>IF(D40="","",A40&amp;"|"&amp;B40&amp;"|"&amp;D40)</x:f>
      </x:c>
      <x:c r="J40" s="23" t="str">
        <x:f>IF(C40="","",G40&amp;"|"&amp;C40)</x:f>
      </x:c>
      <x:c r="K40" s="23" t="str">
        <x:f>IF(C40="","",IF(AND(E40&gt;='Tong_hop'!$C$4,E40&lt;'Tong_hop'!$F$4),"Trong kỳ","Ngoài kỳ"))</x:f>
      </x:c>
      <x:c r="L40" s="23" t="str">
        <x:f>IF(COUNTA(A40:H40)=0,"",IF(OR(NOT(OR(A40="TikTok Shop",A40="Shopee",A40="Lazada")),B40="",C40="",D40="",NOT(ISNUMBER(E40)),NOT(ISNUMBER(F40)),F40&lt;0,G40=""),"Thiếu/sai dữ liệu",IF(NOT(COUNTIFS(T_SoDu[Khóa shop],A40&amp;"|"&amp;B40)=1),"Shop chưa khai báo",IF(COUNTIFS(T_NH[Khóa giao dịch NH],J40)&lt;&gt;1,"Trùng giao dịch NH",IF(COUNTIFS(T_Chuyen[Khóa đợt chuyển],I40)&lt;&gt;1,"Chưa ghép đợt chuyển","")))))</x:f>
      </x:c>
    </x:row>
    <x:row r="41" ht="22" customHeight="1">
      <x:c r="A41" s="10"/>
      <x:c r="B41" s="10"/>
      <x:c r="C41" s="24"/>
      <x:c r="D41" s="24"/>
      <x:c r="E41" s="25"/>
      <x:c r="F41" s="26"/>
      <x:c r="G41" s="24"/>
      <x:c r="H41" s="10"/>
      <x:c r="I41" s="23" t="str">
        <x:f>IF(D41="","",A41&amp;"|"&amp;B41&amp;"|"&amp;D41)</x:f>
      </x:c>
      <x:c r="J41" s="23" t="str">
        <x:f>IF(C41="","",G41&amp;"|"&amp;C41)</x:f>
      </x:c>
      <x:c r="K41" s="23" t="str">
        <x:f>IF(C41="","",IF(AND(E41&gt;='Tong_hop'!$C$4,E41&lt;'Tong_hop'!$F$4),"Trong kỳ","Ngoài kỳ"))</x:f>
      </x:c>
      <x:c r="L41" s="23" t="str">
        <x:f>IF(COUNTA(A41:H41)=0,"",IF(OR(NOT(OR(A41="TikTok Shop",A41="Shopee",A41="Lazada")),B41="",C41="",D41="",NOT(ISNUMBER(E41)),NOT(ISNUMBER(F41)),F41&lt;0,G41=""),"Thiếu/sai dữ liệu",IF(NOT(COUNTIFS(T_SoDu[Khóa shop],A41&amp;"|"&amp;B41)=1),"Shop chưa khai báo",IF(COUNTIFS(T_NH[Khóa giao dịch NH],J41)&lt;&gt;1,"Trùng giao dịch NH",IF(COUNTIFS(T_Chuyen[Khóa đợt chuyển],I41)&lt;&gt;1,"Chưa ghép đợt chuyển","")))))</x:f>
      </x:c>
    </x:row>
    <x:row r="42" ht="22" customHeight="1">
      <x:c r="A42" s="10"/>
      <x:c r="B42" s="10"/>
      <x:c r="C42" s="24"/>
      <x:c r="D42" s="24"/>
      <x:c r="E42" s="25"/>
      <x:c r="F42" s="26"/>
      <x:c r="G42" s="24"/>
      <x:c r="H42" s="10"/>
      <x:c r="I42" s="23" t="str">
        <x:f>IF(D42="","",A42&amp;"|"&amp;B42&amp;"|"&amp;D42)</x:f>
      </x:c>
      <x:c r="J42" s="23" t="str">
        <x:f>IF(C42="","",G42&amp;"|"&amp;C42)</x:f>
      </x:c>
      <x:c r="K42" s="23" t="str">
        <x:f>IF(C42="","",IF(AND(E42&gt;='Tong_hop'!$C$4,E42&lt;'Tong_hop'!$F$4),"Trong kỳ","Ngoài kỳ"))</x:f>
      </x:c>
      <x:c r="L42" s="23" t="str">
        <x:f>IF(COUNTA(A42:H42)=0,"",IF(OR(NOT(OR(A42="TikTok Shop",A42="Shopee",A42="Lazada")),B42="",C42="",D42="",NOT(ISNUMBER(E42)),NOT(ISNUMBER(F42)),F42&lt;0,G42=""),"Thiếu/sai dữ liệu",IF(NOT(COUNTIFS(T_SoDu[Khóa shop],A42&amp;"|"&amp;B42)=1),"Shop chưa khai báo",IF(COUNTIFS(T_NH[Khóa giao dịch NH],J42)&lt;&gt;1,"Trùng giao dịch NH",IF(COUNTIFS(T_Chuyen[Khóa đợt chuyển],I42)&lt;&gt;1,"Chưa ghép đợt chuyển","")))))</x:f>
      </x:c>
    </x:row>
    <x:row r="43" ht="22" customHeight="1">
      <x:c r="A43" s="10"/>
      <x:c r="B43" s="10"/>
      <x:c r="C43" s="24"/>
      <x:c r="D43" s="24"/>
      <x:c r="E43" s="25"/>
      <x:c r="F43" s="26"/>
      <x:c r="G43" s="24"/>
      <x:c r="H43" s="10"/>
      <x:c r="I43" s="23" t="str">
        <x:f>IF(D43="","",A43&amp;"|"&amp;B43&amp;"|"&amp;D43)</x:f>
      </x:c>
      <x:c r="J43" s="23" t="str">
        <x:f>IF(C43="","",G43&amp;"|"&amp;C43)</x:f>
      </x:c>
      <x:c r="K43" s="23" t="str">
        <x:f>IF(C43="","",IF(AND(E43&gt;='Tong_hop'!$C$4,E43&lt;'Tong_hop'!$F$4),"Trong kỳ","Ngoài kỳ"))</x:f>
      </x:c>
      <x:c r="L43" s="23" t="str">
        <x:f>IF(COUNTA(A43:H43)=0,"",IF(OR(NOT(OR(A43="TikTok Shop",A43="Shopee",A43="Lazada")),B43="",C43="",D43="",NOT(ISNUMBER(E43)),NOT(ISNUMBER(F43)),F43&lt;0,G43=""),"Thiếu/sai dữ liệu",IF(NOT(COUNTIFS(T_SoDu[Khóa shop],A43&amp;"|"&amp;B43)=1),"Shop chưa khai báo",IF(COUNTIFS(T_NH[Khóa giao dịch NH],J43)&lt;&gt;1,"Trùng giao dịch NH",IF(COUNTIFS(T_Chuyen[Khóa đợt chuyển],I43)&lt;&gt;1,"Chưa ghép đợt chuyển","")))))</x:f>
      </x:c>
    </x:row>
    <x:row r="44" ht="22" customHeight="1">
      <x:c r="A44" s="10"/>
      <x:c r="B44" s="10"/>
      <x:c r="C44" s="24"/>
      <x:c r="D44" s="24"/>
      <x:c r="E44" s="25"/>
      <x:c r="F44" s="26"/>
      <x:c r="G44" s="24"/>
      <x:c r="H44" s="10"/>
      <x:c r="I44" s="23" t="str">
        <x:f>IF(D44="","",A44&amp;"|"&amp;B44&amp;"|"&amp;D44)</x:f>
      </x:c>
      <x:c r="J44" s="23" t="str">
        <x:f>IF(C44="","",G44&amp;"|"&amp;C44)</x:f>
      </x:c>
      <x:c r="K44" s="23" t="str">
        <x:f>IF(C44="","",IF(AND(E44&gt;='Tong_hop'!$C$4,E44&lt;'Tong_hop'!$F$4),"Trong kỳ","Ngoài kỳ"))</x:f>
      </x:c>
      <x:c r="L44" s="23" t="str">
        <x:f>IF(COUNTA(A44:H44)=0,"",IF(OR(NOT(OR(A44="TikTok Shop",A44="Shopee",A44="Lazada")),B44="",C44="",D44="",NOT(ISNUMBER(E44)),NOT(ISNUMBER(F44)),F44&lt;0,G44=""),"Thiếu/sai dữ liệu",IF(NOT(COUNTIFS(T_SoDu[Khóa shop],A44&amp;"|"&amp;B44)=1),"Shop chưa khai báo",IF(COUNTIFS(T_NH[Khóa giao dịch NH],J44)&lt;&gt;1,"Trùng giao dịch NH",IF(COUNTIFS(T_Chuyen[Khóa đợt chuyển],I44)&lt;&gt;1,"Chưa ghép đợt chuyển","")))))</x:f>
      </x:c>
    </x:row>
    <x:row r="45" ht="22" customHeight="1">
      <x:c r="A45" s="10"/>
      <x:c r="B45" s="10"/>
      <x:c r="C45" s="24"/>
      <x:c r="D45" s="24"/>
      <x:c r="E45" s="25"/>
      <x:c r="F45" s="26"/>
      <x:c r="G45" s="24"/>
      <x:c r="H45" s="10"/>
      <x:c r="I45" s="23" t="str">
        <x:f>IF(D45="","",A45&amp;"|"&amp;B45&amp;"|"&amp;D45)</x:f>
      </x:c>
      <x:c r="J45" s="23" t="str">
        <x:f>IF(C45="","",G45&amp;"|"&amp;C45)</x:f>
      </x:c>
      <x:c r="K45" s="23" t="str">
        <x:f>IF(C45="","",IF(AND(E45&gt;='Tong_hop'!$C$4,E45&lt;'Tong_hop'!$F$4),"Trong kỳ","Ngoài kỳ"))</x:f>
      </x:c>
      <x:c r="L45" s="23" t="str">
        <x:f>IF(COUNTA(A45:H45)=0,"",IF(OR(NOT(OR(A45="TikTok Shop",A45="Shopee",A45="Lazada")),B45="",C45="",D45="",NOT(ISNUMBER(E45)),NOT(ISNUMBER(F45)),F45&lt;0,G45=""),"Thiếu/sai dữ liệu",IF(NOT(COUNTIFS(T_SoDu[Khóa shop],A45&amp;"|"&amp;B45)=1),"Shop chưa khai báo",IF(COUNTIFS(T_NH[Khóa giao dịch NH],J45)&lt;&gt;1,"Trùng giao dịch NH",IF(COUNTIFS(T_Chuyen[Khóa đợt chuyển],I45)&lt;&gt;1,"Chưa ghép đợt chuyển","")))))</x:f>
      </x:c>
    </x:row>
    <x:row r="46" ht="22" customHeight="1">
      <x:c r="A46" s="10"/>
      <x:c r="B46" s="10"/>
      <x:c r="C46" s="24"/>
      <x:c r="D46" s="24"/>
      <x:c r="E46" s="25"/>
      <x:c r="F46" s="26"/>
      <x:c r="G46" s="24"/>
      <x:c r="H46" s="10"/>
      <x:c r="I46" s="23" t="str">
        <x:f>IF(D46="","",A46&amp;"|"&amp;B46&amp;"|"&amp;D46)</x:f>
      </x:c>
      <x:c r="J46" s="23" t="str">
        <x:f>IF(C46="","",G46&amp;"|"&amp;C46)</x:f>
      </x:c>
      <x:c r="K46" s="23" t="str">
        <x:f>IF(C46="","",IF(AND(E46&gt;='Tong_hop'!$C$4,E46&lt;'Tong_hop'!$F$4),"Trong kỳ","Ngoài kỳ"))</x:f>
      </x:c>
      <x:c r="L46" s="23" t="str">
        <x:f>IF(COUNTA(A46:H46)=0,"",IF(OR(NOT(OR(A46="TikTok Shop",A46="Shopee",A46="Lazada")),B46="",C46="",D46="",NOT(ISNUMBER(E46)),NOT(ISNUMBER(F46)),F46&lt;0,G46=""),"Thiếu/sai dữ liệu",IF(NOT(COUNTIFS(T_SoDu[Khóa shop],A46&amp;"|"&amp;B46)=1),"Shop chưa khai báo",IF(COUNTIFS(T_NH[Khóa giao dịch NH],J46)&lt;&gt;1,"Trùng giao dịch NH",IF(COUNTIFS(T_Chuyen[Khóa đợt chuyển],I46)&lt;&gt;1,"Chưa ghép đợt chuyển","")))))</x:f>
      </x:c>
    </x:row>
    <x:row r="47" ht="22" customHeight="1">
      <x:c r="A47" s="10"/>
      <x:c r="B47" s="10"/>
      <x:c r="C47" s="24"/>
      <x:c r="D47" s="24"/>
      <x:c r="E47" s="25"/>
      <x:c r="F47" s="26"/>
      <x:c r="G47" s="24"/>
      <x:c r="H47" s="10"/>
      <x:c r="I47" s="23" t="str">
        <x:f>IF(D47="","",A47&amp;"|"&amp;B47&amp;"|"&amp;D47)</x:f>
      </x:c>
      <x:c r="J47" s="23" t="str">
        <x:f>IF(C47="","",G47&amp;"|"&amp;C47)</x:f>
      </x:c>
      <x:c r="K47" s="23" t="str">
        <x:f>IF(C47="","",IF(AND(E47&gt;='Tong_hop'!$C$4,E47&lt;'Tong_hop'!$F$4),"Trong kỳ","Ngoài kỳ"))</x:f>
      </x:c>
      <x:c r="L47" s="23" t="str">
        <x:f>IF(COUNTA(A47:H47)=0,"",IF(OR(NOT(OR(A47="TikTok Shop",A47="Shopee",A47="Lazada")),B47="",C47="",D47="",NOT(ISNUMBER(E47)),NOT(ISNUMBER(F47)),F47&lt;0,G47=""),"Thiếu/sai dữ liệu",IF(NOT(COUNTIFS(T_SoDu[Khóa shop],A47&amp;"|"&amp;B47)=1),"Shop chưa khai báo",IF(COUNTIFS(T_NH[Khóa giao dịch NH],J47)&lt;&gt;1,"Trùng giao dịch NH",IF(COUNTIFS(T_Chuyen[Khóa đợt chuyển],I47)&lt;&gt;1,"Chưa ghép đợt chuyển","")))))</x:f>
      </x:c>
    </x:row>
    <x:row r="48" ht="22" customHeight="1">
      <x:c r="A48" s="10"/>
      <x:c r="B48" s="10"/>
      <x:c r="C48" s="24"/>
      <x:c r="D48" s="24"/>
      <x:c r="E48" s="25"/>
      <x:c r="F48" s="26"/>
      <x:c r="G48" s="24"/>
      <x:c r="H48" s="10"/>
      <x:c r="I48" s="23" t="str">
        <x:f>IF(D48="","",A48&amp;"|"&amp;B48&amp;"|"&amp;D48)</x:f>
      </x:c>
      <x:c r="J48" s="23" t="str">
        <x:f>IF(C48="","",G48&amp;"|"&amp;C48)</x:f>
      </x:c>
      <x:c r="K48" s="23" t="str">
        <x:f>IF(C48="","",IF(AND(E48&gt;='Tong_hop'!$C$4,E48&lt;'Tong_hop'!$F$4),"Trong kỳ","Ngoài kỳ"))</x:f>
      </x:c>
      <x:c r="L48" s="23" t="str">
        <x:f>IF(COUNTA(A48:H48)=0,"",IF(OR(NOT(OR(A48="TikTok Shop",A48="Shopee",A48="Lazada")),B48="",C48="",D48="",NOT(ISNUMBER(E48)),NOT(ISNUMBER(F48)),F48&lt;0,G48=""),"Thiếu/sai dữ liệu",IF(NOT(COUNTIFS(T_SoDu[Khóa shop],A48&amp;"|"&amp;B48)=1),"Shop chưa khai báo",IF(COUNTIFS(T_NH[Khóa giao dịch NH],J48)&lt;&gt;1,"Trùng giao dịch NH",IF(COUNTIFS(T_Chuyen[Khóa đợt chuyển],I48)&lt;&gt;1,"Chưa ghép đợt chuyển","")))))</x:f>
      </x:c>
    </x:row>
    <x:row r="49" ht="22" customHeight="1">
      <x:c r="A49" s="10"/>
      <x:c r="B49" s="10"/>
      <x:c r="C49" s="24"/>
      <x:c r="D49" s="24"/>
      <x:c r="E49" s="25"/>
      <x:c r="F49" s="26"/>
      <x:c r="G49" s="24"/>
      <x:c r="H49" s="10"/>
      <x:c r="I49" s="23" t="str">
        <x:f>IF(D49="","",A49&amp;"|"&amp;B49&amp;"|"&amp;D49)</x:f>
      </x:c>
      <x:c r="J49" s="23" t="str">
        <x:f>IF(C49="","",G49&amp;"|"&amp;C49)</x:f>
      </x:c>
      <x:c r="K49" s="23" t="str">
        <x:f>IF(C49="","",IF(AND(E49&gt;='Tong_hop'!$C$4,E49&lt;'Tong_hop'!$F$4),"Trong kỳ","Ngoài kỳ"))</x:f>
      </x:c>
      <x:c r="L49" s="23" t="str">
        <x:f>IF(COUNTA(A49:H49)=0,"",IF(OR(NOT(OR(A49="TikTok Shop",A49="Shopee",A49="Lazada")),B49="",C49="",D49="",NOT(ISNUMBER(E49)),NOT(ISNUMBER(F49)),F49&lt;0,G49=""),"Thiếu/sai dữ liệu",IF(NOT(COUNTIFS(T_SoDu[Khóa shop],A49&amp;"|"&amp;B49)=1),"Shop chưa khai báo",IF(COUNTIFS(T_NH[Khóa giao dịch NH],J49)&lt;&gt;1,"Trùng giao dịch NH",IF(COUNTIFS(T_Chuyen[Khóa đợt chuyển],I49)&lt;&gt;1,"Chưa ghép đợt chuyển","")))))</x:f>
      </x:c>
    </x:row>
    <x:row r="50" ht="22" customHeight="1">
      <x:c r="A50" s="10"/>
      <x:c r="B50" s="10"/>
      <x:c r="C50" s="24"/>
      <x:c r="D50" s="24"/>
      <x:c r="E50" s="25"/>
      <x:c r="F50" s="26"/>
      <x:c r="G50" s="24"/>
      <x:c r="H50" s="10"/>
      <x:c r="I50" s="23" t="str">
        <x:f>IF(D50="","",A50&amp;"|"&amp;B50&amp;"|"&amp;D50)</x:f>
      </x:c>
      <x:c r="J50" s="23" t="str">
        <x:f>IF(C50="","",G50&amp;"|"&amp;C50)</x:f>
      </x:c>
      <x:c r="K50" s="23" t="str">
        <x:f>IF(C50="","",IF(AND(E50&gt;='Tong_hop'!$C$4,E50&lt;'Tong_hop'!$F$4),"Trong kỳ","Ngoài kỳ"))</x:f>
      </x:c>
      <x:c r="L50" s="23" t="str">
        <x:f>IF(COUNTA(A50:H50)=0,"",IF(OR(NOT(OR(A50="TikTok Shop",A50="Shopee",A50="Lazada")),B50="",C50="",D50="",NOT(ISNUMBER(E50)),NOT(ISNUMBER(F50)),F50&lt;0,G50=""),"Thiếu/sai dữ liệu",IF(NOT(COUNTIFS(T_SoDu[Khóa shop],A50&amp;"|"&amp;B50)=1),"Shop chưa khai báo",IF(COUNTIFS(T_NH[Khóa giao dịch NH],J50)&lt;&gt;1,"Trùng giao dịch NH",IF(COUNTIFS(T_Chuyen[Khóa đợt chuyển],I50)&lt;&gt;1,"Chưa ghép đợt chuyển","")))))</x:f>
      </x:c>
    </x:row>
    <x:row r="51" ht="22" customHeight="1">
      <x:c r="A51" s="10"/>
      <x:c r="B51" s="10"/>
      <x:c r="C51" s="24"/>
      <x:c r="D51" s="24"/>
      <x:c r="E51" s="25"/>
      <x:c r="F51" s="26"/>
      <x:c r="G51" s="24"/>
      <x:c r="H51" s="10"/>
      <x:c r="I51" s="23" t="str">
        <x:f>IF(D51="","",A51&amp;"|"&amp;B51&amp;"|"&amp;D51)</x:f>
      </x:c>
      <x:c r="J51" s="23" t="str">
        <x:f>IF(C51="","",G51&amp;"|"&amp;C51)</x:f>
      </x:c>
      <x:c r="K51" s="23" t="str">
        <x:f>IF(C51="","",IF(AND(E51&gt;='Tong_hop'!$C$4,E51&lt;'Tong_hop'!$F$4),"Trong kỳ","Ngoài kỳ"))</x:f>
      </x:c>
      <x:c r="L51" s="23" t="str">
        <x:f>IF(COUNTA(A51:H51)=0,"",IF(OR(NOT(OR(A51="TikTok Shop",A51="Shopee",A51="Lazada")),B51="",C51="",D51="",NOT(ISNUMBER(E51)),NOT(ISNUMBER(F51)),F51&lt;0,G51=""),"Thiếu/sai dữ liệu",IF(NOT(COUNTIFS(T_SoDu[Khóa shop],A51&amp;"|"&amp;B51)=1),"Shop chưa khai báo",IF(COUNTIFS(T_NH[Khóa giao dịch NH],J51)&lt;&gt;1,"Trùng giao dịch NH",IF(COUNTIFS(T_Chuyen[Khóa đợt chuyển],I51)&lt;&gt;1,"Chưa ghép đợt chuyển","")))))</x:f>
      </x:c>
    </x:row>
    <x:row r="52" ht="22" customHeight="1">
      <x:c r="A52" s="10"/>
      <x:c r="B52" s="10"/>
      <x:c r="C52" s="24"/>
      <x:c r="D52" s="24"/>
      <x:c r="E52" s="25"/>
      <x:c r="F52" s="26"/>
      <x:c r="G52" s="24"/>
      <x:c r="H52" s="10"/>
      <x:c r="I52" s="23" t="str">
        <x:f>IF(D52="","",A52&amp;"|"&amp;B52&amp;"|"&amp;D52)</x:f>
      </x:c>
      <x:c r="J52" s="23" t="str">
        <x:f>IF(C52="","",G52&amp;"|"&amp;C52)</x:f>
      </x:c>
      <x:c r="K52" s="23" t="str">
        <x:f>IF(C52="","",IF(AND(E52&gt;='Tong_hop'!$C$4,E52&lt;'Tong_hop'!$F$4),"Trong kỳ","Ngoài kỳ"))</x:f>
      </x:c>
      <x:c r="L52" s="23" t="str">
        <x:f>IF(COUNTA(A52:H52)=0,"",IF(OR(NOT(OR(A52="TikTok Shop",A52="Shopee",A52="Lazada")),B52="",C52="",D52="",NOT(ISNUMBER(E52)),NOT(ISNUMBER(F52)),F52&lt;0,G52=""),"Thiếu/sai dữ liệu",IF(NOT(COUNTIFS(T_SoDu[Khóa shop],A52&amp;"|"&amp;B52)=1),"Shop chưa khai báo",IF(COUNTIFS(T_NH[Khóa giao dịch NH],J52)&lt;&gt;1,"Trùng giao dịch NH",IF(COUNTIFS(T_Chuyen[Khóa đợt chuyển],I52)&lt;&gt;1,"Chưa ghép đợt chuyển","")))))</x:f>
      </x:c>
    </x:row>
    <x:row r="53" ht="22" customHeight="1">
      <x:c r="A53" s="10"/>
      <x:c r="B53" s="10"/>
      <x:c r="C53" s="24"/>
      <x:c r="D53" s="24"/>
      <x:c r="E53" s="25"/>
      <x:c r="F53" s="26"/>
      <x:c r="G53" s="24"/>
      <x:c r="H53" s="10"/>
      <x:c r="I53" s="23" t="str">
        <x:f>IF(D53="","",A53&amp;"|"&amp;B53&amp;"|"&amp;D53)</x:f>
      </x:c>
      <x:c r="J53" s="23" t="str">
        <x:f>IF(C53="","",G53&amp;"|"&amp;C53)</x:f>
      </x:c>
      <x:c r="K53" s="23" t="str">
        <x:f>IF(C53="","",IF(AND(E53&gt;='Tong_hop'!$C$4,E53&lt;'Tong_hop'!$F$4),"Trong kỳ","Ngoài kỳ"))</x:f>
      </x:c>
      <x:c r="L53" s="23" t="str">
        <x:f>IF(COUNTA(A53:H53)=0,"",IF(OR(NOT(OR(A53="TikTok Shop",A53="Shopee",A53="Lazada")),B53="",C53="",D53="",NOT(ISNUMBER(E53)),NOT(ISNUMBER(F53)),F53&lt;0,G53=""),"Thiếu/sai dữ liệu",IF(NOT(COUNTIFS(T_SoDu[Khóa shop],A53&amp;"|"&amp;B53)=1),"Shop chưa khai báo",IF(COUNTIFS(T_NH[Khóa giao dịch NH],J53)&lt;&gt;1,"Trùng giao dịch NH",IF(COUNTIFS(T_Chuyen[Khóa đợt chuyển],I53)&lt;&gt;1,"Chưa ghép đợt chuyển","")))))</x:f>
      </x:c>
    </x:row>
    <x:row r="54" ht="22" customHeight="1">
      <x:c r="A54" s="10"/>
      <x:c r="B54" s="10"/>
      <x:c r="C54" s="24"/>
      <x:c r="D54" s="24"/>
      <x:c r="E54" s="25"/>
      <x:c r="F54" s="26"/>
      <x:c r="G54" s="24"/>
      <x:c r="H54" s="10"/>
      <x:c r="I54" s="23" t="str">
        <x:f>IF(D54="","",A54&amp;"|"&amp;B54&amp;"|"&amp;D54)</x:f>
      </x:c>
      <x:c r="J54" s="23" t="str">
        <x:f>IF(C54="","",G54&amp;"|"&amp;C54)</x:f>
      </x:c>
      <x:c r="K54" s="23" t="str">
        <x:f>IF(C54="","",IF(AND(E54&gt;='Tong_hop'!$C$4,E54&lt;'Tong_hop'!$F$4),"Trong kỳ","Ngoài kỳ"))</x:f>
      </x:c>
      <x:c r="L54" s="23" t="str">
        <x:f>IF(COUNTA(A54:H54)=0,"",IF(OR(NOT(OR(A54="TikTok Shop",A54="Shopee",A54="Lazada")),B54="",C54="",D54="",NOT(ISNUMBER(E54)),NOT(ISNUMBER(F54)),F54&lt;0,G54=""),"Thiếu/sai dữ liệu",IF(NOT(COUNTIFS(T_SoDu[Khóa shop],A54&amp;"|"&amp;B54)=1),"Shop chưa khai báo",IF(COUNTIFS(T_NH[Khóa giao dịch NH],J54)&lt;&gt;1,"Trùng giao dịch NH",IF(COUNTIFS(T_Chuyen[Khóa đợt chuyển],I54)&lt;&gt;1,"Chưa ghép đợt chuyển","")))))</x:f>
      </x:c>
    </x:row>
    <x:row r="55" ht="22" customHeight="1">
      <x:c r="A55" s="10"/>
      <x:c r="B55" s="10"/>
      <x:c r="C55" s="24"/>
      <x:c r="D55" s="24"/>
      <x:c r="E55" s="25"/>
      <x:c r="F55" s="26"/>
      <x:c r="G55" s="24"/>
      <x:c r="H55" s="10"/>
      <x:c r="I55" s="23" t="str">
        <x:f>IF(D55="","",A55&amp;"|"&amp;B55&amp;"|"&amp;D55)</x:f>
      </x:c>
      <x:c r="J55" s="23" t="str">
        <x:f>IF(C55="","",G55&amp;"|"&amp;C55)</x:f>
      </x:c>
      <x:c r="K55" s="23" t="str">
        <x:f>IF(C55="","",IF(AND(E55&gt;='Tong_hop'!$C$4,E55&lt;'Tong_hop'!$F$4),"Trong kỳ","Ngoài kỳ"))</x:f>
      </x:c>
      <x:c r="L55" s="23" t="str">
        <x:f>IF(COUNTA(A55:H55)=0,"",IF(OR(NOT(OR(A55="TikTok Shop",A55="Shopee",A55="Lazada")),B55="",C55="",D55="",NOT(ISNUMBER(E55)),NOT(ISNUMBER(F55)),F55&lt;0,G55=""),"Thiếu/sai dữ liệu",IF(NOT(COUNTIFS(T_SoDu[Khóa shop],A55&amp;"|"&amp;B55)=1),"Shop chưa khai báo",IF(COUNTIFS(T_NH[Khóa giao dịch NH],J55)&lt;&gt;1,"Trùng giao dịch NH",IF(COUNTIFS(T_Chuyen[Khóa đợt chuyển],I55)&lt;&gt;1,"Chưa ghép đợt chuyển","")))))</x:f>
      </x:c>
    </x:row>
    <x:row r="56" ht="22" customHeight="1">
      <x:c r="A56" s="10"/>
      <x:c r="B56" s="10"/>
      <x:c r="C56" s="24"/>
      <x:c r="D56" s="24"/>
      <x:c r="E56" s="25"/>
      <x:c r="F56" s="26"/>
      <x:c r="G56" s="24"/>
      <x:c r="H56" s="10"/>
      <x:c r="I56" s="23" t="str">
        <x:f>IF(D56="","",A56&amp;"|"&amp;B56&amp;"|"&amp;D56)</x:f>
      </x:c>
      <x:c r="J56" s="23" t="str">
        <x:f>IF(C56="","",G56&amp;"|"&amp;C56)</x:f>
      </x:c>
      <x:c r="K56" s="23" t="str">
        <x:f>IF(C56="","",IF(AND(E56&gt;='Tong_hop'!$C$4,E56&lt;'Tong_hop'!$F$4),"Trong kỳ","Ngoài kỳ"))</x:f>
      </x:c>
      <x:c r="L56" s="23" t="str">
        <x:f>IF(COUNTA(A56:H56)=0,"",IF(OR(NOT(OR(A56="TikTok Shop",A56="Shopee",A56="Lazada")),B56="",C56="",D56="",NOT(ISNUMBER(E56)),NOT(ISNUMBER(F56)),F56&lt;0,G56=""),"Thiếu/sai dữ liệu",IF(NOT(COUNTIFS(T_SoDu[Khóa shop],A56&amp;"|"&amp;B56)=1),"Shop chưa khai báo",IF(COUNTIFS(T_NH[Khóa giao dịch NH],J56)&lt;&gt;1,"Trùng giao dịch NH",IF(COUNTIFS(T_Chuyen[Khóa đợt chuyển],I56)&lt;&gt;1,"Chưa ghép đợt chuyển","")))))</x:f>
      </x:c>
    </x:row>
    <x:row r="57" ht="22" customHeight="1">
      <x:c r="A57" s="10"/>
      <x:c r="B57" s="10"/>
      <x:c r="C57" s="24"/>
      <x:c r="D57" s="24"/>
      <x:c r="E57" s="25"/>
      <x:c r="F57" s="26"/>
      <x:c r="G57" s="24"/>
      <x:c r="H57" s="10"/>
      <x:c r="I57" s="23" t="str">
        <x:f>IF(D57="","",A57&amp;"|"&amp;B57&amp;"|"&amp;D57)</x:f>
      </x:c>
      <x:c r="J57" s="23" t="str">
        <x:f>IF(C57="","",G57&amp;"|"&amp;C57)</x:f>
      </x:c>
      <x:c r="K57" s="23" t="str">
        <x:f>IF(C57="","",IF(AND(E57&gt;='Tong_hop'!$C$4,E57&lt;'Tong_hop'!$F$4),"Trong kỳ","Ngoài kỳ"))</x:f>
      </x:c>
      <x:c r="L57" s="23" t="str">
        <x:f>IF(COUNTA(A57:H57)=0,"",IF(OR(NOT(OR(A57="TikTok Shop",A57="Shopee",A57="Lazada")),B57="",C57="",D57="",NOT(ISNUMBER(E57)),NOT(ISNUMBER(F57)),F57&lt;0,G57=""),"Thiếu/sai dữ liệu",IF(NOT(COUNTIFS(T_SoDu[Khóa shop],A57&amp;"|"&amp;B57)=1),"Shop chưa khai báo",IF(COUNTIFS(T_NH[Khóa giao dịch NH],J57)&lt;&gt;1,"Trùng giao dịch NH",IF(COUNTIFS(T_Chuyen[Khóa đợt chuyển],I57)&lt;&gt;1,"Chưa ghép đợt chuyển","")))))</x:f>
      </x:c>
    </x:row>
    <x:row r="58" ht="22" customHeight="1">
      <x:c r="A58" s="10"/>
      <x:c r="B58" s="10"/>
      <x:c r="C58" s="24"/>
      <x:c r="D58" s="24"/>
      <x:c r="E58" s="25"/>
      <x:c r="F58" s="26"/>
      <x:c r="G58" s="24"/>
      <x:c r="H58" s="10"/>
      <x:c r="I58" s="23" t="str">
        <x:f>IF(D58="","",A58&amp;"|"&amp;B58&amp;"|"&amp;D58)</x:f>
      </x:c>
      <x:c r="J58" s="23" t="str">
        <x:f>IF(C58="","",G58&amp;"|"&amp;C58)</x:f>
      </x:c>
      <x:c r="K58" s="23" t="str">
        <x:f>IF(C58="","",IF(AND(E58&gt;='Tong_hop'!$C$4,E58&lt;'Tong_hop'!$F$4),"Trong kỳ","Ngoài kỳ"))</x:f>
      </x:c>
      <x:c r="L58" s="23" t="str">
        <x:f>IF(COUNTA(A58:H58)=0,"",IF(OR(NOT(OR(A58="TikTok Shop",A58="Shopee",A58="Lazada")),B58="",C58="",D58="",NOT(ISNUMBER(E58)),NOT(ISNUMBER(F58)),F58&lt;0,G58=""),"Thiếu/sai dữ liệu",IF(NOT(COUNTIFS(T_SoDu[Khóa shop],A58&amp;"|"&amp;B58)=1),"Shop chưa khai báo",IF(COUNTIFS(T_NH[Khóa giao dịch NH],J58)&lt;&gt;1,"Trùng giao dịch NH",IF(COUNTIFS(T_Chuyen[Khóa đợt chuyển],I58)&lt;&gt;1,"Chưa ghép đợt chuyển","")))))</x:f>
      </x:c>
    </x:row>
    <x:row r="59" ht="22" customHeight="1">
      <x:c r="A59" s="10"/>
      <x:c r="B59" s="10"/>
      <x:c r="C59" s="24"/>
      <x:c r="D59" s="24"/>
      <x:c r="E59" s="25"/>
      <x:c r="F59" s="26"/>
      <x:c r="G59" s="24"/>
      <x:c r="H59" s="10"/>
      <x:c r="I59" s="23" t="str">
        <x:f>IF(D59="","",A59&amp;"|"&amp;B59&amp;"|"&amp;D59)</x:f>
      </x:c>
      <x:c r="J59" s="23" t="str">
        <x:f>IF(C59="","",G59&amp;"|"&amp;C59)</x:f>
      </x:c>
      <x:c r="K59" s="23" t="str">
        <x:f>IF(C59="","",IF(AND(E59&gt;='Tong_hop'!$C$4,E59&lt;'Tong_hop'!$F$4),"Trong kỳ","Ngoài kỳ"))</x:f>
      </x:c>
      <x:c r="L59" s="23" t="str">
        <x:f>IF(COUNTA(A59:H59)=0,"",IF(OR(NOT(OR(A59="TikTok Shop",A59="Shopee",A59="Lazada")),B59="",C59="",D59="",NOT(ISNUMBER(E59)),NOT(ISNUMBER(F59)),F59&lt;0,G59=""),"Thiếu/sai dữ liệu",IF(NOT(COUNTIFS(T_SoDu[Khóa shop],A59&amp;"|"&amp;B59)=1),"Shop chưa khai báo",IF(COUNTIFS(T_NH[Khóa giao dịch NH],J59)&lt;&gt;1,"Trùng giao dịch NH",IF(COUNTIFS(T_Chuyen[Khóa đợt chuyển],I59)&lt;&gt;1,"Chưa ghép đợt chuyển","")))))</x:f>
      </x:c>
    </x:row>
    <x:row r="60" ht="22" customHeight="1">
      <x:c r="A60" s="10"/>
      <x:c r="B60" s="10"/>
      <x:c r="C60" s="24"/>
      <x:c r="D60" s="24"/>
      <x:c r="E60" s="25"/>
      <x:c r="F60" s="26"/>
      <x:c r="G60" s="24"/>
      <x:c r="H60" s="10"/>
      <x:c r="I60" s="23" t="str">
        <x:f>IF(D60="","",A60&amp;"|"&amp;B60&amp;"|"&amp;D60)</x:f>
      </x:c>
      <x:c r="J60" s="23" t="str">
        <x:f>IF(C60="","",G60&amp;"|"&amp;C60)</x:f>
      </x:c>
      <x:c r="K60" s="23" t="str">
        <x:f>IF(C60="","",IF(AND(E60&gt;='Tong_hop'!$C$4,E60&lt;'Tong_hop'!$F$4),"Trong kỳ","Ngoài kỳ"))</x:f>
      </x:c>
      <x:c r="L60" s="23" t="str">
        <x:f>IF(COUNTA(A60:H60)=0,"",IF(OR(NOT(OR(A60="TikTok Shop",A60="Shopee",A60="Lazada")),B60="",C60="",D60="",NOT(ISNUMBER(E60)),NOT(ISNUMBER(F60)),F60&lt;0,G60=""),"Thiếu/sai dữ liệu",IF(NOT(COUNTIFS(T_SoDu[Khóa shop],A60&amp;"|"&amp;B60)=1),"Shop chưa khai báo",IF(COUNTIFS(T_NH[Khóa giao dịch NH],J60)&lt;&gt;1,"Trùng giao dịch NH",IF(COUNTIFS(T_Chuyen[Khóa đợt chuyển],I60)&lt;&gt;1,"Chưa ghép đợt chuyển","")))))</x:f>
      </x:c>
    </x:row>
    <x:row r="61" ht="22" customHeight="1">
      <x:c r="A61" s="10"/>
      <x:c r="B61" s="10"/>
      <x:c r="C61" s="24"/>
      <x:c r="D61" s="24"/>
      <x:c r="E61" s="25"/>
      <x:c r="F61" s="26"/>
      <x:c r="G61" s="24"/>
      <x:c r="H61" s="10"/>
      <x:c r="I61" s="23" t="str">
        <x:f>IF(D61="","",A61&amp;"|"&amp;B61&amp;"|"&amp;D61)</x:f>
      </x:c>
      <x:c r="J61" s="23" t="str">
        <x:f>IF(C61="","",G61&amp;"|"&amp;C61)</x:f>
      </x:c>
      <x:c r="K61" s="23" t="str">
        <x:f>IF(C61="","",IF(AND(E61&gt;='Tong_hop'!$C$4,E61&lt;'Tong_hop'!$F$4),"Trong kỳ","Ngoài kỳ"))</x:f>
      </x:c>
      <x:c r="L61" s="23" t="str">
        <x:f>IF(COUNTA(A61:H61)=0,"",IF(OR(NOT(OR(A61="TikTok Shop",A61="Shopee",A61="Lazada")),B61="",C61="",D61="",NOT(ISNUMBER(E61)),NOT(ISNUMBER(F61)),F61&lt;0,G61=""),"Thiếu/sai dữ liệu",IF(NOT(COUNTIFS(T_SoDu[Khóa shop],A61&amp;"|"&amp;B61)=1),"Shop chưa khai báo",IF(COUNTIFS(T_NH[Khóa giao dịch NH],J61)&lt;&gt;1,"Trùng giao dịch NH",IF(COUNTIFS(T_Chuyen[Khóa đợt chuyển],I61)&lt;&gt;1,"Chưa ghép đợt chuyển","")))))</x:f>
      </x:c>
    </x:row>
    <x:row r="62" ht="22" customHeight="1">
      <x:c r="A62" s="10"/>
      <x:c r="B62" s="10"/>
      <x:c r="C62" s="24"/>
      <x:c r="D62" s="24"/>
      <x:c r="E62" s="25"/>
      <x:c r="F62" s="26"/>
      <x:c r="G62" s="24"/>
      <x:c r="H62" s="10"/>
      <x:c r="I62" s="23" t="str">
        <x:f>IF(D62="","",A62&amp;"|"&amp;B62&amp;"|"&amp;D62)</x:f>
      </x:c>
      <x:c r="J62" s="23" t="str">
        <x:f>IF(C62="","",G62&amp;"|"&amp;C62)</x:f>
      </x:c>
      <x:c r="K62" s="23" t="str">
        <x:f>IF(C62="","",IF(AND(E62&gt;='Tong_hop'!$C$4,E62&lt;'Tong_hop'!$F$4),"Trong kỳ","Ngoài kỳ"))</x:f>
      </x:c>
      <x:c r="L62" s="23" t="str">
        <x:f>IF(COUNTA(A62:H62)=0,"",IF(OR(NOT(OR(A62="TikTok Shop",A62="Shopee",A62="Lazada")),B62="",C62="",D62="",NOT(ISNUMBER(E62)),NOT(ISNUMBER(F62)),F62&lt;0,G62=""),"Thiếu/sai dữ liệu",IF(NOT(COUNTIFS(T_SoDu[Khóa shop],A62&amp;"|"&amp;B62)=1),"Shop chưa khai báo",IF(COUNTIFS(T_NH[Khóa giao dịch NH],J62)&lt;&gt;1,"Trùng giao dịch NH",IF(COUNTIFS(T_Chuyen[Khóa đợt chuyển],I62)&lt;&gt;1,"Chưa ghép đợt chuyển","")))))</x:f>
      </x:c>
    </x:row>
    <x:row r="63" ht="22" customHeight="1">
      <x:c r="A63" s="10"/>
      <x:c r="B63" s="10"/>
      <x:c r="C63" s="24"/>
      <x:c r="D63" s="24"/>
      <x:c r="E63" s="25"/>
      <x:c r="F63" s="26"/>
      <x:c r="G63" s="24"/>
      <x:c r="H63" s="10"/>
      <x:c r="I63" s="23" t="str">
        <x:f>IF(D63="","",A63&amp;"|"&amp;B63&amp;"|"&amp;D63)</x:f>
      </x:c>
      <x:c r="J63" s="23" t="str">
        <x:f>IF(C63="","",G63&amp;"|"&amp;C63)</x:f>
      </x:c>
      <x:c r="K63" s="23" t="str">
        <x:f>IF(C63="","",IF(AND(E63&gt;='Tong_hop'!$C$4,E63&lt;'Tong_hop'!$F$4),"Trong kỳ","Ngoài kỳ"))</x:f>
      </x:c>
      <x:c r="L63" s="23" t="str">
        <x:f>IF(COUNTA(A63:H63)=0,"",IF(OR(NOT(OR(A63="TikTok Shop",A63="Shopee",A63="Lazada")),B63="",C63="",D63="",NOT(ISNUMBER(E63)),NOT(ISNUMBER(F63)),F63&lt;0,G63=""),"Thiếu/sai dữ liệu",IF(NOT(COUNTIFS(T_SoDu[Khóa shop],A63&amp;"|"&amp;B63)=1),"Shop chưa khai báo",IF(COUNTIFS(T_NH[Khóa giao dịch NH],J63)&lt;&gt;1,"Trùng giao dịch NH",IF(COUNTIFS(T_Chuyen[Khóa đợt chuyển],I63)&lt;&gt;1,"Chưa ghép đợt chuyển","")))))</x:f>
      </x:c>
    </x:row>
    <x:row r="64" ht="22" customHeight="1">
      <x:c r="A64" s="10"/>
      <x:c r="B64" s="10"/>
      <x:c r="C64" s="24"/>
      <x:c r="D64" s="24"/>
      <x:c r="E64" s="25"/>
      <x:c r="F64" s="26"/>
      <x:c r="G64" s="24"/>
      <x:c r="H64" s="10"/>
      <x:c r="I64" s="23" t="str">
        <x:f>IF(D64="","",A64&amp;"|"&amp;B64&amp;"|"&amp;D64)</x:f>
      </x:c>
      <x:c r="J64" s="23" t="str">
        <x:f>IF(C64="","",G64&amp;"|"&amp;C64)</x:f>
      </x:c>
      <x:c r="K64" s="23" t="str">
        <x:f>IF(C64="","",IF(AND(E64&gt;='Tong_hop'!$C$4,E64&lt;'Tong_hop'!$F$4),"Trong kỳ","Ngoài kỳ"))</x:f>
      </x:c>
      <x:c r="L64" s="23" t="str">
        <x:f>IF(COUNTA(A64:H64)=0,"",IF(OR(NOT(OR(A64="TikTok Shop",A64="Shopee",A64="Lazada")),B64="",C64="",D64="",NOT(ISNUMBER(E64)),NOT(ISNUMBER(F64)),F64&lt;0,G64=""),"Thiếu/sai dữ liệu",IF(NOT(COUNTIFS(T_SoDu[Khóa shop],A64&amp;"|"&amp;B64)=1),"Shop chưa khai báo",IF(COUNTIFS(T_NH[Khóa giao dịch NH],J64)&lt;&gt;1,"Trùng giao dịch NH",IF(COUNTIFS(T_Chuyen[Khóa đợt chuyển],I64)&lt;&gt;1,"Chưa ghép đợt chuyển","")))))</x:f>
      </x:c>
    </x:row>
    <x:row r="65" ht="22" customHeight="1">
      <x:c r="A65" s="10"/>
      <x:c r="B65" s="10"/>
      <x:c r="C65" s="24"/>
      <x:c r="D65" s="24"/>
      <x:c r="E65" s="25"/>
      <x:c r="F65" s="26"/>
      <x:c r="G65" s="24"/>
      <x:c r="H65" s="10"/>
      <x:c r="I65" s="23" t="str">
        <x:f>IF(D65="","",A65&amp;"|"&amp;B65&amp;"|"&amp;D65)</x:f>
      </x:c>
      <x:c r="J65" s="23" t="str">
        <x:f>IF(C65="","",G65&amp;"|"&amp;C65)</x:f>
      </x:c>
      <x:c r="K65" s="23" t="str">
        <x:f>IF(C65="","",IF(AND(E65&gt;='Tong_hop'!$C$4,E65&lt;'Tong_hop'!$F$4),"Trong kỳ","Ngoài kỳ"))</x:f>
      </x:c>
      <x:c r="L65" s="23" t="str">
        <x:f>IF(COUNTA(A65:H65)=0,"",IF(OR(NOT(OR(A65="TikTok Shop",A65="Shopee",A65="Lazada")),B65="",C65="",D65="",NOT(ISNUMBER(E65)),NOT(ISNUMBER(F65)),F65&lt;0,G65=""),"Thiếu/sai dữ liệu",IF(NOT(COUNTIFS(T_SoDu[Khóa shop],A65&amp;"|"&amp;B65)=1),"Shop chưa khai báo",IF(COUNTIFS(T_NH[Khóa giao dịch NH],J65)&lt;&gt;1,"Trùng giao dịch NH",IF(COUNTIFS(T_Chuyen[Khóa đợt chuyển],I65)&lt;&gt;1,"Chưa ghép đợt chuyển","")))))</x:f>
      </x:c>
    </x:row>
    <x:row r="66" ht="22" customHeight="1">
      <x:c r="A66" s="10"/>
      <x:c r="B66" s="10"/>
      <x:c r="C66" s="24"/>
      <x:c r="D66" s="24"/>
      <x:c r="E66" s="25"/>
      <x:c r="F66" s="26"/>
      <x:c r="G66" s="24"/>
      <x:c r="H66" s="10"/>
      <x:c r="I66" s="23" t="str">
        <x:f>IF(D66="","",A66&amp;"|"&amp;B66&amp;"|"&amp;D66)</x:f>
      </x:c>
      <x:c r="J66" s="23" t="str">
        <x:f>IF(C66="","",G66&amp;"|"&amp;C66)</x:f>
      </x:c>
      <x:c r="K66" s="23" t="str">
        <x:f>IF(C66="","",IF(AND(E66&gt;='Tong_hop'!$C$4,E66&lt;'Tong_hop'!$F$4),"Trong kỳ","Ngoài kỳ"))</x:f>
      </x:c>
      <x:c r="L66" s="23" t="str">
        <x:f>IF(COUNTA(A66:H66)=0,"",IF(OR(NOT(OR(A66="TikTok Shop",A66="Shopee",A66="Lazada")),B66="",C66="",D66="",NOT(ISNUMBER(E66)),NOT(ISNUMBER(F66)),F66&lt;0,G66=""),"Thiếu/sai dữ liệu",IF(NOT(COUNTIFS(T_SoDu[Khóa shop],A66&amp;"|"&amp;B66)=1),"Shop chưa khai báo",IF(COUNTIFS(T_NH[Khóa giao dịch NH],J66)&lt;&gt;1,"Trùng giao dịch NH",IF(COUNTIFS(T_Chuyen[Khóa đợt chuyển],I66)&lt;&gt;1,"Chưa ghép đợt chuyển","")))))</x:f>
      </x:c>
    </x:row>
    <x:row r="67" ht="22" customHeight="1">
      <x:c r="A67" s="10"/>
      <x:c r="B67" s="10"/>
      <x:c r="C67" s="24"/>
      <x:c r="D67" s="24"/>
      <x:c r="E67" s="25"/>
      <x:c r="F67" s="26"/>
      <x:c r="G67" s="24"/>
      <x:c r="H67" s="10"/>
      <x:c r="I67" s="23" t="str">
        <x:f>IF(D67="","",A67&amp;"|"&amp;B67&amp;"|"&amp;D67)</x:f>
      </x:c>
      <x:c r="J67" s="23" t="str">
        <x:f>IF(C67="","",G67&amp;"|"&amp;C67)</x:f>
      </x:c>
      <x:c r="K67" s="23" t="str">
        <x:f>IF(C67="","",IF(AND(E67&gt;='Tong_hop'!$C$4,E67&lt;'Tong_hop'!$F$4),"Trong kỳ","Ngoài kỳ"))</x:f>
      </x:c>
      <x:c r="L67" s="23" t="str">
        <x:f>IF(COUNTA(A67:H67)=0,"",IF(OR(NOT(OR(A67="TikTok Shop",A67="Shopee",A67="Lazada")),B67="",C67="",D67="",NOT(ISNUMBER(E67)),NOT(ISNUMBER(F67)),F67&lt;0,G67=""),"Thiếu/sai dữ liệu",IF(NOT(COUNTIFS(T_SoDu[Khóa shop],A67&amp;"|"&amp;B67)=1),"Shop chưa khai báo",IF(COUNTIFS(T_NH[Khóa giao dịch NH],J67)&lt;&gt;1,"Trùng giao dịch NH",IF(COUNTIFS(T_Chuyen[Khóa đợt chuyển],I67)&lt;&gt;1,"Chưa ghép đợt chuyển","")))))</x:f>
      </x:c>
    </x:row>
    <x:row r="68" ht="22" customHeight="1">
      <x:c r="A68" s="10"/>
      <x:c r="B68" s="10"/>
      <x:c r="C68" s="24"/>
      <x:c r="D68" s="24"/>
      <x:c r="E68" s="25"/>
      <x:c r="F68" s="26"/>
      <x:c r="G68" s="24"/>
      <x:c r="H68" s="10"/>
      <x:c r="I68" s="23" t="str">
        <x:f>IF(D68="","",A68&amp;"|"&amp;B68&amp;"|"&amp;D68)</x:f>
      </x:c>
      <x:c r="J68" s="23" t="str">
        <x:f>IF(C68="","",G68&amp;"|"&amp;C68)</x:f>
      </x:c>
      <x:c r="K68" s="23" t="str">
        <x:f>IF(C68="","",IF(AND(E68&gt;='Tong_hop'!$C$4,E68&lt;'Tong_hop'!$F$4),"Trong kỳ","Ngoài kỳ"))</x:f>
      </x:c>
      <x:c r="L68" s="23" t="str">
        <x:f>IF(COUNTA(A68:H68)=0,"",IF(OR(NOT(OR(A68="TikTok Shop",A68="Shopee",A68="Lazada")),B68="",C68="",D68="",NOT(ISNUMBER(E68)),NOT(ISNUMBER(F68)),F68&lt;0,G68=""),"Thiếu/sai dữ liệu",IF(NOT(COUNTIFS(T_SoDu[Khóa shop],A68&amp;"|"&amp;B68)=1),"Shop chưa khai báo",IF(COUNTIFS(T_NH[Khóa giao dịch NH],J68)&lt;&gt;1,"Trùng giao dịch NH",IF(COUNTIFS(T_Chuyen[Khóa đợt chuyển],I68)&lt;&gt;1,"Chưa ghép đợt chuyển","")))))</x:f>
      </x:c>
    </x:row>
    <x:row r="69" ht="22" customHeight="1">
      <x:c r="A69" s="10"/>
      <x:c r="B69" s="10"/>
      <x:c r="C69" s="24"/>
      <x:c r="D69" s="24"/>
      <x:c r="E69" s="25"/>
      <x:c r="F69" s="26"/>
      <x:c r="G69" s="24"/>
      <x:c r="H69" s="10"/>
      <x:c r="I69" s="23" t="str">
        <x:f>IF(D69="","",A69&amp;"|"&amp;B69&amp;"|"&amp;D69)</x:f>
      </x:c>
      <x:c r="J69" s="23" t="str">
        <x:f>IF(C69="","",G69&amp;"|"&amp;C69)</x:f>
      </x:c>
      <x:c r="K69" s="23" t="str">
        <x:f>IF(C69="","",IF(AND(E69&gt;='Tong_hop'!$C$4,E69&lt;'Tong_hop'!$F$4),"Trong kỳ","Ngoài kỳ"))</x:f>
      </x:c>
      <x:c r="L69" s="23" t="str">
        <x:f>IF(COUNTA(A69:H69)=0,"",IF(OR(NOT(OR(A69="TikTok Shop",A69="Shopee",A69="Lazada")),B69="",C69="",D69="",NOT(ISNUMBER(E69)),NOT(ISNUMBER(F69)),F69&lt;0,G69=""),"Thiếu/sai dữ liệu",IF(NOT(COUNTIFS(T_SoDu[Khóa shop],A69&amp;"|"&amp;B69)=1),"Shop chưa khai báo",IF(COUNTIFS(T_NH[Khóa giao dịch NH],J69)&lt;&gt;1,"Trùng giao dịch NH",IF(COUNTIFS(T_Chuyen[Khóa đợt chuyển],I69)&lt;&gt;1,"Chưa ghép đợt chuyển","")))))</x:f>
      </x:c>
    </x:row>
    <x:row r="70" ht="22" customHeight="1">
      <x:c r="A70" s="10"/>
      <x:c r="B70" s="10"/>
      <x:c r="C70" s="24"/>
      <x:c r="D70" s="24"/>
      <x:c r="E70" s="25"/>
      <x:c r="F70" s="26"/>
      <x:c r="G70" s="24"/>
      <x:c r="H70" s="10"/>
      <x:c r="I70" s="23" t="str">
        <x:f>IF(D70="","",A70&amp;"|"&amp;B70&amp;"|"&amp;D70)</x:f>
      </x:c>
      <x:c r="J70" s="23" t="str">
        <x:f>IF(C70="","",G70&amp;"|"&amp;C70)</x:f>
      </x:c>
      <x:c r="K70" s="23" t="str">
        <x:f>IF(C70="","",IF(AND(E70&gt;='Tong_hop'!$C$4,E70&lt;'Tong_hop'!$F$4),"Trong kỳ","Ngoài kỳ"))</x:f>
      </x:c>
      <x:c r="L70" s="23" t="str">
        <x:f>IF(COUNTA(A70:H70)=0,"",IF(OR(NOT(OR(A70="TikTok Shop",A70="Shopee",A70="Lazada")),B70="",C70="",D70="",NOT(ISNUMBER(E70)),NOT(ISNUMBER(F70)),F70&lt;0,G70=""),"Thiếu/sai dữ liệu",IF(NOT(COUNTIFS(T_SoDu[Khóa shop],A70&amp;"|"&amp;B70)=1),"Shop chưa khai báo",IF(COUNTIFS(T_NH[Khóa giao dịch NH],J70)&lt;&gt;1,"Trùng giao dịch NH",IF(COUNTIFS(T_Chuyen[Khóa đợt chuyển],I70)&lt;&gt;1,"Chưa ghép đợt chuyển","")))))</x:f>
      </x:c>
    </x:row>
    <x:row r="71" ht="22" customHeight="1">
      <x:c r="A71" s="10"/>
      <x:c r="B71" s="10"/>
      <x:c r="C71" s="24"/>
      <x:c r="D71" s="24"/>
      <x:c r="E71" s="25"/>
      <x:c r="F71" s="26"/>
      <x:c r="G71" s="24"/>
      <x:c r="H71" s="10"/>
      <x:c r="I71" s="23" t="str">
        <x:f>IF(D71="","",A71&amp;"|"&amp;B71&amp;"|"&amp;D71)</x:f>
      </x:c>
      <x:c r="J71" s="23" t="str">
        <x:f>IF(C71="","",G71&amp;"|"&amp;C71)</x:f>
      </x:c>
      <x:c r="K71" s="23" t="str">
        <x:f>IF(C71="","",IF(AND(E71&gt;='Tong_hop'!$C$4,E71&lt;'Tong_hop'!$F$4),"Trong kỳ","Ngoài kỳ"))</x:f>
      </x:c>
      <x:c r="L71" s="23" t="str">
        <x:f>IF(COUNTA(A71:H71)=0,"",IF(OR(NOT(OR(A71="TikTok Shop",A71="Shopee",A71="Lazada")),B71="",C71="",D71="",NOT(ISNUMBER(E71)),NOT(ISNUMBER(F71)),F71&lt;0,G71=""),"Thiếu/sai dữ liệu",IF(NOT(COUNTIFS(T_SoDu[Khóa shop],A71&amp;"|"&amp;B71)=1),"Shop chưa khai báo",IF(COUNTIFS(T_NH[Khóa giao dịch NH],J71)&lt;&gt;1,"Trùng giao dịch NH",IF(COUNTIFS(T_Chuyen[Khóa đợt chuyển],I71)&lt;&gt;1,"Chưa ghép đợt chuyển","")))))</x:f>
      </x:c>
    </x:row>
    <x:row r="72" ht="22" customHeight="1">
      <x:c r="A72" s="10"/>
      <x:c r="B72" s="10"/>
      <x:c r="C72" s="24"/>
      <x:c r="D72" s="24"/>
      <x:c r="E72" s="25"/>
      <x:c r="F72" s="26"/>
      <x:c r="G72" s="24"/>
      <x:c r="H72" s="10"/>
      <x:c r="I72" s="23" t="str">
        <x:f>IF(D72="","",A72&amp;"|"&amp;B72&amp;"|"&amp;D72)</x:f>
      </x:c>
      <x:c r="J72" s="23" t="str">
        <x:f>IF(C72="","",G72&amp;"|"&amp;C72)</x:f>
      </x:c>
      <x:c r="K72" s="23" t="str">
        <x:f>IF(C72="","",IF(AND(E72&gt;='Tong_hop'!$C$4,E72&lt;'Tong_hop'!$F$4),"Trong kỳ","Ngoài kỳ"))</x:f>
      </x:c>
      <x:c r="L72" s="23" t="str">
        <x:f>IF(COUNTA(A72:H72)=0,"",IF(OR(NOT(OR(A72="TikTok Shop",A72="Shopee",A72="Lazada")),B72="",C72="",D72="",NOT(ISNUMBER(E72)),NOT(ISNUMBER(F72)),F72&lt;0,G72=""),"Thiếu/sai dữ liệu",IF(NOT(COUNTIFS(T_SoDu[Khóa shop],A72&amp;"|"&amp;B72)=1),"Shop chưa khai báo",IF(COUNTIFS(T_NH[Khóa giao dịch NH],J72)&lt;&gt;1,"Trùng giao dịch NH",IF(COUNTIFS(T_Chuyen[Khóa đợt chuyển],I72)&lt;&gt;1,"Chưa ghép đợt chuyển","")))))</x:f>
      </x:c>
    </x:row>
    <x:row r="73" ht="22" customHeight="1">
      <x:c r="A73" s="10"/>
      <x:c r="B73" s="10"/>
      <x:c r="C73" s="24"/>
      <x:c r="D73" s="24"/>
      <x:c r="E73" s="25"/>
      <x:c r="F73" s="26"/>
      <x:c r="G73" s="24"/>
      <x:c r="H73" s="10"/>
      <x:c r="I73" s="23" t="str">
        <x:f>IF(D73="","",A73&amp;"|"&amp;B73&amp;"|"&amp;D73)</x:f>
      </x:c>
      <x:c r="J73" s="23" t="str">
        <x:f>IF(C73="","",G73&amp;"|"&amp;C73)</x:f>
      </x:c>
      <x:c r="K73" s="23" t="str">
        <x:f>IF(C73="","",IF(AND(E73&gt;='Tong_hop'!$C$4,E73&lt;'Tong_hop'!$F$4),"Trong kỳ","Ngoài kỳ"))</x:f>
      </x:c>
      <x:c r="L73" s="23" t="str">
        <x:f>IF(COUNTA(A73:H73)=0,"",IF(OR(NOT(OR(A73="TikTok Shop",A73="Shopee",A73="Lazada")),B73="",C73="",D73="",NOT(ISNUMBER(E73)),NOT(ISNUMBER(F73)),F73&lt;0,G73=""),"Thiếu/sai dữ liệu",IF(NOT(COUNTIFS(T_SoDu[Khóa shop],A73&amp;"|"&amp;B73)=1),"Shop chưa khai báo",IF(COUNTIFS(T_NH[Khóa giao dịch NH],J73)&lt;&gt;1,"Trùng giao dịch NH",IF(COUNTIFS(T_Chuyen[Khóa đợt chuyển],I73)&lt;&gt;1,"Chưa ghép đợt chuyển","")))))</x:f>
      </x:c>
    </x:row>
    <x:row r="74" ht="22" customHeight="1">
      <x:c r="A74" s="10"/>
      <x:c r="B74" s="10"/>
      <x:c r="C74" s="24"/>
      <x:c r="D74" s="24"/>
      <x:c r="E74" s="25"/>
      <x:c r="F74" s="26"/>
      <x:c r="G74" s="24"/>
      <x:c r="H74" s="10"/>
      <x:c r="I74" s="23" t="str">
        <x:f>IF(D74="","",A74&amp;"|"&amp;B74&amp;"|"&amp;D74)</x:f>
      </x:c>
      <x:c r="J74" s="23" t="str">
        <x:f>IF(C74="","",G74&amp;"|"&amp;C74)</x:f>
      </x:c>
      <x:c r="K74" s="23" t="str">
        <x:f>IF(C74="","",IF(AND(E74&gt;='Tong_hop'!$C$4,E74&lt;'Tong_hop'!$F$4),"Trong kỳ","Ngoài kỳ"))</x:f>
      </x:c>
      <x:c r="L74" s="23" t="str">
        <x:f>IF(COUNTA(A74:H74)=0,"",IF(OR(NOT(OR(A74="TikTok Shop",A74="Shopee",A74="Lazada")),B74="",C74="",D74="",NOT(ISNUMBER(E74)),NOT(ISNUMBER(F74)),F74&lt;0,G74=""),"Thiếu/sai dữ liệu",IF(NOT(COUNTIFS(T_SoDu[Khóa shop],A74&amp;"|"&amp;B74)=1),"Shop chưa khai báo",IF(COUNTIFS(T_NH[Khóa giao dịch NH],J74)&lt;&gt;1,"Trùng giao dịch NH",IF(COUNTIFS(T_Chuyen[Khóa đợt chuyển],I74)&lt;&gt;1,"Chưa ghép đợt chuyển","")))))</x:f>
      </x:c>
    </x:row>
    <x:row r="75" ht="22" customHeight="1">
      <x:c r="A75" s="10"/>
      <x:c r="B75" s="10"/>
      <x:c r="C75" s="24"/>
      <x:c r="D75" s="24"/>
      <x:c r="E75" s="25"/>
      <x:c r="F75" s="26"/>
      <x:c r="G75" s="24"/>
      <x:c r="H75" s="10"/>
      <x:c r="I75" s="23" t="str">
        <x:f>IF(D75="","",A75&amp;"|"&amp;B75&amp;"|"&amp;D75)</x:f>
      </x:c>
      <x:c r="J75" s="23" t="str">
        <x:f>IF(C75="","",G75&amp;"|"&amp;C75)</x:f>
      </x:c>
      <x:c r="K75" s="23" t="str">
        <x:f>IF(C75="","",IF(AND(E75&gt;='Tong_hop'!$C$4,E75&lt;'Tong_hop'!$F$4),"Trong kỳ","Ngoài kỳ"))</x:f>
      </x:c>
      <x:c r="L75" s="23" t="str">
        <x:f>IF(COUNTA(A75:H75)=0,"",IF(OR(NOT(OR(A75="TikTok Shop",A75="Shopee",A75="Lazada")),B75="",C75="",D75="",NOT(ISNUMBER(E75)),NOT(ISNUMBER(F75)),F75&lt;0,G75=""),"Thiếu/sai dữ liệu",IF(NOT(COUNTIFS(T_SoDu[Khóa shop],A75&amp;"|"&amp;B75)=1),"Shop chưa khai báo",IF(COUNTIFS(T_NH[Khóa giao dịch NH],J75)&lt;&gt;1,"Trùng giao dịch NH",IF(COUNTIFS(T_Chuyen[Khóa đợt chuyển],I75)&lt;&gt;1,"Chưa ghép đợt chuyển","")))))</x:f>
      </x:c>
    </x:row>
    <x:row r="76" ht="22" customHeight="1">
      <x:c r="A76" s="10"/>
      <x:c r="B76" s="10"/>
      <x:c r="C76" s="24"/>
      <x:c r="D76" s="24"/>
      <x:c r="E76" s="25"/>
      <x:c r="F76" s="26"/>
      <x:c r="G76" s="24"/>
      <x:c r="H76" s="10"/>
      <x:c r="I76" s="23" t="str">
        <x:f>IF(D76="","",A76&amp;"|"&amp;B76&amp;"|"&amp;D76)</x:f>
      </x:c>
      <x:c r="J76" s="23" t="str">
        <x:f>IF(C76="","",G76&amp;"|"&amp;C76)</x:f>
      </x:c>
      <x:c r="K76" s="23" t="str">
        <x:f>IF(C76="","",IF(AND(E76&gt;='Tong_hop'!$C$4,E76&lt;'Tong_hop'!$F$4),"Trong kỳ","Ngoài kỳ"))</x:f>
      </x:c>
      <x:c r="L76" s="23" t="str">
        <x:f>IF(COUNTA(A76:H76)=0,"",IF(OR(NOT(OR(A76="TikTok Shop",A76="Shopee",A76="Lazada")),B76="",C76="",D76="",NOT(ISNUMBER(E76)),NOT(ISNUMBER(F76)),F76&lt;0,G76=""),"Thiếu/sai dữ liệu",IF(NOT(COUNTIFS(T_SoDu[Khóa shop],A76&amp;"|"&amp;B76)=1),"Shop chưa khai báo",IF(COUNTIFS(T_NH[Khóa giao dịch NH],J76)&lt;&gt;1,"Trùng giao dịch NH",IF(COUNTIFS(T_Chuyen[Khóa đợt chuyển],I76)&lt;&gt;1,"Chưa ghép đợt chuyển","")))))</x:f>
      </x:c>
    </x:row>
    <x:row r="77" ht="22" customHeight="1">
      <x:c r="A77" s="10"/>
      <x:c r="B77" s="10"/>
      <x:c r="C77" s="24"/>
      <x:c r="D77" s="24"/>
      <x:c r="E77" s="25"/>
      <x:c r="F77" s="26"/>
      <x:c r="G77" s="24"/>
      <x:c r="H77" s="10"/>
      <x:c r="I77" s="23" t="str">
        <x:f>IF(D77="","",A77&amp;"|"&amp;B77&amp;"|"&amp;D77)</x:f>
      </x:c>
      <x:c r="J77" s="23" t="str">
        <x:f>IF(C77="","",G77&amp;"|"&amp;C77)</x:f>
      </x:c>
      <x:c r="K77" s="23" t="str">
        <x:f>IF(C77="","",IF(AND(E77&gt;='Tong_hop'!$C$4,E77&lt;'Tong_hop'!$F$4),"Trong kỳ","Ngoài kỳ"))</x:f>
      </x:c>
      <x:c r="L77" s="23" t="str">
        <x:f>IF(COUNTA(A77:H77)=0,"",IF(OR(NOT(OR(A77="TikTok Shop",A77="Shopee",A77="Lazada")),B77="",C77="",D77="",NOT(ISNUMBER(E77)),NOT(ISNUMBER(F77)),F77&lt;0,G77=""),"Thiếu/sai dữ liệu",IF(NOT(COUNTIFS(T_SoDu[Khóa shop],A77&amp;"|"&amp;B77)=1),"Shop chưa khai báo",IF(COUNTIFS(T_NH[Khóa giao dịch NH],J77)&lt;&gt;1,"Trùng giao dịch NH",IF(COUNTIFS(T_Chuyen[Khóa đợt chuyển],I77)&lt;&gt;1,"Chưa ghép đợt chuyển","")))))</x:f>
      </x:c>
    </x:row>
    <x:row r="78" ht="22" customHeight="1">
      <x:c r="A78" s="10"/>
      <x:c r="B78" s="10"/>
      <x:c r="C78" s="24"/>
      <x:c r="D78" s="24"/>
      <x:c r="E78" s="25"/>
      <x:c r="F78" s="26"/>
      <x:c r="G78" s="24"/>
      <x:c r="H78" s="10"/>
      <x:c r="I78" s="23" t="str">
        <x:f>IF(D78="","",A78&amp;"|"&amp;B78&amp;"|"&amp;D78)</x:f>
      </x:c>
      <x:c r="J78" s="23" t="str">
        <x:f>IF(C78="","",G78&amp;"|"&amp;C78)</x:f>
      </x:c>
      <x:c r="K78" s="23" t="str">
        <x:f>IF(C78="","",IF(AND(E78&gt;='Tong_hop'!$C$4,E78&lt;'Tong_hop'!$F$4),"Trong kỳ","Ngoài kỳ"))</x:f>
      </x:c>
      <x:c r="L78" s="23" t="str">
        <x:f>IF(COUNTA(A78:H78)=0,"",IF(OR(NOT(OR(A78="TikTok Shop",A78="Shopee",A78="Lazada")),B78="",C78="",D78="",NOT(ISNUMBER(E78)),NOT(ISNUMBER(F78)),F78&lt;0,G78=""),"Thiếu/sai dữ liệu",IF(NOT(COUNTIFS(T_SoDu[Khóa shop],A78&amp;"|"&amp;B78)=1),"Shop chưa khai báo",IF(COUNTIFS(T_NH[Khóa giao dịch NH],J78)&lt;&gt;1,"Trùng giao dịch NH",IF(COUNTIFS(T_Chuyen[Khóa đợt chuyển],I78)&lt;&gt;1,"Chưa ghép đợt chuyển","")))))</x:f>
      </x:c>
    </x:row>
    <x:row r="79" ht="22" customHeight="1">
      <x:c r="A79" s="10"/>
      <x:c r="B79" s="10"/>
      <x:c r="C79" s="24"/>
      <x:c r="D79" s="24"/>
      <x:c r="E79" s="25"/>
      <x:c r="F79" s="26"/>
      <x:c r="G79" s="24"/>
      <x:c r="H79" s="10"/>
      <x:c r="I79" s="23" t="str">
        <x:f>IF(D79="","",A79&amp;"|"&amp;B79&amp;"|"&amp;D79)</x:f>
      </x:c>
      <x:c r="J79" s="23" t="str">
        <x:f>IF(C79="","",G79&amp;"|"&amp;C79)</x:f>
      </x:c>
      <x:c r="K79" s="23" t="str">
        <x:f>IF(C79="","",IF(AND(E79&gt;='Tong_hop'!$C$4,E79&lt;'Tong_hop'!$F$4),"Trong kỳ","Ngoài kỳ"))</x:f>
      </x:c>
      <x:c r="L79" s="23" t="str">
        <x:f>IF(COUNTA(A79:H79)=0,"",IF(OR(NOT(OR(A79="TikTok Shop",A79="Shopee",A79="Lazada")),B79="",C79="",D79="",NOT(ISNUMBER(E79)),NOT(ISNUMBER(F79)),F79&lt;0,G79=""),"Thiếu/sai dữ liệu",IF(NOT(COUNTIFS(T_SoDu[Khóa shop],A79&amp;"|"&amp;B79)=1),"Shop chưa khai báo",IF(COUNTIFS(T_NH[Khóa giao dịch NH],J79)&lt;&gt;1,"Trùng giao dịch NH",IF(COUNTIFS(T_Chuyen[Khóa đợt chuyển],I79)&lt;&gt;1,"Chưa ghép đợt chuyển","")))))</x:f>
      </x:c>
    </x:row>
    <x:row r="80" ht="22" customHeight="1">
      <x:c r="A80" s="10"/>
      <x:c r="B80" s="10"/>
      <x:c r="C80" s="24"/>
      <x:c r="D80" s="24"/>
      <x:c r="E80" s="25"/>
      <x:c r="F80" s="26"/>
      <x:c r="G80" s="24"/>
      <x:c r="H80" s="10"/>
      <x:c r="I80" s="23" t="str">
        <x:f>IF(D80="","",A80&amp;"|"&amp;B80&amp;"|"&amp;D80)</x:f>
      </x:c>
      <x:c r="J80" s="23" t="str">
        <x:f>IF(C80="","",G80&amp;"|"&amp;C80)</x:f>
      </x:c>
      <x:c r="K80" s="23" t="str">
        <x:f>IF(C80="","",IF(AND(E80&gt;='Tong_hop'!$C$4,E80&lt;'Tong_hop'!$F$4),"Trong kỳ","Ngoài kỳ"))</x:f>
      </x:c>
      <x:c r="L80" s="23" t="str">
        <x:f>IF(COUNTA(A80:H80)=0,"",IF(OR(NOT(OR(A80="TikTok Shop",A80="Shopee",A80="Lazada")),B80="",C80="",D80="",NOT(ISNUMBER(E80)),NOT(ISNUMBER(F80)),F80&lt;0,G80=""),"Thiếu/sai dữ liệu",IF(NOT(COUNTIFS(T_SoDu[Khóa shop],A80&amp;"|"&amp;B80)=1),"Shop chưa khai báo",IF(COUNTIFS(T_NH[Khóa giao dịch NH],J80)&lt;&gt;1,"Trùng giao dịch NH",IF(COUNTIFS(T_Chuyen[Khóa đợt chuyển],I80)&lt;&gt;1,"Chưa ghép đợt chuyển","")))))</x:f>
      </x:c>
    </x:row>
    <x:row r="81" ht="22" customHeight="1">
      <x:c r="A81" s="10"/>
      <x:c r="B81" s="10"/>
      <x:c r="C81" s="24"/>
      <x:c r="D81" s="24"/>
      <x:c r="E81" s="25"/>
      <x:c r="F81" s="26"/>
      <x:c r="G81" s="24"/>
      <x:c r="H81" s="10"/>
      <x:c r="I81" s="23" t="str">
        <x:f>IF(D81="","",A81&amp;"|"&amp;B81&amp;"|"&amp;D81)</x:f>
      </x:c>
      <x:c r="J81" s="23" t="str">
        <x:f>IF(C81="","",G81&amp;"|"&amp;C81)</x:f>
      </x:c>
      <x:c r="K81" s="23" t="str">
        <x:f>IF(C81="","",IF(AND(E81&gt;='Tong_hop'!$C$4,E81&lt;'Tong_hop'!$F$4),"Trong kỳ","Ngoài kỳ"))</x:f>
      </x:c>
      <x:c r="L81" s="23" t="str">
        <x:f>IF(COUNTA(A81:H81)=0,"",IF(OR(NOT(OR(A81="TikTok Shop",A81="Shopee",A81="Lazada")),B81="",C81="",D81="",NOT(ISNUMBER(E81)),NOT(ISNUMBER(F81)),F81&lt;0,G81=""),"Thiếu/sai dữ liệu",IF(NOT(COUNTIFS(T_SoDu[Khóa shop],A81&amp;"|"&amp;B81)=1),"Shop chưa khai báo",IF(COUNTIFS(T_NH[Khóa giao dịch NH],J81)&lt;&gt;1,"Trùng giao dịch NH",IF(COUNTIFS(T_Chuyen[Khóa đợt chuyển],I81)&lt;&gt;1,"Chưa ghép đợt chuyển","")))))</x:f>
      </x:c>
    </x:row>
    <x:row r="82" ht="22" customHeight="1">
      <x:c r="A82" s="10"/>
      <x:c r="B82" s="10"/>
      <x:c r="C82" s="24"/>
      <x:c r="D82" s="24"/>
      <x:c r="E82" s="25"/>
      <x:c r="F82" s="26"/>
      <x:c r="G82" s="24"/>
      <x:c r="H82" s="10"/>
      <x:c r="I82" s="23" t="str">
        <x:f>IF(D82="","",A82&amp;"|"&amp;B82&amp;"|"&amp;D82)</x:f>
      </x:c>
      <x:c r="J82" s="23" t="str">
        <x:f>IF(C82="","",G82&amp;"|"&amp;C82)</x:f>
      </x:c>
      <x:c r="K82" s="23" t="str">
        <x:f>IF(C82="","",IF(AND(E82&gt;='Tong_hop'!$C$4,E82&lt;'Tong_hop'!$F$4),"Trong kỳ","Ngoài kỳ"))</x:f>
      </x:c>
      <x:c r="L82" s="23" t="str">
        <x:f>IF(COUNTA(A82:H82)=0,"",IF(OR(NOT(OR(A82="TikTok Shop",A82="Shopee",A82="Lazada")),B82="",C82="",D82="",NOT(ISNUMBER(E82)),NOT(ISNUMBER(F82)),F82&lt;0,G82=""),"Thiếu/sai dữ liệu",IF(NOT(COUNTIFS(T_SoDu[Khóa shop],A82&amp;"|"&amp;B82)=1),"Shop chưa khai báo",IF(COUNTIFS(T_NH[Khóa giao dịch NH],J82)&lt;&gt;1,"Trùng giao dịch NH",IF(COUNTIFS(T_Chuyen[Khóa đợt chuyển],I82)&lt;&gt;1,"Chưa ghép đợt chuyển","")))))</x:f>
      </x:c>
    </x:row>
    <x:row r="83" ht="22" customHeight="1">
      <x:c r="A83" s="10"/>
      <x:c r="B83" s="10"/>
      <x:c r="C83" s="24"/>
      <x:c r="D83" s="24"/>
      <x:c r="E83" s="25"/>
      <x:c r="F83" s="26"/>
      <x:c r="G83" s="24"/>
      <x:c r="H83" s="10"/>
      <x:c r="I83" s="23" t="str">
        <x:f>IF(D83="","",A83&amp;"|"&amp;B83&amp;"|"&amp;D83)</x:f>
      </x:c>
      <x:c r="J83" s="23" t="str">
        <x:f>IF(C83="","",G83&amp;"|"&amp;C83)</x:f>
      </x:c>
      <x:c r="K83" s="23" t="str">
        <x:f>IF(C83="","",IF(AND(E83&gt;='Tong_hop'!$C$4,E83&lt;'Tong_hop'!$F$4),"Trong kỳ","Ngoài kỳ"))</x:f>
      </x:c>
      <x:c r="L83" s="23" t="str">
        <x:f>IF(COUNTA(A83:H83)=0,"",IF(OR(NOT(OR(A83="TikTok Shop",A83="Shopee",A83="Lazada")),B83="",C83="",D83="",NOT(ISNUMBER(E83)),NOT(ISNUMBER(F83)),F83&lt;0,G83=""),"Thiếu/sai dữ liệu",IF(NOT(COUNTIFS(T_SoDu[Khóa shop],A83&amp;"|"&amp;B83)=1),"Shop chưa khai báo",IF(COUNTIFS(T_NH[Khóa giao dịch NH],J83)&lt;&gt;1,"Trùng giao dịch NH",IF(COUNTIFS(T_Chuyen[Khóa đợt chuyển],I83)&lt;&gt;1,"Chưa ghép đợt chuyển","")))))</x:f>
      </x:c>
    </x:row>
    <x:row r="84" ht="22" customHeight="1">
      <x:c r="A84" s="10"/>
      <x:c r="B84" s="10"/>
      <x:c r="C84" s="24"/>
      <x:c r="D84" s="24"/>
      <x:c r="E84" s="25"/>
      <x:c r="F84" s="26"/>
      <x:c r="G84" s="24"/>
      <x:c r="H84" s="10"/>
      <x:c r="I84" s="23" t="str">
        <x:f>IF(D84="","",A84&amp;"|"&amp;B84&amp;"|"&amp;D84)</x:f>
      </x:c>
      <x:c r="J84" s="23" t="str">
        <x:f>IF(C84="","",G84&amp;"|"&amp;C84)</x:f>
      </x:c>
      <x:c r="K84" s="23" t="str">
        <x:f>IF(C84="","",IF(AND(E84&gt;='Tong_hop'!$C$4,E84&lt;'Tong_hop'!$F$4),"Trong kỳ","Ngoài kỳ"))</x:f>
      </x:c>
      <x:c r="L84" s="23" t="str">
        <x:f>IF(COUNTA(A84:H84)=0,"",IF(OR(NOT(OR(A84="TikTok Shop",A84="Shopee",A84="Lazada")),B84="",C84="",D84="",NOT(ISNUMBER(E84)),NOT(ISNUMBER(F84)),F84&lt;0,G84=""),"Thiếu/sai dữ liệu",IF(NOT(COUNTIFS(T_SoDu[Khóa shop],A84&amp;"|"&amp;B84)=1),"Shop chưa khai báo",IF(COUNTIFS(T_NH[Khóa giao dịch NH],J84)&lt;&gt;1,"Trùng giao dịch NH",IF(COUNTIFS(T_Chuyen[Khóa đợt chuyển],I84)&lt;&gt;1,"Chưa ghép đợt chuyển","")))))</x:f>
      </x:c>
    </x:row>
    <x:row r="85" ht="22" customHeight="1">
      <x:c r="A85" s="10"/>
      <x:c r="B85" s="10"/>
      <x:c r="C85" s="24"/>
      <x:c r="D85" s="24"/>
      <x:c r="E85" s="25"/>
      <x:c r="F85" s="26"/>
      <x:c r="G85" s="24"/>
      <x:c r="H85" s="10"/>
      <x:c r="I85" s="23" t="str">
        <x:f>IF(D85="","",A85&amp;"|"&amp;B85&amp;"|"&amp;D85)</x:f>
      </x:c>
      <x:c r="J85" s="23" t="str">
        <x:f>IF(C85="","",G85&amp;"|"&amp;C85)</x:f>
      </x:c>
      <x:c r="K85" s="23" t="str">
        <x:f>IF(C85="","",IF(AND(E85&gt;='Tong_hop'!$C$4,E85&lt;'Tong_hop'!$F$4),"Trong kỳ","Ngoài kỳ"))</x:f>
      </x:c>
      <x:c r="L85" s="23" t="str">
        <x:f>IF(COUNTA(A85:H85)=0,"",IF(OR(NOT(OR(A85="TikTok Shop",A85="Shopee",A85="Lazada")),B85="",C85="",D85="",NOT(ISNUMBER(E85)),NOT(ISNUMBER(F85)),F85&lt;0,G85=""),"Thiếu/sai dữ liệu",IF(NOT(COUNTIFS(T_SoDu[Khóa shop],A85&amp;"|"&amp;B85)=1),"Shop chưa khai báo",IF(COUNTIFS(T_NH[Khóa giao dịch NH],J85)&lt;&gt;1,"Trùng giao dịch NH",IF(COUNTIFS(T_Chuyen[Khóa đợt chuyển],I85)&lt;&gt;1,"Chưa ghép đợt chuyển","")))))</x:f>
      </x:c>
    </x:row>
    <x:row r="86" ht="22" customHeight="1">
      <x:c r="A86" s="10"/>
      <x:c r="B86" s="10"/>
      <x:c r="C86" s="24"/>
      <x:c r="D86" s="24"/>
      <x:c r="E86" s="25"/>
      <x:c r="F86" s="26"/>
      <x:c r="G86" s="24"/>
      <x:c r="H86" s="10"/>
      <x:c r="I86" s="23" t="str">
        <x:f>IF(D86="","",A86&amp;"|"&amp;B86&amp;"|"&amp;D86)</x:f>
      </x:c>
      <x:c r="J86" s="23" t="str">
        <x:f>IF(C86="","",G86&amp;"|"&amp;C86)</x:f>
      </x:c>
      <x:c r="K86" s="23" t="str">
        <x:f>IF(C86="","",IF(AND(E86&gt;='Tong_hop'!$C$4,E86&lt;'Tong_hop'!$F$4),"Trong kỳ","Ngoài kỳ"))</x:f>
      </x:c>
      <x:c r="L86" s="23" t="str">
        <x:f>IF(COUNTA(A86:H86)=0,"",IF(OR(NOT(OR(A86="TikTok Shop",A86="Shopee",A86="Lazada")),B86="",C86="",D86="",NOT(ISNUMBER(E86)),NOT(ISNUMBER(F86)),F86&lt;0,G86=""),"Thiếu/sai dữ liệu",IF(NOT(COUNTIFS(T_SoDu[Khóa shop],A86&amp;"|"&amp;B86)=1),"Shop chưa khai báo",IF(COUNTIFS(T_NH[Khóa giao dịch NH],J86)&lt;&gt;1,"Trùng giao dịch NH",IF(COUNTIFS(T_Chuyen[Khóa đợt chuyển],I86)&lt;&gt;1,"Chưa ghép đợt chuyển","")))))</x:f>
      </x:c>
    </x:row>
    <x:row r="87" ht="22" customHeight="1">
      <x:c r="A87" s="10"/>
      <x:c r="B87" s="10"/>
      <x:c r="C87" s="24"/>
      <x:c r="D87" s="24"/>
      <x:c r="E87" s="25"/>
      <x:c r="F87" s="26"/>
      <x:c r="G87" s="24"/>
      <x:c r="H87" s="10"/>
      <x:c r="I87" s="23" t="str">
        <x:f>IF(D87="","",A87&amp;"|"&amp;B87&amp;"|"&amp;D87)</x:f>
      </x:c>
      <x:c r="J87" s="23" t="str">
        <x:f>IF(C87="","",G87&amp;"|"&amp;C87)</x:f>
      </x:c>
      <x:c r="K87" s="23" t="str">
        <x:f>IF(C87="","",IF(AND(E87&gt;='Tong_hop'!$C$4,E87&lt;'Tong_hop'!$F$4),"Trong kỳ","Ngoài kỳ"))</x:f>
      </x:c>
      <x:c r="L87" s="23" t="str">
        <x:f>IF(COUNTA(A87:H87)=0,"",IF(OR(NOT(OR(A87="TikTok Shop",A87="Shopee",A87="Lazada")),B87="",C87="",D87="",NOT(ISNUMBER(E87)),NOT(ISNUMBER(F87)),F87&lt;0,G87=""),"Thiếu/sai dữ liệu",IF(NOT(COUNTIFS(T_SoDu[Khóa shop],A87&amp;"|"&amp;B87)=1),"Shop chưa khai báo",IF(COUNTIFS(T_NH[Khóa giao dịch NH],J87)&lt;&gt;1,"Trùng giao dịch NH",IF(COUNTIFS(T_Chuyen[Khóa đợt chuyển],I87)&lt;&gt;1,"Chưa ghép đợt chuyển","")))))</x:f>
      </x:c>
    </x:row>
    <x:row r="88" ht="22" customHeight="1">
      <x:c r="A88" s="10"/>
      <x:c r="B88" s="10"/>
      <x:c r="C88" s="24"/>
      <x:c r="D88" s="24"/>
      <x:c r="E88" s="25"/>
      <x:c r="F88" s="26"/>
      <x:c r="G88" s="24"/>
      <x:c r="H88" s="10"/>
      <x:c r="I88" s="23" t="str">
        <x:f>IF(D88="","",A88&amp;"|"&amp;B88&amp;"|"&amp;D88)</x:f>
      </x:c>
      <x:c r="J88" s="23" t="str">
        <x:f>IF(C88="","",G88&amp;"|"&amp;C88)</x:f>
      </x:c>
      <x:c r="K88" s="23" t="str">
        <x:f>IF(C88="","",IF(AND(E88&gt;='Tong_hop'!$C$4,E88&lt;'Tong_hop'!$F$4),"Trong kỳ","Ngoài kỳ"))</x:f>
      </x:c>
      <x:c r="L88" s="23" t="str">
        <x:f>IF(COUNTA(A88:H88)=0,"",IF(OR(NOT(OR(A88="TikTok Shop",A88="Shopee",A88="Lazada")),B88="",C88="",D88="",NOT(ISNUMBER(E88)),NOT(ISNUMBER(F88)),F88&lt;0,G88=""),"Thiếu/sai dữ liệu",IF(NOT(COUNTIFS(T_SoDu[Khóa shop],A88&amp;"|"&amp;B88)=1),"Shop chưa khai báo",IF(COUNTIFS(T_NH[Khóa giao dịch NH],J88)&lt;&gt;1,"Trùng giao dịch NH",IF(COUNTIFS(T_Chuyen[Khóa đợt chuyển],I88)&lt;&gt;1,"Chưa ghép đợt chuyển","")))))</x:f>
      </x:c>
    </x:row>
    <x:row r="89" ht="22" customHeight="1">
      <x:c r="A89" s="10"/>
      <x:c r="B89" s="10"/>
      <x:c r="C89" s="24"/>
      <x:c r="D89" s="24"/>
      <x:c r="E89" s="25"/>
      <x:c r="F89" s="26"/>
      <x:c r="G89" s="24"/>
      <x:c r="H89" s="10"/>
      <x:c r="I89" s="23" t="str">
        <x:f>IF(D89="","",A89&amp;"|"&amp;B89&amp;"|"&amp;D89)</x:f>
      </x:c>
      <x:c r="J89" s="23" t="str">
        <x:f>IF(C89="","",G89&amp;"|"&amp;C89)</x:f>
      </x:c>
      <x:c r="K89" s="23" t="str">
        <x:f>IF(C89="","",IF(AND(E89&gt;='Tong_hop'!$C$4,E89&lt;'Tong_hop'!$F$4),"Trong kỳ","Ngoài kỳ"))</x:f>
      </x:c>
      <x:c r="L89" s="23" t="str">
        <x:f>IF(COUNTA(A89:H89)=0,"",IF(OR(NOT(OR(A89="TikTok Shop",A89="Shopee",A89="Lazada")),B89="",C89="",D89="",NOT(ISNUMBER(E89)),NOT(ISNUMBER(F89)),F89&lt;0,G89=""),"Thiếu/sai dữ liệu",IF(NOT(COUNTIFS(T_SoDu[Khóa shop],A89&amp;"|"&amp;B89)=1),"Shop chưa khai báo",IF(COUNTIFS(T_NH[Khóa giao dịch NH],J89)&lt;&gt;1,"Trùng giao dịch NH",IF(COUNTIFS(T_Chuyen[Khóa đợt chuyển],I89)&lt;&gt;1,"Chưa ghép đợt chuyển","")))))</x:f>
      </x:c>
    </x:row>
    <x:row r="90" ht="22" customHeight="1">
      <x:c r="A90" s="10"/>
      <x:c r="B90" s="10"/>
      <x:c r="C90" s="24"/>
      <x:c r="D90" s="24"/>
      <x:c r="E90" s="25"/>
      <x:c r="F90" s="26"/>
      <x:c r="G90" s="24"/>
      <x:c r="H90" s="10"/>
      <x:c r="I90" s="23" t="str">
        <x:f>IF(D90="","",A90&amp;"|"&amp;B90&amp;"|"&amp;D90)</x:f>
      </x:c>
      <x:c r="J90" s="23" t="str">
        <x:f>IF(C90="","",G90&amp;"|"&amp;C90)</x:f>
      </x:c>
      <x:c r="K90" s="23" t="str">
        <x:f>IF(C90="","",IF(AND(E90&gt;='Tong_hop'!$C$4,E90&lt;'Tong_hop'!$F$4),"Trong kỳ","Ngoài kỳ"))</x:f>
      </x:c>
      <x:c r="L90" s="23" t="str">
        <x:f>IF(COUNTA(A90:H90)=0,"",IF(OR(NOT(OR(A90="TikTok Shop",A90="Shopee",A90="Lazada")),B90="",C90="",D90="",NOT(ISNUMBER(E90)),NOT(ISNUMBER(F90)),F90&lt;0,G90=""),"Thiếu/sai dữ liệu",IF(NOT(COUNTIFS(T_SoDu[Khóa shop],A90&amp;"|"&amp;B90)=1),"Shop chưa khai báo",IF(COUNTIFS(T_NH[Khóa giao dịch NH],J90)&lt;&gt;1,"Trùng giao dịch NH",IF(COUNTIFS(T_Chuyen[Khóa đợt chuyển],I90)&lt;&gt;1,"Chưa ghép đợt chuyển","")))))</x:f>
      </x:c>
    </x:row>
    <x:row r="91" ht="22" customHeight="1">
      <x:c r="A91" s="10"/>
      <x:c r="B91" s="10"/>
      <x:c r="C91" s="24"/>
      <x:c r="D91" s="24"/>
      <x:c r="E91" s="25"/>
      <x:c r="F91" s="26"/>
      <x:c r="G91" s="24"/>
      <x:c r="H91" s="10"/>
      <x:c r="I91" s="23" t="str">
        <x:f>IF(D91="","",A91&amp;"|"&amp;B91&amp;"|"&amp;D91)</x:f>
      </x:c>
      <x:c r="J91" s="23" t="str">
        <x:f>IF(C91="","",G91&amp;"|"&amp;C91)</x:f>
      </x:c>
      <x:c r="K91" s="23" t="str">
        <x:f>IF(C91="","",IF(AND(E91&gt;='Tong_hop'!$C$4,E91&lt;'Tong_hop'!$F$4),"Trong kỳ","Ngoài kỳ"))</x:f>
      </x:c>
      <x:c r="L91" s="23" t="str">
        <x:f>IF(COUNTA(A91:H91)=0,"",IF(OR(NOT(OR(A91="TikTok Shop",A91="Shopee",A91="Lazada")),B91="",C91="",D91="",NOT(ISNUMBER(E91)),NOT(ISNUMBER(F91)),F91&lt;0,G91=""),"Thiếu/sai dữ liệu",IF(NOT(COUNTIFS(T_SoDu[Khóa shop],A91&amp;"|"&amp;B91)=1),"Shop chưa khai báo",IF(COUNTIFS(T_NH[Khóa giao dịch NH],J91)&lt;&gt;1,"Trùng giao dịch NH",IF(COUNTIFS(T_Chuyen[Khóa đợt chuyển],I91)&lt;&gt;1,"Chưa ghép đợt chuyển","")))))</x:f>
      </x:c>
    </x:row>
    <x:row r="92" ht="22" customHeight="1">
      <x:c r="A92" s="10"/>
      <x:c r="B92" s="10"/>
      <x:c r="C92" s="24"/>
      <x:c r="D92" s="24"/>
      <x:c r="E92" s="25"/>
      <x:c r="F92" s="26"/>
      <x:c r="G92" s="24"/>
      <x:c r="H92" s="10"/>
      <x:c r="I92" s="23" t="str">
        <x:f>IF(D92="","",A92&amp;"|"&amp;B92&amp;"|"&amp;D92)</x:f>
      </x:c>
      <x:c r="J92" s="23" t="str">
        <x:f>IF(C92="","",G92&amp;"|"&amp;C92)</x:f>
      </x:c>
      <x:c r="K92" s="23" t="str">
        <x:f>IF(C92="","",IF(AND(E92&gt;='Tong_hop'!$C$4,E92&lt;'Tong_hop'!$F$4),"Trong kỳ","Ngoài kỳ"))</x:f>
      </x:c>
      <x:c r="L92" s="23" t="str">
        <x:f>IF(COUNTA(A92:H92)=0,"",IF(OR(NOT(OR(A92="TikTok Shop",A92="Shopee",A92="Lazada")),B92="",C92="",D92="",NOT(ISNUMBER(E92)),NOT(ISNUMBER(F92)),F92&lt;0,G92=""),"Thiếu/sai dữ liệu",IF(NOT(COUNTIFS(T_SoDu[Khóa shop],A92&amp;"|"&amp;B92)=1),"Shop chưa khai báo",IF(COUNTIFS(T_NH[Khóa giao dịch NH],J92)&lt;&gt;1,"Trùng giao dịch NH",IF(COUNTIFS(T_Chuyen[Khóa đợt chuyển],I92)&lt;&gt;1,"Chưa ghép đợt chuyển","")))))</x:f>
      </x:c>
    </x:row>
    <x:row r="93" ht="22" customHeight="1">
      <x:c r="A93" s="10"/>
      <x:c r="B93" s="10"/>
      <x:c r="C93" s="24"/>
      <x:c r="D93" s="24"/>
      <x:c r="E93" s="25"/>
      <x:c r="F93" s="26"/>
      <x:c r="G93" s="24"/>
      <x:c r="H93" s="10"/>
      <x:c r="I93" s="23" t="str">
        <x:f>IF(D93="","",A93&amp;"|"&amp;B93&amp;"|"&amp;D93)</x:f>
      </x:c>
      <x:c r="J93" s="23" t="str">
        <x:f>IF(C93="","",G93&amp;"|"&amp;C93)</x:f>
      </x:c>
      <x:c r="K93" s="23" t="str">
        <x:f>IF(C93="","",IF(AND(E93&gt;='Tong_hop'!$C$4,E93&lt;'Tong_hop'!$F$4),"Trong kỳ","Ngoài kỳ"))</x:f>
      </x:c>
      <x:c r="L93" s="23" t="str">
        <x:f>IF(COUNTA(A93:H93)=0,"",IF(OR(NOT(OR(A93="TikTok Shop",A93="Shopee",A93="Lazada")),B93="",C93="",D93="",NOT(ISNUMBER(E93)),NOT(ISNUMBER(F93)),F93&lt;0,G93=""),"Thiếu/sai dữ liệu",IF(NOT(COUNTIFS(T_SoDu[Khóa shop],A93&amp;"|"&amp;B93)=1),"Shop chưa khai báo",IF(COUNTIFS(T_NH[Khóa giao dịch NH],J93)&lt;&gt;1,"Trùng giao dịch NH",IF(COUNTIFS(T_Chuyen[Khóa đợt chuyển],I93)&lt;&gt;1,"Chưa ghép đợt chuyển","")))))</x:f>
      </x:c>
    </x:row>
    <x:row r="94" ht="22" customHeight="1">
      <x:c r="A94" s="10"/>
      <x:c r="B94" s="10"/>
      <x:c r="C94" s="24"/>
      <x:c r="D94" s="24"/>
      <x:c r="E94" s="25"/>
      <x:c r="F94" s="26"/>
      <x:c r="G94" s="24"/>
      <x:c r="H94" s="10"/>
      <x:c r="I94" s="23" t="str">
        <x:f>IF(D94="","",A94&amp;"|"&amp;B94&amp;"|"&amp;D94)</x:f>
      </x:c>
      <x:c r="J94" s="23" t="str">
        <x:f>IF(C94="","",G94&amp;"|"&amp;C94)</x:f>
      </x:c>
      <x:c r="K94" s="23" t="str">
        <x:f>IF(C94="","",IF(AND(E94&gt;='Tong_hop'!$C$4,E94&lt;'Tong_hop'!$F$4),"Trong kỳ","Ngoài kỳ"))</x:f>
      </x:c>
      <x:c r="L94" s="23" t="str">
        <x:f>IF(COUNTA(A94:H94)=0,"",IF(OR(NOT(OR(A94="TikTok Shop",A94="Shopee",A94="Lazada")),B94="",C94="",D94="",NOT(ISNUMBER(E94)),NOT(ISNUMBER(F94)),F94&lt;0,G94=""),"Thiếu/sai dữ liệu",IF(NOT(COUNTIFS(T_SoDu[Khóa shop],A94&amp;"|"&amp;B94)=1),"Shop chưa khai báo",IF(COUNTIFS(T_NH[Khóa giao dịch NH],J94)&lt;&gt;1,"Trùng giao dịch NH",IF(COUNTIFS(T_Chuyen[Khóa đợt chuyển],I94)&lt;&gt;1,"Chưa ghép đợt chuyển","")))))</x:f>
      </x:c>
    </x:row>
    <x:row r="95" ht="22" customHeight="1">
      <x:c r="A95" s="10"/>
      <x:c r="B95" s="10"/>
      <x:c r="C95" s="24"/>
      <x:c r="D95" s="24"/>
      <x:c r="E95" s="25"/>
      <x:c r="F95" s="26"/>
      <x:c r="G95" s="24"/>
      <x:c r="H95" s="10"/>
      <x:c r="I95" s="23" t="str">
        <x:f>IF(D95="","",A95&amp;"|"&amp;B95&amp;"|"&amp;D95)</x:f>
      </x:c>
      <x:c r="J95" s="23" t="str">
        <x:f>IF(C95="","",G95&amp;"|"&amp;C95)</x:f>
      </x:c>
      <x:c r="K95" s="23" t="str">
        <x:f>IF(C95="","",IF(AND(E95&gt;='Tong_hop'!$C$4,E95&lt;'Tong_hop'!$F$4),"Trong kỳ","Ngoài kỳ"))</x:f>
      </x:c>
      <x:c r="L95" s="23" t="str">
        <x:f>IF(COUNTA(A95:H95)=0,"",IF(OR(NOT(OR(A95="TikTok Shop",A95="Shopee",A95="Lazada")),B95="",C95="",D95="",NOT(ISNUMBER(E95)),NOT(ISNUMBER(F95)),F95&lt;0,G95=""),"Thiếu/sai dữ liệu",IF(NOT(COUNTIFS(T_SoDu[Khóa shop],A95&amp;"|"&amp;B95)=1),"Shop chưa khai báo",IF(COUNTIFS(T_NH[Khóa giao dịch NH],J95)&lt;&gt;1,"Trùng giao dịch NH",IF(COUNTIFS(T_Chuyen[Khóa đợt chuyển],I95)&lt;&gt;1,"Chưa ghép đợt chuyển","")))))</x:f>
      </x:c>
    </x:row>
    <x:row r="96" ht="22" customHeight="1">
      <x:c r="A96" s="10"/>
      <x:c r="B96" s="10"/>
      <x:c r="C96" s="24"/>
      <x:c r="D96" s="24"/>
      <x:c r="E96" s="25"/>
      <x:c r="F96" s="26"/>
      <x:c r="G96" s="24"/>
      <x:c r="H96" s="10"/>
      <x:c r="I96" s="23" t="str">
        <x:f>IF(D96="","",A96&amp;"|"&amp;B96&amp;"|"&amp;D96)</x:f>
      </x:c>
      <x:c r="J96" s="23" t="str">
        <x:f>IF(C96="","",G96&amp;"|"&amp;C96)</x:f>
      </x:c>
      <x:c r="K96" s="23" t="str">
        <x:f>IF(C96="","",IF(AND(E96&gt;='Tong_hop'!$C$4,E96&lt;'Tong_hop'!$F$4),"Trong kỳ","Ngoài kỳ"))</x:f>
      </x:c>
      <x:c r="L96" s="23" t="str">
        <x:f>IF(COUNTA(A96:H96)=0,"",IF(OR(NOT(OR(A96="TikTok Shop",A96="Shopee",A96="Lazada")),B96="",C96="",D96="",NOT(ISNUMBER(E96)),NOT(ISNUMBER(F96)),F96&lt;0,G96=""),"Thiếu/sai dữ liệu",IF(NOT(COUNTIFS(T_SoDu[Khóa shop],A96&amp;"|"&amp;B96)=1),"Shop chưa khai báo",IF(COUNTIFS(T_NH[Khóa giao dịch NH],J96)&lt;&gt;1,"Trùng giao dịch NH",IF(COUNTIFS(T_Chuyen[Khóa đợt chuyển],I96)&lt;&gt;1,"Chưa ghép đợt chuyển","")))))</x:f>
      </x:c>
    </x:row>
    <x:row r="97" ht="22" customHeight="1">
      <x:c r="A97" s="10"/>
      <x:c r="B97" s="10"/>
      <x:c r="C97" s="24"/>
      <x:c r="D97" s="24"/>
      <x:c r="E97" s="25"/>
      <x:c r="F97" s="26"/>
      <x:c r="G97" s="24"/>
      <x:c r="H97" s="10"/>
      <x:c r="I97" s="23" t="str">
        <x:f>IF(D97="","",A97&amp;"|"&amp;B97&amp;"|"&amp;D97)</x:f>
      </x:c>
      <x:c r="J97" s="23" t="str">
        <x:f>IF(C97="","",G97&amp;"|"&amp;C97)</x:f>
      </x:c>
      <x:c r="K97" s="23" t="str">
        <x:f>IF(C97="","",IF(AND(E97&gt;='Tong_hop'!$C$4,E97&lt;'Tong_hop'!$F$4),"Trong kỳ","Ngoài kỳ"))</x:f>
      </x:c>
      <x:c r="L97" s="23" t="str">
        <x:f>IF(COUNTA(A97:H97)=0,"",IF(OR(NOT(OR(A97="TikTok Shop",A97="Shopee",A97="Lazada")),B97="",C97="",D97="",NOT(ISNUMBER(E97)),NOT(ISNUMBER(F97)),F97&lt;0,G97=""),"Thiếu/sai dữ liệu",IF(NOT(COUNTIFS(T_SoDu[Khóa shop],A97&amp;"|"&amp;B97)=1),"Shop chưa khai báo",IF(COUNTIFS(T_NH[Khóa giao dịch NH],J97)&lt;&gt;1,"Trùng giao dịch NH",IF(COUNTIFS(T_Chuyen[Khóa đợt chuyển],I97)&lt;&gt;1,"Chưa ghép đợt chuyển","")))))</x:f>
      </x:c>
    </x:row>
    <x:row r="98" ht="22" customHeight="1">
      <x:c r="A98" s="10"/>
      <x:c r="B98" s="10"/>
      <x:c r="C98" s="24"/>
      <x:c r="D98" s="24"/>
      <x:c r="E98" s="25"/>
      <x:c r="F98" s="26"/>
      <x:c r="G98" s="24"/>
      <x:c r="H98" s="10"/>
      <x:c r="I98" s="23" t="str">
        <x:f>IF(D98="","",A98&amp;"|"&amp;B98&amp;"|"&amp;D98)</x:f>
      </x:c>
      <x:c r="J98" s="23" t="str">
        <x:f>IF(C98="","",G98&amp;"|"&amp;C98)</x:f>
      </x:c>
      <x:c r="K98" s="23" t="str">
        <x:f>IF(C98="","",IF(AND(E98&gt;='Tong_hop'!$C$4,E98&lt;'Tong_hop'!$F$4),"Trong kỳ","Ngoài kỳ"))</x:f>
      </x:c>
      <x:c r="L98" s="23" t="str">
        <x:f>IF(COUNTA(A98:H98)=0,"",IF(OR(NOT(OR(A98="TikTok Shop",A98="Shopee",A98="Lazada")),B98="",C98="",D98="",NOT(ISNUMBER(E98)),NOT(ISNUMBER(F98)),F98&lt;0,G98=""),"Thiếu/sai dữ liệu",IF(NOT(COUNTIFS(T_SoDu[Khóa shop],A98&amp;"|"&amp;B98)=1),"Shop chưa khai báo",IF(COUNTIFS(T_NH[Khóa giao dịch NH],J98)&lt;&gt;1,"Trùng giao dịch NH",IF(COUNTIFS(T_Chuyen[Khóa đợt chuyển],I98)&lt;&gt;1,"Chưa ghép đợt chuyển","")))))</x:f>
      </x:c>
    </x:row>
    <x:row r="99" ht="22" customHeight="1">
      <x:c r="A99" s="10"/>
      <x:c r="B99" s="10"/>
      <x:c r="C99" s="24"/>
      <x:c r="D99" s="24"/>
      <x:c r="E99" s="25"/>
      <x:c r="F99" s="26"/>
      <x:c r="G99" s="24"/>
      <x:c r="H99" s="10"/>
      <x:c r="I99" s="23" t="str">
        <x:f>IF(D99="","",A99&amp;"|"&amp;B99&amp;"|"&amp;D99)</x:f>
      </x:c>
      <x:c r="J99" s="23" t="str">
        <x:f>IF(C99="","",G99&amp;"|"&amp;C99)</x:f>
      </x:c>
      <x:c r="K99" s="23" t="str">
        <x:f>IF(C99="","",IF(AND(E99&gt;='Tong_hop'!$C$4,E99&lt;'Tong_hop'!$F$4),"Trong kỳ","Ngoài kỳ"))</x:f>
      </x:c>
      <x:c r="L99" s="23" t="str">
        <x:f>IF(COUNTA(A99:H99)=0,"",IF(OR(NOT(OR(A99="TikTok Shop",A99="Shopee",A99="Lazada")),B99="",C99="",D99="",NOT(ISNUMBER(E99)),NOT(ISNUMBER(F99)),F99&lt;0,G99=""),"Thiếu/sai dữ liệu",IF(NOT(COUNTIFS(T_SoDu[Khóa shop],A99&amp;"|"&amp;B99)=1),"Shop chưa khai báo",IF(COUNTIFS(T_NH[Khóa giao dịch NH],J99)&lt;&gt;1,"Trùng giao dịch NH",IF(COUNTIFS(T_Chuyen[Khóa đợt chuyển],I99)&lt;&gt;1,"Chưa ghép đợt chuyển","")))))</x:f>
      </x:c>
    </x:row>
    <x:row r="100" ht="22" customHeight="1">
      <x:c r="A100" s="10"/>
      <x:c r="B100" s="10"/>
      <x:c r="C100" s="24"/>
      <x:c r="D100" s="24"/>
      <x:c r="E100" s="25"/>
      <x:c r="F100" s="26"/>
      <x:c r="G100" s="24"/>
      <x:c r="H100" s="10"/>
      <x:c r="I100" s="23" t="str">
        <x:f>IF(D100="","",A100&amp;"|"&amp;B100&amp;"|"&amp;D100)</x:f>
      </x:c>
      <x:c r="J100" s="23" t="str">
        <x:f>IF(C100="","",G100&amp;"|"&amp;C100)</x:f>
      </x:c>
      <x:c r="K100" s="23" t="str">
        <x:f>IF(C100="","",IF(AND(E100&gt;='Tong_hop'!$C$4,E100&lt;'Tong_hop'!$F$4),"Trong kỳ","Ngoài kỳ"))</x:f>
      </x:c>
      <x:c r="L100" s="23" t="str">
        <x:f>IF(COUNTA(A100:H100)=0,"",IF(OR(NOT(OR(A100="TikTok Shop",A100="Shopee",A100="Lazada")),B100="",C100="",D100="",NOT(ISNUMBER(E100)),NOT(ISNUMBER(F100)),F100&lt;0,G100=""),"Thiếu/sai dữ liệu",IF(NOT(COUNTIFS(T_SoDu[Khóa shop],A100&amp;"|"&amp;B100)=1),"Shop chưa khai báo",IF(COUNTIFS(T_NH[Khóa giao dịch NH],J100)&lt;&gt;1,"Trùng giao dịch NH",IF(COUNTIFS(T_Chuyen[Khóa đợt chuyển],I100)&lt;&gt;1,"Chưa ghép đợt chuyển","")))))</x:f>
      </x:c>
    </x:row>
    <x:row r="101" ht="22" customHeight="1">
      <x:c r="A101" s="10"/>
      <x:c r="B101" s="10"/>
      <x:c r="C101" s="24"/>
      <x:c r="D101" s="24"/>
      <x:c r="E101" s="25"/>
      <x:c r="F101" s="26"/>
      <x:c r="G101" s="24"/>
      <x:c r="H101" s="10"/>
      <x:c r="I101" s="23" t="str">
        <x:f>IF(D101="","",A101&amp;"|"&amp;B101&amp;"|"&amp;D101)</x:f>
      </x:c>
      <x:c r="J101" s="23" t="str">
        <x:f>IF(C101="","",G101&amp;"|"&amp;C101)</x:f>
      </x:c>
      <x:c r="K101" s="23" t="str">
        <x:f>IF(C101="","",IF(AND(E101&gt;='Tong_hop'!$C$4,E101&lt;'Tong_hop'!$F$4),"Trong kỳ","Ngoài kỳ"))</x:f>
      </x:c>
      <x:c r="L101" s="23" t="str">
        <x:f>IF(COUNTA(A101:H101)=0,"",IF(OR(NOT(OR(A101="TikTok Shop",A101="Shopee",A101="Lazada")),B101="",C101="",D101="",NOT(ISNUMBER(E101)),NOT(ISNUMBER(F101)),F101&lt;0,G101=""),"Thiếu/sai dữ liệu",IF(NOT(COUNTIFS(T_SoDu[Khóa shop],A101&amp;"|"&amp;B101)=1),"Shop chưa khai báo",IF(COUNTIFS(T_NH[Khóa giao dịch NH],J101)&lt;&gt;1,"Trùng giao dịch NH",IF(COUNTIFS(T_Chuyen[Khóa đợt chuyển],I101)&lt;&gt;1,"Chưa ghép đợt chuyển","")))))</x:f>
      </x:c>
    </x:row>
    <x:row r="102" ht="22" customHeight="1">
      <x:c r="A102" s="10"/>
      <x:c r="B102" s="10"/>
      <x:c r="C102" s="24"/>
      <x:c r="D102" s="24"/>
      <x:c r="E102" s="25"/>
      <x:c r="F102" s="26"/>
      <x:c r="G102" s="24"/>
      <x:c r="H102" s="10"/>
      <x:c r="I102" s="23" t="str">
        <x:f>IF(D102="","",A102&amp;"|"&amp;B102&amp;"|"&amp;D102)</x:f>
      </x:c>
      <x:c r="J102" s="23" t="str">
        <x:f>IF(C102="","",G102&amp;"|"&amp;C102)</x:f>
      </x:c>
      <x:c r="K102" s="23" t="str">
        <x:f>IF(C102="","",IF(AND(E102&gt;='Tong_hop'!$C$4,E102&lt;'Tong_hop'!$F$4),"Trong kỳ","Ngoài kỳ"))</x:f>
      </x:c>
      <x:c r="L102" s="23" t="str">
        <x:f>IF(COUNTA(A102:H102)=0,"",IF(OR(NOT(OR(A102="TikTok Shop",A102="Shopee",A102="Lazada")),B102="",C102="",D102="",NOT(ISNUMBER(E102)),NOT(ISNUMBER(F102)),F102&lt;0,G102=""),"Thiếu/sai dữ liệu",IF(NOT(COUNTIFS(T_SoDu[Khóa shop],A102&amp;"|"&amp;B102)=1),"Shop chưa khai báo",IF(COUNTIFS(T_NH[Khóa giao dịch NH],J102)&lt;&gt;1,"Trùng giao dịch NH",IF(COUNTIFS(T_Chuyen[Khóa đợt chuyển],I102)&lt;&gt;1,"Chưa ghép đợt chuyển","")))))</x:f>
      </x:c>
    </x:row>
    <x:row r="103" ht="22" customHeight="1">
      <x:c r="A103" s="10"/>
      <x:c r="B103" s="10"/>
      <x:c r="C103" s="24"/>
      <x:c r="D103" s="24"/>
      <x:c r="E103" s="25"/>
      <x:c r="F103" s="26"/>
      <x:c r="G103" s="24"/>
      <x:c r="H103" s="10"/>
      <x:c r="I103" s="23" t="str">
        <x:f>IF(D103="","",A103&amp;"|"&amp;B103&amp;"|"&amp;D103)</x:f>
      </x:c>
      <x:c r="J103" s="23" t="str">
        <x:f>IF(C103="","",G103&amp;"|"&amp;C103)</x:f>
      </x:c>
      <x:c r="K103" s="23" t="str">
        <x:f>IF(C103="","",IF(AND(E103&gt;='Tong_hop'!$C$4,E103&lt;'Tong_hop'!$F$4),"Trong kỳ","Ngoài kỳ"))</x:f>
      </x:c>
      <x:c r="L103" s="23" t="str">
        <x:f>IF(COUNTA(A103:H103)=0,"",IF(OR(NOT(OR(A103="TikTok Shop",A103="Shopee",A103="Lazada")),B103="",C103="",D103="",NOT(ISNUMBER(E103)),NOT(ISNUMBER(F103)),F103&lt;0,G103=""),"Thiếu/sai dữ liệu",IF(NOT(COUNTIFS(T_SoDu[Khóa shop],A103&amp;"|"&amp;B103)=1),"Shop chưa khai báo",IF(COUNTIFS(T_NH[Khóa giao dịch NH],J103)&lt;&gt;1,"Trùng giao dịch NH",IF(COUNTIFS(T_Chuyen[Khóa đợt chuyển],I103)&lt;&gt;1,"Chưa ghép đợt chuyển","")))))</x:f>
      </x:c>
    </x:row>
    <x:row r="104" ht="22" customHeight="1">
      <x:c r="A104" s="10"/>
      <x:c r="B104" s="10"/>
      <x:c r="C104" s="24"/>
      <x:c r="D104" s="24"/>
      <x:c r="E104" s="25"/>
      <x:c r="F104" s="26"/>
      <x:c r="G104" s="24"/>
      <x:c r="H104" s="10"/>
      <x:c r="I104" s="23" t="str">
        <x:f>IF(D104="","",A104&amp;"|"&amp;B104&amp;"|"&amp;D104)</x:f>
      </x:c>
      <x:c r="J104" s="23" t="str">
        <x:f>IF(C104="","",G104&amp;"|"&amp;C104)</x:f>
      </x:c>
      <x:c r="K104" s="23" t="str">
        <x:f>IF(C104="","",IF(AND(E104&gt;='Tong_hop'!$C$4,E104&lt;'Tong_hop'!$F$4),"Trong kỳ","Ngoài kỳ"))</x:f>
      </x:c>
      <x:c r="L104" s="23" t="str">
        <x:f>IF(COUNTA(A104:H104)=0,"",IF(OR(NOT(OR(A104="TikTok Shop",A104="Shopee",A104="Lazada")),B104="",C104="",D104="",NOT(ISNUMBER(E104)),NOT(ISNUMBER(F104)),F104&lt;0,G104=""),"Thiếu/sai dữ liệu",IF(NOT(COUNTIFS(T_SoDu[Khóa shop],A104&amp;"|"&amp;B104)=1),"Shop chưa khai báo",IF(COUNTIFS(T_NH[Khóa giao dịch NH],J104)&lt;&gt;1,"Trùng giao dịch NH",IF(COUNTIFS(T_Chuyen[Khóa đợt chuyển],I104)&lt;&gt;1,"Chưa ghép đợt chuyển","")))))</x:f>
      </x:c>
    </x:row>
    <x:row r="105" ht="22" customHeight="1">
      <x:c r="A105" s="10"/>
      <x:c r="B105" s="10"/>
      <x:c r="C105" s="24"/>
      <x:c r="D105" s="24"/>
      <x:c r="E105" s="25"/>
      <x:c r="F105" s="26"/>
      <x:c r="G105" s="24"/>
      <x:c r="H105" s="10"/>
      <x:c r="I105" s="23" t="str">
        <x:f>IF(D105="","",A105&amp;"|"&amp;B105&amp;"|"&amp;D105)</x:f>
      </x:c>
      <x:c r="J105" s="23" t="str">
        <x:f>IF(C105="","",G105&amp;"|"&amp;C105)</x:f>
      </x:c>
      <x:c r="K105" s="23" t="str">
        <x:f>IF(C105="","",IF(AND(E105&gt;='Tong_hop'!$C$4,E105&lt;'Tong_hop'!$F$4),"Trong kỳ","Ngoài kỳ"))</x:f>
      </x:c>
      <x:c r="L105" s="23" t="str">
        <x:f>IF(COUNTA(A105:H105)=0,"",IF(OR(NOT(OR(A105="TikTok Shop",A105="Shopee",A105="Lazada")),B105="",C105="",D105="",NOT(ISNUMBER(E105)),NOT(ISNUMBER(F105)),F105&lt;0,G105=""),"Thiếu/sai dữ liệu",IF(NOT(COUNTIFS(T_SoDu[Khóa shop],A105&amp;"|"&amp;B105)=1),"Shop chưa khai báo",IF(COUNTIFS(T_NH[Khóa giao dịch NH],J105)&lt;&gt;1,"Trùng giao dịch NH",IF(COUNTIFS(T_Chuyen[Khóa đợt chuyển],I105)&lt;&gt;1,"Chưa ghép đợt chuyển","")))))</x:f>
      </x:c>
    </x:row>
    <x:row r="106" ht="22" customHeight="1">
      <x:c r="A106" s="10"/>
      <x:c r="B106" s="10"/>
      <x:c r="C106" s="24"/>
      <x:c r="D106" s="24"/>
      <x:c r="E106" s="25"/>
      <x:c r="F106" s="26"/>
      <x:c r="G106" s="24"/>
      <x:c r="H106" s="10"/>
      <x:c r="I106" s="23" t="str">
        <x:f>IF(D106="","",A106&amp;"|"&amp;B106&amp;"|"&amp;D106)</x:f>
      </x:c>
      <x:c r="J106" s="23" t="str">
        <x:f>IF(C106="","",G106&amp;"|"&amp;C106)</x:f>
      </x:c>
      <x:c r="K106" s="23" t="str">
        <x:f>IF(C106="","",IF(AND(E106&gt;='Tong_hop'!$C$4,E106&lt;'Tong_hop'!$F$4),"Trong kỳ","Ngoài kỳ"))</x:f>
      </x:c>
      <x:c r="L106" s="23" t="str">
        <x:f>IF(COUNTA(A106:H106)=0,"",IF(OR(NOT(OR(A106="TikTok Shop",A106="Shopee",A106="Lazada")),B106="",C106="",D106="",NOT(ISNUMBER(E106)),NOT(ISNUMBER(F106)),F106&lt;0,G106=""),"Thiếu/sai dữ liệu",IF(NOT(COUNTIFS(T_SoDu[Khóa shop],A106&amp;"|"&amp;B106)=1),"Shop chưa khai báo",IF(COUNTIFS(T_NH[Khóa giao dịch NH],J106)&lt;&gt;1,"Trùng giao dịch NH",IF(COUNTIFS(T_Chuyen[Khóa đợt chuyển],I106)&lt;&gt;1,"Chưa ghép đợt chuyển","")))))</x:f>
      </x:c>
    </x:row>
    <x:row r="107">
      <x:c r="A107" s="10"/>
      <x:c r="B107" s="10"/>
      <x:c r="C107" s="24"/>
      <x:c r="D107" s="24"/>
      <x:c r="E107" s="25"/>
      <x:c r="F107" s="26"/>
      <x:c r="G107" s="24"/>
      <x:c r="H107" s="10"/>
      <x:c r="I107" s="23" t="str">
        <x:f>IF(D107="","",A107&amp;"|"&amp;B107&amp;"|"&amp;D107)</x:f>
      </x:c>
      <x:c r="J107" s="23" t="str">
        <x:f>IF(C107="","",G107&amp;"|"&amp;C107)</x:f>
      </x:c>
      <x:c r="K107" s="23" t="str">
        <x:f>IF(C107="","",IF(AND(E107&gt;='Tong_hop'!$C$4,E107&lt;'Tong_hop'!$F$4),"Trong kỳ","Ngoài kỳ"))</x:f>
      </x:c>
      <x:c r="L107" s="23" t="str">
        <x:f>IF(COUNTA(A107:H107)=0,"",IF(OR(NOT(OR(A107="TikTok Shop",A107="Shopee",A107="Lazada")),B107="",C107="",D107="",NOT(ISNUMBER(E107)),NOT(ISNUMBER(F107)),F107&lt;0,G107=""),"Thiếu/sai dữ liệu",IF(NOT(COUNTIFS(T_SoDu[Khóa shop],A107&amp;"|"&amp;B107)=1),"Shop chưa khai báo",IF(COUNTIFS(T_NH[Khóa giao dịch NH],J107)&lt;&gt;1,"Trùng giao dịch NH",IF(COUNTIFS(T_Chuyen[Khóa đợt chuyển],I107)&lt;&gt;1,"Chưa ghép đợt chuyển","")))))</x:f>
      </x:c>
    </x:row>
  </x:sheetData>
  <x:conditionalFormatting sqref="L7:L106">
    <x:cfRule type="expression" dxfId="10" priority="1">
      <x:formula>L7&lt;&gt;""</x:formula>
    </x:cfRule>
  </x:conditionalFormatting>
  <x:dataValidations count="1">
    <x:dataValidation type="list" sqref="A7:A106">
      <x:formula1>"TikTok Shop,Shopee,Lazada"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4732bcef9c4e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50" hidden="0" customWidth="1"/>
    <x:col min="16" max="16" width="31" hidden="0" customWidth="1"/>
    <x:col min="17" max="17" width="18" hidden="0" customWidth="1"/>
    <x:col min="18" max="18" width="29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2" customHeight="1">
      <x:c r="A2" s="3" t="str">
        <x:v>SỐ DƯ NGUỒN VÀ TÍNH CÔNG NỢ TỪNG SHOP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2" customHeight="1">
      <x:c r="A4" s="2" t="str">
        <x:v>Một dòng / shop cho tháng đang chốt. D:M bắt buộc nhập số, kể cả 0. F:J là nguồn độc lập, không lấy từ kết quả tính lại.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2" customHeight="1">
      <x:c r="A5" s="2" t="str">
        <x:v>F là phần đã ghi nhận bán nhưng chưa QT; G cộng lại phí ước tính chưa cấn trừ. H,I,J không trùng nhau.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58" customHeight="1">
      <x:c r="A6" s="20" t="str">
        <x:v>Sàn</x:v>
      </x:c>
      <x:c r="B6" s="21" t="str">
        <x:v>Shop</x:v>
      </x:c>
      <x:c r="C6" s="21" t="str">
        <x:v>Ngày chốt số dư</x:v>
      </x:c>
      <x:c r="D6" s="21" t="str">
        <x:v>Công nợ đầu kỳ</x:v>
      </x:c>
      <x:c r="E6" s="21" t="str">
        <x:v>Số dư ví đầu kỳ</x:v>
      </x:c>
      <x:c r="F6" s="21" t="str">
        <x:v>Chờ QT theo BC net</x:v>
      </x:c>
      <x:c r="G6" s="21" t="str">
        <x:v>Phí ước tính cộng lại</x:v>
      </x:c>
      <x:c r="H6" s="21" t="str">
        <x:v>Khả dụng cuối kỳ</x:v>
      </x:c>
      <x:c r="I6" s="21" t="str">
        <x:v>Giữ lại cuối kỳ</x:v>
      </x:c>
      <x:c r="J6" s="21" t="str">
        <x:v>Đang chuyển theo BC</x:v>
      </x:c>
      <x:c r="K6" s="21" t="str">
        <x:v>Công nợ sổ kế toán</x:v>
      </x:c>
      <x:c r="L6" s="21" t="str">
        <x:v>Tổng QT theo BC sàn</x:v>
      </x:c>
      <x:c r="M6" s="21" t="str">
        <x:v>Tổng rút theo BC sàn</x:v>
      </x:c>
      <x:c r="N6" s="21" t="str">
        <x:v>Đủ nguồn dữ liệu</x:v>
      </x:c>
      <x:c r="O6" s="21" t="str">
        <x:v>Nguồn / giải trình</x:v>
      </x:c>
      <x:c r="P6" s="21" t="str">
        <x:v>Khóa shop</x:v>
      </x:c>
      <x:c r="Q6" s="21" t="str">
        <x:v>Công nợ theo nguồn</x:v>
      </x:c>
      <x:c r="R6" s="21" t="str">
        <x:v>Kiểm tra dữ liệu</x:v>
      </x:c>
      <x:c r="S6" s="21" t="str">
        <x:v>Bán gộp trong kỳ</x:v>
      </x:c>
      <x:c r="T6" s="21" t="str">
        <x:v>Hoàn tiền trong kỳ</x:v>
      </x:c>
      <x:c r="U6" s="21" t="str">
        <x:v>Phí trong kỳ</x:v>
      </x:c>
      <x:c r="V6" s="21" t="str">
        <x:v>Điều chỉnh và nạp</x:v>
      </x:c>
      <x:c r="W6" s="21" t="str">
        <x:v>NH nhận trong kỳ</x:v>
      </x:c>
      <x:c r="X6" s="21" t="str">
        <x:v>Công nợ tính lại</x:v>
      </x:c>
      <x:c r="Y6" s="21" t="str">
        <x:v>QT thực tế trong kỳ</x:v>
      </x:c>
      <x:c r="Z6" s="21" t="str">
        <x:v>Số dư ví tính lại</x:v>
      </x:c>
      <x:c r="AA6" s="21" t="str">
        <x:v>Đang chuyển tính lại</x:v>
      </x:c>
      <x:c r="AB6" s="21" t="str">
        <x:v>Rút trong kỳ</x:v>
      </x:c>
      <x:c r="AC6" s="22" t="str">
        <x:v>Số lỗi đầu vào</x:v>
      </x:c>
    </x:row>
    <x:row r="7" ht="22" customHeight="1">
      <x:c r="A7" s="10" t="str">
        <x:v>TikTok Shop</x:v>
      </x:c>
      <x:c r="B7" s="10" t="str">
        <x:v>DEMO_TT</x:v>
      </x:c>
      <x:c r="C7" s="25" t="d">
        <x:v>2026-09-30T00:00:00.000Z</x:v>
      </x:c>
      <x:c r="D7" s="26" t="n">
        <x:v>1000000</x:v>
      </x:c>
      <x:c r="E7" s="26" t="n">
        <x:v>300000</x:v>
      </x:c>
      <x:c r="F7" s="26" t="n">
        <x:v>460000</x:v>
      </x:c>
      <x:c r="G7" s="26" t="n">
        <x:v>60000</x:v>
      </x:c>
      <x:c r="H7" s="26" t="n">
        <x:v>200000</x:v>
      </x:c>
      <x:c r="I7" s="26" t="n">
        <x:v>40000</x:v>
      </x:c>
      <x:c r="J7" s="26" t="n">
        <x:v>400000</x:v>
      </x:c>
      <x:c r="K7" s="26" t="n">
        <x:v>1160000</x:v>
      </x:c>
      <x:c r="L7" s="26" t="n">
        <x:v>1320000</x:v>
      </x:c>
      <x:c r="M7" s="26" t="n">
        <x:v>1400000</x:v>
      </x:c>
      <x:c r="N7" s="10" t="str">
        <x:v>Đã đủ</x:v>
      </x:c>
      <x:c r="O7" s="10" t="str">
        <x:v>Số giả lập; cả ba lớp đối chiếu khớp</x:v>
      </x:c>
      <x:c r="P7" s="23" t="str">
        <x:f>IF(AND(A7="",B7=""),"",A7&amp;"|"&amp;B7)</x:f>
        <x:v>TikTok Shop|DEMO_TT</x:v>
      </x:c>
      <x:c r="Q7" s="27" t="n">
        <x:f>IF(P7="","",IF(COUNT(F7:J7)=5,SUM(F7:J7),"n.a."))</x:f>
        <x:v>1160000</x:v>
      </x:c>
      <x:c r="R7" s="23" t="str">
        <x:f>IF(COUNTA(A7:O7)=0,"",IF(OR(NOT(OR(A7="TikTok Shop",A7="Shopee",A7="Lazada")),B7="",NOT(ISNUMBER(C7)),COUNT(D7:M7)&lt;&gt;10),"Thiếu/sai số dư",IF(C7&lt;&gt;'Tong_hop'!$F$4-1,"Sai ngày chốt",IF(COUNTIFS(T_SoDu[Khóa shop],P7)&lt;&gt;1,"Trùng shop",IF(AND(N7&lt;&gt;"Đã đủ",N7&lt;&gt;"Chưa"),"Thiếu xác nhận nguồn","")))))</x:f>
      </x:c>
      <x:c r="S7" s="27" t="n">
        <x:f>IF(P7="","",IF(AC7&gt;0,"n.a.",SUMIFS(T_Don[Phải thu gộp],T_Don[Sàn],A7,T_Don[Shop],B7,T_Don[Ngày ghi nhận bán],"&gt;="&amp;'Tong_hop'!$C$4,T_Don[Ngày ghi nhận bán],"&lt;"&amp;'Tong_hop'!$F$4)))</x:f>
        <x:v>1520000</x:v>
      </x:c>
      <x:c r="T7" s="27" t="n">
        <x:f>IF(P7="","",IF(AC7&gt;0,"n.a.",SUMIFS(T_GD[Hoàn tiền shop chịu],T_GD[Sàn],A7,T_GD[Shop],B7,T_GD[Ngày giao dịch sàn],"&gt;="&amp;'Tong_hop'!$C$4,T_GD[Ngày giao dịch sàn],"&lt;"&amp;'Tong_hop'!$F$4)))</x:f>
        <x:v>100000</x:v>
      </x:c>
      <x:c r="U7" s="27" t="n">
        <x:f>IF(P7="","",IF(AC7&gt;0,"n.a.",SUMIFS(T_GD[Phí sàn cấn trừ],T_GD[Sàn],A7,T_GD[Shop],B7,T_GD[Ngày giao dịch sàn],"&gt;="&amp;'Tong_hop'!$C$4,T_GD[Ngày giao dịch sàn],"&lt;"&amp;'Tong_hop'!$F$4)+SUMIFS(T_GD[Ship shop chịu],T_GD[Sàn],A7,T_GD[Shop],B7,T_GD[Ngày giao dịch sàn],"&gt;="&amp;'Tong_hop'!$C$4,T_GD[Ngày giao dịch sàn],"&lt;"&amp;'Tong_hop'!$F$4)+SUMIFS(T_Chuyen[Phí chuyển đã xác nhận],T_Chuyen[Sàn],A7,T_Chuyen[Shop],B7,T_Chuyen[Ngày trừ số dư],"&gt;="&amp;'Tong_hop'!$C$4,T_Chuyen[Ngày trừ số dư],"&lt;"&amp;'Tong_hop'!$F$4)))</x:f>
        <x:v>220000</x:v>
      </x:c>
      <x:c r="V7" s="27" t="n">
        <x:f>IF(P7="","",IF(AC7&gt;0,"n.a.",SUMIFS(T_GD[Điều chỉnh khác +/-],T_GD[Sàn],A7,T_GD[Shop],B7,T_GD[Ngày giao dịch sàn],"&gt;="&amp;'Tong_hop'!$C$4,T_GD[Ngày giao dịch sàn],"&lt;"&amp;'Tong_hop'!$F$4)+SUMIFS(T_GD[Nạp vào số dư],T_GD[Sàn],A7,T_GD[Shop],B7,T_GD[Ngày giao dịch sàn],"&gt;="&amp;'Tong_hop'!$C$4,T_GD[Ngày giao dịch sàn],"&lt;"&amp;'Tong_hop'!$F$4)))</x:f>
        <x:v>50000</x:v>
      </x:c>
      <x:c r="W7" s="27" t="n">
        <x:f>IF(P7="","",IF(AC7&gt;0,"n.a.",SUMIFS(T_NH[Tiền thực nhận],T_NH[Sàn],A7,T_NH[Shop],B7,T_NH[Ngày báo Có],"&gt;="&amp;'Tong_hop'!$C$4,T_NH[Ngày báo Có],"&lt;"&amp;'Tong_hop'!$F$4)))</x:f>
        <x:v>1090000</x:v>
      </x:c>
      <x:c r="X7" s="27" t="n">
        <x:f>IF(P7="","",IF(AC7&gt;0,"n.a.",D7+S7-T7-U7+V7-W7))</x:f>
        <x:v>1160000</x:v>
      </x:c>
      <x:c r="Y7" s="27" t="n">
        <x:f>IF(P7="","",IF(AC7&gt;0,"n.a.",SUMIFS(T_GD[Thực ghi số dư +/-],T_GD[Sàn],A7,T_GD[Shop],B7,T_GD[Ngày giao dịch sàn],"&gt;="&amp;'Tong_hop'!$C$4,T_GD[Ngày giao dịch sàn],"&lt;"&amp;'Tong_hop'!$F$4,T_GD[Nhóm giao dịch],"Quyết toán")))</x:f>
        <x:v>1320000</x:v>
      </x:c>
      <x:c r="Z7" s="27" t="n">
        <x:f>IF(P7="","",IF(AC7&gt;0,"n.a.",E7+SUMIFS(T_GD[Thực ghi số dư +/-],T_GD[Sàn],A7,T_GD[Shop],B7,T_GD[Ngày giao dịch sàn],"&gt;="&amp;'Tong_hop'!$C$4,T_GD[Ngày giao dịch sàn],"&lt;"&amp;'Tong_hop'!$F$4)-SUMIFS(T_Chuyen[Tiền trừ số dư],T_Chuyen[Sàn],A7,T_Chuyen[Shop],B7,T_Chuyen[Ngày trừ số dư],"&gt;="&amp;'Tong_hop'!$C$4,T_Chuyen[Ngày trừ số dư],"&lt;"&amp;'Tong_hop'!$F$4)))</x:f>
        <x:v>240000</x:v>
      </x:c>
      <x:c r="AA7" s="27" t="n">
        <x:f>IF(P7="","",IF(AC7&gt;0,"n.a.",SUMIFS(T_Chuyen[Còn đang chuyển],T_Chuyen[Sàn],A7,T_Chuyen[Shop],B7)))</x:f>
        <x:v>400000</x:v>
      </x:c>
      <x:c r="AB7" s="27" t="n">
        <x:f>IF(P7="","",IF(AC7&gt;0,"n.a.",SUMIFS(T_Chuyen[Tiền trừ số dư],T_Chuyen[Sàn],A7,T_Chuyen[Shop],B7,T_Chuyen[Ngày trừ số dư],"&gt;="&amp;'Tong_hop'!$C$4,T_Chuyen[Ngày trừ số dư],"&lt;"&amp;'Tong_hop'!$F$4)))</x:f>
        <x:v>1400000</x:v>
      </x:c>
      <x:c r="AC7" s="28" t="n">
        <x:f>IF(P7="","",IF(R7="",0,1)+COUNTIFS(T_Don[Sàn],A7,T_Don[Shop],B7,T_Don[Kiểm tra dữ liệu],"?*")+COUNTIFS(T_GD[Sàn],A7,T_GD[Shop],B7,T_GD[Kiểm tra dữ liệu],"?*")+COUNTIFS(T_Chuyen[Sàn],A7,T_Chuyen[Shop],B7,T_Chuyen[Kiểm tra dữ liệu],"?*")+COUNTIFS(T_NH[Sàn],A7,T_NH[Shop],B7,T_NH[Kiểm tra dữ liệu],"?*"))</x:f>
        <x:v>0</x:v>
      </x:c>
    </x:row>
    <x:row r="8" ht="22" customHeight="1">
      <x:c r="A8" s="10" t="str">
        <x:v>Shopee</x:v>
      </x:c>
      <x:c r="B8" s="10" t="str">
        <x:v>DEMO_SP</x:v>
      </x:c>
      <x:c r="C8" s="25" t="d">
        <x:v>2026-09-30T00:00:00.000Z</x:v>
      </x:c>
      <x:c r="D8" s="26" t="n">
        <x:v>800000</x:v>
      </x:c>
      <x:c r="E8" s="26" t="n">
        <x:v>300000</x:v>
      </x:c>
      <x:c r="F8" s="26" t="n">
        <x:v>630000</x:v>
      </x:c>
      <x:c r="G8" s="26" t="n">
        <x:v>70000</x:v>
      </x:c>
      <x:c r="H8" s="26" t="n">
        <x:v>208000</x:v>
      </x:c>
      <x:c r="I8" s="26" t="n">
        <x:v>0</x:v>
      </x:c>
      <x:c r="J8" s="26" t="n">
        <x:v>500000</x:v>
      </x:c>
      <x:c r="K8" s="26" t="n">
        <x:v>1408000</x:v>
      </x:c>
      <x:c r="L8" s="26" t="n">
        <x:v>2183000</x:v>
      </x:c>
      <x:c r="M8" s="26" t="n">
        <x:v>2300000</x:v>
      </x:c>
      <x:c r="N8" s="10" t="str">
        <x:v>Đã đủ</x:v>
      </x:c>
      <x:c r="O8" s="10" t="str">
        <x:v>Số giả lập; đơn SP-001 lệch phí 2.000</x:v>
      </x:c>
      <x:c r="P8" s="23" t="str">
        <x:f>IF(AND(A8="",B8=""),"",A8&amp;"|"&amp;B8)</x:f>
        <x:v>Shopee|DEMO_SP</x:v>
      </x:c>
      <x:c r="Q8" s="27" t="n">
        <x:f>IF(P8="","",IF(COUNT(F8:J8)=5,SUM(F8:J8),"n.a."))</x:f>
        <x:v>1408000</x:v>
      </x:c>
      <x:c r="R8" s="23" t="str">
        <x:f>IF(COUNTA(A8:O8)=0,"",IF(OR(NOT(OR(A8="TikTok Shop",A8="Shopee",A8="Lazada")),B8="",NOT(ISNUMBER(C8)),COUNT(D8:M8)&lt;&gt;10),"Thiếu/sai số dư",IF(C8&lt;&gt;'Tong_hop'!$F$4-1,"Sai ngày chốt",IF(COUNTIFS(T_SoDu[Khóa shop],P8)&lt;&gt;1,"Trùng shop",IF(AND(N8&lt;&gt;"Đã đủ",N8&lt;&gt;"Chưa"),"Thiếu xác nhận nguồn","")))))</x:f>
      </x:c>
      <x:c r="S8" s="27" t="n">
        <x:f>IF(P8="","",IF(AC8&gt;0,"n.a.",SUMIFS(T_Don[Phải thu gộp],T_Don[Sàn],A8,T_Don[Shop],B8,T_Don[Ngày ghi nhận bán],"&gt;="&amp;'Tong_hop'!$C$4,T_Don[Ngày ghi nhận bán],"&lt;"&amp;'Tong_hop'!$F$4)))</x:f>
        <x:v>2750000</x:v>
      </x:c>
      <x:c r="T8" s="27" t="n">
        <x:f>IF(P8="","",IF(AC8&gt;0,"n.a.",SUMIFS(T_GD[Hoàn tiền shop chịu],T_GD[Sàn],A8,T_GD[Shop],B8,T_GD[Ngày giao dịch sàn],"&gt;="&amp;'Tong_hop'!$C$4,T_GD[Ngày giao dịch sàn],"&lt;"&amp;'Tong_hop'!$F$4)))</x:f>
        <x:v>0</x:v>
      </x:c>
      <x:c r="U8" s="27" t="n">
        <x:f>IF(P8="","",IF(AC8&gt;0,"n.a.",SUMIFS(T_GD[Phí sàn cấn trừ],T_GD[Sàn],A8,T_GD[Shop],B8,T_GD[Ngày giao dịch sàn],"&gt;="&amp;'Tong_hop'!$C$4,T_GD[Ngày giao dịch sàn],"&lt;"&amp;'Tong_hop'!$F$4)+SUMIFS(T_GD[Ship shop chịu],T_GD[Sàn],A8,T_GD[Shop],B8,T_GD[Ngày giao dịch sàn],"&gt;="&amp;'Tong_hop'!$C$4,T_GD[Ngày giao dịch sàn],"&lt;"&amp;'Tong_hop'!$F$4)+SUMIFS(T_Chuyen[Phí chuyển đã xác nhận],T_Chuyen[Sàn],A8,T_Chuyen[Shop],B8,T_Chuyen[Ngày trừ số dư],"&gt;="&amp;'Tong_hop'!$C$4,T_Chuyen[Ngày trừ số dư],"&lt;"&amp;'Tong_hop'!$F$4)))</x:f>
        <x:v>267000</x:v>
      </x:c>
      <x:c r="V8" s="27" t="n">
        <x:f>IF(P8="","",IF(AC8&gt;0,"n.a.",SUMIFS(T_GD[Điều chỉnh khác +/-],T_GD[Sàn],A8,T_GD[Shop],B8,T_GD[Ngày giao dịch sàn],"&gt;="&amp;'Tong_hop'!$C$4,T_GD[Ngày giao dịch sàn],"&lt;"&amp;'Tong_hop'!$F$4)+SUMIFS(T_GD[Nạp vào số dư],T_GD[Sàn],A8,T_GD[Shop],B8,T_GD[Ngày giao dịch sàn],"&gt;="&amp;'Tong_hop'!$C$4,T_GD[Ngày giao dịch sàn],"&lt;"&amp;'Tong_hop'!$F$4)))</x:f>
        <x:v>25000</x:v>
      </x:c>
      <x:c r="W8" s="27" t="n">
        <x:f>IF(P8="","",IF(AC8&gt;0,"n.a.",SUMIFS(T_NH[Tiền thực nhận],T_NH[Sàn],A8,T_NH[Shop],B8,T_NH[Ngày báo Có],"&gt;="&amp;'Tong_hop'!$C$4,T_NH[Ngày báo Có],"&lt;"&amp;'Tong_hop'!$F$4)))</x:f>
        <x:v>1900000</x:v>
      </x:c>
      <x:c r="X8" s="27" t="n">
        <x:f>IF(P8="","",IF(AC8&gt;0,"n.a.",D8+S8-T8-U8+V8-W8))</x:f>
        <x:v>1408000</x:v>
      </x:c>
      <x:c r="Y8" s="27" t="n">
        <x:f>IF(P8="","",IF(AC8&gt;0,"n.a.",SUMIFS(T_GD[Thực ghi số dư +/-],T_GD[Sàn],A8,T_GD[Shop],B8,T_GD[Ngày giao dịch sàn],"&gt;="&amp;'Tong_hop'!$C$4,T_GD[Ngày giao dịch sàn],"&lt;"&amp;'Tong_hop'!$F$4,T_GD[Nhóm giao dịch],"Quyết toán")))</x:f>
        <x:v>2183000</x:v>
      </x:c>
      <x:c r="Z8" s="27" t="n">
        <x:f>IF(P8="","",IF(AC8&gt;0,"n.a.",E8+SUMIFS(T_GD[Thực ghi số dư +/-],T_GD[Sàn],A8,T_GD[Shop],B8,T_GD[Ngày giao dịch sàn],"&gt;="&amp;'Tong_hop'!$C$4,T_GD[Ngày giao dịch sàn],"&lt;"&amp;'Tong_hop'!$F$4)-SUMIFS(T_Chuyen[Tiền trừ số dư],T_Chuyen[Sàn],A8,T_Chuyen[Shop],B8,T_Chuyen[Ngày trừ số dư],"&gt;="&amp;'Tong_hop'!$C$4,T_Chuyen[Ngày trừ số dư],"&lt;"&amp;'Tong_hop'!$F$4)))</x:f>
        <x:v>208000</x:v>
      </x:c>
      <x:c r="AA8" s="27" t="n">
        <x:f>IF(P8="","",IF(AC8&gt;0,"n.a.",SUMIFS(T_Chuyen[Còn đang chuyển],T_Chuyen[Sàn],A8,T_Chuyen[Shop],B8)))</x:f>
        <x:v>500000</x:v>
      </x:c>
      <x:c r="AB8" s="27" t="n">
        <x:f>IF(P8="","",IF(AC8&gt;0,"n.a.",SUMIFS(T_Chuyen[Tiền trừ số dư],T_Chuyen[Sàn],A8,T_Chuyen[Shop],B8,T_Chuyen[Ngày trừ số dư],"&gt;="&amp;'Tong_hop'!$C$4,T_Chuyen[Ngày trừ số dư],"&lt;"&amp;'Tong_hop'!$F$4)))</x:f>
        <x:v>2300000</x:v>
      </x:c>
      <x:c r="AC8" s="28" t="n">
        <x:f>IF(P8="","",IF(R8="",0,1)+COUNTIFS(T_Don[Sàn],A8,T_Don[Shop],B8,T_Don[Kiểm tra dữ liệu],"?*")+COUNTIFS(T_GD[Sàn],A8,T_GD[Shop],B8,T_GD[Kiểm tra dữ liệu],"?*")+COUNTIFS(T_Chuyen[Sàn],A8,T_Chuyen[Shop],B8,T_Chuyen[Kiểm tra dữ liệu],"?*")+COUNTIFS(T_NH[Sàn],A8,T_NH[Shop],B8,T_NH[Kiểm tra dữ liệu],"?*"))</x:f>
        <x:v>0</x:v>
      </x:c>
    </x:row>
    <x:row r="9" ht="22" customHeight="1">
      <x:c r="A9" s="10" t="str">
        <x:v>Lazada</x:v>
      </x:c>
      <x:c r="B9" s="10" t="str">
        <x:v>DEMO_LZ</x:v>
      </x:c>
      <x:c r="C9" s="25" t="d">
        <x:v>2026-09-30T00:00:00.000Z</x:v>
      </x:c>
      <x:c r="D9" s="26" t="n">
        <x:v>600000</x:v>
      </x:c>
      <x:c r="E9" s="26" t="n">
        <x:v>150000</x:v>
      </x:c>
      <x:c r="F9" s="26" t="n">
        <x:v>720000</x:v>
      </x:c>
      <x:c r="G9" s="26" t="n">
        <x:v>80000</x:v>
      </x:c>
      <x:c r="H9" s="26" t="n">
        <x:v>305000</x:v>
      </x:c>
      <x:c r="I9" s="26" t="n">
        <x:v>0</x:v>
      </x:c>
      <x:c r="J9" s="26" t="n">
        <x:v>300000</x:v>
      </x:c>
      <x:c r="K9" s="26" t="n">
        <x:v>1406000</x:v>
      </x:c>
      <x:c r="L9" s="26" t="n">
        <x:v>1455000</x:v>
      </x:c>
      <x:c r="M9" s="26" t="n">
        <x:v>1300000</x:v>
      </x:c>
      <x:c r="N9" s="10" t="str">
        <x:v>Đã đủ</x:v>
      </x:c>
      <x:c r="O9" s="10" t="str">
        <x:v>Số giả lập; đợt LZ-P1 thiếu tiền NH 1.000</x:v>
      </x:c>
      <x:c r="P9" s="23" t="str">
        <x:f>IF(AND(A9="",B9=""),"",A9&amp;"|"&amp;B9)</x:f>
        <x:v>Lazada|DEMO_LZ</x:v>
      </x:c>
      <x:c r="Q9" s="27" t="n">
        <x:f>IF(P9="","",IF(COUNT(F9:J9)=5,SUM(F9:J9),"n.a."))</x:f>
        <x:v>1405000</x:v>
      </x:c>
      <x:c r="R9" s="23" t="str">
        <x:f>IF(COUNTA(A9:O9)=0,"",IF(OR(NOT(OR(A9="TikTok Shop",A9="Shopee",A9="Lazada")),B9="",NOT(ISNUMBER(C9)),COUNT(D9:M9)&lt;&gt;10),"Thiếu/sai số dư",IF(C9&lt;&gt;'Tong_hop'!$F$4-1,"Sai ngày chốt",IF(COUNTIFS(T_SoDu[Khóa shop],P9)&lt;&gt;1,"Trùng shop",IF(AND(N9&lt;&gt;"Đã đủ",N9&lt;&gt;"Chưa"),"Thiếu xác nhận nguồn","")))))</x:f>
      </x:c>
      <x:c r="S9" s="27" t="n">
        <x:f>IF(P9="","",IF(AC9&gt;0,"n.a.",SUMIFS(T_Don[Phải thu gộp],T_Don[Sàn],A9,T_Don[Shop],B9,T_Don[Ngày ghi nhận bán],"&gt;="&amp;'Tong_hop'!$C$4,T_Don[Ngày ghi nhận bán],"&lt;"&amp;'Tong_hop'!$F$4)))</x:f>
        <x:v>2300000</x:v>
      </x:c>
      <x:c r="T9" s="27" t="n">
        <x:f>IF(P9="","",IF(AC9&gt;0,"n.a.",SUMIFS(T_GD[Hoàn tiền shop chịu],T_GD[Sàn],A9,T_GD[Shop],B9,T_GD[Ngày giao dịch sàn],"&gt;="&amp;'Tong_hop'!$C$4,T_GD[Ngày giao dịch sàn],"&lt;"&amp;'Tong_hop'!$F$4)))</x:f>
        <x:v>200000</x:v>
      </x:c>
      <x:c r="U9" s="27" t="n">
        <x:f>IF(P9="","",IF(AC9&gt;0,"n.a.",SUMIFS(T_GD[Phí sàn cấn trừ],T_GD[Sàn],A9,T_GD[Shop],B9,T_GD[Ngày giao dịch sàn],"&gt;="&amp;'Tong_hop'!$C$4,T_GD[Ngày giao dịch sàn],"&lt;"&amp;'Tong_hop'!$F$4)+SUMIFS(T_GD[Ship shop chịu],T_GD[Sàn],A9,T_GD[Shop],B9,T_GD[Ngày giao dịch sàn],"&gt;="&amp;'Tong_hop'!$C$4,T_GD[Ngày giao dịch sàn],"&lt;"&amp;'Tong_hop'!$F$4)+SUMIFS(T_Chuyen[Phí chuyển đã xác nhận],T_Chuyen[Sàn],A9,T_Chuyen[Shop],B9,T_Chuyen[Ngày trừ số dư],"&gt;="&amp;'Tong_hop'!$C$4,T_Chuyen[Ngày trừ số dư],"&lt;"&amp;'Tong_hop'!$F$4)))</x:f>
        <x:v>215000</x:v>
      </x:c>
      <x:c r="V9" s="27" t="n">
        <x:f>IF(P9="","",IF(AC9&gt;0,"n.a.",SUMIFS(T_GD[Điều chỉnh khác +/-],T_GD[Sàn],A9,T_GD[Shop],B9,T_GD[Ngày giao dịch sàn],"&gt;="&amp;'Tong_hop'!$C$4,T_GD[Ngày giao dịch sàn],"&lt;"&amp;'Tong_hop'!$F$4)+SUMIFS(T_GD[Nạp vào số dư],T_GD[Sàn],A9,T_GD[Shop],B9,T_GD[Ngày giao dịch sàn],"&gt;="&amp;'Tong_hop'!$C$4,T_GD[Ngày giao dịch sàn],"&lt;"&amp;'Tong_hop'!$F$4)))</x:f>
        <x:v>20000</x:v>
      </x:c>
      <x:c r="W9" s="27" t="n">
        <x:f>IF(P9="","",IF(AC9&gt;0,"n.a.",SUMIFS(T_NH[Tiền thực nhận],T_NH[Sàn],A9,T_NH[Shop],B9,T_NH[Ngày báo Có],"&gt;="&amp;'Tong_hop'!$C$4,T_NH[Ngày báo Có],"&lt;"&amp;'Tong_hop'!$F$4)))</x:f>
        <x:v>1099000</x:v>
      </x:c>
      <x:c r="X9" s="27" t="n">
        <x:f>IF(P9="","",IF(AC9&gt;0,"n.a.",D9+S9-T9-U9+V9-W9))</x:f>
        <x:v>1406000</x:v>
      </x:c>
      <x:c r="Y9" s="27" t="n">
        <x:f>IF(P9="","",IF(AC9&gt;0,"n.a.",SUMIFS(T_GD[Thực ghi số dư +/-],T_GD[Sàn],A9,T_GD[Shop],B9,T_GD[Ngày giao dịch sàn],"&gt;="&amp;'Tong_hop'!$C$4,T_GD[Ngày giao dịch sàn],"&lt;"&amp;'Tong_hop'!$F$4,T_GD[Nhóm giao dịch],"Quyết toán")))</x:f>
        <x:v>1455000</x:v>
      </x:c>
      <x:c r="Z9" s="27" t="n">
        <x:f>IF(P9="","",IF(AC9&gt;0,"n.a.",E9+SUMIFS(T_GD[Thực ghi số dư +/-],T_GD[Sàn],A9,T_GD[Shop],B9,T_GD[Ngày giao dịch sàn],"&gt;="&amp;'Tong_hop'!$C$4,T_GD[Ngày giao dịch sàn],"&lt;"&amp;'Tong_hop'!$F$4)-SUMIFS(T_Chuyen[Tiền trừ số dư],T_Chuyen[Sàn],A9,T_Chuyen[Shop],B9,T_Chuyen[Ngày trừ số dư],"&gt;="&amp;'Tong_hop'!$C$4,T_Chuyen[Ngày trừ số dư],"&lt;"&amp;'Tong_hop'!$F$4)))</x:f>
        <x:v>305000</x:v>
      </x:c>
      <x:c r="AA9" s="27" t="n">
        <x:f>IF(P9="","",IF(AC9&gt;0,"n.a.",SUMIFS(T_Chuyen[Còn đang chuyển],T_Chuyen[Sàn],A9,T_Chuyen[Shop],B9)))</x:f>
        <x:v>301000</x:v>
      </x:c>
      <x:c r="AB9" s="27" t="n">
        <x:f>IF(P9="","",IF(AC9&gt;0,"n.a.",SUMIFS(T_Chuyen[Tiền trừ số dư],T_Chuyen[Sàn],A9,T_Chuyen[Shop],B9,T_Chuyen[Ngày trừ số dư],"&gt;="&amp;'Tong_hop'!$C$4,T_Chuyen[Ngày trừ số dư],"&lt;"&amp;'Tong_hop'!$F$4)))</x:f>
        <x:v>1300000</x:v>
      </x:c>
      <x:c r="AC9" s="28" t="n">
        <x:f>IF(P9="","",IF(R9="",0,1)+COUNTIFS(T_Don[Sàn],A9,T_Don[Shop],B9,T_Don[Kiểm tra dữ liệu],"?*")+COUNTIFS(T_GD[Sàn],A9,T_GD[Shop],B9,T_GD[Kiểm tra dữ liệu],"?*")+COUNTIFS(T_Chuyen[Sàn],A9,T_Chuyen[Shop],B9,T_Chuyen[Kiểm tra dữ liệu],"?*")+COUNTIFS(T_NH[Sàn],A9,T_NH[Shop],B9,T_NH[Kiểm tra dữ liệu],"?*"))</x:f>
        <x:v>0</x:v>
      </x:c>
    </x:row>
    <x:row r="10" ht="22" customHeight="1">
      <x:c r="A10" s="10"/>
      <x:c r="B10" s="10"/>
      <x:c r="C10" s="25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10"/>
      <x:c r="O10" s="10"/>
      <x:c r="P10" s="23" t="str">
        <x:f>IF(AND(A10="",B10=""),"",A10&amp;"|"&amp;B10)</x:f>
      </x:c>
      <x:c r="Q10" s="27" t="str">
        <x:f>IF(P10="","",IF(COUNT(F10:J10)=5,SUM(F10:J10),"n.a."))</x:f>
      </x:c>
      <x:c r="R10" s="23" t="str">
        <x:f>IF(COUNTA(A10:O10)=0,"",IF(OR(NOT(OR(A10="TikTok Shop",A10="Shopee",A10="Lazada")),B10="",NOT(ISNUMBER(C10)),COUNT(D10:M10)&lt;&gt;10),"Thiếu/sai số dư",IF(C10&lt;&gt;'Tong_hop'!$F$4-1,"Sai ngày chốt",IF(COUNTIFS(T_SoDu[Khóa shop],P10)&lt;&gt;1,"Trùng shop",IF(AND(N10&lt;&gt;"Đã đủ",N10&lt;&gt;"Chưa"),"Thiếu xác nhận nguồn","")))))</x:f>
      </x:c>
      <x:c r="S10" s="27" t="str">
        <x:f>IF(P10="","",IF(AC10&gt;0,"n.a.",SUMIFS(T_Don[Phải thu gộp],T_Don[Sàn],A10,T_Don[Shop],B10,T_Don[Ngày ghi nhận bán],"&gt;="&amp;'Tong_hop'!$C$4,T_Don[Ngày ghi nhận bán],"&lt;"&amp;'Tong_hop'!$F$4)))</x:f>
      </x:c>
      <x:c r="T10" s="27" t="str">
        <x:f>IF(P10="","",IF(AC10&gt;0,"n.a.",SUMIFS(T_GD[Hoàn tiền shop chịu],T_GD[Sàn],A10,T_GD[Shop],B10,T_GD[Ngày giao dịch sàn],"&gt;="&amp;'Tong_hop'!$C$4,T_GD[Ngày giao dịch sàn],"&lt;"&amp;'Tong_hop'!$F$4)))</x:f>
      </x:c>
      <x:c r="U10" s="27" t="str">
        <x:f>IF(P10="","",IF(AC10&gt;0,"n.a.",SUMIFS(T_GD[Phí sàn cấn trừ],T_GD[Sàn],A10,T_GD[Shop],B10,T_GD[Ngày giao dịch sàn],"&gt;="&amp;'Tong_hop'!$C$4,T_GD[Ngày giao dịch sàn],"&lt;"&amp;'Tong_hop'!$F$4)+SUMIFS(T_GD[Ship shop chịu],T_GD[Sàn],A10,T_GD[Shop],B10,T_GD[Ngày giao dịch sàn],"&gt;="&amp;'Tong_hop'!$C$4,T_GD[Ngày giao dịch sàn],"&lt;"&amp;'Tong_hop'!$F$4)+SUMIFS(T_Chuyen[Phí chuyển đã xác nhận],T_Chuyen[Sàn],A10,T_Chuyen[Shop],B10,T_Chuyen[Ngày trừ số dư],"&gt;="&amp;'Tong_hop'!$C$4,T_Chuyen[Ngày trừ số dư],"&lt;"&amp;'Tong_hop'!$F$4)))</x:f>
      </x:c>
      <x:c r="V10" s="27" t="str">
        <x:f>IF(P10="","",IF(AC10&gt;0,"n.a.",SUMIFS(T_GD[Điều chỉnh khác +/-],T_GD[Sàn],A10,T_GD[Shop],B10,T_GD[Ngày giao dịch sàn],"&gt;="&amp;'Tong_hop'!$C$4,T_GD[Ngày giao dịch sàn],"&lt;"&amp;'Tong_hop'!$F$4)+SUMIFS(T_GD[Nạp vào số dư],T_GD[Sàn],A10,T_GD[Shop],B10,T_GD[Ngày giao dịch sàn],"&gt;="&amp;'Tong_hop'!$C$4,T_GD[Ngày giao dịch sàn],"&lt;"&amp;'Tong_hop'!$F$4)))</x:f>
      </x:c>
      <x:c r="W10" s="27" t="str">
        <x:f>IF(P10="","",IF(AC10&gt;0,"n.a.",SUMIFS(T_NH[Tiền thực nhận],T_NH[Sàn],A10,T_NH[Shop],B10,T_NH[Ngày báo Có],"&gt;="&amp;'Tong_hop'!$C$4,T_NH[Ngày báo Có],"&lt;"&amp;'Tong_hop'!$F$4)))</x:f>
      </x:c>
      <x:c r="X10" s="27" t="str">
        <x:f>IF(P10="","",IF(AC10&gt;0,"n.a.",D10+S10-T10-U10+V10-W10))</x:f>
      </x:c>
      <x:c r="Y10" s="27" t="str">
        <x:f>IF(P10="","",IF(AC10&gt;0,"n.a.",SUMIFS(T_GD[Thực ghi số dư +/-],T_GD[Sàn],A10,T_GD[Shop],B10,T_GD[Ngày giao dịch sàn],"&gt;="&amp;'Tong_hop'!$C$4,T_GD[Ngày giao dịch sàn],"&lt;"&amp;'Tong_hop'!$F$4,T_GD[Nhóm giao dịch],"Quyết toán")))</x:f>
      </x:c>
      <x:c r="Z10" s="27" t="str">
        <x:f>IF(P10="","",IF(AC10&gt;0,"n.a.",E10+SUMIFS(T_GD[Thực ghi số dư +/-],T_GD[Sàn],A10,T_GD[Shop],B10,T_GD[Ngày giao dịch sàn],"&gt;="&amp;'Tong_hop'!$C$4,T_GD[Ngày giao dịch sàn],"&lt;"&amp;'Tong_hop'!$F$4)-SUMIFS(T_Chuyen[Tiền trừ số dư],T_Chuyen[Sàn],A10,T_Chuyen[Shop],B10,T_Chuyen[Ngày trừ số dư],"&gt;="&amp;'Tong_hop'!$C$4,T_Chuyen[Ngày trừ số dư],"&lt;"&amp;'Tong_hop'!$F$4)))</x:f>
      </x:c>
      <x:c r="AA10" s="27" t="str">
        <x:f>IF(P10="","",IF(AC10&gt;0,"n.a.",SUMIFS(T_Chuyen[Còn đang chuyển],T_Chuyen[Sàn],A10,T_Chuyen[Shop],B10)))</x:f>
      </x:c>
      <x:c r="AB10" s="27" t="str">
        <x:f>IF(P10="","",IF(AC10&gt;0,"n.a.",SUMIFS(T_Chuyen[Tiền trừ số dư],T_Chuyen[Sàn],A10,T_Chuyen[Shop],B10,T_Chuyen[Ngày trừ số dư],"&gt;="&amp;'Tong_hop'!$C$4,T_Chuyen[Ngày trừ số dư],"&lt;"&amp;'Tong_hop'!$F$4)))</x:f>
      </x:c>
      <x:c r="AC10" s="28" t="str">
        <x:f>IF(P10="","",IF(R10="",0,1)+COUNTIFS(T_Don[Sàn],A10,T_Don[Shop],B10,T_Don[Kiểm tra dữ liệu],"?*")+COUNTIFS(T_GD[Sàn],A10,T_GD[Shop],B10,T_GD[Kiểm tra dữ liệu],"?*")+COUNTIFS(T_Chuyen[Sàn],A10,T_Chuyen[Shop],B10,T_Chuyen[Kiểm tra dữ liệu],"?*")+COUNTIFS(T_NH[Sàn],A10,T_NH[Shop],B10,T_NH[Kiểm tra dữ liệu],"?*"))</x:f>
      </x:c>
    </x:row>
    <x:row r="11" ht="22" customHeight="1">
      <x:c r="A11" s="10"/>
      <x:c r="B11" s="10"/>
      <x:c r="C11" s="25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10"/>
      <x:c r="O11" s="10"/>
      <x:c r="P11" s="23" t="str">
        <x:f>IF(AND(A11="",B11=""),"",A11&amp;"|"&amp;B11)</x:f>
      </x:c>
      <x:c r="Q11" s="27" t="str">
        <x:f>IF(P11="","",IF(COUNT(F11:J11)=5,SUM(F11:J11),"n.a."))</x:f>
      </x:c>
      <x:c r="R11" s="23" t="str">
        <x:f>IF(COUNTA(A11:O11)=0,"",IF(OR(NOT(OR(A11="TikTok Shop",A11="Shopee",A11="Lazada")),B11="",NOT(ISNUMBER(C11)),COUNT(D11:M11)&lt;&gt;10),"Thiếu/sai số dư",IF(C11&lt;&gt;'Tong_hop'!$F$4-1,"Sai ngày chốt",IF(COUNTIFS(T_SoDu[Khóa shop],P11)&lt;&gt;1,"Trùng shop",IF(AND(N11&lt;&gt;"Đã đủ",N11&lt;&gt;"Chưa"),"Thiếu xác nhận nguồn","")))))</x:f>
      </x:c>
      <x:c r="S11" s="27" t="str">
        <x:f>IF(P11="","",IF(AC11&gt;0,"n.a.",SUMIFS(T_Don[Phải thu gộp],T_Don[Sàn],A11,T_Don[Shop],B11,T_Don[Ngày ghi nhận bán],"&gt;="&amp;'Tong_hop'!$C$4,T_Don[Ngày ghi nhận bán],"&lt;"&amp;'Tong_hop'!$F$4)))</x:f>
      </x:c>
      <x:c r="T11" s="27" t="str">
        <x:f>IF(P11="","",IF(AC11&gt;0,"n.a.",SUMIFS(T_GD[Hoàn tiền shop chịu],T_GD[Sàn],A11,T_GD[Shop],B11,T_GD[Ngày giao dịch sàn],"&gt;="&amp;'Tong_hop'!$C$4,T_GD[Ngày giao dịch sàn],"&lt;"&amp;'Tong_hop'!$F$4)))</x:f>
      </x:c>
      <x:c r="U11" s="27" t="str">
        <x:f>IF(P11="","",IF(AC11&gt;0,"n.a.",SUMIFS(T_GD[Phí sàn cấn trừ],T_GD[Sàn],A11,T_GD[Shop],B11,T_GD[Ngày giao dịch sàn],"&gt;="&amp;'Tong_hop'!$C$4,T_GD[Ngày giao dịch sàn],"&lt;"&amp;'Tong_hop'!$F$4)+SUMIFS(T_GD[Ship shop chịu],T_GD[Sàn],A11,T_GD[Shop],B11,T_GD[Ngày giao dịch sàn],"&gt;="&amp;'Tong_hop'!$C$4,T_GD[Ngày giao dịch sàn],"&lt;"&amp;'Tong_hop'!$F$4)+SUMIFS(T_Chuyen[Phí chuyển đã xác nhận],T_Chuyen[Sàn],A11,T_Chuyen[Shop],B11,T_Chuyen[Ngày trừ số dư],"&gt;="&amp;'Tong_hop'!$C$4,T_Chuyen[Ngày trừ số dư],"&lt;"&amp;'Tong_hop'!$F$4)))</x:f>
      </x:c>
      <x:c r="V11" s="27" t="str">
        <x:f>IF(P11="","",IF(AC11&gt;0,"n.a.",SUMIFS(T_GD[Điều chỉnh khác +/-],T_GD[Sàn],A11,T_GD[Shop],B11,T_GD[Ngày giao dịch sàn],"&gt;="&amp;'Tong_hop'!$C$4,T_GD[Ngày giao dịch sàn],"&lt;"&amp;'Tong_hop'!$F$4)+SUMIFS(T_GD[Nạp vào số dư],T_GD[Sàn],A11,T_GD[Shop],B11,T_GD[Ngày giao dịch sàn],"&gt;="&amp;'Tong_hop'!$C$4,T_GD[Ngày giao dịch sàn],"&lt;"&amp;'Tong_hop'!$F$4)))</x:f>
      </x:c>
      <x:c r="W11" s="27" t="str">
        <x:f>IF(P11="","",IF(AC11&gt;0,"n.a.",SUMIFS(T_NH[Tiền thực nhận],T_NH[Sàn],A11,T_NH[Shop],B11,T_NH[Ngày báo Có],"&gt;="&amp;'Tong_hop'!$C$4,T_NH[Ngày báo Có],"&lt;"&amp;'Tong_hop'!$F$4)))</x:f>
      </x:c>
      <x:c r="X11" s="27" t="str">
        <x:f>IF(P11="","",IF(AC11&gt;0,"n.a.",D11+S11-T11-U11+V11-W11))</x:f>
      </x:c>
      <x:c r="Y11" s="27" t="str">
        <x:f>IF(P11="","",IF(AC11&gt;0,"n.a.",SUMIFS(T_GD[Thực ghi số dư +/-],T_GD[Sàn],A11,T_GD[Shop],B11,T_GD[Ngày giao dịch sàn],"&gt;="&amp;'Tong_hop'!$C$4,T_GD[Ngày giao dịch sàn],"&lt;"&amp;'Tong_hop'!$F$4,T_GD[Nhóm giao dịch],"Quyết toán")))</x:f>
      </x:c>
      <x:c r="Z11" s="27" t="str">
        <x:f>IF(P11="","",IF(AC11&gt;0,"n.a.",E11+SUMIFS(T_GD[Thực ghi số dư +/-],T_GD[Sàn],A11,T_GD[Shop],B11,T_GD[Ngày giao dịch sàn],"&gt;="&amp;'Tong_hop'!$C$4,T_GD[Ngày giao dịch sàn],"&lt;"&amp;'Tong_hop'!$F$4)-SUMIFS(T_Chuyen[Tiền trừ số dư],T_Chuyen[Sàn],A11,T_Chuyen[Shop],B11,T_Chuyen[Ngày trừ số dư],"&gt;="&amp;'Tong_hop'!$C$4,T_Chuyen[Ngày trừ số dư],"&lt;"&amp;'Tong_hop'!$F$4)))</x:f>
      </x:c>
      <x:c r="AA11" s="27" t="str">
        <x:f>IF(P11="","",IF(AC11&gt;0,"n.a.",SUMIFS(T_Chuyen[Còn đang chuyển],T_Chuyen[Sàn],A11,T_Chuyen[Shop],B11)))</x:f>
      </x:c>
      <x:c r="AB11" s="27" t="str">
        <x:f>IF(P11="","",IF(AC11&gt;0,"n.a.",SUMIFS(T_Chuyen[Tiền trừ số dư],T_Chuyen[Sàn],A11,T_Chuyen[Shop],B11,T_Chuyen[Ngày trừ số dư],"&gt;="&amp;'Tong_hop'!$C$4,T_Chuyen[Ngày trừ số dư],"&lt;"&amp;'Tong_hop'!$F$4)))</x:f>
      </x:c>
      <x:c r="AC11" s="28" t="str">
        <x:f>IF(P11="","",IF(R11="",0,1)+COUNTIFS(T_Don[Sàn],A11,T_Don[Shop],B11,T_Don[Kiểm tra dữ liệu],"?*")+COUNTIFS(T_GD[Sàn],A11,T_GD[Shop],B11,T_GD[Kiểm tra dữ liệu],"?*")+COUNTIFS(T_Chuyen[Sàn],A11,T_Chuyen[Shop],B11,T_Chuyen[Kiểm tra dữ liệu],"?*")+COUNTIFS(T_NH[Sàn],A11,T_NH[Shop],B11,T_NH[Kiểm tra dữ liệu],"?*"))</x:f>
      </x:c>
    </x:row>
    <x:row r="12" ht="22" customHeight="1">
      <x:c r="A12" s="10"/>
      <x:c r="B12" s="10"/>
      <x:c r="C12" s="25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10"/>
      <x:c r="O12" s="10"/>
      <x:c r="P12" s="23" t="str">
        <x:f>IF(AND(A12="",B12=""),"",A12&amp;"|"&amp;B12)</x:f>
      </x:c>
      <x:c r="Q12" s="27" t="str">
        <x:f>IF(P12="","",IF(COUNT(F12:J12)=5,SUM(F12:J12),"n.a."))</x:f>
      </x:c>
      <x:c r="R12" s="23" t="str">
        <x:f>IF(COUNTA(A12:O12)=0,"",IF(OR(NOT(OR(A12="TikTok Shop",A12="Shopee",A12="Lazada")),B12="",NOT(ISNUMBER(C12)),COUNT(D12:M12)&lt;&gt;10),"Thiếu/sai số dư",IF(C12&lt;&gt;'Tong_hop'!$F$4-1,"Sai ngày chốt",IF(COUNTIFS(T_SoDu[Khóa shop],P12)&lt;&gt;1,"Trùng shop",IF(AND(N12&lt;&gt;"Đã đủ",N12&lt;&gt;"Chưa"),"Thiếu xác nhận nguồn","")))))</x:f>
      </x:c>
      <x:c r="S12" s="27" t="str">
        <x:f>IF(P12="","",IF(AC12&gt;0,"n.a.",SUMIFS(T_Don[Phải thu gộp],T_Don[Sàn],A12,T_Don[Shop],B12,T_Don[Ngày ghi nhận bán],"&gt;="&amp;'Tong_hop'!$C$4,T_Don[Ngày ghi nhận bán],"&lt;"&amp;'Tong_hop'!$F$4)))</x:f>
      </x:c>
      <x:c r="T12" s="27" t="str">
        <x:f>IF(P12="","",IF(AC12&gt;0,"n.a.",SUMIFS(T_GD[Hoàn tiền shop chịu],T_GD[Sàn],A12,T_GD[Shop],B12,T_GD[Ngày giao dịch sàn],"&gt;="&amp;'Tong_hop'!$C$4,T_GD[Ngày giao dịch sàn],"&lt;"&amp;'Tong_hop'!$F$4)))</x:f>
      </x:c>
      <x:c r="U12" s="27" t="str">
        <x:f>IF(P12="","",IF(AC12&gt;0,"n.a.",SUMIFS(T_GD[Phí sàn cấn trừ],T_GD[Sàn],A12,T_GD[Shop],B12,T_GD[Ngày giao dịch sàn],"&gt;="&amp;'Tong_hop'!$C$4,T_GD[Ngày giao dịch sàn],"&lt;"&amp;'Tong_hop'!$F$4)+SUMIFS(T_GD[Ship shop chịu],T_GD[Sàn],A12,T_GD[Shop],B12,T_GD[Ngày giao dịch sàn],"&gt;="&amp;'Tong_hop'!$C$4,T_GD[Ngày giao dịch sàn],"&lt;"&amp;'Tong_hop'!$F$4)+SUMIFS(T_Chuyen[Phí chuyển đã xác nhận],T_Chuyen[Sàn],A12,T_Chuyen[Shop],B12,T_Chuyen[Ngày trừ số dư],"&gt;="&amp;'Tong_hop'!$C$4,T_Chuyen[Ngày trừ số dư],"&lt;"&amp;'Tong_hop'!$F$4)))</x:f>
      </x:c>
      <x:c r="V12" s="27" t="str">
        <x:f>IF(P12="","",IF(AC12&gt;0,"n.a.",SUMIFS(T_GD[Điều chỉnh khác +/-],T_GD[Sàn],A12,T_GD[Shop],B12,T_GD[Ngày giao dịch sàn],"&gt;="&amp;'Tong_hop'!$C$4,T_GD[Ngày giao dịch sàn],"&lt;"&amp;'Tong_hop'!$F$4)+SUMIFS(T_GD[Nạp vào số dư],T_GD[Sàn],A12,T_GD[Shop],B12,T_GD[Ngày giao dịch sàn],"&gt;="&amp;'Tong_hop'!$C$4,T_GD[Ngày giao dịch sàn],"&lt;"&amp;'Tong_hop'!$F$4)))</x:f>
      </x:c>
      <x:c r="W12" s="27" t="str">
        <x:f>IF(P12="","",IF(AC12&gt;0,"n.a.",SUMIFS(T_NH[Tiền thực nhận],T_NH[Sàn],A12,T_NH[Shop],B12,T_NH[Ngày báo Có],"&gt;="&amp;'Tong_hop'!$C$4,T_NH[Ngày báo Có],"&lt;"&amp;'Tong_hop'!$F$4)))</x:f>
      </x:c>
      <x:c r="X12" s="27" t="str">
        <x:f>IF(P12="","",IF(AC12&gt;0,"n.a.",D12+S12-T12-U12+V12-W12))</x:f>
      </x:c>
      <x:c r="Y12" s="27" t="str">
        <x:f>IF(P12="","",IF(AC12&gt;0,"n.a.",SUMIFS(T_GD[Thực ghi số dư +/-],T_GD[Sàn],A12,T_GD[Shop],B12,T_GD[Ngày giao dịch sàn],"&gt;="&amp;'Tong_hop'!$C$4,T_GD[Ngày giao dịch sàn],"&lt;"&amp;'Tong_hop'!$F$4,T_GD[Nhóm giao dịch],"Quyết toán")))</x:f>
      </x:c>
      <x:c r="Z12" s="27" t="str">
        <x:f>IF(P12="","",IF(AC12&gt;0,"n.a.",E12+SUMIFS(T_GD[Thực ghi số dư +/-],T_GD[Sàn],A12,T_GD[Shop],B12,T_GD[Ngày giao dịch sàn],"&gt;="&amp;'Tong_hop'!$C$4,T_GD[Ngày giao dịch sàn],"&lt;"&amp;'Tong_hop'!$F$4)-SUMIFS(T_Chuyen[Tiền trừ số dư],T_Chuyen[Sàn],A12,T_Chuyen[Shop],B12,T_Chuyen[Ngày trừ số dư],"&gt;="&amp;'Tong_hop'!$C$4,T_Chuyen[Ngày trừ số dư],"&lt;"&amp;'Tong_hop'!$F$4)))</x:f>
      </x:c>
      <x:c r="AA12" s="27" t="str">
        <x:f>IF(P12="","",IF(AC12&gt;0,"n.a.",SUMIFS(T_Chuyen[Còn đang chuyển],T_Chuyen[Sàn],A12,T_Chuyen[Shop],B12)))</x:f>
      </x:c>
      <x:c r="AB12" s="27" t="str">
        <x:f>IF(P12="","",IF(AC12&gt;0,"n.a.",SUMIFS(T_Chuyen[Tiền trừ số dư],T_Chuyen[Sàn],A12,T_Chuyen[Shop],B12,T_Chuyen[Ngày trừ số dư],"&gt;="&amp;'Tong_hop'!$C$4,T_Chuyen[Ngày trừ số dư],"&lt;"&amp;'Tong_hop'!$F$4)))</x:f>
      </x:c>
      <x:c r="AC12" s="28" t="str">
        <x:f>IF(P12="","",IF(R12="",0,1)+COUNTIFS(T_Don[Sàn],A12,T_Don[Shop],B12,T_Don[Kiểm tra dữ liệu],"?*")+COUNTIFS(T_GD[Sàn],A12,T_GD[Shop],B12,T_GD[Kiểm tra dữ liệu],"?*")+COUNTIFS(T_Chuyen[Sàn],A12,T_Chuyen[Shop],B12,T_Chuyen[Kiểm tra dữ liệu],"?*")+COUNTIFS(T_NH[Sàn],A12,T_NH[Shop],B12,T_NH[Kiểm tra dữ liệu],"?*"))</x:f>
      </x:c>
    </x:row>
    <x:row r="13" ht="22" customHeight="1">
      <x:c r="A13" s="10"/>
      <x:c r="B13" s="10"/>
      <x:c r="C13" s="25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10"/>
      <x:c r="O13" s="10"/>
      <x:c r="P13" s="23" t="str">
        <x:f>IF(AND(A13="",B13=""),"",A13&amp;"|"&amp;B13)</x:f>
      </x:c>
      <x:c r="Q13" s="27" t="str">
        <x:f>IF(P13="","",IF(COUNT(F13:J13)=5,SUM(F13:J13),"n.a."))</x:f>
      </x:c>
      <x:c r="R13" s="23" t="str">
        <x:f>IF(COUNTA(A13:O13)=0,"",IF(OR(NOT(OR(A13="TikTok Shop",A13="Shopee",A13="Lazada")),B13="",NOT(ISNUMBER(C13)),COUNT(D13:M13)&lt;&gt;10),"Thiếu/sai số dư",IF(C13&lt;&gt;'Tong_hop'!$F$4-1,"Sai ngày chốt",IF(COUNTIFS(T_SoDu[Khóa shop],P13)&lt;&gt;1,"Trùng shop",IF(AND(N13&lt;&gt;"Đã đủ",N13&lt;&gt;"Chưa"),"Thiếu xác nhận nguồn","")))))</x:f>
      </x:c>
      <x:c r="S13" s="27" t="str">
        <x:f>IF(P13="","",IF(AC13&gt;0,"n.a.",SUMIFS(T_Don[Phải thu gộp],T_Don[Sàn],A13,T_Don[Shop],B13,T_Don[Ngày ghi nhận bán],"&gt;="&amp;'Tong_hop'!$C$4,T_Don[Ngày ghi nhận bán],"&lt;"&amp;'Tong_hop'!$F$4)))</x:f>
      </x:c>
      <x:c r="T13" s="27" t="str">
        <x:f>IF(P13="","",IF(AC13&gt;0,"n.a.",SUMIFS(T_GD[Hoàn tiền shop chịu],T_GD[Sàn],A13,T_GD[Shop],B13,T_GD[Ngày giao dịch sàn],"&gt;="&amp;'Tong_hop'!$C$4,T_GD[Ngày giao dịch sàn],"&lt;"&amp;'Tong_hop'!$F$4)))</x:f>
      </x:c>
      <x:c r="U13" s="27" t="str">
        <x:f>IF(P13="","",IF(AC13&gt;0,"n.a.",SUMIFS(T_GD[Phí sàn cấn trừ],T_GD[Sàn],A13,T_GD[Shop],B13,T_GD[Ngày giao dịch sàn],"&gt;="&amp;'Tong_hop'!$C$4,T_GD[Ngày giao dịch sàn],"&lt;"&amp;'Tong_hop'!$F$4)+SUMIFS(T_GD[Ship shop chịu],T_GD[Sàn],A13,T_GD[Shop],B13,T_GD[Ngày giao dịch sàn],"&gt;="&amp;'Tong_hop'!$C$4,T_GD[Ngày giao dịch sàn],"&lt;"&amp;'Tong_hop'!$F$4)+SUMIFS(T_Chuyen[Phí chuyển đã xác nhận],T_Chuyen[Sàn],A13,T_Chuyen[Shop],B13,T_Chuyen[Ngày trừ số dư],"&gt;="&amp;'Tong_hop'!$C$4,T_Chuyen[Ngày trừ số dư],"&lt;"&amp;'Tong_hop'!$F$4)))</x:f>
      </x:c>
      <x:c r="V13" s="27" t="str">
        <x:f>IF(P13="","",IF(AC13&gt;0,"n.a.",SUMIFS(T_GD[Điều chỉnh khác +/-],T_GD[Sàn],A13,T_GD[Shop],B13,T_GD[Ngày giao dịch sàn],"&gt;="&amp;'Tong_hop'!$C$4,T_GD[Ngày giao dịch sàn],"&lt;"&amp;'Tong_hop'!$F$4)+SUMIFS(T_GD[Nạp vào số dư],T_GD[Sàn],A13,T_GD[Shop],B13,T_GD[Ngày giao dịch sàn],"&gt;="&amp;'Tong_hop'!$C$4,T_GD[Ngày giao dịch sàn],"&lt;"&amp;'Tong_hop'!$F$4)))</x:f>
      </x:c>
      <x:c r="W13" s="27" t="str">
        <x:f>IF(P13="","",IF(AC13&gt;0,"n.a.",SUMIFS(T_NH[Tiền thực nhận],T_NH[Sàn],A13,T_NH[Shop],B13,T_NH[Ngày báo Có],"&gt;="&amp;'Tong_hop'!$C$4,T_NH[Ngày báo Có],"&lt;"&amp;'Tong_hop'!$F$4)))</x:f>
      </x:c>
      <x:c r="X13" s="27" t="str">
        <x:f>IF(P13="","",IF(AC13&gt;0,"n.a.",D13+S13-T13-U13+V13-W13))</x:f>
      </x:c>
      <x:c r="Y13" s="27" t="str">
        <x:f>IF(P13="","",IF(AC13&gt;0,"n.a.",SUMIFS(T_GD[Thực ghi số dư +/-],T_GD[Sàn],A13,T_GD[Shop],B13,T_GD[Ngày giao dịch sàn],"&gt;="&amp;'Tong_hop'!$C$4,T_GD[Ngày giao dịch sàn],"&lt;"&amp;'Tong_hop'!$F$4,T_GD[Nhóm giao dịch],"Quyết toán")))</x:f>
      </x:c>
      <x:c r="Z13" s="27" t="str">
        <x:f>IF(P13="","",IF(AC13&gt;0,"n.a.",E13+SUMIFS(T_GD[Thực ghi số dư +/-],T_GD[Sàn],A13,T_GD[Shop],B13,T_GD[Ngày giao dịch sàn],"&gt;="&amp;'Tong_hop'!$C$4,T_GD[Ngày giao dịch sàn],"&lt;"&amp;'Tong_hop'!$F$4)-SUMIFS(T_Chuyen[Tiền trừ số dư],T_Chuyen[Sàn],A13,T_Chuyen[Shop],B13,T_Chuyen[Ngày trừ số dư],"&gt;="&amp;'Tong_hop'!$C$4,T_Chuyen[Ngày trừ số dư],"&lt;"&amp;'Tong_hop'!$F$4)))</x:f>
      </x:c>
      <x:c r="AA13" s="27" t="str">
        <x:f>IF(P13="","",IF(AC13&gt;0,"n.a.",SUMIFS(T_Chuyen[Còn đang chuyển],T_Chuyen[Sàn],A13,T_Chuyen[Shop],B13)))</x:f>
      </x:c>
      <x:c r="AB13" s="27" t="str">
        <x:f>IF(P13="","",IF(AC13&gt;0,"n.a.",SUMIFS(T_Chuyen[Tiền trừ số dư],T_Chuyen[Sàn],A13,T_Chuyen[Shop],B13,T_Chuyen[Ngày trừ số dư],"&gt;="&amp;'Tong_hop'!$C$4,T_Chuyen[Ngày trừ số dư],"&lt;"&amp;'Tong_hop'!$F$4)))</x:f>
      </x:c>
      <x:c r="AC13" s="28" t="str">
        <x:f>IF(P13="","",IF(R13="",0,1)+COUNTIFS(T_Don[Sàn],A13,T_Don[Shop],B13,T_Don[Kiểm tra dữ liệu],"?*")+COUNTIFS(T_GD[Sàn],A13,T_GD[Shop],B13,T_GD[Kiểm tra dữ liệu],"?*")+COUNTIFS(T_Chuyen[Sàn],A13,T_Chuyen[Shop],B13,T_Chuyen[Kiểm tra dữ liệu],"?*")+COUNTIFS(T_NH[Sàn],A13,T_NH[Shop],B13,T_NH[Kiểm tra dữ liệu],"?*"))</x:f>
      </x:c>
    </x:row>
    <x:row r="14" ht="22" customHeight="1">
      <x:c r="A14" s="10"/>
      <x:c r="B14" s="10"/>
      <x:c r="C14" s="25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10"/>
      <x:c r="O14" s="10"/>
      <x:c r="P14" s="23" t="str">
        <x:f>IF(AND(A14="",B14=""),"",A14&amp;"|"&amp;B14)</x:f>
      </x:c>
      <x:c r="Q14" s="27" t="str">
        <x:f>IF(P14="","",IF(COUNT(F14:J14)=5,SUM(F14:J14),"n.a."))</x:f>
      </x:c>
      <x:c r="R14" s="23" t="str">
        <x:f>IF(COUNTA(A14:O14)=0,"",IF(OR(NOT(OR(A14="TikTok Shop",A14="Shopee",A14="Lazada")),B14="",NOT(ISNUMBER(C14)),COUNT(D14:M14)&lt;&gt;10),"Thiếu/sai số dư",IF(C14&lt;&gt;'Tong_hop'!$F$4-1,"Sai ngày chốt",IF(COUNTIFS(T_SoDu[Khóa shop],P14)&lt;&gt;1,"Trùng shop",IF(AND(N14&lt;&gt;"Đã đủ",N14&lt;&gt;"Chưa"),"Thiếu xác nhận nguồn","")))))</x:f>
      </x:c>
      <x:c r="S14" s="27" t="str">
        <x:f>IF(P14="","",IF(AC14&gt;0,"n.a.",SUMIFS(T_Don[Phải thu gộp],T_Don[Sàn],A14,T_Don[Shop],B14,T_Don[Ngày ghi nhận bán],"&gt;="&amp;'Tong_hop'!$C$4,T_Don[Ngày ghi nhận bán],"&lt;"&amp;'Tong_hop'!$F$4)))</x:f>
      </x:c>
      <x:c r="T14" s="27" t="str">
        <x:f>IF(P14="","",IF(AC14&gt;0,"n.a.",SUMIFS(T_GD[Hoàn tiền shop chịu],T_GD[Sàn],A14,T_GD[Shop],B14,T_GD[Ngày giao dịch sàn],"&gt;="&amp;'Tong_hop'!$C$4,T_GD[Ngày giao dịch sàn],"&lt;"&amp;'Tong_hop'!$F$4)))</x:f>
      </x:c>
      <x:c r="U14" s="27" t="str">
        <x:f>IF(P14="","",IF(AC14&gt;0,"n.a.",SUMIFS(T_GD[Phí sàn cấn trừ],T_GD[Sàn],A14,T_GD[Shop],B14,T_GD[Ngày giao dịch sàn],"&gt;="&amp;'Tong_hop'!$C$4,T_GD[Ngày giao dịch sàn],"&lt;"&amp;'Tong_hop'!$F$4)+SUMIFS(T_GD[Ship shop chịu],T_GD[Sàn],A14,T_GD[Shop],B14,T_GD[Ngày giao dịch sàn],"&gt;="&amp;'Tong_hop'!$C$4,T_GD[Ngày giao dịch sàn],"&lt;"&amp;'Tong_hop'!$F$4)+SUMIFS(T_Chuyen[Phí chuyển đã xác nhận],T_Chuyen[Sàn],A14,T_Chuyen[Shop],B14,T_Chuyen[Ngày trừ số dư],"&gt;="&amp;'Tong_hop'!$C$4,T_Chuyen[Ngày trừ số dư],"&lt;"&amp;'Tong_hop'!$F$4)))</x:f>
      </x:c>
      <x:c r="V14" s="27" t="str">
        <x:f>IF(P14="","",IF(AC14&gt;0,"n.a.",SUMIFS(T_GD[Điều chỉnh khác +/-],T_GD[Sàn],A14,T_GD[Shop],B14,T_GD[Ngày giao dịch sàn],"&gt;="&amp;'Tong_hop'!$C$4,T_GD[Ngày giao dịch sàn],"&lt;"&amp;'Tong_hop'!$F$4)+SUMIFS(T_GD[Nạp vào số dư],T_GD[Sàn],A14,T_GD[Shop],B14,T_GD[Ngày giao dịch sàn],"&gt;="&amp;'Tong_hop'!$C$4,T_GD[Ngày giao dịch sàn],"&lt;"&amp;'Tong_hop'!$F$4)))</x:f>
      </x:c>
      <x:c r="W14" s="27" t="str">
        <x:f>IF(P14="","",IF(AC14&gt;0,"n.a.",SUMIFS(T_NH[Tiền thực nhận],T_NH[Sàn],A14,T_NH[Shop],B14,T_NH[Ngày báo Có],"&gt;="&amp;'Tong_hop'!$C$4,T_NH[Ngày báo Có],"&lt;"&amp;'Tong_hop'!$F$4)))</x:f>
      </x:c>
      <x:c r="X14" s="27" t="str">
        <x:f>IF(P14="","",IF(AC14&gt;0,"n.a.",D14+S14-T14-U14+V14-W14))</x:f>
      </x:c>
      <x:c r="Y14" s="27" t="str">
        <x:f>IF(P14="","",IF(AC14&gt;0,"n.a.",SUMIFS(T_GD[Thực ghi số dư +/-],T_GD[Sàn],A14,T_GD[Shop],B14,T_GD[Ngày giao dịch sàn],"&gt;="&amp;'Tong_hop'!$C$4,T_GD[Ngày giao dịch sàn],"&lt;"&amp;'Tong_hop'!$F$4,T_GD[Nhóm giao dịch],"Quyết toán")))</x:f>
      </x:c>
      <x:c r="Z14" s="27" t="str">
        <x:f>IF(P14="","",IF(AC14&gt;0,"n.a.",E14+SUMIFS(T_GD[Thực ghi số dư +/-],T_GD[Sàn],A14,T_GD[Shop],B14,T_GD[Ngày giao dịch sàn],"&gt;="&amp;'Tong_hop'!$C$4,T_GD[Ngày giao dịch sàn],"&lt;"&amp;'Tong_hop'!$F$4)-SUMIFS(T_Chuyen[Tiền trừ số dư],T_Chuyen[Sàn],A14,T_Chuyen[Shop],B14,T_Chuyen[Ngày trừ số dư],"&gt;="&amp;'Tong_hop'!$C$4,T_Chuyen[Ngày trừ số dư],"&lt;"&amp;'Tong_hop'!$F$4)))</x:f>
      </x:c>
      <x:c r="AA14" s="27" t="str">
        <x:f>IF(P14="","",IF(AC14&gt;0,"n.a.",SUMIFS(T_Chuyen[Còn đang chuyển],T_Chuyen[Sàn],A14,T_Chuyen[Shop],B14)))</x:f>
      </x:c>
      <x:c r="AB14" s="27" t="str">
        <x:f>IF(P14="","",IF(AC14&gt;0,"n.a.",SUMIFS(T_Chuyen[Tiền trừ số dư],T_Chuyen[Sàn],A14,T_Chuyen[Shop],B14,T_Chuyen[Ngày trừ số dư],"&gt;="&amp;'Tong_hop'!$C$4,T_Chuyen[Ngày trừ số dư],"&lt;"&amp;'Tong_hop'!$F$4)))</x:f>
      </x:c>
      <x:c r="AC14" s="28" t="str">
        <x:f>IF(P14="","",IF(R14="",0,1)+COUNTIFS(T_Don[Sàn],A14,T_Don[Shop],B14,T_Don[Kiểm tra dữ liệu],"?*")+COUNTIFS(T_GD[Sàn],A14,T_GD[Shop],B14,T_GD[Kiểm tra dữ liệu],"?*")+COUNTIFS(T_Chuyen[Sàn],A14,T_Chuyen[Shop],B14,T_Chuyen[Kiểm tra dữ liệu],"?*")+COUNTIFS(T_NH[Sàn],A14,T_NH[Shop],B14,T_NH[Kiểm tra dữ liệu],"?*"))</x:f>
      </x:c>
    </x:row>
    <x:row r="15" ht="22" customHeight="1">
      <x:c r="A15" s="10"/>
      <x:c r="B15" s="10"/>
      <x:c r="C15" s="25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10"/>
      <x:c r="O15" s="10"/>
      <x:c r="P15" s="23" t="str">
        <x:f>IF(AND(A15="",B15=""),"",A15&amp;"|"&amp;B15)</x:f>
      </x:c>
      <x:c r="Q15" s="27" t="str">
        <x:f>IF(P15="","",IF(COUNT(F15:J15)=5,SUM(F15:J15),"n.a."))</x:f>
      </x:c>
      <x:c r="R15" s="23" t="str">
        <x:f>IF(COUNTA(A15:O15)=0,"",IF(OR(NOT(OR(A15="TikTok Shop",A15="Shopee",A15="Lazada")),B15="",NOT(ISNUMBER(C15)),COUNT(D15:M15)&lt;&gt;10),"Thiếu/sai số dư",IF(C15&lt;&gt;'Tong_hop'!$F$4-1,"Sai ngày chốt",IF(COUNTIFS(T_SoDu[Khóa shop],P15)&lt;&gt;1,"Trùng shop",IF(AND(N15&lt;&gt;"Đã đủ",N15&lt;&gt;"Chưa"),"Thiếu xác nhận nguồn","")))))</x:f>
      </x:c>
      <x:c r="S15" s="27" t="str">
        <x:f>IF(P15="","",IF(AC15&gt;0,"n.a.",SUMIFS(T_Don[Phải thu gộp],T_Don[Sàn],A15,T_Don[Shop],B15,T_Don[Ngày ghi nhận bán],"&gt;="&amp;'Tong_hop'!$C$4,T_Don[Ngày ghi nhận bán],"&lt;"&amp;'Tong_hop'!$F$4)))</x:f>
      </x:c>
      <x:c r="T15" s="27" t="str">
        <x:f>IF(P15="","",IF(AC15&gt;0,"n.a.",SUMIFS(T_GD[Hoàn tiền shop chịu],T_GD[Sàn],A15,T_GD[Shop],B15,T_GD[Ngày giao dịch sàn],"&gt;="&amp;'Tong_hop'!$C$4,T_GD[Ngày giao dịch sàn],"&lt;"&amp;'Tong_hop'!$F$4)))</x:f>
      </x:c>
      <x:c r="U15" s="27" t="str">
        <x:f>IF(P15="","",IF(AC15&gt;0,"n.a.",SUMIFS(T_GD[Phí sàn cấn trừ],T_GD[Sàn],A15,T_GD[Shop],B15,T_GD[Ngày giao dịch sàn],"&gt;="&amp;'Tong_hop'!$C$4,T_GD[Ngày giao dịch sàn],"&lt;"&amp;'Tong_hop'!$F$4)+SUMIFS(T_GD[Ship shop chịu],T_GD[Sàn],A15,T_GD[Shop],B15,T_GD[Ngày giao dịch sàn],"&gt;="&amp;'Tong_hop'!$C$4,T_GD[Ngày giao dịch sàn],"&lt;"&amp;'Tong_hop'!$F$4)+SUMIFS(T_Chuyen[Phí chuyển đã xác nhận],T_Chuyen[Sàn],A15,T_Chuyen[Shop],B15,T_Chuyen[Ngày trừ số dư],"&gt;="&amp;'Tong_hop'!$C$4,T_Chuyen[Ngày trừ số dư],"&lt;"&amp;'Tong_hop'!$F$4)))</x:f>
      </x:c>
      <x:c r="V15" s="27" t="str">
        <x:f>IF(P15="","",IF(AC15&gt;0,"n.a.",SUMIFS(T_GD[Điều chỉnh khác +/-],T_GD[Sàn],A15,T_GD[Shop],B15,T_GD[Ngày giao dịch sàn],"&gt;="&amp;'Tong_hop'!$C$4,T_GD[Ngày giao dịch sàn],"&lt;"&amp;'Tong_hop'!$F$4)+SUMIFS(T_GD[Nạp vào số dư],T_GD[Sàn],A15,T_GD[Shop],B15,T_GD[Ngày giao dịch sàn],"&gt;="&amp;'Tong_hop'!$C$4,T_GD[Ngày giao dịch sàn],"&lt;"&amp;'Tong_hop'!$F$4)))</x:f>
      </x:c>
      <x:c r="W15" s="27" t="str">
        <x:f>IF(P15="","",IF(AC15&gt;0,"n.a.",SUMIFS(T_NH[Tiền thực nhận],T_NH[Sàn],A15,T_NH[Shop],B15,T_NH[Ngày báo Có],"&gt;="&amp;'Tong_hop'!$C$4,T_NH[Ngày báo Có],"&lt;"&amp;'Tong_hop'!$F$4)))</x:f>
      </x:c>
      <x:c r="X15" s="27" t="str">
        <x:f>IF(P15="","",IF(AC15&gt;0,"n.a.",D15+S15-T15-U15+V15-W15))</x:f>
      </x:c>
      <x:c r="Y15" s="27" t="str">
        <x:f>IF(P15="","",IF(AC15&gt;0,"n.a.",SUMIFS(T_GD[Thực ghi số dư +/-],T_GD[Sàn],A15,T_GD[Shop],B15,T_GD[Ngày giao dịch sàn],"&gt;="&amp;'Tong_hop'!$C$4,T_GD[Ngày giao dịch sàn],"&lt;"&amp;'Tong_hop'!$F$4,T_GD[Nhóm giao dịch],"Quyết toán")))</x:f>
      </x:c>
      <x:c r="Z15" s="27" t="str">
        <x:f>IF(P15="","",IF(AC15&gt;0,"n.a.",E15+SUMIFS(T_GD[Thực ghi số dư +/-],T_GD[Sàn],A15,T_GD[Shop],B15,T_GD[Ngày giao dịch sàn],"&gt;="&amp;'Tong_hop'!$C$4,T_GD[Ngày giao dịch sàn],"&lt;"&amp;'Tong_hop'!$F$4)-SUMIFS(T_Chuyen[Tiền trừ số dư],T_Chuyen[Sàn],A15,T_Chuyen[Shop],B15,T_Chuyen[Ngày trừ số dư],"&gt;="&amp;'Tong_hop'!$C$4,T_Chuyen[Ngày trừ số dư],"&lt;"&amp;'Tong_hop'!$F$4)))</x:f>
      </x:c>
      <x:c r="AA15" s="27" t="str">
        <x:f>IF(P15="","",IF(AC15&gt;0,"n.a.",SUMIFS(T_Chuyen[Còn đang chuyển],T_Chuyen[Sàn],A15,T_Chuyen[Shop],B15)))</x:f>
      </x:c>
      <x:c r="AB15" s="27" t="str">
        <x:f>IF(P15="","",IF(AC15&gt;0,"n.a.",SUMIFS(T_Chuyen[Tiền trừ số dư],T_Chuyen[Sàn],A15,T_Chuyen[Shop],B15,T_Chuyen[Ngày trừ số dư],"&gt;="&amp;'Tong_hop'!$C$4,T_Chuyen[Ngày trừ số dư],"&lt;"&amp;'Tong_hop'!$F$4)))</x:f>
      </x:c>
      <x:c r="AC15" s="28" t="str">
        <x:f>IF(P15="","",IF(R15="",0,1)+COUNTIFS(T_Don[Sàn],A15,T_Don[Shop],B15,T_Don[Kiểm tra dữ liệu],"?*")+COUNTIFS(T_GD[Sàn],A15,T_GD[Shop],B15,T_GD[Kiểm tra dữ liệu],"?*")+COUNTIFS(T_Chuyen[Sàn],A15,T_Chuyen[Shop],B15,T_Chuyen[Kiểm tra dữ liệu],"?*")+COUNTIFS(T_NH[Sàn],A15,T_NH[Shop],B15,T_NH[Kiểm tra dữ liệu],"?*"))</x:f>
      </x:c>
    </x:row>
    <x:row r="16" ht="22" customHeight="1">
      <x:c r="A16" s="10"/>
      <x:c r="B16" s="10"/>
      <x:c r="C16" s="25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10"/>
      <x:c r="O16" s="10"/>
      <x:c r="P16" s="23" t="str">
        <x:f>IF(AND(A16="",B16=""),"",A16&amp;"|"&amp;B16)</x:f>
      </x:c>
      <x:c r="Q16" s="27" t="str">
        <x:f>IF(P16="","",IF(COUNT(F16:J16)=5,SUM(F16:J16),"n.a."))</x:f>
      </x:c>
      <x:c r="R16" s="23" t="str">
        <x:f>IF(COUNTA(A16:O16)=0,"",IF(OR(NOT(OR(A16="TikTok Shop",A16="Shopee",A16="Lazada")),B16="",NOT(ISNUMBER(C16)),COUNT(D16:M16)&lt;&gt;10),"Thiếu/sai số dư",IF(C16&lt;&gt;'Tong_hop'!$F$4-1,"Sai ngày chốt",IF(COUNTIFS(T_SoDu[Khóa shop],P16)&lt;&gt;1,"Trùng shop",IF(AND(N16&lt;&gt;"Đã đủ",N16&lt;&gt;"Chưa"),"Thiếu xác nhận nguồn","")))))</x:f>
      </x:c>
      <x:c r="S16" s="27" t="str">
        <x:f>IF(P16="","",IF(AC16&gt;0,"n.a.",SUMIFS(T_Don[Phải thu gộp],T_Don[Sàn],A16,T_Don[Shop],B16,T_Don[Ngày ghi nhận bán],"&gt;="&amp;'Tong_hop'!$C$4,T_Don[Ngày ghi nhận bán],"&lt;"&amp;'Tong_hop'!$F$4)))</x:f>
      </x:c>
      <x:c r="T16" s="27" t="str">
        <x:f>IF(P16="","",IF(AC16&gt;0,"n.a.",SUMIFS(T_GD[Hoàn tiền shop chịu],T_GD[Sàn],A16,T_GD[Shop],B16,T_GD[Ngày giao dịch sàn],"&gt;="&amp;'Tong_hop'!$C$4,T_GD[Ngày giao dịch sàn],"&lt;"&amp;'Tong_hop'!$F$4)))</x:f>
      </x:c>
      <x:c r="U16" s="27" t="str">
        <x:f>IF(P16="","",IF(AC16&gt;0,"n.a.",SUMIFS(T_GD[Phí sàn cấn trừ],T_GD[Sàn],A16,T_GD[Shop],B16,T_GD[Ngày giao dịch sàn],"&gt;="&amp;'Tong_hop'!$C$4,T_GD[Ngày giao dịch sàn],"&lt;"&amp;'Tong_hop'!$F$4)+SUMIFS(T_GD[Ship shop chịu],T_GD[Sàn],A16,T_GD[Shop],B16,T_GD[Ngày giao dịch sàn],"&gt;="&amp;'Tong_hop'!$C$4,T_GD[Ngày giao dịch sàn],"&lt;"&amp;'Tong_hop'!$F$4)+SUMIFS(T_Chuyen[Phí chuyển đã xác nhận],T_Chuyen[Sàn],A16,T_Chuyen[Shop],B16,T_Chuyen[Ngày trừ số dư],"&gt;="&amp;'Tong_hop'!$C$4,T_Chuyen[Ngày trừ số dư],"&lt;"&amp;'Tong_hop'!$F$4)))</x:f>
      </x:c>
      <x:c r="V16" s="27" t="str">
        <x:f>IF(P16="","",IF(AC16&gt;0,"n.a.",SUMIFS(T_GD[Điều chỉnh khác +/-],T_GD[Sàn],A16,T_GD[Shop],B16,T_GD[Ngày giao dịch sàn],"&gt;="&amp;'Tong_hop'!$C$4,T_GD[Ngày giao dịch sàn],"&lt;"&amp;'Tong_hop'!$F$4)+SUMIFS(T_GD[Nạp vào số dư],T_GD[Sàn],A16,T_GD[Shop],B16,T_GD[Ngày giao dịch sàn],"&gt;="&amp;'Tong_hop'!$C$4,T_GD[Ngày giao dịch sàn],"&lt;"&amp;'Tong_hop'!$F$4)))</x:f>
      </x:c>
      <x:c r="W16" s="27" t="str">
        <x:f>IF(P16="","",IF(AC16&gt;0,"n.a.",SUMIFS(T_NH[Tiền thực nhận],T_NH[Sàn],A16,T_NH[Shop],B16,T_NH[Ngày báo Có],"&gt;="&amp;'Tong_hop'!$C$4,T_NH[Ngày báo Có],"&lt;"&amp;'Tong_hop'!$F$4)))</x:f>
      </x:c>
      <x:c r="X16" s="27" t="str">
        <x:f>IF(P16="","",IF(AC16&gt;0,"n.a.",D16+S16-T16-U16+V16-W16))</x:f>
      </x:c>
      <x:c r="Y16" s="27" t="str">
        <x:f>IF(P16="","",IF(AC16&gt;0,"n.a.",SUMIFS(T_GD[Thực ghi số dư +/-],T_GD[Sàn],A16,T_GD[Shop],B16,T_GD[Ngày giao dịch sàn],"&gt;="&amp;'Tong_hop'!$C$4,T_GD[Ngày giao dịch sàn],"&lt;"&amp;'Tong_hop'!$F$4,T_GD[Nhóm giao dịch],"Quyết toán")))</x:f>
      </x:c>
      <x:c r="Z16" s="27" t="str">
        <x:f>IF(P16="","",IF(AC16&gt;0,"n.a.",E16+SUMIFS(T_GD[Thực ghi số dư +/-],T_GD[Sàn],A16,T_GD[Shop],B16,T_GD[Ngày giao dịch sàn],"&gt;="&amp;'Tong_hop'!$C$4,T_GD[Ngày giao dịch sàn],"&lt;"&amp;'Tong_hop'!$F$4)-SUMIFS(T_Chuyen[Tiền trừ số dư],T_Chuyen[Sàn],A16,T_Chuyen[Shop],B16,T_Chuyen[Ngày trừ số dư],"&gt;="&amp;'Tong_hop'!$C$4,T_Chuyen[Ngày trừ số dư],"&lt;"&amp;'Tong_hop'!$F$4)))</x:f>
      </x:c>
      <x:c r="AA16" s="27" t="str">
        <x:f>IF(P16="","",IF(AC16&gt;0,"n.a.",SUMIFS(T_Chuyen[Còn đang chuyển],T_Chuyen[Sàn],A16,T_Chuyen[Shop],B16)))</x:f>
      </x:c>
      <x:c r="AB16" s="27" t="str">
        <x:f>IF(P16="","",IF(AC16&gt;0,"n.a.",SUMIFS(T_Chuyen[Tiền trừ số dư],T_Chuyen[Sàn],A16,T_Chuyen[Shop],B16,T_Chuyen[Ngày trừ số dư],"&gt;="&amp;'Tong_hop'!$C$4,T_Chuyen[Ngày trừ số dư],"&lt;"&amp;'Tong_hop'!$F$4)))</x:f>
      </x:c>
      <x:c r="AC16" s="28" t="str">
        <x:f>IF(P16="","",IF(R16="",0,1)+COUNTIFS(T_Don[Sàn],A16,T_Don[Shop],B16,T_Don[Kiểm tra dữ liệu],"?*")+COUNTIFS(T_GD[Sàn],A16,T_GD[Shop],B16,T_GD[Kiểm tra dữ liệu],"?*")+COUNTIFS(T_Chuyen[Sàn],A16,T_Chuyen[Shop],B16,T_Chuyen[Kiểm tra dữ liệu],"?*")+COUNTIFS(T_NH[Sàn],A16,T_NH[Shop],B16,T_NH[Kiểm tra dữ liệu],"?*"))</x:f>
      </x:c>
    </x:row>
    <x:row r="17" ht="22" customHeight="1">
      <x:c r="A17" s="10"/>
      <x:c r="B17" s="10"/>
      <x:c r="C17" s="25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10"/>
      <x:c r="O17" s="10"/>
      <x:c r="P17" s="23" t="str">
        <x:f>IF(AND(A17="",B17=""),"",A17&amp;"|"&amp;B17)</x:f>
      </x:c>
      <x:c r="Q17" s="27" t="str">
        <x:f>IF(P17="","",IF(COUNT(F17:J17)=5,SUM(F17:J17),"n.a."))</x:f>
      </x:c>
      <x:c r="R17" s="23" t="str">
        <x:f>IF(COUNTA(A17:O17)=0,"",IF(OR(NOT(OR(A17="TikTok Shop",A17="Shopee",A17="Lazada")),B17="",NOT(ISNUMBER(C17)),COUNT(D17:M17)&lt;&gt;10),"Thiếu/sai số dư",IF(C17&lt;&gt;'Tong_hop'!$F$4-1,"Sai ngày chốt",IF(COUNTIFS(T_SoDu[Khóa shop],P17)&lt;&gt;1,"Trùng shop",IF(AND(N17&lt;&gt;"Đã đủ",N17&lt;&gt;"Chưa"),"Thiếu xác nhận nguồn","")))))</x:f>
      </x:c>
      <x:c r="S17" s="27" t="str">
        <x:f>IF(P17="","",IF(AC17&gt;0,"n.a.",SUMIFS(T_Don[Phải thu gộp],T_Don[Sàn],A17,T_Don[Shop],B17,T_Don[Ngày ghi nhận bán],"&gt;="&amp;'Tong_hop'!$C$4,T_Don[Ngày ghi nhận bán],"&lt;"&amp;'Tong_hop'!$F$4)))</x:f>
      </x:c>
      <x:c r="T17" s="27" t="str">
        <x:f>IF(P17="","",IF(AC17&gt;0,"n.a.",SUMIFS(T_GD[Hoàn tiền shop chịu],T_GD[Sàn],A17,T_GD[Shop],B17,T_GD[Ngày giao dịch sàn],"&gt;="&amp;'Tong_hop'!$C$4,T_GD[Ngày giao dịch sàn],"&lt;"&amp;'Tong_hop'!$F$4)))</x:f>
      </x:c>
      <x:c r="U17" s="27" t="str">
        <x:f>IF(P17="","",IF(AC17&gt;0,"n.a.",SUMIFS(T_GD[Phí sàn cấn trừ],T_GD[Sàn],A17,T_GD[Shop],B17,T_GD[Ngày giao dịch sàn],"&gt;="&amp;'Tong_hop'!$C$4,T_GD[Ngày giao dịch sàn],"&lt;"&amp;'Tong_hop'!$F$4)+SUMIFS(T_GD[Ship shop chịu],T_GD[Sàn],A17,T_GD[Shop],B17,T_GD[Ngày giao dịch sàn],"&gt;="&amp;'Tong_hop'!$C$4,T_GD[Ngày giao dịch sàn],"&lt;"&amp;'Tong_hop'!$F$4)+SUMIFS(T_Chuyen[Phí chuyển đã xác nhận],T_Chuyen[Sàn],A17,T_Chuyen[Shop],B17,T_Chuyen[Ngày trừ số dư],"&gt;="&amp;'Tong_hop'!$C$4,T_Chuyen[Ngày trừ số dư],"&lt;"&amp;'Tong_hop'!$F$4)))</x:f>
      </x:c>
      <x:c r="V17" s="27" t="str">
        <x:f>IF(P17="","",IF(AC17&gt;0,"n.a.",SUMIFS(T_GD[Điều chỉnh khác +/-],T_GD[Sàn],A17,T_GD[Shop],B17,T_GD[Ngày giao dịch sàn],"&gt;="&amp;'Tong_hop'!$C$4,T_GD[Ngày giao dịch sàn],"&lt;"&amp;'Tong_hop'!$F$4)+SUMIFS(T_GD[Nạp vào số dư],T_GD[Sàn],A17,T_GD[Shop],B17,T_GD[Ngày giao dịch sàn],"&gt;="&amp;'Tong_hop'!$C$4,T_GD[Ngày giao dịch sàn],"&lt;"&amp;'Tong_hop'!$F$4)))</x:f>
      </x:c>
      <x:c r="W17" s="27" t="str">
        <x:f>IF(P17="","",IF(AC17&gt;0,"n.a.",SUMIFS(T_NH[Tiền thực nhận],T_NH[Sàn],A17,T_NH[Shop],B17,T_NH[Ngày báo Có],"&gt;="&amp;'Tong_hop'!$C$4,T_NH[Ngày báo Có],"&lt;"&amp;'Tong_hop'!$F$4)))</x:f>
      </x:c>
      <x:c r="X17" s="27" t="str">
        <x:f>IF(P17="","",IF(AC17&gt;0,"n.a.",D17+S17-T17-U17+V17-W17))</x:f>
      </x:c>
      <x:c r="Y17" s="27" t="str">
        <x:f>IF(P17="","",IF(AC17&gt;0,"n.a.",SUMIFS(T_GD[Thực ghi số dư +/-],T_GD[Sàn],A17,T_GD[Shop],B17,T_GD[Ngày giao dịch sàn],"&gt;="&amp;'Tong_hop'!$C$4,T_GD[Ngày giao dịch sàn],"&lt;"&amp;'Tong_hop'!$F$4,T_GD[Nhóm giao dịch],"Quyết toán")))</x:f>
      </x:c>
      <x:c r="Z17" s="27" t="str">
        <x:f>IF(P17="","",IF(AC17&gt;0,"n.a.",E17+SUMIFS(T_GD[Thực ghi số dư +/-],T_GD[Sàn],A17,T_GD[Shop],B17,T_GD[Ngày giao dịch sàn],"&gt;="&amp;'Tong_hop'!$C$4,T_GD[Ngày giao dịch sàn],"&lt;"&amp;'Tong_hop'!$F$4)-SUMIFS(T_Chuyen[Tiền trừ số dư],T_Chuyen[Sàn],A17,T_Chuyen[Shop],B17,T_Chuyen[Ngày trừ số dư],"&gt;="&amp;'Tong_hop'!$C$4,T_Chuyen[Ngày trừ số dư],"&lt;"&amp;'Tong_hop'!$F$4)))</x:f>
      </x:c>
      <x:c r="AA17" s="27" t="str">
        <x:f>IF(P17="","",IF(AC17&gt;0,"n.a.",SUMIFS(T_Chuyen[Còn đang chuyển],T_Chuyen[Sàn],A17,T_Chuyen[Shop],B17)))</x:f>
      </x:c>
      <x:c r="AB17" s="27" t="str">
        <x:f>IF(P17="","",IF(AC17&gt;0,"n.a.",SUMIFS(T_Chuyen[Tiền trừ số dư],T_Chuyen[Sàn],A17,T_Chuyen[Shop],B17,T_Chuyen[Ngày trừ số dư],"&gt;="&amp;'Tong_hop'!$C$4,T_Chuyen[Ngày trừ số dư],"&lt;"&amp;'Tong_hop'!$F$4)))</x:f>
      </x:c>
      <x:c r="AC17" s="28" t="str">
        <x:f>IF(P17="","",IF(R17="",0,1)+COUNTIFS(T_Don[Sàn],A17,T_Don[Shop],B17,T_Don[Kiểm tra dữ liệu],"?*")+COUNTIFS(T_GD[Sàn],A17,T_GD[Shop],B17,T_GD[Kiểm tra dữ liệu],"?*")+COUNTIFS(T_Chuyen[Sàn],A17,T_Chuyen[Shop],B17,T_Chuyen[Kiểm tra dữ liệu],"?*")+COUNTIFS(T_NH[Sàn],A17,T_NH[Shop],B17,T_NH[Kiểm tra dữ liệu],"?*"))</x:f>
      </x:c>
    </x:row>
    <x:row r="18" ht="22" customHeight="1">
      <x:c r="A18" s="10"/>
      <x:c r="B18" s="10"/>
      <x:c r="C18" s="25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10"/>
      <x:c r="O18" s="10"/>
      <x:c r="P18" s="23" t="str">
        <x:f>IF(AND(A18="",B18=""),"",A18&amp;"|"&amp;B18)</x:f>
      </x:c>
      <x:c r="Q18" s="27" t="str">
        <x:f>IF(P18="","",IF(COUNT(F18:J18)=5,SUM(F18:J18),"n.a."))</x:f>
      </x:c>
      <x:c r="R18" s="23" t="str">
        <x:f>IF(COUNTA(A18:O18)=0,"",IF(OR(NOT(OR(A18="TikTok Shop",A18="Shopee",A18="Lazada")),B18="",NOT(ISNUMBER(C18)),COUNT(D18:M18)&lt;&gt;10),"Thiếu/sai số dư",IF(C18&lt;&gt;'Tong_hop'!$F$4-1,"Sai ngày chốt",IF(COUNTIFS(T_SoDu[Khóa shop],P18)&lt;&gt;1,"Trùng shop",IF(AND(N18&lt;&gt;"Đã đủ",N18&lt;&gt;"Chưa"),"Thiếu xác nhận nguồn","")))))</x:f>
      </x:c>
      <x:c r="S18" s="27" t="str">
        <x:f>IF(P18="","",IF(AC18&gt;0,"n.a.",SUMIFS(T_Don[Phải thu gộp],T_Don[Sàn],A18,T_Don[Shop],B18,T_Don[Ngày ghi nhận bán],"&gt;="&amp;'Tong_hop'!$C$4,T_Don[Ngày ghi nhận bán],"&lt;"&amp;'Tong_hop'!$F$4)))</x:f>
      </x:c>
      <x:c r="T18" s="27" t="str">
        <x:f>IF(P18="","",IF(AC18&gt;0,"n.a.",SUMIFS(T_GD[Hoàn tiền shop chịu],T_GD[Sàn],A18,T_GD[Shop],B18,T_GD[Ngày giao dịch sàn],"&gt;="&amp;'Tong_hop'!$C$4,T_GD[Ngày giao dịch sàn],"&lt;"&amp;'Tong_hop'!$F$4)))</x:f>
      </x:c>
      <x:c r="U18" s="27" t="str">
        <x:f>IF(P18="","",IF(AC18&gt;0,"n.a.",SUMIFS(T_GD[Phí sàn cấn trừ],T_GD[Sàn],A18,T_GD[Shop],B18,T_GD[Ngày giao dịch sàn],"&gt;="&amp;'Tong_hop'!$C$4,T_GD[Ngày giao dịch sàn],"&lt;"&amp;'Tong_hop'!$F$4)+SUMIFS(T_GD[Ship shop chịu],T_GD[Sàn],A18,T_GD[Shop],B18,T_GD[Ngày giao dịch sàn],"&gt;="&amp;'Tong_hop'!$C$4,T_GD[Ngày giao dịch sàn],"&lt;"&amp;'Tong_hop'!$F$4)+SUMIFS(T_Chuyen[Phí chuyển đã xác nhận],T_Chuyen[Sàn],A18,T_Chuyen[Shop],B18,T_Chuyen[Ngày trừ số dư],"&gt;="&amp;'Tong_hop'!$C$4,T_Chuyen[Ngày trừ số dư],"&lt;"&amp;'Tong_hop'!$F$4)))</x:f>
      </x:c>
      <x:c r="V18" s="27" t="str">
        <x:f>IF(P18="","",IF(AC18&gt;0,"n.a.",SUMIFS(T_GD[Điều chỉnh khác +/-],T_GD[Sàn],A18,T_GD[Shop],B18,T_GD[Ngày giao dịch sàn],"&gt;="&amp;'Tong_hop'!$C$4,T_GD[Ngày giao dịch sàn],"&lt;"&amp;'Tong_hop'!$F$4)+SUMIFS(T_GD[Nạp vào số dư],T_GD[Sàn],A18,T_GD[Shop],B18,T_GD[Ngày giao dịch sàn],"&gt;="&amp;'Tong_hop'!$C$4,T_GD[Ngày giao dịch sàn],"&lt;"&amp;'Tong_hop'!$F$4)))</x:f>
      </x:c>
      <x:c r="W18" s="27" t="str">
        <x:f>IF(P18="","",IF(AC18&gt;0,"n.a.",SUMIFS(T_NH[Tiền thực nhận],T_NH[Sàn],A18,T_NH[Shop],B18,T_NH[Ngày báo Có],"&gt;="&amp;'Tong_hop'!$C$4,T_NH[Ngày báo Có],"&lt;"&amp;'Tong_hop'!$F$4)))</x:f>
      </x:c>
      <x:c r="X18" s="27" t="str">
        <x:f>IF(P18="","",IF(AC18&gt;0,"n.a.",D18+S18-T18-U18+V18-W18))</x:f>
      </x:c>
      <x:c r="Y18" s="27" t="str">
        <x:f>IF(P18="","",IF(AC18&gt;0,"n.a.",SUMIFS(T_GD[Thực ghi số dư +/-],T_GD[Sàn],A18,T_GD[Shop],B18,T_GD[Ngày giao dịch sàn],"&gt;="&amp;'Tong_hop'!$C$4,T_GD[Ngày giao dịch sàn],"&lt;"&amp;'Tong_hop'!$F$4,T_GD[Nhóm giao dịch],"Quyết toán")))</x:f>
      </x:c>
      <x:c r="Z18" s="27" t="str">
        <x:f>IF(P18="","",IF(AC18&gt;0,"n.a.",E18+SUMIFS(T_GD[Thực ghi số dư +/-],T_GD[Sàn],A18,T_GD[Shop],B18,T_GD[Ngày giao dịch sàn],"&gt;="&amp;'Tong_hop'!$C$4,T_GD[Ngày giao dịch sàn],"&lt;"&amp;'Tong_hop'!$F$4)-SUMIFS(T_Chuyen[Tiền trừ số dư],T_Chuyen[Sàn],A18,T_Chuyen[Shop],B18,T_Chuyen[Ngày trừ số dư],"&gt;="&amp;'Tong_hop'!$C$4,T_Chuyen[Ngày trừ số dư],"&lt;"&amp;'Tong_hop'!$F$4)))</x:f>
      </x:c>
      <x:c r="AA18" s="27" t="str">
        <x:f>IF(P18="","",IF(AC18&gt;0,"n.a.",SUMIFS(T_Chuyen[Còn đang chuyển],T_Chuyen[Sàn],A18,T_Chuyen[Shop],B18)))</x:f>
      </x:c>
      <x:c r="AB18" s="27" t="str">
        <x:f>IF(P18="","",IF(AC18&gt;0,"n.a.",SUMIFS(T_Chuyen[Tiền trừ số dư],T_Chuyen[Sàn],A18,T_Chuyen[Shop],B18,T_Chuyen[Ngày trừ số dư],"&gt;="&amp;'Tong_hop'!$C$4,T_Chuyen[Ngày trừ số dư],"&lt;"&amp;'Tong_hop'!$F$4)))</x:f>
      </x:c>
      <x:c r="AC18" s="28" t="str">
        <x:f>IF(P18="","",IF(R18="",0,1)+COUNTIFS(T_Don[Sàn],A18,T_Don[Shop],B18,T_Don[Kiểm tra dữ liệu],"?*")+COUNTIFS(T_GD[Sàn],A18,T_GD[Shop],B18,T_GD[Kiểm tra dữ liệu],"?*")+COUNTIFS(T_Chuyen[Sàn],A18,T_Chuyen[Shop],B18,T_Chuyen[Kiểm tra dữ liệu],"?*")+COUNTIFS(T_NH[Sàn],A18,T_NH[Shop],B18,T_NH[Kiểm tra dữ liệu],"?*"))</x:f>
      </x:c>
    </x:row>
    <x:row r="19" ht="22" customHeight="1">
      <x:c r="A19" s="10"/>
      <x:c r="B19" s="10"/>
      <x:c r="C19" s="25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10"/>
      <x:c r="O19" s="10"/>
      <x:c r="P19" s="23" t="str">
        <x:f>IF(AND(A19="",B19=""),"",A19&amp;"|"&amp;B19)</x:f>
      </x:c>
      <x:c r="Q19" s="27" t="str">
        <x:f>IF(P19="","",IF(COUNT(F19:J19)=5,SUM(F19:J19),"n.a."))</x:f>
      </x:c>
      <x:c r="R19" s="23" t="str">
        <x:f>IF(COUNTA(A19:O19)=0,"",IF(OR(NOT(OR(A19="TikTok Shop",A19="Shopee",A19="Lazada")),B19="",NOT(ISNUMBER(C19)),COUNT(D19:M19)&lt;&gt;10),"Thiếu/sai số dư",IF(C19&lt;&gt;'Tong_hop'!$F$4-1,"Sai ngày chốt",IF(COUNTIFS(T_SoDu[Khóa shop],P19)&lt;&gt;1,"Trùng shop",IF(AND(N19&lt;&gt;"Đã đủ",N19&lt;&gt;"Chưa"),"Thiếu xác nhận nguồn","")))))</x:f>
      </x:c>
      <x:c r="S19" s="27" t="str">
        <x:f>IF(P19="","",IF(AC19&gt;0,"n.a.",SUMIFS(T_Don[Phải thu gộp],T_Don[Sàn],A19,T_Don[Shop],B19,T_Don[Ngày ghi nhận bán],"&gt;="&amp;'Tong_hop'!$C$4,T_Don[Ngày ghi nhận bán],"&lt;"&amp;'Tong_hop'!$F$4)))</x:f>
      </x:c>
      <x:c r="T19" s="27" t="str">
        <x:f>IF(P19="","",IF(AC19&gt;0,"n.a.",SUMIFS(T_GD[Hoàn tiền shop chịu],T_GD[Sàn],A19,T_GD[Shop],B19,T_GD[Ngày giao dịch sàn],"&gt;="&amp;'Tong_hop'!$C$4,T_GD[Ngày giao dịch sàn],"&lt;"&amp;'Tong_hop'!$F$4)))</x:f>
      </x:c>
      <x:c r="U19" s="27" t="str">
        <x:f>IF(P19="","",IF(AC19&gt;0,"n.a.",SUMIFS(T_GD[Phí sàn cấn trừ],T_GD[Sàn],A19,T_GD[Shop],B19,T_GD[Ngày giao dịch sàn],"&gt;="&amp;'Tong_hop'!$C$4,T_GD[Ngày giao dịch sàn],"&lt;"&amp;'Tong_hop'!$F$4)+SUMIFS(T_GD[Ship shop chịu],T_GD[Sàn],A19,T_GD[Shop],B19,T_GD[Ngày giao dịch sàn],"&gt;="&amp;'Tong_hop'!$C$4,T_GD[Ngày giao dịch sàn],"&lt;"&amp;'Tong_hop'!$F$4)+SUMIFS(T_Chuyen[Phí chuyển đã xác nhận],T_Chuyen[Sàn],A19,T_Chuyen[Shop],B19,T_Chuyen[Ngày trừ số dư],"&gt;="&amp;'Tong_hop'!$C$4,T_Chuyen[Ngày trừ số dư],"&lt;"&amp;'Tong_hop'!$F$4)))</x:f>
      </x:c>
      <x:c r="V19" s="27" t="str">
        <x:f>IF(P19="","",IF(AC19&gt;0,"n.a.",SUMIFS(T_GD[Điều chỉnh khác +/-],T_GD[Sàn],A19,T_GD[Shop],B19,T_GD[Ngày giao dịch sàn],"&gt;="&amp;'Tong_hop'!$C$4,T_GD[Ngày giao dịch sàn],"&lt;"&amp;'Tong_hop'!$F$4)+SUMIFS(T_GD[Nạp vào số dư],T_GD[Sàn],A19,T_GD[Shop],B19,T_GD[Ngày giao dịch sàn],"&gt;="&amp;'Tong_hop'!$C$4,T_GD[Ngày giao dịch sàn],"&lt;"&amp;'Tong_hop'!$F$4)))</x:f>
      </x:c>
      <x:c r="W19" s="27" t="str">
        <x:f>IF(P19="","",IF(AC19&gt;0,"n.a.",SUMIFS(T_NH[Tiền thực nhận],T_NH[Sàn],A19,T_NH[Shop],B19,T_NH[Ngày báo Có],"&gt;="&amp;'Tong_hop'!$C$4,T_NH[Ngày báo Có],"&lt;"&amp;'Tong_hop'!$F$4)))</x:f>
      </x:c>
      <x:c r="X19" s="27" t="str">
        <x:f>IF(P19="","",IF(AC19&gt;0,"n.a.",D19+S19-T19-U19+V19-W19))</x:f>
      </x:c>
      <x:c r="Y19" s="27" t="str">
        <x:f>IF(P19="","",IF(AC19&gt;0,"n.a.",SUMIFS(T_GD[Thực ghi số dư +/-],T_GD[Sàn],A19,T_GD[Shop],B19,T_GD[Ngày giao dịch sàn],"&gt;="&amp;'Tong_hop'!$C$4,T_GD[Ngày giao dịch sàn],"&lt;"&amp;'Tong_hop'!$F$4,T_GD[Nhóm giao dịch],"Quyết toán")))</x:f>
      </x:c>
      <x:c r="Z19" s="27" t="str">
        <x:f>IF(P19="","",IF(AC19&gt;0,"n.a.",E19+SUMIFS(T_GD[Thực ghi số dư +/-],T_GD[Sàn],A19,T_GD[Shop],B19,T_GD[Ngày giao dịch sàn],"&gt;="&amp;'Tong_hop'!$C$4,T_GD[Ngày giao dịch sàn],"&lt;"&amp;'Tong_hop'!$F$4)-SUMIFS(T_Chuyen[Tiền trừ số dư],T_Chuyen[Sàn],A19,T_Chuyen[Shop],B19,T_Chuyen[Ngày trừ số dư],"&gt;="&amp;'Tong_hop'!$C$4,T_Chuyen[Ngày trừ số dư],"&lt;"&amp;'Tong_hop'!$F$4)))</x:f>
      </x:c>
      <x:c r="AA19" s="27" t="str">
        <x:f>IF(P19="","",IF(AC19&gt;0,"n.a.",SUMIFS(T_Chuyen[Còn đang chuyển],T_Chuyen[Sàn],A19,T_Chuyen[Shop],B19)))</x:f>
      </x:c>
      <x:c r="AB19" s="27" t="str">
        <x:f>IF(P19="","",IF(AC19&gt;0,"n.a.",SUMIFS(T_Chuyen[Tiền trừ số dư],T_Chuyen[Sàn],A19,T_Chuyen[Shop],B19,T_Chuyen[Ngày trừ số dư],"&gt;="&amp;'Tong_hop'!$C$4,T_Chuyen[Ngày trừ số dư],"&lt;"&amp;'Tong_hop'!$F$4)))</x:f>
      </x:c>
      <x:c r="AC19" s="28" t="str">
        <x:f>IF(P19="","",IF(R19="",0,1)+COUNTIFS(T_Don[Sàn],A19,T_Don[Shop],B19,T_Don[Kiểm tra dữ liệu],"?*")+COUNTIFS(T_GD[Sàn],A19,T_GD[Shop],B19,T_GD[Kiểm tra dữ liệu],"?*")+COUNTIFS(T_Chuyen[Sàn],A19,T_Chuyen[Shop],B19,T_Chuyen[Kiểm tra dữ liệu],"?*")+COUNTIFS(T_NH[Sàn],A19,T_NH[Shop],B19,T_NH[Kiểm tra dữ liệu],"?*"))</x:f>
      </x:c>
    </x:row>
    <x:row r="20" ht="22" customHeight="1">
      <x:c r="A20" s="10"/>
      <x:c r="B20" s="10"/>
      <x:c r="C20" s="25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10"/>
      <x:c r="O20" s="10"/>
      <x:c r="P20" s="23" t="str">
        <x:f>IF(AND(A20="",B20=""),"",A20&amp;"|"&amp;B20)</x:f>
      </x:c>
      <x:c r="Q20" s="27" t="str">
        <x:f>IF(P20="","",IF(COUNT(F20:J20)=5,SUM(F20:J20),"n.a."))</x:f>
      </x:c>
      <x:c r="R20" s="23" t="str">
        <x:f>IF(COUNTA(A20:O20)=0,"",IF(OR(NOT(OR(A20="TikTok Shop",A20="Shopee",A20="Lazada")),B20="",NOT(ISNUMBER(C20)),COUNT(D20:M20)&lt;&gt;10),"Thiếu/sai số dư",IF(C20&lt;&gt;'Tong_hop'!$F$4-1,"Sai ngày chốt",IF(COUNTIFS(T_SoDu[Khóa shop],P20)&lt;&gt;1,"Trùng shop",IF(AND(N20&lt;&gt;"Đã đủ",N20&lt;&gt;"Chưa"),"Thiếu xác nhận nguồn","")))))</x:f>
      </x:c>
      <x:c r="S20" s="27" t="str">
        <x:f>IF(P20="","",IF(AC20&gt;0,"n.a.",SUMIFS(T_Don[Phải thu gộp],T_Don[Sàn],A20,T_Don[Shop],B20,T_Don[Ngày ghi nhận bán],"&gt;="&amp;'Tong_hop'!$C$4,T_Don[Ngày ghi nhận bán],"&lt;"&amp;'Tong_hop'!$F$4)))</x:f>
      </x:c>
      <x:c r="T20" s="27" t="str">
        <x:f>IF(P20="","",IF(AC20&gt;0,"n.a.",SUMIFS(T_GD[Hoàn tiền shop chịu],T_GD[Sàn],A20,T_GD[Shop],B20,T_GD[Ngày giao dịch sàn],"&gt;="&amp;'Tong_hop'!$C$4,T_GD[Ngày giao dịch sàn],"&lt;"&amp;'Tong_hop'!$F$4)))</x:f>
      </x:c>
      <x:c r="U20" s="27" t="str">
        <x:f>IF(P20="","",IF(AC20&gt;0,"n.a.",SUMIFS(T_GD[Phí sàn cấn trừ],T_GD[Sàn],A20,T_GD[Shop],B20,T_GD[Ngày giao dịch sàn],"&gt;="&amp;'Tong_hop'!$C$4,T_GD[Ngày giao dịch sàn],"&lt;"&amp;'Tong_hop'!$F$4)+SUMIFS(T_GD[Ship shop chịu],T_GD[Sàn],A20,T_GD[Shop],B20,T_GD[Ngày giao dịch sàn],"&gt;="&amp;'Tong_hop'!$C$4,T_GD[Ngày giao dịch sàn],"&lt;"&amp;'Tong_hop'!$F$4)+SUMIFS(T_Chuyen[Phí chuyển đã xác nhận],T_Chuyen[Sàn],A20,T_Chuyen[Shop],B20,T_Chuyen[Ngày trừ số dư],"&gt;="&amp;'Tong_hop'!$C$4,T_Chuyen[Ngày trừ số dư],"&lt;"&amp;'Tong_hop'!$F$4)))</x:f>
      </x:c>
      <x:c r="V20" s="27" t="str">
        <x:f>IF(P20="","",IF(AC20&gt;0,"n.a.",SUMIFS(T_GD[Điều chỉnh khác +/-],T_GD[Sàn],A20,T_GD[Shop],B20,T_GD[Ngày giao dịch sàn],"&gt;="&amp;'Tong_hop'!$C$4,T_GD[Ngày giao dịch sàn],"&lt;"&amp;'Tong_hop'!$F$4)+SUMIFS(T_GD[Nạp vào số dư],T_GD[Sàn],A20,T_GD[Shop],B20,T_GD[Ngày giao dịch sàn],"&gt;="&amp;'Tong_hop'!$C$4,T_GD[Ngày giao dịch sàn],"&lt;"&amp;'Tong_hop'!$F$4)))</x:f>
      </x:c>
      <x:c r="W20" s="27" t="str">
        <x:f>IF(P20="","",IF(AC20&gt;0,"n.a.",SUMIFS(T_NH[Tiền thực nhận],T_NH[Sàn],A20,T_NH[Shop],B20,T_NH[Ngày báo Có],"&gt;="&amp;'Tong_hop'!$C$4,T_NH[Ngày báo Có],"&lt;"&amp;'Tong_hop'!$F$4)))</x:f>
      </x:c>
      <x:c r="X20" s="27" t="str">
        <x:f>IF(P20="","",IF(AC20&gt;0,"n.a.",D20+S20-T20-U20+V20-W20))</x:f>
      </x:c>
      <x:c r="Y20" s="27" t="str">
        <x:f>IF(P20="","",IF(AC20&gt;0,"n.a.",SUMIFS(T_GD[Thực ghi số dư +/-],T_GD[Sàn],A20,T_GD[Shop],B20,T_GD[Ngày giao dịch sàn],"&gt;="&amp;'Tong_hop'!$C$4,T_GD[Ngày giao dịch sàn],"&lt;"&amp;'Tong_hop'!$F$4,T_GD[Nhóm giao dịch],"Quyết toán")))</x:f>
      </x:c>
      <x:c r="Z20" s="27" t="str">
        <x:f>IF(P20="","",IF(AC20&gt;0,"n.a.",E20+SUMIFS(T_GD[Thực ghi số dư +/-],T_GD[Sàn],A20,T_GD[Shop],B20,T_GD[Ngày giao dịch sàn],"&gt;="&amp;'Tong_hop'!$C$4,T_GD[Ngày giao dịch sàn],"&lt;"&amp;'Tong_hop'!$F$4)-SUMIFS(T_Chuyen[Tiền trừ số dư],T_Chuyen[Sàn],A20,T_Chuyen[Shop],B20,T_Chuyen[Ngày trừ số dư],"&gt;="&amp;'Tong_hop'!$C$4,T_Chuyen[Ngày trừ số dư],"&lt;"&amp;'Tong_hop'!$F$4)))</x:f>
      </x:c>
      <x:c r="AA20" s="27" t="str">
        <x:f>IF(P20="","",IF(AC20&gt;0,"n.a.",SUMIFS(T_Chuyen[Còn đang chuyển],T_Chuyen[Sàn],A20,T_Chuyen[Shop],B20)))</x:f>
      </x:c>
      <x:c r="AB20" s="27" t="str">
        <x:f>IF(P20="","",IF(AC20&gt;0,"n.a.",SUMIFS(T_Chuyen[Tiền trừ số dư],T_Chuyen[Sàn],A20,T_Chuyen[Shop],B20,T_Chuyen[Ngày trừ số dư],"&gt;="&amp;'Tong_hop'!$C$4,T_Chuyen[Ngày trừ số dư],"&lt;"&amp;'Tong_hop'!$F$4)))</x:f>
      </x:c>
      <x:c r="AC20" s="28" t="str">
        <x:f>IF(P20="","",IF(R20="",0,1)+COUNTIFS(T_Don[Sàn],A20,T_Don[Shop],B20,T_Don[Kiểm tra dữ liệu],"?*")+COUNTIFS(T_GD[Sàn],A20,T_GD[Shop],B20,T_GD[Kiểm tra dữ liệu],"?*")+COUNTIFS(T_Chuyen[Sàn],A20,T_Chuyen[Shop],B20,T_Chuyen[Kiểm tra dữ liệu],"?*")+COUNTIFS(T_NH[Sàn],A20,T_NH[Shop],B20,T_NH[Kiểm tra dữ liệu],"?*"))</x:f>
      </x:c>
    </x:row>
    <x:row r="21" ht="22" customHeight="1">
      <x:c r="A21" s="10"/>
      <x:c r="B21" s="10"/>
      <x:c r="C21" s="25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10"/>
      <x:c r="O21" s="10"/>
      <x:c r="P21" s="23" t="str">
        <x:f>IF(AND(A21="",B21=""),"",A21&amp;"|"&amp;B21)</x:f>
      </x:c>
      <x:c r="Q21" s="27" t="str">
        <x:f>IF(P21="","",IF(COUNT(F21:J21)=5,SUM(F21:J21),"n.a."))</x:f>
      </x:c>
      <x:c r="R21" s="23" t="str">
        <x:f>IF(COUNTA(A21:O21)=0,"",IF(OR(NOT(OR(A21="TikTok Shop",A21="Shopee",A21="Lazada")),B21="",NOT(ISNUMBER(C21)),COUNT(D21:M21)&lt;&gt;10),"Thiếu/sai số dư",IF(C21&lt;&gt;'Tong_hop'!$F$4-1,"Sai ngày chốt",IF(COUNTIFS(T_SoDu[Khóa shop],P21)&lt;&gt;1,"Trùng shop",IF(AND(N21&lt;&gt;"Đã đủ",N21&lt;&gt;"Chưa"),"Thiếu xác nhận nguồn","")))))</x:f>
      </x:c>
      <x:c r="S21" s="27" t="str">
        <x:f>IF(P21="","",IF(AC21&gt;0,"n.a.",SUMIFS(T_Don[Phải thu gộp],T_Don[Sàn],A21,T_Don[Shop],B21,T_Don[Ngày ghi nhận bán],"&gt;="&amp;'Tong_hop'!$C$4,T_Don[Ngày ghi nhận bán],"&lt;"&amp;'Tong_hop'!$F$4)))</x:f>
      </x:c>
      <x:c r="T21" s="27" t="str">
        <x:f>IF(P21="","",IF(AC21&gt;0,"n.a.",SUMIFS(T_GD[Hoàn tiền shop chịu],T_GD[Sàn],A21,T_GD[Shop],B21,T_GD[Ngày giao dịch sàn],"&gt;="&amp;'Tong_hop'!$C$4,T_GD[Ngày giao dịch sàn],"&lt;"&amp;'Tong_hop'!$F$4)))</x:f>
      </x:c>
      <x:c r="U21" s="27" t="str">
        <x:f>IF(P21="","",IF(AC21&gt;0,"n.a.",SUMIFS(T_GD[Phí sàn cấn trừ],T_GD[Sàn],A21,T_GD[Shop],B21,T_GD[Ngày giao dịch sàn],"&gt;="&amp;'Tong_hop'!$C$4,T_GD[Ngày giao dịch sàn],"&lt;"&amp;'Tong_hop'!$F$4)+SUMIFS(T_GD[Ship shop chịu],T_GD[Sàn],A21,T_GD[Shop],B21,T_GD[Ngày giao dịch sàn],"&gt;="&amp;'Tong_hop'!$C$4,T_GD[Ngày giao dịch sàn],"&lt;"&amp;'Tong_hop'!$F$4)+SUMIFS(T_Chuyen[Phí chuyển đã xác nhận],T_Chuyen[Sàn],A21,T_Chuyen[Shop],B21,T_Chuyen[Ngày trừ số dư],"&gt;="&amp;'Tong_hop'!$C$4,T_Chuyen[Ngày trừ số dư],"&lt;"&amp;'Tong_hop'!$F$4)))</x:f>
      </x:c>
      <x:c r="V21" s="27" t="str">
        <x:f>IF(P21="","",IF(AC21&gt;0,"n.a.",SUMIFS(T_GD[Điều chỉnh khác +/-],T_GD[Sàn],A21,T_GD[Shop],B21,T_GD[Ngày giao dịch sàn],"&gt;="&amp;'Tong_hop'!$C$4,T_GD[Ngày giao dịch sàn],"&lt;"&amp;'Tong_hop'!$F$4)+SUMIFS(T_GD[Nạp vào số dư],T_GD[Sàn],A21,T_GD[Shop],B21,T_GD[Ngày giao dịch sàn],"&gt;="&amp;'Tong_hop'!$C$4,T_GD[Ngày giao dịch sàn],"&lt;"&amp;'Tong_hop'!$F$4)))</x:f>
      </x:c>
      <x:c r="W21" s="27" t="str">
        <x:f>IF(P21="","",IF(AC21&gt;0,"n.a.",SUMIFS(T_NH[Tiền thực nhận],T_NH[Sàn],A21,T_NH[Shop],B21,T_NH[Ngày báo Có],"&gt;="&amp;'Tong_hop'!$C$4,T_NH[Ngày báo Có],"&lt;"&amp;'Tong_hop'!$F$4)))</x:f>
      </x:c>
      <x:c r="X21" s="27" t="str">
        <x:f>IF(P21="","",IF(AC21&gt;0,"n.a.",D21+S21-T21-U21+V21-W21))</x:f>
      </x:c>
      <x:c r="Y21" s="27" t="str">
        <x:f>IF(P21="","",IF(AC21&gt;0,"n.a.",SUMIFS(T_GD[Thực ghi số dư +/-],T_GD[Sàn],A21,T_GD[Shop],B21,T_GD[Ngày giao dịch sàn],"&gt;="&amp;'Tong_hop'!$C$4,T_GD[Ngày giao dịch sàn],"&lt;"&amp;'Tong_hop'!$F$4,T_GD[Nhóm giao dịch],"Quyết toán")))</x:f>
      </x:c>
      <x:c r="Z21" s="27" t="str">
        <x:f>IF(P21="","",IF(AC21&gt;0,"n.a.",E21+SUMIFS(T_GD[Thực ghi số dư +/-],T_GD[Sàn],A21,T_GD[Shop],B21,T_GD[Ngày giao dịch sàn],"&gt;="&amp;'Tong_hop'!$C$4,T_GD[Ngày giao dịch sàn],"&lt;"&amp;'Tong_hop'!$F$4)-SUMIFS(T_Chuyen[Tiền trừ số dư],T_Chuyen[Sàn],A21,T_Chuyen[Shop],B21,T_Chuyen[Ngày trừ số dư],"&gt;="&amp;'Tong_hop'!$C$4,T_Chuyen[Ngày trừ số dư],"&lt;"&amp;'Tong_hop'!$F$4)))</x:f>
      </x:c>
      <x:c r="AA21" s="27" t="str">
        <x:f>IF(P21="","",IF(AC21&gt;0,"n.a.",SUMIFS(T_Chuyen[Còn đang chuyển],T_Chuyen[Sàn],A21,T_Chuyen[Shop],B21)))</x:f>
      </x:c>
      <x:c r="AB21" s="27" t="str">
        <x:f>IF(P21="","",IF(AC21&gt;0,"n.a.",SUMIFS(T_Chuyen[Tiền trừ số dư],T_Chuyen[Sàn],A21,T_Chuyen[Shop],B21,T_Chuyen[Ngày trừ số dư],"&gt;="&amp;'Tong_hop'!$C$4,T_Chuyen[Ngày trừ số dư],"&lt;"&amp;'Tong_hop'!$F$4)))</x:f>
      </x:c>
      <x:c r="AC21" s="28" t="str">
        <x:f>IF(P21="","",IF(R21="",0,1)+COUNTIFS(T_Don[Sàn],A21,T_Don[Shop],B21,T_Don[Kiểm tra dữ liệu],"?*")+COUNTIFS(T_GD[Sàn],A21,T_GD[Shop],B21,T_GD[Kiểm tra dữ liệu],"?*")+COUNTIFS(T_Chuyen[Sàn],A21,T_Chuyen[Shop],B21,T_Chuyen[Kiểm tra dữ liệu],"?*")+COUNTIFS(T_NH[Sàn],A21,T_NH[Shop],B21,T_NH[Kiểm tra dữ liệu],"?*"))</x:f>
      </x:c>
    </x:row>
    <x:row r="22" ht="22" customHeight="1">
      <x:c r="A22" s="10"/>
      <x:c r="B22" s="10"/>
      <x:c r="C22" s="25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10"/>
      <x:c r="O22" s="10"/>
      <x:c r="P22" s="23" t="str">
        <x:f>IF(AND(A22="",B22=""),"",A22&amp;"|"&amp;B22)</x:f>
      </x:c>
      <x:c r="Q22" s="27" t="str">
        <x:f>IF(P22="","",IF(COUNT(F22:J22)=5,SUM(F22:J22),"n.a."))</x:f>
      </x:c>
      <x:c r="R22" s="23" t="str">
        <x:f>IF(COUNTA(A22:O22)=0,"",IF(OR(NOT(OR(A22="TikTok Shop",A22="Shopee",A22="Lazada")),B22="",NOT(ISNUMBER(C22)),COUNT(D22:M22)&lt;&gt;10),"Thiếu/sai số dư",IF(C22&lt;&gt;'Tong_hop'!$F$4-1,"Sai ngày chốt",IF(COUNTIFS(T_SoDu[Khóa shop],P22)&lt;&gt;1,"Trùng shop",IF(AND(N22&lt;&gt;"Đã đủ",N22&lt;&gt;"Chưa"),"Thiếu xác nhận nguồn","")))))</x:f>
      </x:c>
      <x:c r="S22" s="27" t="str">
        <x:f>IF(P22="","",IF(AC22&gt;0,"n.a.",SUMIFS(T_Don[Phải thu gộp],T_Don[Sàn],A22,T_Don[Shop],B22,T_Don[Ngày ghi nhận bán],"&gt;="&amp;'Tong_hop'!$C$4,T_Don[Ngày ghi nhận bán],"&lt;"&amp;'Tong_hop'!$F$4)))</x:f>
      </x:c>
      <x:c r="T22" s="27" t="str">
        <x:f>IF(P22="","",IF(AC22&gt;0,"n.a.",SUMIFS(T_GD[Hoàn tiền shop chịu],T_GD[Sàn],A22,T_GD[Shop],B22,T_GD[Ngày giao dịch sàn],"&gt;="&amp;'Tong_hop'!$C$4,T_GD[Ngày giao dịch sàn],"&lt;"&amp;'Tong_hop'!$F$4)))</x:f>
      </x:c>
      <x:c r="U22" s="27" t="str">
        <x:f>IF(P22="","",IF(AC22&gt;0,"n.a.",SUMIFS(T_GD[Phí sàn cấn trừ],T_GD[Sàn],A22,T_GD[Shop],B22,T_GD[Ngày giao dịch sàn],"&gt;="&amp;'Tong_hop'!$C$4,T_GD[Ngày giao dịch sàn],"&lt;"&amp;'Tong_hop'!$F$4)+SUMIFS(T_GD[Ship shop chịu],T_GD[Sàn],A22,T_GD[Shop],B22,T_GD[Ngày giao dịch sàn],"&gt;="&amp;'Tong_hop'!$C$4,T_GD[Ngày giao dịch sàn],"&lt;"&amp;'Tong_hop'!$F$4)+SUMIFS(T_Chuyen[Phí chuyển đã xác nhận],T_Chuyen[Sàn],A22,T_Chuyen[Shop],B22,T_Chuyen[Ngày trừ số dư],"&gt;="&amp;'Tong_hop'!$C$4,T_Chuyen[Ngày trừ số dư],"&lt;"&amp;'Tong_hop'!$F$4)))</x:f>
      </x:c>
      <x:c r="V22" s="27" t="str">
        <x:f>IF(P22="","",IF(AC22&gt;0,"n.a.",SUMIFS(T_GD[Điều chỉnh khác +/-],T_GD[Sàn],A22,T_GD[Shop],B22,T_GD[Ngày giao dịch sàn],"&gt;="&amp;'Tong_hop'!$C$4,T_GD[Ngày giao dịch sàn],"&lt;"&amp;'Tong_hop'!$F$4)+SUMIFS(T_GD[Nạp vào số dư],T_GD[Sàn],A22,T_GD[Shop],B22,T_GD[Ngày giao dịch sàn],"&gt;="&amp;'Tong_hop'!$C$4,T_GD[Ngày giao dịch sàn],"&lt;"&amp;'Tong_hop'!$F$4)))</x:f>
      </x:c>
      <x:c r="W22" s="27" t="str">
        <x:f>IF(P22="","",IF(AC22&gt;0,"n.a.",SUMIFS(T_NH[Tiền thực nhận],T_NH[Sàn],A22,T_NH[Shop],B22,T_NH[Ngày báo Có],"&gt;="&amp;'Tong_hop'!$C$4,T_NH[Ngày báo Có],"&lt;"&amp;'Tong_hop'!$F$4)))</x:f>
      </x:c>
      <x:c r="X22" s="27" t="str">
        <x:f>IF(P22="","",IF(AC22&gt;0,"n.a.",D22+S22-T22-U22+V22-W22))</x:f>
      </x:c>
      <x:c r="Y22" s="27" t="str">
        <x:f>IF(P22="","",IF(AC22&gt;0,"n.a.",SUMIFS(T_GD[Thực ghi số dư +/-],T_GD[Sàn],A22,T_GD[Shop],B22,T_GD[Ngày giao dịch sàn],"&gt;="&amp;'Tong_hop'!$C$4,T_GD[Ngày giao dịch sàn],"&lt;"&amp;'Tong_hop'!$F$4,T_GD[Nhóm giao dịch],"Quyết toán")))</x:f>
      </x:c>
      <x:c r="Z22" s="27" t="str">
        <x:f>IF(P22="","",IF(AC22&gt;0,"n.a.",E22+SUMIFS(T_GD[Thực ghi số dư +/-],T_GD[Sàn],A22,T_GD[Shop],B22,T_GD[Ngày giao dịch sàn],"&gt;="&amp;'Tong_hop'!$C$4,T_GD[Ngày giao dịch sàn],"&lt;"&amp;'Tong_hop'!$F$4)-SUMIFS(T_Chuyen[Tiền trừ số dư],T_Chuyen[Sàn],A22,T_Chuyen[Shop],B22,T_Chuyen[Ngày trừ số dư],"&gt;="&amp;'Tong_hop'!$C$4,T_Chuyen[Ngày trừ số dư],"&lt;"&amp;'Tong_hop'!$F$4)))</x:f>
      </x:c>
      <x:c r="AA22" s="27" t="str">
        <x:f>IF(P22="","",IF(AC22&gt;0,"n.a.",SUMIFS(T_Chuyen[Còn đang chuyển],T_Chuyen[Sàn],A22,T_Chuyen[Shop],B22)))</x:f>
      </x:c>
      <x:c r="AB22" s="27" t="str">
        <x:f>IF(P22="","",IF(AC22&gt;0,"n.a.",SUMIFS(T_Chuyen[Tiền trừ số dư],T_Chuyen[Sàn],A22,T_Chuyen[Shop],B22,T_Chuyen[Ngày trừ số dư],"&gt;="&amp;'Tong_hop'!$C$4,T_Chuyen[Ngày trừ số dư],"&lt;"&amp;'Tong_hop'!$F$4)))</x:f>
      </x:c>
      <x:c r="AC22" s="28" t="str">
        <x:f>IF(P22="","",IF(R22="",0,1)+COUNTIFS(T_Don[Sàn],A22,T_Don[Shop],B22,T_Don[Kiểm tra dữ liệu],"?*")+COUNTIFS(T_GD[Sàn],A22,T_GD[Shop],B22,T_GD[Kiểm tra dữ liệu],"?*")+COUNTIFS(T_Chuyen[Sàn],A22,T_Chuyen[Shop],B22,T_Chuyen[Kiểm tra dữ liệu],"?*")+COUNTIFS(T_NH[Sàn],A22,T_NH[Shop],B22,T_NH[Kiểm tra dữ liệu],"?*"))</x:f>
      </x:c>
    </x:row>
    <x:row r="23" ht="22" customHeight="1">
      <x:c r="A23" s="10"/>
      <x:c r="B23" s="10"/>
      <x:c r="C23" s="25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10"/>
      <x:c r="O23" s="10"/>
      <x:c r="P23" s="23" t="str">
        <x:f>IF(AND(A23="",B23=""),"",A23&amp;"|"&amp;B23)</x:f>
      </x:c>
      <x:c r="Q23" s="27" t="str">
        <x:f>IF(P23="","",IF(COUNT(F23:J23)=5,SUM(F23:J23),"n.a."))</x:f>
      </x:c>
      <x:c r="R23" s="23" t="str">
        <x:f>IF(COUNTA(A23:O23)=0,"",IF(OR(NOT(OR(A23="TikTok Shop",A23="Shopee",A23="Lazada")),B23="",NOT(ISNUMBER(C23)),COUNT(D23:M23)&lt;&gt;10),"Thiếu/sai số dư",IF(C23&lt;&gt;'Tong_hop'!$F$4-1,"Sai ngày chốt",IF(COUNTIFS(T_SoDu[Khóa shop],P23)&lt;&gt;1,"Trùng shop",IF(AND(N23&lt;&gt;"Đã đủ",N23&lt;&gt;"Chưa"),"Thiếu xác nhận nguồn","")))))</x:f>
      </x:c>
      <x:c r="S23" s="27" t="str">
        <x:f>IF(P23="","",IF(AC23&gt;0,"n.a.",SUMIFS(T_Don[Phải thu gộp],T_Don[Sàn],A23,T_Don[Shop],B23,T_Don[Ngày ghi nhận bán],"&gt;="&amp;'Tong_hop'!$C$4,T_Don[Ngày ghi nhận bán],"&lt;"&amp;'Tong_hop'!$F$4)))</x:f>
      </x:c>
      <x:c r="T23" s="27" t="str">
        <x:f>IF(P23="","",IF(AC23&gt;0,"n.a.",SUMIFS(T_GD[Hoàn tiền shop chịu],T_GD[Sàn],A23,T_GD[Shop],B23,T_GD[Ngày giao dịch sàn],"&gt;="&amp;'Tong_hop'!$C$4,T_GD[Ngày giao dịch sàn],"&lt;"&amp;'Tong_hop'!$F$4)))</x:f>
      </x:c>
      <x:c r="U23" s="27" t="str">
        <x:f>IF(P23="","",IF(AC23&gt;0,"n.a.",SUMIFS(T_GD[Phí sàn cấn trừ],T_GD[Sàn],A23,T_GD[Shop],B23,T_GD[Ngày giao dịch sàn],"&gt;="&amp;'Tong_hop'!$C$4,T_GD[Ngày giao dịch sàn],"&lt;"&amp;'Tong_hop'!$F$4)+SUMIFS(T_GD[Ship shop chịu],T_GD[Sàn],A23,T_GD[Shop],B23,T_GD[Ngày giao dịch sàn],"&gt;="&amp;'Tong_hop'!$C$4,T_GD[Ngày giao dịch sàn],"&lt;"&amp;'Tong_hop'!$F$4)+SUMIFS(T_Chuyen[Phí chuyển đã xác nhận],T_Chuyen[Sàn],A23,T_Chuyen[Shop],B23,T_Chuyen[Ngày trừ số dư],"&gt;="&amp;'Tong_hop'!$C$4,T_Chuyen[Ngày trừ số dư],"&lt;"&amp;'Tong_hop'!$F$4)))</x:f>
      </x:c>
      <x:c r="V23" s="27" t="str">
        <x:f>IF(P23="","",IF(AC23&gt;0,"n.a.",SUMIFS(T_GD[Điều chỉnh khác +/-],T_GD[Sàn],A23,T_GD[Shop],B23,T_GD[Ngày giao dịch sàn],"&gt;="&amp;'Tong_hop'!$C$4,T_GD[Ngày giao dịch sàn],"&lt;"&amp;'Tong_hop'!$F$4)+SUMIFS(T_GD[Nạp vào số dư],T_GD[Sàn],A23,T_GD[Shop],B23,T_GD[Ngày giao dịch sàn],"&gt;="&amp;'Tong_hop'!$C$4,T_GD[Ngày giao dịch sàn],"&lt;"&amp;'Tong_hop'!$F$4)))</x:f>
      </x:c>
      <x:c r="W23" s="27" t="str">
        <x:f>IF(P23="","",IF(AC23&gt;0,"n.a.",SUMIFS(T_NH[Tiền thực nhận],T_NH[Sàn],A23,T_NH[Shop],B23,T_NH[Ngày báo Có],"&gt;="&amp;'Tong_hop'!$C$4,T_NH[Ngày báo Có],"&lt;"&amp;'Tong_hop'!$F$4)))</x:f>
      </x:c>
      <x:c r="X23" s="27" t="str">
        <x:f>IF(P23="","",IF(AC23&gt;0,"n.a.",D23+S23-T23-U23+V23-W23))</x:f>
      </x:c>
      <x:c r="Y23" s="27" t="str">
        <x:f>IF(P23="","",IF(AC23&gt;0,"n.a.",SUMIFS(T_GD[Thực ghi số dư +/-],T_GD[Sàn],A23,T_GD[Shop],B23,T_GD[Ngày giao dịch sàn],"&gt;="&amp;'Tong_hop'!$C$4,T_GD[Ngày giao dịch sàn],"&lt;"&amp;'Tong_hop'!$F$4,T_GD[Nhóm giao dịch],"Quyết toán")))</x:f>
      </x:c>
      <x:c r="Z23" s="27" t="str">
        <x:f>IF(P23="","",IF(AC23&gt;0,"n.a.",E23+SUMIFS(T_GD[Thực ghi số dư +/-],T_GD[Sàn],A23,T_GD[Shop],B23,T_GD[Ngày giao dịch sàn],"&gt;="&amp;'Tong_hop'!$C$4,T_GD[Ngày giao dịch sàn],"&lt;"&amp;'Tong_hop'!$F$4)-SUMIFS(T_Chuyen[Tiền trừ số dư],T_Chuyen[Sàn],A23,T_Chuyen[Shop],B23,T_Chuyen[Ngày trừ số dư],"&gt;="&amp;'Tong_hop'!$C$4,T_Chuyen[Ngày trừ số dư],"&lt;"&amp;'Tong_hop'!$F$4)))</x:f>
      </x:c>
      <x:c r="AA23" s="27" t="str">
        <x:f>IF(P23="","",IF(AC23&gt;0,"n.a.",SUMIFS(T_Chuyen[Còn đang chuyển],T_Chuyen[Sàn],A23,T_Chuyen[Shop],B23)))</x:f>
      </x:c>
      <x:c r="AB23" s="27" t="str">
        <x:f>IF(P23="","",IF(AC23&gt;0,"n.a.",SUMIFS(T_Chuyen[Tiền trừ số dư],T_Chuyen[Sàn],A23,T_Chuyen[Shop],B23,T_Chuyen[Ngày trừ số dư],"&gt;="&amp;'Tong_hop'!$C$4,T_Chuyen[Ngày trừ số dư],"&lt;"&amp;'Tong_hop'!$F$4)))</x:f>
      </x:c>
      <x:c r="AC23" s="28" t="str">
        <x:f>IF(P23="","",IF(R23="",0,1)+COUNTIFS(T_Don[Sàn],A23,T_Don[Shop],B23,T_Don[Kiểm tra dữ liệu],"?*")+COUNTIFS(T_GD[Sàn],A23,T_GD[Shop],B23,T_GD[Kiểm tra dữ liệu],"?*")+COUNTIFS(T_Chuyen[Sàn],A23,T_Chuyen[Shop],B23,T_Chuyen[Kiểm tra dữ liệu],"?*")+COUNTIFS(T_NH[Sàn],A23,T_NH[Shop],B23,T_NH[Kiểm tra dữ liệu],"?*"))</x:f>
      </x:c>
    </x:row>
    <x:row r="24" ht="22" customHeight="1">
      <x:c r="A24" s="10"/>
      <x:c r="B24" s="10"/>
      <x:c r="C24" s="25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10"/>
      <x:c r="O24" s="10"/>
      <x:c r="P24" s="23" t="str">
        <x:f>IF(AND(A24="",B24=""),"",A24&amp;"|"&amp;B24)</x:f>
      </x:c>
      <x:c r="Q24" s="27" t="str">
        <x:f>IF(P24="","",IF(COUNT(F24:J24)=5,SUM(F24:J24),"n.a."))</x:f>
      </x:c>
      <x:c r="R24" s="23" t="str">
        <x:f>IF(COUNTA(A24:O24)=0,"",IF(OR(NOT(OR(A24="TikTok Shop",A24="Shopee",A24="Lazada")),B24="",NOT(ISNUMBER(C24)),COUNT(D24:M24)&lt;&gt;10),"Thiếu/sai số dư",IF(C24&lt;&gt;'Tong_hop'!$F$4-1,"Sai ngày chốt",IF(COUNTIFS(T_SoDu[Khóa shop],P24)&lt;&gt;1,"Trùng shop",IF(AND(N24&lt;&gt;"Đã đủ",N24&lt;&gt;"Chưa"),"Thiếu xác nhận nguồn","")))))</x:f>
      </x:c>
      <x:c r="S24" s="27" t="str">
        <x:f>IF(P24="","",IF(AC24&gt;0,"n.a.",SUMIFS(T_Don[Phải thu gộp],T_Don[Sàn],A24,T_Don[Shop],B24,T_Don[Ngày ghi nhận bán],"&gt;="&amp;'Tong_hop'!$C$4,T_Don[Ngày ghi nhận bán],"&lt;"&amp;'Tong_hop'!$F$4)))</x:f>
      </x:c>
      <x:c r="T24" s="27" t="str">
        <x:f>IF(P24="","",IF(AC24&gt;0,"n.a.",SUMIFS(T_GD[Hoàn tiền shop chịu],T_GD[Sàn],A24,T_GD[Shop],B24,T_GD[Ngày giao dịch sàn],"&gt;="&amp;'Tong_hop'!$C$4,T_GD[Ngày giao dịch sàn],"&lt;"&amp;'Tong_hop'!$F$4)))</x:f>
      </x:c>
      <x:c r="U24" s="27" t="str">
        <x:f>IF(P24="","",IF(AC24&gt;0,"n.a.",SUMIFS(T_GD[Phí sàn cấn trừ],T_GD[Sàn],A24,T_GD[Shop],B24,T_GD[Ngày giao dịch sàn],"&gt;="&amp;'Tong_hop'!$C$4,T_GD[Ngày giao dịch sàn],"&lt;"&amp;'Tong_hop'!$F$4)+SUMIFS(T_GD[Ship shop chịu],T_GD[Sàn],A24,T_GD[Shop],B24,T_GD[Ngày giao dịch sàn],"&gt;="&amp;'Tong_hop'!$C$4,T_GD[Ngày giao dịch sàn],"&lt;"&amp;'Tong_hop'!$F$4)+SUMIFS(T_Chuyen[Phí chuyển đã xác nhận],T_Chuyen[Sàn],A24,T_Chuyen[Shop],B24,T_Chuyen[Ngày trừ số dư],"&gt;="&amp;'Tong_hop'!$C$4,T_Chuyen[Ngày trừ số dư],"&lt;"&amp;'Tong_hop'!$F$4)))</x:f>
      </x:c>
      <x:c r="V24" s="27" t="str">
        <x:f>IF(P24="","",IF(AC24&gt;0,"n.a.",SUMIFS(T_GD[Điều chỉnh khác +/-],T_GD[Sàn],A24,T_GD[Shop],B24,T_GD[Ngày giao dịch sàn],"&gt;="&amp;'Tong_hop'!$C$4,T_GD[Ngày giao dịch sàn],"&lt;"&amp;'Tong_hop'!$F$4)+SUMIFS(T_GD[Nạp vào số dư],T_GD[Sàn],A24,T_GD[Shop],B24,T_GD[Ngày giao dịch sàn],"&gt;="&amp;'Tong_hop'!$C$4,T_GD[Ngày giao dịch sàn],"&lt;"&amp;'Tong_hop'!$F$4)))</x:f>
      </x:c>
      <x:c r="W24" s="27" t="str">
        <x:f>IF(P24="","",IF(AC24&gt;0,"n.a.",SUMIFS(T_NH[Tiền thực nhận],T_NH[Sàn],A24,T_NH[Shop],B24,T_NH[Ngày báo Có],"&gt;="&amp;'Tong_hop'!$C$4,T_NH[Ngày báo Có],"&lt;"&amp;'Tong_hop'!$F$4)))</x:f>
      </x:c>
      <x:c r="X24" s="27" t="str">
        <x:f>IF(P24="","",IF(AC24&gt;0,"n.a.",D24+S24-T24-U24+V24-W24))</x:f>
      </x:c>
      <x:c r="Y24" s="27" t="str">
        <x:f>IF(P24="","",IF(AC24&gt;0,"n.a.",SUMIFS(T_GD[Thực ghi số dư +/-],T_GD[Sàn],A24,T_GD[Shop],B24,T_GD[Ngày giao dịch sàn],"&gt;="&amp;'Tong_hop'!$C$4,T_GD[Ngày giao dịch sàn],"&lt;"&amp;'Tong_hop'!$F$4,T_GD[Nhóm giao dịch],"Quyết toán")))</x:f>
      </x:c>
      <x:c r="Z24" s="27" t="str">
        <x:f>IF(P24="","",IF(AC24&gt;0,"n.a.",E24+SUMIFS(T_GD[Thực ghi số dư +/-],T_GD[Sàn],A24,T_GD[Shop],B24,T_GD[Ngày giao dịch sàn],"&gt;="&amp;'Tong_hop'!$C$4,T_GD[Ngày giao dịch sàn],"&lt;"&amp;'Tong_hop'!$F$4)-SUMIFS(T_Chuyen[Tiền trừ số dư],T_Chuyen[Sàn],A24,T_Chuyen[Shop],B24,T_Chuyen[Ngày trừ số dư],"&gt;="&amp;'Tong_hop'!$C$4,T_Chuyen[Ngày trừ số dư],"&lt;"&amp;'Tong_hop'!$F$4)))</x:f>
      </x:c>
      <x:c r="AA24" s="27" t="str">
        <x:f>IF(P24="","",IF(AC24&gt;0,"n.a.",SUMIFS(T_Chuyen[Còn đang chuyển],T_Chuyen[Sàn],A24,T_Chuyen[Shop],B24)))</x:f>
      </x:c>
      <x:c r="AB24" s="27" t="str">
        <x:f>IF(P24="","",IF(AC24&gt;0,"n.a.",SUMIFS(T_Chuyen[Tiền trừ số dư],T_Chuyen[Sàn],A24,T_Chuyen[Shop],B24,T_Chuyen[Ngày trừ số dư],"&gt;="&amp;'Tong_hop'!$C$4,T_Chuyen[Ngày trừ số dư],"&lt;"&amp;'Tong_hop'!$F$4)))</x:f>
      </x:c>
      <x:c r="AC24" s="28" t="str">
        <x:f>IF(P24="","",IF(R24="",0,1)+COUNTIFS(T_Don[Sàn],A24,T_Don[Shop],B24,T_Don[Kiểm tra dữ liệu],"?*")+COUNTIFS(T_GD[Sàn],A24,T_GD[Shop],B24,T_GD[Kiểm tra dữ liệu],"?*")+COUNTIFS(T_Chuyen[Sàn],A24,T_Chuyen[Shop],B24,T_Chuyen[Kiểm tra dữ liệu],"?*")+COUNTIFS(T_NH[Sàn],A24,T_NH[Shop],B24,T_NH[Kiểm tra dữ liệu],"?*"))</x:f>
      </x:c>
    </x:row>
    <x:row r="25" ht="22" customHeight="1">
      <x:c r="A25" s="10"/>
      <x:c r="B25" s="10"/>
      <x:c r="C25" s="25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10"/>
      <x:c r="O25" s="10"/>
      <x:c r="P25" s="23" t="str">
        <x:f>IF(AND(A25="",B25=""),"",A25&amp;"|"&amp;B25)</x:f>
      </x:c>
      <x:c r="Q25" s="27" t="str">
        <x:f>IF(P25="","",IF(COUNT(F25:J25)=5,SUM(F25:J25),"n.a."))</x:f>
      </x:c>
      <x:c r="R25" s="23" t="str">
        <x:f>IF(COUNTA(A25:O25)=0,"",IF(OR(NOT(OR(A25="TikTok Shop",A25="Shopee",A25="Lazada")),B25="",NOT(ISNUMBER(C25)),COUNT(D25:M25)&lt;&gt;10),"Thiếu/sai số dư",IF(C25&lt;&gt;'Tong_hop'!$F$4-1,"Sai ngày chốt",IF(COUNTIFS(T_SoDu[Khóa shop],P25)&lt;&gt;1,"Trùng shop",IF(AND(N25&lt;&gt;"Đã đủ",N25&lt;&gt;"Chưa"),"Thiếu xác nhận nguồn","")))))</x:f>
      </x:c>
      <x:c r="S25" s="27" t="str">
        <x:f>IF(P25="","",IF(AC25&gt;0,"n.a.",SUMIFS(T_Don[Phải thu gộp],T_Don[Sàn],A25,T_Don[Shop],B25,T_Don[Ngày ghi nhận bán],"&gt;="&amp;'Tong_hop'!$C$4,T_Don[Ngày ghi nhận bán],"&lt;"&amp;'Tong_hop'!$F$4)))</x:f>
      </x:c>
      <x:c r="T25" s="27" t="str">
        <x:f>IF(P25="","",IF(AC25&gt;0,"n.a.",SUMIFS(T_GD[Hoàn tiền shop chịu],T_GD[Sàn],A25,T_GD[Shop],B25,T_GD[Ngày giao dịch sàn],"&gt;="&amp;'Tong_hop'!$C$4,T_GD[Ngày giao dịch sàn],"&lt;"&amp;'Tong_hop'!$F$4)))</x:f>
      </x:c>
      <x:c r="U25" s="27" t="str">
        <x:f>IF(P25="","",IF(AC25&gt;0,"n.a.",SUMIFS(T_GD[Phí sàn cấn trừ],T_GD[Sàn],A25,T_GD[Shop],B25,T_GD[Ngày giao dịch sàn],"&gt;="&amp;'Tong_hop'!$C$4,T_GD[Ngày giao dịch sàn],"&lt;"&amp;'Tong_hop'!$F$4)+SUMIFS(T_GD[Ship shop chịu],T_GD[Sàn],A25,T_GD[Shop],B25,T_GD[Ngày giao dịch sàn],"&gt;="&amp;'Tong_hop'!$C$4,T_GD[Ngày giao dịch sàn],"&lt;"&amp;'Tong_hop'!$F$4)+SUMIFS(T_Chuyen[Phí chuyển đã xác nhận],T_Chuyen[Sàn],A25,T_Chuyen[Shop],B25,T_Chuyen[Ngày trừ số dư],"&gt;="&amp;'Tong_hop'!$C$4,T_Chuyen[Ngày trừ số dư],"&lt;"&amp;'Tong_hop'!$F$4)))</x:f>
      </x:c>
      <x:c r="V25" s="27" t="str">
        <x:f>IF(P25="","",IF(AC25&gt;0,"n.a.",SUMIFS(T_GD[Điều chỉnh khác +/-],T_GD[Sàn],A25,T_GD[Shop],B25,T_GD[Ngày giao dịch sàn],"&gt;="&amp;'Tong_hop'!$C$4,T_GD[Ngày giao dịch sàn],"&lt;"&amp;'Tong_hop'!$F$4)+SUMIFS(T_GD[Nạp vào số dư],T_GD[Sàn],A25,T_GD[Shop],B25,T_GD[Ngày giao dịch sàn],"&gt;="&amp;'Tong_hop'!$C$4,T_GD[Ngày giao dịch sàn],"&lt;"&amp;'Tong_hop'!$F$4)))</x:f>
      </x:c>
      <x:c r="W25" s="27" t="str">
        <x:f>IF(P25="","",IF(AC25&gt;0,"n.a.",SUMIFS(T_NH[Tiền thực nhận],T_NH[Sàn],A25,T_NH[Shop],B25,T_NH[Ngày báo Có],"&gt;="&amp;'Tong_hop'!$C$4,T_NH[Ngày báo Có],"&lt;"&amp;'Tong_hop'!$F$4)))</x:f>
      </x:c>
      <x:c r="X25" s="27" t="str">
        <x:f>IF(P25="","",IF(AC25&gt;0,"n.a.",D25+S25-T25-U25+V25-W25))</x:f>
      </x:c>
      <x:c r="Y25" s="27" t="str">
        <x:f>IF(P25="","",IF(AC25&gt;0,"n.a.",SUMIFS(T_GD[Thực ghi số dư +/-],T_GD[Sàn],A25,T_GD[Shop],B25,T_GD[Ngày giao dịch sàn],"&gt;="&amp;'Tong_hop'!$C$4,T_GD[Ngày giao dịch sàn],"&lt;"&amp;'Tong_hop'!$F$4,T_GD[Nhóm giao dịch],"Quyết toán")))</x:f>
      </x:c>
      <x:c r="Z25" s="27" t="str">
        <x:f>IF(P25="","",IF(AC25&gt;0,"n.a.",E25+SUMIFS(T_GD[Thực ghi số dư +/-],T_GD[Sàn],A25,T_GD[Shop],B25,T_GD[Ngày giao dịch sàn],"&gt;="&amp;'Tong_hop'!$C$4,T_GD[Ngày giao dịch sàn],"&lt;"&amp;'Tong_hop'!$F$4)-SUMIFS(T_Chuyen[Tiền trừ số dư],T_Chuyen[Sàn],A25,T_Chuyen[Shop],B25,T_Chuyen[Ngày trừ số dư],"&gt;="&amp;'Tong_hop'!$C$4,T_Chuyen[Ngày trừ số dư],"&lt;"&amp;'Tong_hop'!$F$4)))</x:f>
      </x:c>
      <x:c r="AA25" s="27" t="str">
        <x:f>IF(P25="","",IF(AC25&gt;0,"n.a.",SUMIFS(T_Chuyen[Còn đang chuyển],T_Chuyen[Sàn],A25,T_Chuyen[Shop],B25)))</x:f>
      </x:c>
      <x:c r="AB25" s="27" t="str">
        <x:f>IF(P25="","",IF(AC25&gt;0,"n.a.",SUMIFS(T_Chuyen[Tiền trừ số dư],T_Chuyen[Sàn],A25,T_Chuyen[Shop],B25,T_Chuyen[Ngày trừ số dư],"&gt;="&amp;'Tong_hop'!$C$4,T_Chuyen[Ngày trừ số dư],"&lt;"&amp;'Tong_hop'!$F$4)))</x:f>
      </x:c>
      <x:c r="AC25" s="28" t="str">
        <x:f>IF(P25="","",IF(R25="",0,1)+COUNTIFS(T_Don[Sàn],A25,T_Don[Shop],B25,T_Don[Kiểm tra dữ liệu],"?*")+COUNTIFS(T_GD[Sàn],A25,T_GD[Shop],B25,T_GD[Kiểm tra dữ liệu],"?*")+COUNTIFS(T_Chuyen[Sàn],A25,T_Chuyen[Shop],B25,T_Chuyen[Kiểm tra dữ liệu],"?*")+COUNTIFS(T_NH[Sàn],A25,T_NH[Shop],B25,T_NH[Kiểm tra dữ liệu],"?*"))</x:f>
      </x:c>
    </x:row>
    <x:row r="26" ht="22" customHeight="1">
      <x:c r="A26" s="10"/>
      <x:c r="B26" s="10"/>
      <x:c r="C26" s="25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10"/>
      <x:c r="O26" s="10"/>
      <x:c r="P26" s="23" t="str">
        <x:f>IF(AND(A26="",B26=""),"",A26&amp;"|"&amp;B26)</x:f>
      </x:c>
      <x:c r="Q26" s="27" t="str">
        <x:f>IF(P26="","",IF(COUNT(F26:J26)=5,SUM(F26:J26),"n.a."))</x:f>
      </x:c>
      <x:c r="R26" s="23" t="str">
        <x:f>IF(COUNTA(A26:O26)=0,"",IF(OR(NOT(OR(A26="TikTok Shop",A26="Shopee",A26="Lazada")),B26="",NOT(ISNUMBER(C26)),COUNT(D26:M26)&lt;&gt;10),"Thiếu/sai số dư",IF(C26&lt;&gt;'Tong_hop'!$F$4-1,"Sai ngày chốt",IF(COUNTIFS(T_SoDu[Khóa shop],P26)&lt;&gt;1,"Trùng shop",IF(AND(N26&lt;&gt;"Đã đủ",N26&lt;&gt;"Chưa"),"Thiếu xác nhận nguồn","")))))</x:f>
      </x:c>
      <x:c r="S26" s="27" t="str">
        <x:f>IF(P26="","",IF(AC26&gt;0,"n.a.",SUMIFS(T_Don[Phải thu gộp],T_Don[Sàn],A26,T_Don[Shop],B26,T_Don[Ngày ghi nhận bán],"&gt;="&amp;'Tong_hop'!$C$4,T_Don[Ngày ghi nhận bán],"&lt;"&amp;'Tong_hop'!$F$4)))</x:f>
      </x:c>
      <x:c r="T26" s="27" t="str">
        <x:f>IF(P26="","",IF(AC26&gt;0,"n.a.",SUMIFS(T_GD[Hoàn tiền shop chịu],T_GD[Sàn],A26,T_GD[Shop],B26,T_GD[Ngày giao dịch sàn],"&gt;="&amp;'Tong_hop'!$C$4,T_GD[Ngày giao dịch sàn],"&lt;"&amp;'Tong_hop'!$F$4)))</x:f>
      </x:c>
      <x:c r="U26" s="27" t="str">
        <x:f>IF(P26="","",IF(AC26&gt;0,"n.a.",SUMIFS(T_GD[Phí sàn cấn trừ],T_GD[Sàn],A26,T_GD[Shop],B26,T_GD[Ngày giao dịch sàn],"&gt;="&amp;'Tong_hop'!$C$4,T_GD[Ngày giao dịch sàn],"&lt;"&amp;'Tong_hop'!$F$4)+SUMIFS(T_GD[Ship shop chịu],T_GD[Sàn],A26,T_GD[Shop],B26,T_GD[Ngày giao dịch sàn],"&gt;="&amp;'Tong_hop'!$C$4,T_GD[Ngày giao dịch sàn],"&lt;"&amp;'Tong_hop'!$F$4)+SUMIFS(T_Chuyen[Phí chuyển đã xác nhận],T_Chuyen[Sàn],A26,T_Chuyen[Shop],B26,T_Chuyen[Ngày trừ số dư],"&gt;="&amp;'Tong_hop'!$C$4,T_Chuyen[Ngày trừ số dư],"&lt;"&amp;'Tong_hop'!$F$4)))</x:f>
      </x:c>
      <x:c r="V26" s="27" t="str">
        <x:f>IF(P26="","",IF(AC26&gt;0,"n.a.",SUMIFS(T_GD[Điều chỉnh khác +/-],T_GD[Sàn],A26,T_GD[Shop],B26,T_GD[Ngày giao dịch sàn],"&gt;="&amp;'Tong_hop'!$C$4,T_GD[Ngày giao dịch sàn],"&lt;"&amp;'Tong_hop'!$F$4)+SUMIFS(T_GD[Nạp vào số dư],T_GD[Sàn],A26,T_GD[Shop],B26,T_GD[Ngày giao dịch sàn],"&gt;="&amp;'Tong_hop'!$C$4,T_GD[Ngày giao dịch sàn],"&lt;"&amp;'Tong_hop'!$F$4)))</x:f>
      </x:c>
      <x:c r="W26" s="27" t="str">
        <x:f>IF(P26="","",IF(AC26&gt;0,"n.a.",SUMIFS(T_NH[Tiền thực nhận],T_NH[Sàn],A26,T_NH[Shop],B26,T_NH[Ngày báo Có],"&gt;="&amp;'Tong_hop'!$C$4,T_NH[Ngày báo Có],"&lt;"&amp;'Tong_hop'!$F$4)))</x:f>
      </x:c>
      <x:c r="X26" s="27" t="str">
        <x:f>IF(P26="","",IF(AC26&gt;0,"n.a.",D26+S26-T26-U26+V26-W26))</x:f>
      </x:c>
      <x:c r="Y26" s="27" t="str">
        <x:f>IF(P26="","",IF(AC26&gt;0,"n.a.",SUMIFS(T_GD[Thực ghi số dư +/-],T_GD[Sàn],A26,T_GD[Shop],B26,T_GD[Ngày giao dịch sàn],"&gt;="&amp;'Tong_hop'!$C$4,T_GD[Ngày giao dịch sàn],"&lt;"&amp;'Tong_hop'!$F$4,T_GD[Nhóm giao dịch],"Quyết toán")))</x:f>
      </x:c>
      <x:c r="Z26" s="27" t="str">
        <x:f>IF(P26="","",IF(AC26&gt;0,"n.a.",E26+SUMIFS(T_GD[Thực ghi số dư +/-],T_GD[Sàn],A26,T_GD[Shop],B26,T_GD[Ngày giao dịch sàn],"&gt;="&amp;'Tong_hop'!$C$4,T_GD[Ngày giao dịch sàn],"&lt;"&amp;'Tong_hop'!$F$4)-SUMIFS(T_Chuyen[Tiền trừ số dư],T_Chuyen[Sàn],A26,T_Chuyen[Shop],B26,T_Chuyen[Ngày trừ số dư],"&gt;="&amp;'Tong_hop'!$C$4,T_Chuyen[Ngày trừ số dư],"&lt;"&amp;'Tong_hop'!$F$4)))</x:f>
      </x:c>
      <x:c r="AA26" s="27" t="str">
        <x:f>IF(P26="","",IF(AC26&gt;0,"n.a.",SUMIFS(T_Chuyen[Còn đang chuyển],T_Chuyen[Sàn],A26,T_Chuyen[Shop],B26)))</x:f>
      </x:c>
      <x:c r="AB26" s="27" t="str">
        <x:f>IF(P26="","",IF(AC26&gt;0,"n.a.",SUMIFS(T_Chuyen[Tiền trừ số dư],T_Chuyen[Sàn],A26,T_Chuyen[Shop],B26,T_Chuyen[Ngày trừ số dư],"&gt;="&amp;'Tong_hop'!$C$4,T_Chuyen[Ngày trừ số dư],"&lt;"&amp;'Tong_hop'!$F$4)))</x:f>
      </x:c>
      <x:c r="AC26" s="28" t="str">
        <x:f>IF(P26="","",IF(R26="",0,1)+COUNTIFS(T_Don[Sàn],A26,T_Don[Shop],B26,T_Don[Kiểm tra dữ liệu],"?*")+COUNTIFS(T_GD[Sàn],A26,T_GD[Shop],B26,T_GD[Kiểm tra dữ liệu],"?*")+COUNTIFS(T_Chuyen[Sàn],A26,T_Chuyen[Shop],B26,T_Chuyen[Kiểm tra dữ liệu],"?*")+COUNTIFS(T_NH[Sàn],A26,T_NH[Shop],B26,T_NH[Kiểm tra dữ liệu],"?*"))</x:f>
      </x:c>
    </x:row>
    <x:row r="27" ht="22" customHeight="1">
      <x:c r="A27" s="10"/>
      <x:c r="B27" s="10"/>
      <x:c r="C27" s="25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10"/>
      <x:c r="O27" s="10"/>
      <x:c r="P27" s="23" t="str">
        <x:f>IF(AND(A27="",B27=""),"",A27&amp;"|"&amp;B27)</x:f>
      </x:c>
      <x:c r="Q27" s="27" t="str">
        <x:f>IF(P27="","",IF(COUNT(F27:J27)=5,SUM(F27:J27),"n.a."))</x:f>
      </x:c>
      <x:c r="R27" s="23" t="str">
        <x:f>IF(COUNTA(A27:O27)=0,"",IF(OR(NOT(OR(A27="TikTok Shop",A27="Shopee",A27="Lazada")),B27="",NOT(ISNUMBER(C27)),COUNT(D27:M27)&lt;&gt;10),"Thiếu/sai số dư",IF(C27&lt;&gt;'Tong_hop'!$F$4-1,"Sai ngày chốt",IF(COUNTIFS(T_SoDu[Khóa shop],P27)&lt;&gt;1,"Trùng shop",IF(AND(N27&lt;&gt;"Đã đủ",N27&lt;&gt;"Chưa"),"Thiếu xác nhận nguồn","")))))</x:f>
      </x:c>
      <x:c r="S27" s="27" t="str">
        <x:f>IF(P27="","",IF(AC27&gt;0,"n.a.",SUMIFS(T_Don[Phải thu gộp],T_Don[Sàn],A27,T_Don[Shop],B27,T_Don[Ngày ghi nhận bán],"&gt;="&amp;'Tong_hop'!$C$4,T_Don[Ngày ghi nhận bán],"&lt;"&amp;'Tong_hop'!$F$4)))</x:f>
      </x:c>
      <x:c r="T27" s="27" t="str">
        <x:f>IF(P27="","",IF(AC27&gt;0,"n.a.",SUMIFS(T_GD[Hoàn tiền shop chịu],T_GD[Sàn],A27,T_GD[Shop],B27,T_GD[Ngày giao dịch sàn],"&gt;="&amp;'Tong_hop'!$C$4,T_GD[Ngày giao dịch sàn],"&lt;"&amp;'Tong_hop'!$F$4)))</x:f>
      </x:c>
      <x:c r="U27" s="27" t="str">
        <x:f>IF(P27="","",IF(AC27&gt;0,"n.a.",SUMIFS(T_GD[Phí sàn cấn trừ],T_GD[Sàn],A27,T_GD[Shop],B27,T_GD[Ngày giao dịch sàn],"&gt;="&amp;'Tong_hop'!$C$4,T_GD[Ngày giao dịch sàn],"&lt;"&amp;'Tong_hop'!$F$4)+SUMIFS(T_GD[Ship shop chịu],T_GD[Sàn],A27,T_GD[Shop],B27,T_GD[Ngày giao dịch sàn],"&gt;="&amp;'Tong_hop'!$C$4,T_GD[Ngày giao dịch sàn],"&lt;"&amp;'Tong_hop'!$F$4)+SUMIFS(T_Chuyen[Phí chuyển đã xác nhận],T_Chuyen[Sàn],A27,T_Chuyen[Shop],B27,T_Chuyen[Ngày trừ số dư],"&gt;="&amp;'Tong_hop'!$C$4,T_Chuyen[Ngày trừ số dư],"&lt;"&amp;'Tong_hop'!$F$4)))</x:f>
      </x:c>
      <x:c r="V27" s="27" t="str">
        <x:f>IF(P27="","",IF(AC27&gt;0,"n.a.",SUMIFS(T_GD[Điều chỉnh khác +/-],T_GD[Sàn],A27,T_GD[Shop],B27,T_GD[Ngày giao dịch sàn],"&gt;="&amp;'Tong_hop'!$C$4,T_GD[Ngày giao dịch sàn],"&lt;"&amp;'Tong_hop'!$F$4)+SUMIFS(T_GD[Nạp vào số dư],T_GD[Sàn],A27,T_GD[Shop],B27,T_GD[Ngày giao dịch sàn],"&gt;="&amp;'Tong_hop'!$C$4,T_GD[Ngày giao dịch sàn],"&lt;"&amp;'Tong_hop'!$F$4)))</x:f>
      </x:c>
      <x:c r="W27" s="27" t="str">
        <x:f>IF(P27="","",IF(AC27&gt;0,"n.a.",SUMIFS(T_NH[Tiền thực nhận],T_NH[Sàn],A27,T_NH[Shop],B27,T_NH[Ngày báo Có],"&gt;="&amp;'Tong_hop'!$C$4,T_NH[Ngày báo Có],"&lt;"&amp;'Tong_hop'!$F$4)))</x:f>
      </x:c>
      <x:c r="X27" s="27" t="str">
        <x:f>IF(P27="","",IF(AC27&gt;0,"n.a.",D27+S27-T27-U27+V27-W27))</x:f>
      </x:c>
      <x:c r="Y27" s="27" t="str">
        <x:f>IF(P27="","",IF(AC27&gt;0,"n.a.",SUMIFS(T_GD[Thực ghi số dư +/-],T_GD[Sàn],A27,T_GD[Shop],B27,T_GD[Ngày giao dịch sàn],"&gt;="&amp;'Tong_hop'!$C$4,T_GD[Ngày giao dịch sàn],"&lt;"&amp;'Tong_hop'!$F$4,T_GD[Nhóm giao dịch],"Quyết toán")))</x:f>
      </x:c>
      <x:c r="Z27" s="27" t="str">
        <x:f>IF(P27="","",IF(AC27&gt;0,"n.a.",E27+SUMIFS(T_GD[Thực ghi số dư +/-],T_GD[Sàn],A27,T_GD[Shop],B27,T_GD[Ngày giao dịch sàn],"&gt;="&amp;'Tong_hop'!$C$4,T_GD[Ngày giao dịch sàn],"&lt;"&amp;'Tong_hop'!$F$4)-SUMIFS(T_Chuyen[Tiền trừ số dư],T_Chuyen[Sàn],A27,T_Chuyen[Shop],B27,T_Chuyen[Ngày trừ số dư],"&gt;="&amp;'Tong_hop'!$C$4,T_Chuyen[Ngày trừ số dư],"&lt;"&amp;'Tong_hop'!$F$4)))</x:f>
      </x:c>
      <x:c r="AA27" s="27" t="str">
        <x:f>IF(P27="","",IF(AC27&gt;0,"n.a.",SUMIFS(T_Chuyen[Còn đang chuyển],T_Chuyen[Sàn],A27,T_Chuyen[Shop],B27)))</x:f>
      </x:c>
      <x:c r="AB27" s="27" t="str">
        <x:f>IF(P27="","",IF(AC27&gt;0,"n.a.",SUMIFS(T_Chuyen[Tiền trừ số dư],T_Chuyen[Sàn],A27,T_Chuyen[Shop],B27,T_Chuyen[Ngày trừ số dư],"&gt;="&amp;'Tong_hop'!$C$4,T_Chuyen[Ngày trừ số dư],"&lt;"&amp;'Tong_hop'!$F$4)))</x:f>
      </x:c>
      <x:c r="AC27" s="28" t="str">
        <x:f>IF(P27="","",IF(R27="",0,1)+COUNTIFS(T_Don[Sàn],A27,T_Don[Shop],B27,T_Don[Kiểm tra dữ liệu],"?*")+COUNTIFS(T_GD[Sàn],A27,T_GD[Shop],B27,T_GD[Kiểm tra dữ liệu],"?*")+COUNTIFS(T_Chuyen[Sàn],A27,T_Chuyen[Shop],B27,T_Chuyen[Kiểm tra dữ liệu],"?*")+COUNTIFS(T_NH[Sàn],A27,T_NH[Shop],B27,T_NH[Kiểm tra dữ liệu],"?*"))</x:f>
      </x:c>
    </x:row>
    <x:row r="28" ht="22" customHeight="1">
      <x:c r="A28" s="10"/>
      <x:c r="B28" s="10"/>
      <x:c r="C28" s="25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10"/>
      <x:c r="O28" s="10"/>
      <x:c r="P28" s="23" t="str">
        <x:f>IF(AND(A28="",B28=""),"",A28&amp;"|"&amp;B28)</x:f>
      </x:c>
      <x:c r="Q28" s="27" t="str">
        <x:f>IF(P28="","",IF(COUNT(F28:J28)=5,SUM(F28:J28),"n.a."))</x:f>
      </x:c>
      <x:c r="R28" s="23" t="str">
        <x:f>IF(COUNTA(A28:O28)=0,"",IF(OR(NOT(OR(A28="TikTok Shop",A28="Shopee",A28="Lazada")),B28="",NOT(ISNUMBER(C28)),COUNT(D28:M28)&lt;&gt;10),"Thiếu/sai số dư",IF(C28&lt;&gt;'Tong_hop'!$F$4-1,"Sai ngày chốt",IF(COUNTIFS(T_SoDu[Khóa shop],P28)&lt;&gt;1,"Trùng shop",IF(AND(N28&lt;&gt;"Đã đủ",N28&lt;&gt;"Chưa"),"Thiếu xác nhận nguồn","")))))</x:f>
      </x:c>
      <x:c r="S28" s="27" t="str">
        <x:f>IF(P28="","",IF(AC28&gt;0,"n.a.",SUMIFS(T_Don[Phải thu gộp],T_Don[Sàn],A28,T_Don[Shop],B28,T_Don[Ngày ghi nhận bán],"&gt;="&amp;'Tong_hop'!$C$4,T_Don[Ngày ghi nhận bán],"&lt;"&amp;'Tong_hop'!$F$4)))</x:f>
      </x:c>
      <x:c r="T28" s="27" t="str">
        <x:f>IF(P28="","",IF(AC28&gt;0,"n.a.",SUMIFS(T_GD[Hoàn tiền shop chịu],T_GD[Sàn],A28,T_GD[Shop],B28,T_GD[Ngày giao dịch sàn],"&gt;="&amp;'Tong_hop'!$C$4,T_GD[Ngày giao dịch sàn],"&lt;"&amp;'Tong_hop'!$F$4)))</x:f>
      </x:c>
      <x:c r="U28" s="27" t="str">
        <x:f>IF(P28="","",IF(AC28&gt;0,"n.a.",SUMIFS(T_GD[Phí sàn cấn trừ],T_GD[Sàn],A28,T_GD[Shop],B28,T_GD[Ngày giao dịch sàn],"&gt;="&amp;'Tong_hop'!$C$4,T_GD[Ngày giao dịch sàn],"&lt;"&amp;'Tong_hop'!$F$4)+SUMIFS(T_GD[Ship shop chịu],T_GD[Sàn],A28,T_GD[Shop],B28,T_GD[Ngày giao dịch sàn],"&gt;="&amp;'Tong_hop'!$C$4,T_GD[Ngày giao dịch sàn],"&lt;"&amp;'Tong_hop'!$F$4)+SUMIFS(T_Chuyen[Phí chuyển đã xác nhận],T_Chuyen[Sàn],A28,T_Chuyen[Shop],B28,T_Chuyen[Ngày trừ số dư],"&gt;="&amp;'Tong_hop'!$C$4,T_Chuyen[Ngày trừ số dư],"&lt;"&amp;'Tong_hop'!$F$4)))</x:f>
      </x:c>
      <x:c r="V28" s="27" t="str">
        <x:f>IF(P28="","",IF(AC28&gt;0,"n.a.",SUMIFS(T_GD[Điều chỉnh khác +/-],T_GD[Sàn],A28,T_GD[Shop],B28,T_GD[Ngày giao dịch sàn],"&gt;="&amp;'Tong_hop'!$C$4,T_GD[Ngày giao dịch sàn],"&lt;"&amp;'Tong_hop'!$F$4)+SUMIFS(T_GD[Nạp vào số dư],T_GD[Sàn],A28,T_GD[Shop],B28,T_GD[Ngày giao dịch sàn],"&gt;="&amp;'Tong_hop'!$C$4,T_GD[Ngày giao dịch sàn],"&lt;"&amp;'Tong_hop'!$F$4)))</x:f>
      </x:c>
      <x:c r="W28" s="27" t="str">
        <x:f>IF(P28="","",IF(AC28&gt;0,"n.a.",SUMIFS(T_NH[Tiền thực nhận],T_NH[Sàn],A28,T_NH[Shop],B28,T_NH[Ngày báo Có],"&gt;="&amp;'Tong_hop'!$C$4,T_NH[Ngày báo Có],"&lt;"&amp;'Tong_hop'!$F$4)))</x:f>
      </x:c>
      <x:c r="X28" s="27" t="str">
        <x:f>IF(P28="","",IF(AC28&gt;0,"n.a.",D28+S28-T28-U28+V28-W28))</x:f>
      </x:c>
      <x:c r="Y28" s="27" t="str">
        <x:f>IF(P28="","",IF(AC28&gt;0,"n.a.",SUMIFS(T_GD[Thực ghi số dư +/-],T_GD[Sàn],A28,T_GD[Shop],B28,T_GD[Ngày giao dịch sàn],"&gt;="&amp;'Tong_hop'!$C$4,T_GD[Ngày giao dịch sàn],"&lt;"&amp;'Tong_hop'!$F$4,T_GD[Nhóm giao dịch],"Quyết toán")))</x:f>
      </x:c>
      <x:c r="Z28" s="27" t="str">
        <x:f>IF(P28="","",IF(AC28&gt;0,"n.a.",E28+SUMIFS(T_GD[Thực ghi số dư +/-],T_GD[Sàn],A28,T_GD[Shop],B28,T_GD[Ngày giao dịch sàn],"&gt;="&amp;'Tong_hop'!$C$4,T_GD[Ngày giao dịch sàn],"&lt;"&amp;'Tong_hop'!$F$4)-SUMIFS(T_Chuyen[Tiền trừ số dư],T_Chuyen[Sàn],A28,T_Chuyen[Shop],B28,T_Chuyen[Ngày trừ số dư],"&gt;="&amp;'Tong_hop'!$C$4,T_Chuyen[Ngày trừ số dư],"&lt;"&amp;'Tong_hop'!$F$4)))</x:f>
      </x:c>
      <x:c r="AA28" s="27" t="str">
        <x:f>IF(P28="","",IF(AC28&gt;0,"n.a.",SUMIFS(T_Chuyen[Còn đang chuyển],T_Chuyen[Sàn],A28,T_Chuyen[Shop],B28)))</x:f>
      </x:c>
      <x:c r="AB28" s="27" t="str">
        <x:f>IF(P28="","",IF(AC28&gt;0,"n.a.",SUMIFS(T_Chuyen[Tiền trừ số dư],T_Chuyen[Sàn],A28,T_Chuyen[Shop],B28,T_Chuyen[Ngày trừ số dư],"&gt;="&amp;'Tong_hop'!$C$4,T_Chuyen[Ngày trừ số dư],"&lt;"&amp;'Tong_hop'!$F$4)))</x:f>
      </x:c>
      <x:c r="AC28" s="28" t="str">
        <x:f>IF(P28="","",IF(R28="",0,1)+COUNTIFS(T_Don[Sàn],A28,T_Don[Shop],B28,T_Don[Kiểm tra dữ liệu],"?*")+COUNTIFS(T_GD[Sàn],A28,T_GD[Shop],B28,T_GD[Kiểm tra dữ liệu],"?*")+COUNTIFS(T_Chuyen[Sàn],A28,T_Chuyen[Shop],B28,T_Chuyen[Kiểm tra dữ liệu],"?*")+COUNTIFS(T_NH[Sàn],A28,T_NH[Shop],B28,T_NH[Kiểm tra dữ liệu],"?*"))</x:f>
      </x:c>
    </x:row>
    <x:row r="29" ht="22" customHeight="1">
      <x:c r="A29" s="10"/>
      <x:c r="B29" s="10"/>
      <x:c r="C29" s="25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10"/>
      <x:c r="O29" s="10"/>
      <x:c r="P29" s="23" t="str">
        <x:f>IF(AND(A29="",B29=""),"",A29&amp;"|"&amp;B29)</x:f>
      </x:c>
      <x:c r="Q29" s="27" t="str">
        <x:f>IF(P29="","",IF(COUNT(F29:J29)=5,SUM(F29:J29),"n.a."))</x:f>
      </x:c>
      <x:c r="R29" s="23" t="str">
        <x:f>IF(COUNTA(A29:O29)=0,"",IF(OR(NOT(OR(A29="TikTok Shop",A29="Shopee",A29="Lazada")),B29="",NOT(ISNUMBER(C29)),COUNT(D29:M29)&lt;&gt;10),"Thiếu/sai số dư",IF(C29&lt;&gt;'Tong_hop'!$F$4-1,"Sai ngày chốt",IF(COUNTIFS(T_SoDu[Khóa shop],P29)&lt;&gt;1,"Trùng shop",IF(AND(N29&lt;&gt;"Đã đủ",N29&lt;&gt;"Chưa"),"Thiếu xác nhận nguồn","")))))</x:f>
      </x:c>
      <x:c r="S29" s="27" t="str">
        <x:f>IF(P29="","",IF(AC29&gt;0,"n.a.",SUMIFS(T_Don[Phải thu gộp],T_Don[Sàn],A29,T_Don[Shop],B29,T_Don[Ngày ghi nhận bán],"&gt;="&amp;'Tong_hop'!$C$4,T_Don[Ngày ghi nhận bán],"&lt;"&amp;'Tong_hop'!$F$4)))</x:f>
      </x:c>
      <x:c r="T29" s="27" t="str">
        <x:f>IF(P29="","",IF(AC29&gt;0,"n.a.",SUMIFS(T_GD[Hoàn tiền shop chịu],T_GD[Sàn],A29,T_GD[Shop],B29,T_GD[Ngày giao dịch sàn],"&gt;="&amp;'Tong_hop'!$C$4,T_GD[Ngày giao dịch sàn],"&lt;"&amp;'Tong_hop'!$F$4)))</x:f>
      </x:c>
      <x:c r="U29" s="27" t="str">
        <x:f>IF(P29="","",IF(AC29&gt;0,"n.a.",SUMIFS(T_GD[Phí sàn cấn trừ],T_GD[Sàn],A29,T_GD[Shop],B29,T_GD[Ngày giao dịch sàn],"&gt;="&amp;'Tong_hop'!$C$4,T_GD[Ngày giao dịch sàn],"&lt;"&amp;'Tong_hop'!$F$4)+SUMIFS(T_GD[Ship shop chịu],T_GD[Sàn],A29,T_GD[Shop],B29,T_GD[Ngày giao dịch sàn],"&gt;="&amp;'Tong_hop'!$C$4,T_GD[Ngày giao dịch sàn],"&lt;"&amp;'Tong_hop'!$F$4)+SUMIFS(T_Chuyen[Phí chuyển đã xác nhận],T_Chuyen[Sàn],A29,T_Chuyen[Shop],B29,T_Chuyen[Ngày trừ số dư],"&gt;="&amp;'Tong_hop'!$C$4,T_Chuyen[Ngày trừ số dư],"&lt;"&amp;'Tong_hop'!$F$4)))</x:f>
      </x:c>
      <x:c r="V29" s="27" t="str">
        <x:f>IF(P29="","",IF(AC29&gt;0,"n.a.",SUMIFS(T_GD[Điều chỉnh khác +/-],T_GD[Sàn],A29,T_GD[Shop],B29,T_GD[Ngày giao dịch sàn],"&gt;="&amp;'Tong_hop'!$C$4,T_GD[Ngày giao dịch sàn],"&lt;"&amp;'Tong_hop'!$F$4)+SUMIFS(T_GD[Nạp vào số dư],T_GD[Sàn],A29,T_GD[Shop],B29,T_GD[Ngày giao dịch sàn],"&gt;="&amp;'Tong_hop'!$C$4,T_GD[Ngày giao dịch sàn],"&lt;"&amp;'Tong_hop'!$F$4)))</x:f>
      </x:c>
      <x:c r="W29" s="27" t="str">
        <x:f>IF(P29="","",IF(AC29&gt;0,"n.a.",SUMIFS(T_NH[Tiền thực nhận],T_NH[Sàn],A29,T_NH[Shop],B29,T_NH[Ngày báo Có],"&gt;="&amp;'Tong_hop'!$C$4,T_NH[Ngày báo Có],"&lt;"&amp;'Tong_hop'!$F$4)))</x:f>
      </x:c>
      <x:c r="X29" s="27" t="str">
        <x:f>IF(P29="","",IF(AC29&gt;0,"n.a.",D29+S29-T29-U29+V29-W29))</x:f>
      </x:c>
      <x:c r="Y29" s="27" t="str">
        <x:f>IF(P29="","",IF(AC29&gt;0,"n.a.",SUMIFS(T_GD[Thực ghi số dư +/-],T_GD[Sàn],A29,T_GD[Shop],B29,T_GD[Ngày giao dịch sàn],"&gt;="&amp;'Tong_hop'!$C$4,T_GD[Ngày giao dịch sàn],"&lt;"&amp;'Tong_hop'!$F$4,T_GD[Nhóm giao dịch],"Quyết toán")))</x:f>
      </x:c>
      <x:c r="Z29" s="27" t="str">
        <x:f>IF(P29="","",IF(AC29&gt;0,"n.a.",E29+SUMIFS(T_GD[Thực ghi số dư +/-],T_GD[Sàn],A29,T_GD[Shop],B29,T_GD[Ngày giao dịch sàn],"&gt;="&amp;'Tong_hop'!$C$4,T_GD[Ngày giao dịch sàn],"&lt;"&amp;'Tong_hop'!$F$4)-SUMIFS(T_Chuyen[Tiền trừ số dư],T_Chuyen[Sàn],A29,T_Chuyen[Shop],B29,T_Chuyen[Ngày trừ số dư],"&gt;="&amp;'Tong_hop'!$C$4,T_Chuyen[Ngày trừ số dư],"&lt;"&amp;'Tong_hop'!$F$4)))</x:f>
      </x:c>
      <x:c r="AA29" s="27" t="str">
        <x:f>IF(P29="","",IF(AC29&gt;0,"n.a.",SUMIFS(T_Chuyen[Còn đang chuyển],T_Chuyen[Sàn],A29,T_Chuyen[Shop],B29)))</x:f>
      </x:c>
      <x:c r="AB29" s="27" t="str">
        <x:f>IF(P29="","",IF(AC29&gt;0,"n.a.",SUMIFS(T_Chuyen[Tiền trừ số dư],T_Chuyen[Sàn],A29,T_Chuyen[Shop],B29,T_Chuyen[Ngày trừ số dư],"&gt;="&amp;'Tong_hop'!$C$4,T_Chuyen[Ngày trừ số dư],"&lt;"&amp;'Tong_hop'!$F$4)))</x:f>
      </x:c>
      <x:c r="AC29" s="28" t="str">
        <x:f>IF(P29="","",IF(R29="",0,1)+COUNTIFS(T_Don[Sàn],A29,T_Don[Shop],B29,T_Don[Kiểm tra dữ liệu],"?*")+COUNTIFS(T_GD[Sàn],A29,T_GD[Shop],B29,T_GD[Kiểm tra dữ liệu],"?*")+COUNTIFS(T_Chuyen[Sàn],A29,T_Chuyen[Shop],B29,T_Chuyen[Kiểm tra dữ liệu],"?*")+COUNTIFS(T_NH[Sàn],A29,T_NH[Shop],B29,T_NH[Kiểm tra dữ liệu],"?*"))</x:f>
      </x:c>
    </x:row>
    <x:row r="30" ht="22" customHeight="1">
      <x:c r="A30" s="10"/>
      <x:c r="B30" s="10"/>
      <x:c r="C30" s="25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10"/>
      <x:c r="O30" s="10"/>
      <x:c r="P30" s="23" t="str">
        <x:f>IF(AND(A30="",B30=""),"",A30&amp;"|"&amp;B30)</x:f>
      </x:c>
      <x:c r="Q30" s="27" t="str">
        <x:f>IF(P30="","",IF(COUNT(F30:J30)=5,SUM(F30:J30),"n.a."))</x:f>
      </x:c>
      <x:c r="R30" s="23" t="str">
        <x:f>IF(COUNTA(A30:O30)=0,"",IF(OR(NOT(OR(A30="TikTok Shop",A30="Shopee",A30="Lazada")),B30="",NOT(ISNUMBER(C30)),COUNT(D30:M30)&lt;&gt;10),"Thiếu/sai số dư",IF(C30&lt;&gt;'Tong_hop'!$F$4-1,"Sai ngày chốt",IF(COUNTIFS(T_SoDu[Khóa shop],P30)&lt;&gt;1,"Trùng shop",IF(AND(N30&lt;&gt;"Đã đủ",N30&lt;&gt;"Chưa"),"Thiếu xác nhận nguồn","")))))</x:f>
      </x:c>
      <x:c r="S30" s="27" t="str">
        <x:f>IF(P30="","",IF(AC30&gt;0,"n.a.",SUMIFS(T_Don[Phải thu gộp],T_Don[Sàn],A30,T_Don[Shop],B30,T_Don[Ngày ghi nhận bán],"&gt;="&amp;'Tong_hop'!$C$4,T_Don[Ngày ghi nhận bán],"&lt;"&amp;'Tong_hop'!$F$4)))</x:f>
      </x:c>
      <x:c r="T30" s="27" t="str">
        <x:f>IF(P30="","",IF(AC30&gt;0,"n.a.",SUMIFS(T_GD[Hoàn tiền shop chịu],T_GD[Sàn],A30,T_GD[Shop],B30,T_GD[Ngày giao dịch sàn],"&gt;="&amp;'Tong_hop'!$C$4,T_GD[Ngày giao dịch sàn],"&lt;"&amp;'Tong_hop'!$F$4)))</x:f>
      </x:c>
      <x:c r="U30" s="27" t="str">
        <x:f>IF(P30="","",IF(AC30&gt;0,"n.a.",SUMIFS(T_GD[Phí sàn cấn trừ],T_GD[Sàn],A30,T_GD[Shop],B30,T_GD[Ngày giao dịch sàn],"&gt;="&amp;'Tong_hop'!$C$4,T_GD[Ngày giao dịch sàn],"&lt;"&amp;'Tong_hop'!$F$4)+SUMIFS(T_GD[Ship shop chịu],T_GD[Sàn],A30,T_GD[Shop],B30,T_GD[Ngày giao dịch sàn],"&gt;="&amp;'Tong_hop'!$C$4,T_GD[Ngày giao dịch sàn],"&lt;"&amp;'Tong_hop'!$F$4)+SUMIFS(T_Chuyen[Phí chuyển đã xác nhận],T_Chuyen[Sàn],A30,T_Chuyen[Shop],B30,T_Chuyen[Ngày trừ số dư],"&gt;="&amp;'Tong_hop'!$C$4,T_Chuyen[Ngày trừ số dư],"&lt;"&amp;'Tong_hop'!$F$4)))</x:f>
      </x:c>
      <x:c r="V30" s="27" t="str">
        <x:f>IF(P30="","",IF(AC30&gt;0,"n.a.",SUMIFS(T_GD[Điều chỉnh khác +/-],T_GD[Sàn],A30,T_GD[Shop],B30,T_GD[Ngày giao dịch sàn],"&gt;="&amp;'Tong_hop'!$C$4,T_GD[Ngày giao dịch sàn],"&lt;"&amp;'Tong_hop'!$F$4)+SUMIFS(T_GD[Nạp vào số dư],T_GD[Sàn],A30,T_GD[Shop],B30,T_GD[Ngày giao dịch sàn],"&gt;="&amp;'Tong_hop'!$C$4,T_GD[Ngày giao dịch sàn],"&lt;"&amp;'Tong_hop'!$F$4)))</x:f>
      </x:c>
      <x:c r="W30" s="27" t="str">
        <x:f>IF(P30="","",IF(AC30&gt;0,"n.a.",SUMIFS(T_NH[Tiền thực nhận],T_NH[Sàn],A30,T_NH[Shop],B30,T_NH[Ngày báo Có],"&gt;="&amp;'Tong_hop'!$C$4,T_NH[Ngày báo Có],"&lt;"&amp;'Tong_hop'!$F$4)))</x:f>
      </x:c>
      <x:c r="X30" s="27" t="str">
        <x:f>IF(P30="","",IF(AC30&gt;0,"n.a.",D30+S30-T30-U30+V30-W30))</x:f>
      </x:c>
      <x:c r="Y30" s="27" t="str">
        <x:f>IF(P30="","",IF(AC30&gt;0,"n.a.",SUMIFS(T_GD[Thực ghi số dư +/-],T_GD[Sàn],A30,T_GD[Shop],B30,T_GD[Ngày giao dịch sàn],"&gt;="&amp;'Tong_hop'!$C$4,T_GD[Ngày giao dịch sàn],"&lt;"&amp;'Tong_hop'!$F$4,T_GD[Nhóm giao dịch],"Quyết toán")))</x:f>
      </x:c>
      <x:c r="Z30" s="27" t="str">
        <x:f>IF(P30="","",IF(AC30&gt;0,"n.a.",E30+SUMIFS(T_GD[Thực ghi số dư +/-],T_GD[Sàn],A30,T_GD[Shop],B30,T_GD[Ngày giao dịch sàn],"&gt;="&amp;'Tong_hop'!$C$4,T_GD[Ngày giao dịch sàn],"&lt;"&amp;'Tong_hop'!$F$4)-SUMIFS(T_Chuyen[Tiền trừ số dư],T_Chuyen[Sàn],A30,T_Chuyen[Shop],B30,T_Chuyen[Ngày trừ số dư],"&gt;="&amp;'Tong_hop'!$C$4,T_Chuyen[Ngày trừ số dư],"&lt;"&amp;'Tong_hop'!$F$4)))</x:f>
      </x:c>
      <x:c r="AA30" s="27" t="str">
        <x:f>IF(P30="","",IF(AC30&gt;0,"n.a.",SUMIFS(T_Chuyen[Còn đang chuyển],T_Chuyen[Sàn],A30,T_Chuyen[Shop],B30)))</x:f>
      </x:c>
      <x:c r="AB30" s="27" t="str">
        <x:f>IF(P30="","",IF(AC30&gt;0,"n.a.",SUMIFS(T_Chuyen[Tiền trừ số dư],T_Chuyen[Sàn],A30,T_Chuyen[Shop],B30,T_Chuyen[Ngày trừ số dư],"&gt;="&amp;'Tong_hop'!$C$4,T_Chuyen[Ngày trừ số dư],"&lt;"&amp;'Tong_hop'!$F$4)))</x:f>
      </x:c>
      <x:c r="AC30" s="28" t="str">
        <x:f>IF(P30="","",IF(R30="",0,1)+COUNTIFS(T_Don[Sàn],A30,T_Don[Shop],B30,T_Don[Kiểm tra dữ liệu],"?*")+COUNTIFS(T_GD[Sàn],A30,T_GD[Shop],B30,T_GD[Kiểm tra dữ liệu],"?*")+COUNTIFS(T_Chuyen[Sàn],A30,T_Chuyen[Shop],B30,T_Chuyen[Kiểm tra dữ liệu],"?*")+COUNTIFS(T_NH[Sàn],A30,T_NH[Shop],B30,T_NH[Kiểm tra dữ liệu],"?*"))</x:f>
      </x:c>
    </x:row>
    <x:row r="31" ht="22" customHeight="1">
      <x:c r="A31" s="10"/>
      <x:c r="B31" s="10"/>
      <x:c r="C31" s="25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10"/>
      <x:c r="O31" s="10"/>
      <x:c r="P31" s="23" t="str">
        <x:f>IF(AND(A31="",B31=""),"",A31&amp;"|"&amp;B31)</x:f>
      </x:c>
      <x:c r="Q31" s="27" t="str">
        <x:f>IF(P31="","",IF(COUNT(F31:J31)=5,SUM(F31:J31),"n.a."))</x:f>
      </x:c>
      <x:c r="R31" s="23" t="str">
        <x:f>IF(COUNTA(A31:O31)=0,"",IF(OR(NOT(OR(A31="TikTok Shop",A31="Shopee",A31="Lazada")),B31="",NOT(ISNUMBER(C31)),COUNT(D31:M31)&lt;&gt;10),"Thiếu/sai số dư",IF(C31&lt;&gt;'Tong_hop'!$F$4-1,"Sai ngày chốt",IF(COUNTIFS(T_SoDu[Khóa shop],P31)&lt;&gt;1,"Trùng shop",IF(AND(N31&lt;&gt;"Đã đủ",N31&lt;&gt;"Chưa"),"Thiếu xác nhận nguồn","")))))</x:f>
      </x:c>
      <x:c r="S31" s="27" t="str">
        <x:f>IF(P31="","",IF(AC31&gt;0,"n.a.",SUMIFS(T_Don[Phải thu gộp],T_Don[Sàn],A31,T_Don[Shop],B31,T_Don[Ngày ghi nhận bán],"&gt;="&amp;'Tong_hop'!$C$4,T_Don[Ngày ghi nhận bán],"&lt;"&amp;'Tong_hop'!$F$4)))</x:f>
      </x:c>
      <x:c r="T31" s="27" t="str">
        <x:f>IF(P31="","",IF(AC31&gt;0,"n.a.",SUMIFS(T_GD[Hoàn tiền shop chịu],T_GD[Sàn],A31,T_GD[Shop],B31,T_GD[Ngày giao dịch sàn],"&gt;="&amp;'Tong_hop'!$C$4,T_GD[Ngày giao dịch sàn],"&lt;"&amp;'Tong_hop'!$F$4)))</x:f>
      </x:c>
      <x:c r="U31" s="27" t="str">
        <x:f>IF(P31="","",IF(AC31&gt;0,"n.a.",SUMIFS(T_GD[Phí sàn cấn trừ],T_GD[Sàn],A31,T_GD[Shop],B31,T_GD[Ngày giao dịch sàn],"&gt;="&amp;'Tong_hop'!$C$4,T_GD[Ngày giao dịch sàn],"&lt;"&amp;'Tong_hop'!$F$4)+SUMIFS(T_GD[Ship shop chịu],T_GD[Sàn],A31,T_GD[Shop],B31,T_GD[Ngày giao dịch sàn],"&gt;="&amp;'Tong_hop'!$C$4,T_GD[Ngày giao dịch sàn],"&lt;"&amp;'Tong_hop'!$F$4)+SUMIFS(T_Chuyen[Phí chuyển đã xác nhận],T_Chuyen[Sàn],A31,T_Chuyen[Shop],B31,T_Chuyen[Ngày trừ số dư],"&gt;="&amp;'Tong_hop'!$C$4,T_Chuyen[Ngày trừ số dư],"&lt;"&amp;'Tong_hop'!$F$4)))</x:f>
      </x:c>
      <x:c r="V31" s="27" t="str">
        <x:f>IF(P31="","",IF(AC31&gt;0,"n.a.",SUMIFS(T_GD[Điều chỉnh khác +/-],T_GD[Sàn],A31,T_GD[Shop],B31,T_GD[Ngày giao dịch sàn],"&gt;="&amp;'Tong_hop'!$C$4,T_GD[Ngày giao dịch sàn],"&lt;"&amp;'Tong_hop'!$F$4)+SUMIFS(T_GD[Nạp vào số dư],T_GD[Sàn],A31,T_GD[Shop],B31,T_GD[Ngày giao dịch sàn],"&gt;="&amp;'Tong_hop'!$C$4,T_GD[Ngày giao dịch sàn],"&lt;"&amp;'Tong_hop'!$F$4)))</x:f>
      </x:c>
      <x:c r="W31" s="27" t="str">
        <x:f>IF(P31="","",IF(AC31&gt;0,"n.a.",SUMIFS(T_NH[Tiền thực nhận],T_NH[Sàn],A31,T_NH[Shop],B31,T_NH[Ngày báo Có],"&gt;="&amp;'Tong_hop'!$C$4,T_NH[Ngày báo Có],"&lt;"&amp;'Tong_hop'!$F$4)))</x:f>
      </x:c>
      <x:c r="X31" s="27" t="str">
        <x:f>IF(P31="","",IF(AC31&gt;0,"n.a.",D31+S31-T31-U31+V31-W31))</x:f>
      </x:c>
      <x:c r="Y31" s="27" t="str">
        <x:f>IF(P31="","",IF(AC31&gt;0,"n.a.",SUMIFS(T_GD[Thực ghi số dư +/-],T_GD[Sàn],A31,T_GD[Shop],B31,T_GD[Ngày giao dịch sàn],"&gt;="&amp;'Tong_hop'!$C$4,T_GD[Ngày giao dịch sàn],"&lt;"&amp;'Tong_hop'!$F$4,T_GD[Nhóm giao dịch],"Quyết toán")))</x:f>
      </x:c>
      <x:c r="Z31" s="27" t="str">
        <x:f>IF(P31="","",IF(AC31&gt;0,"n.a.",E31+SUMIFS(T_GD[Thực ghi số dư +/-],T_GD[Sàn],A31,T_GD[Shop],B31,T_GD[Ngày giao dịch sàn],"&gt;="&amp;'Tong_hop'!$C$4,T_GD[Ngày giao dịch sàn],"&lt;"&amp;'Tong_hop'!$F$4)-SUMIFS(T_Chuyen[Tiền trừ số dư],T_Chuyen[Sàn],A31,T_Chuyen[Shop],B31,T_Chuyen[Ngày trừ số dư],"&gt;="&amp;'Tong_hop'!$C$4,T_Chuyen[Ngày trừ số dư],"&lt;"&amp;'Tong_hop'!$F$4)))</x:f>
      </x:c>
      <x:c r="AA31" s="27" t="str">
        <x:f>IF(P31="","",IF(AC31&gt;0,"n.a.",SUMIFS(T_Chuyen[Còn đang chuyển],T_Chuyen[Sàn],A31,T_Chuyen[Shop],B31)))</x:f>
      </x:c>
      <x:c r="AB31" s="27" t="str">
        <x:f>IF(P31="","",IF(AC31&gt;0,"n.a.",SUMIFS(T_Chuyen[Tiền trừ số dư],T_Chuyen[Sàn],A31,T_Chuyen[Shop],B31,T_Chuyen[Ngày trừ số dư],"&gt;="&amp;'Tong_hop'!$C$4,T_Chuyen[Ngày trừ số dư],"&lt;"&amp;'Tong_hop'!$F$4)))</x:f>
      </x:c>
      <x:c r="AC31" s="28" t="str">
        <x:f>IF(P31="","",IF(R31="",0,1)+COUNTIFS(T_Don[Sàn],A31,T_Don[Shop],B31,T_Don[Kiểm tra dữ liệu],"?*")+COUNTIFS(T_GD[Sàn],A31,T_GD[Shop],B31,T_GD[Kiểm tra dữ liệu],"?*")+COUNTIFS(T_Chuyen[Sàn],A31,T_Chuyen[Shop],B31,T_Chuyen[Kiểm tra dữ liệu],"?*")+COUNTIFS(T_NH[Sàn],A31,T_NH[Shop],B31,T_NH[Kiểm tra dữ liệu],"?*"))</x:f>
      </x:c>
    </x:row>
    <x:row r="32" ht="22" customHeight="1">
      <x:c r="A32" s="10"/>
      <x:c r="B32" s="10"/>
      <x:c r="C32" s="25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10"/>
      <x:c r="O32" s="10"/>
      <x:c r="P32" s="23" t="str">
        <x:f>IF(AND(A32="",B32=""),"",A32&amp;"|"&amp;B32)</x:f>
      </x:c>
      <x:c r="Q32" s="27" t="str">
        <x:f>IF(P32="","",IF(COUNT(F32:J32)=5,SUM(F32:J32),"n.a."))</x:f>
      </x:c>
      <x:c r="R32" s="23" t="str">
        <x:f>IF(COUNTA(A32:O32)=0,"",IF(OR(NOT(OR(A32="TikTok Shop",A32="Shopee",A32="Lazada")),B32="",NOT(ISNUMBER(C32)),COUNT(D32:M32)&lt;&gt;10),"Thiếu/sai số dư",IF(C32&lt;&gt;'Tong_hop'!$F$4-1,"Sai ngày chốt",IF(COUNTIFS(T_SoDu[Khóa shop],P32)&lt;&gt;1,"Trùng shop",IF(AND(N32&lt;&gt;"Đã đủ",N32&lt;&gt;"Chưa"),"Thiếu xác nhận nguồn","")))))</x:f>
      </x:c>
      <x:c r="S32" s="27" t="str">
        <x:f>IF(P32="","",IF(AC32&gt;0,"n.a.",SUMIFS(T_Don[Phải thu gộp],T_Don[Sàn],A32,T_Don[Shop],B32,T_Don[Ngày ghi nhận bán],"&gt;="&amp;'Tong_hop'!$C$4,T_Don[Ngày ghi nhận bán],"&lt;"&amp;'Tong_hop'!$F$4)))</x:f>
      </x:c>
      <x:c r="T32" s="27" t="str">
        <x:f>IF(P32="","",IF(AC32&gt;0,"n.a.",SUMIFS(T_GD[Hoàn tiền shop chịu],T_GD[Sàn],A32,T_GD[Shop],B32,T_GD[Ngày giao dịch sàn],"&gt;="&amp;'Tong_hop'!$C$4,T_GD[Ngày giao dịch sàn],"&lt;"&amp;'Tong_hop'!$F$4)))</x:f>
      </x:c>
      <x:c r="U32" s="27" t="str">
        <x:f>IF(P32="","",IF(AC32&gt;0,"n.a.",SUMIFS(T_GD[Phí sàn cấn trừ],T_GD[Sàn],A32,T_GD[Shop],B32,T_GD[Ngày giao dịch sàn],"&gt;="&amp;'Tong_hop'!$C$4,T_GD[Ngày giao dịch sàn],"&lt;"&amp;'Tong_hop'!$F$4)+SUMIFS(T_GD[Ship shop chịu],T_GD[Sàn],A32,T_GD[Shop],B32,T_GD[Ngày giao dịch sàn],"&gt;="&amp;'Tong_hop'!$C$4,T_GD[Ngày giao dịch sàn],"&lt;"&amp;'Tong_hop'!$F$4)+SUMIFS(T_Chuyen[Phí chuyển đã xác nhận],T_Chuyen[Sàn],A32,T_Chuyen[Shop],B32,T_Chuyen[Ngày trừ số dư],"&gt;="&amp;'Tong_hop'!$C$4,T_Chuyen[Ngày trừ số dư],"&lt;"&amp;'Tong_hop'!$F$4)))</x:f>
      </x:c>
      <x:c r="V32" s="27" t="str">
        <x:f>IF(P32="","",IF(AC32&gt;0,"n.a.",SUMIFS(T_GD[Điều chỉnh khác +/-],T_GD[Sàn],A32,T_GD[Shop],B32,T_GD[Ngày giao dịch sàn],"&gt;="&amp;'Tong_hop'!$C$4,T_GD[Ngày giao dịch sàn],"&lt;"&amp;'Tong_hop'!$F$4)+SUMIFS(T_GD[Nạp vào số dư],T_GD[Sàn],A32,T_GD[Shop],B32,T_GD[Ngày giao dịch sàn],"&gt;="&amp;'Tong_hop'!$C$4,T_GD[Ngày giao dịch sàn],"&lt;"&amp;'Tong_hop'!$F$4)))</x:f>
      </x:c>
      <x:c r="W32" s="27" t="str">
        <x:f>IF(P32="","",IF(AC32&gt;0,"n.a.",SUMIFS(T_NH[Tiền thực nhận],T_NH[Sàn],A32,T_NH[Shop],B32,T_NH[Ngày báo Có],"&gt;="&amp;'Tong_hop'!$C$4,T_NH[Ngày báo Có],"&lt;"&amp;'Tong_hop'!$F$4)))</x:f>
      </x:c>
      <x:c r="X32" s="27" t="str">
        <x:f>IF(P32="","",IF(AC32&gt;0,"n.a.",D32+S32-T32-U32+V32-W32))</x:f>
      </x:c>
      <x:c r="Y32" s="27" t="str">
        <x:f>IF(P32="","",IF(AC32&gt;0,"n.a.",SUMIFS(T_GD[Thực ghi số dư +/-],T_GD[Sàn],A32,T_GD[Shop],B32,T_GD[Ngày giao dịch sàn],"&gt;="&amp;'Tong_hop'!$C$4,T_GD[Ngày giao dịch sàn],"&lt;"&amp;'Tong_hop'!$F$4,T_GD[Nhóm giao dịch],"Quyết toán")))</x:f>
      </x:c>
      <x:c r="Z32" s="27" t="str">
        <x:f>IF(P32="","",IF(AC32&gt;0,"n.a.",E32+SUMIFS(T_GD[Thực ghi số dư +/-],T_GD[Sàn],A32,T_GD[Shop],B32,T_GD[Ngày giao dịch sàn],"&gt;="&amp;'Tong_hop'!$C$4,T_GD[Ngày giao dịch sàn],"&lt;"&amp;'Tong_hop'!$F$4)-SUMIFS(T_Chuyen[Tiền trừ số dư],T_Chuyen[Sàn],A32,T_Chuyen[Shop],B32,T_Chuyen[Ngày trừ số dư],"&gt;="&amp;'Tong_hop'!$C$4,T_Chuyen[Ngày trừ số dư],"&lt;"&amp;'Tong_hop'!$F$4)))</x:f>
      </x:c>
      <x:c r="AA32" s="27" t="str">
        <x:f>IF(P32="","",IF(AC32&gt;0,"n.a.",SUMIFS(T_Chuyen[Còn đang chuyển],T_Chuyen[Sàn],A32,T_Chuyen[Shop],B32)))</x:f>
      </x:c>
      <x:c r="AB32" s="27" t="str">
        <x:f>IF(P32="","",IF(AC32&gt;0,"n.a.",SUMIFS(T_Chuyen[Tiền trừ số dư],T_Chuyen[Sàn],A32,T_Chuyen[Shop],B32,T_Chuyen[Ngày trừ số dư],"&gt;="&amp;'Tong_hop'!$C$4,T_Chuyen[Ngày trừ số dư],"&lt;"&amp;'Tong_hop'!$F$4)))</x:f>
      </x:c>
      <x:c r="AC32" s="28" t="str">
        <x:f>IF(P32="","",IF(R32="",0,1)+COUNTIFS(T_Don[Sàn],A32,T_Don[Shop],B32,T_Don[Kiểm tra dữ liệu],"?*")+COUNTIFS(T_GD[Sàn],A32,T_GD[Shop],B32,T_GD[Kiểm tra dữ liệu],"?*")+COUNTIFS(T_Chuyen[Sàn],A32,T_Chuyen[Shop],B32,T_Chuyen[Kiểm tra dữ liệu],"?*")+COUNTIFS(T_NH[Sàn],A32,T_NH[Shop],B32,T_NH[Kiểm tra dữ liệu],"?*"))</x:f>
      </x:c>
    </x:row>
    <x:row r="33" ht="22" customHeight="1">
      <x:c r="A33" s="10"/>
      <x:c r="B33" s="10"/>
      <x:c r="C33" s="25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10"/>
      <x:c r="O33" s="10"/>
      <x:c r="P33" s="23" t="str">
        <x:f>IF(AND(A33="",B33=""),"",A33&amp;"|"&amp;B33)</x:f>
      </x:c>
      <x:c r="Q33" s="27" t="str">
        <x:f>IF(P33="","",IF(COUNT(F33:J33)=5,SUM(F33:J33),"n.a."))</x:f>
      </x:c>
      <x:c r="R33" s="23" t="str">
        <x:f>IF(COUNTA(A33:O33)=0,"",IF(OR(NOT(OR(A33="TikTok Shop",A33="Shopee",A33="Lazada")),B33="",NOT(ISNUMBER(C33)),COUNT(D33:M33)&lt;&gt;10),"Thiếu/sai số dư",IF(C33&lt;&gt;'Tong_hop'!$F$4-1,"Sai ngày chốt",IF(COUNTIFS(T_SoDu[Khóa shop],P33)&lt;&gt;1,"Trùng shop",IF(AND(N33&lt;&gt;"Đã đủ",N33&lt;&gt;"Chưa"),"Thiếu xác nhận nguồn","")))))</x:f>
      </x:c>
      <x:c r="S33" s="27" t="str">
        <x:f>IF(P33="","",IF(AC33&gt;0,"n.a.",SUMIFS(T_Don[Phải thu gộp],T_Don[Sàn],A33,T_Don[Shop],B33,T_Don[Ngày ghi nhận bán],"&gt;="&amp;'Tong_hop'!$C$4,T_Don[Ngày ghi nhận bán],"&lt;"&amp;'Tong_hop'!$F$4)))</x:f>
      </x:c>
      <x:c r="T33" s="27" t="str">
        <x:f>IF(P33="","",IF(AC33&gt;0,"n.a.",SUMIFS(T_GD[Hoàn tiền shop chịu],T_GD[Sàn],A33,T_GD[Shop],B33,T_GD[Ngày giao dịch sàn],"&gt;="&amp;'Tong_hop'!$C$4,T_GD[Ngày giao dịch sàn],"&lt;"&amp;'Tong_hop'!$F$4)))</x:f>
      </x:c>
      <x:c r="U33" s="27" t="str">
        <x:f>IF(P33="","",IF(AC33&gt;0,"n.a.",SUMIFS(T_GD[Phí sàn cấn trừ],T_GD[Sàn],A33,T_GD[Shop],B33,T_GD[Ngày giao dịch sàn],"&gt;="&amp;'Tong_hop'!$C$4,T_GD[Ngày giao dịch sàn],"&lt;"&amp;'Tong_hop'!$F$4)+SUMIFS(T_GD[Ship shop chịu],T_GD[Sàn],A33,T_GD[Shop],B33,T_GD[Ngày giao dịch sàn],"&gt;="&amp;'Tong_hop'!$C$4,T_GD[Ngày giao dịch sàn],"&lt;"&amp;'Tong_hop'!$F$4)+SUMIFS(T_Chuyen[Phí chuyển đã xác nhận],T_Chuyen[Sàn],A33,T_Chuyen[Shop],B33,T_Chuyen[Ngày trừ số dư],"&gt;="&amp;'Tong_hop'!$C$4,T_Chuyen[Ngày trừ số dư],"&lt;"&amp;'Tong_hop'!$F$4)))</x:f>
      </x:c>
      <x:c r="V33" s="27" t="str">
        <x:f>IF(P33="","",IF(AC33&gt;0,"n.a.",SUMIFS(T_GD[Điều chỉnh khác +/-],T_GD[Sàn],A33,T_GD[Shop],B33,T_GD[Ngày giao dịch sàn],"&gt;="&amp;'Tong_hop'!$C$4,T_GD[Ngày giao dịch sàn],"&lt;"&amp;'Tong_hop'!$F$4)+SUMIFS(T_GD[Nạp vào số dư],T_GD[Sàn],A33,T_GD[Shop],B33,T_GD[Ngày giao dịch sàn],"&gt;="&amp;'Tong_hop'!$C$4,T_GD[Ngày giao dịch sàn],"&lt;"&amp;'Tong_hop'!$F$4)))</x:f>
      </x:c>
      <x:c r="W33" s="27" t="str">
        <x:f>IF(P33="","",IF(AC33&gt;0,"n.a.",SUMIFS(T_NH[Tiền thực nhận],T_NH[Sàn],A33,T_NH[Shop],B33,T_NH[Ngày báo Có],"&gt;="&amp;'Tong_hop'!$C$4,T_NH[Ngày báo Có],"&lt;"&amp;'Tong_hop'!$F$4)))</x:f>
      </x:c>
      <x:c r="X33" s="27" t="str">
        <x:f>IF(P33="","",IF(AC33&gt;0,"n.a.",D33+S33-T33-U33+V33-W33))</x:f>
      </x:c>
      <x:c r="Y33" s="27" t="str">
        <x:f>IF(P33="","",IF(AC33&gt;0,"n.a.",SUMIFS(T_GD[Thực ghi số dư +/-],T_GD[Sàn],A33,T_GD[Shop],B33,T_GD[Ngày giao dịch sàn],"&gt;="&amp;'Tong_hop'!$C$4,T_GD[Ngày giao dịch sàn],"&lt;"&amp;'Tong_hop'!$F$4,T_GD[Nhóm giao dịch],"Quyết toán")))</x:f>
      </x:c>
      <x:c r="Z33" s="27" t="str">
        <x:f>IF(P33="","",IF(AC33&gt;0,"n.a.",E33+SUMIFS(T_GD[Thực ghi số dư +/-],T_GD[Sàn],A33,T_GD[Shop],B33,T_GD[Ngày giao dịch sàn],"&gt;="&amp;'Tong_hop'!$C$4,T_GD[Ngày giao dịch sàn],"&lt;"&amp;'Tong_hop'!$F$4)-SUMIFS(T_Chuyen[Tiền trừ số dư],T_Chuyen[Sàn],A33,T_Chuyen[Shop],B33,T_Chuyen[Ngày trừ số dư],"&gt;="&amp;'Tong_hop'!$C$4,T_Chuyen[Ngày trừ số dư],"&lt;"&amp;'Tong_hop'!$F$4)))</x:f>
      </x:c>
      <x:c r="AA33" s="27" t="str">
        <x:f>IF(P33="","",IF(AC33&gt;0,"n.a.",SUMIFS(T_Chuyen[Còn đang chuyển],T_Chuyen[Sàn],A33,T_Chuyen[Shop],B33)))</x:f>
      </x:c>
      <x:c r="AB33" s="27" t="str">
        <x:f>IF(P33="","",IF(AC33&gt;0,"n.a.",SUMIFS(T_Chuyen[Tiền trừ số dư],T_Chuyen[Sàn],A33,T_Chuyen[Shop],B33,T_Chuyen[Ngày trừ số dư],"&gt;="&amp;'Tong_hop'!$C$4,T_Chuyen[Ngày trừ số dư],"&lt;"&amp;'Tong_hop'!$F$4)))</x:f>
      </x:c>
      <x:c r="AC33" s="28" t="str">
        <x:f>IF(P33="","",IF(R33="",0,1)+COUNTIFS(T_Don[Sàn],A33,T_Don[Shop],B33,T_Don[Kiểm tra dữ liệu],"?*")+COUNTIFS(T_GD[Sàn],A33,T_GD[Shop],B33,T_GD[Kiểm tra dữ liệu],"?*")+COUNTIFS(T_Chuyen[Sàn],A33,T_Chuyen[Shop],B33,T_Chuyen[Kiểm tra dữ liệu],"?*")+COUNTIFS(T_NH[Sàn],A33,T_NH[Shop],B33,T_NH[Kiểm tra dữ liệu],"?*"))</x:f>
      </x:c>
    </x:row>
    <x:row r="34" ht="22" customHeight="1">
      <x:c r="A34" s="10"/>
      <x:c r="B34" s="10"/>
      <x:c r="C34" s="25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10"/>
      <x:c r="O34" s="10"/>
      <x:c r="P34" s="23" t="str">
        <x:f>IF(AND(A34="",B34=""),"",A34&amp;"|"&amp;B34)</x:f>
      </x:c>
      <x:c r="Q34" s="27" t="str">
        <x:f>IF(P34="","",IF(COUNT(F34:J34)=5,SUM(F34:J34),"n.a."))</x:f>
      </x:c>
      <x:c r="R34" s="23" t="str">
        <x:f>IF(COUNTA(A34:O34)=0,"",IF(OR(NOT(OR(A34="TikTok Shop",A34="Shopee",A34="Lazada")),B34="",NOT(ISNUMBER(C34)),COUNT(D34:M34)&lt;&gt;10),"Thiếu/sai số dư",IF(C34&lt;&gt;'Tong_hop'!$F$4-1,"Sai ngày chốt",IF(COUNTIFS(T_SoDu[Khóa shop],P34)&lt;&gt;1,"Trùng shop",IF(AND(N34&lt;&gt;"Đã đủ",N34&lt;&gt;"Chưa"),"Thiếu xác nhận nguồn","")))))</x:f>
      </x:c>
      <x:c r="S34" s="27" t="str">
        <x:f>IF(P34="","",IF(AC34&gt;0,"n.a.",SUMIFS(T_Don[Phải thu gộp],T_Don[Sàn],A34,T_Don[Shop],B34,T_Don[Ngày ghi nhận bán],"&gt;="&amp;'Tong_hop'!$C$4,T_Don[Ngày ghi nhận bán],"&lt;"&amp;'Tong_hop'!$F$4)))</x:f>
      </x:c>
      <x:c r="T34" s="27" t="str">
        <x:f>IF(P34="","",IF(AC34&gt;0,"n.a.",SUMIFS(T_GD[Hoàn tiền shop chịu],T_GD[Sàn],A34,T_GD[Shop],B34,T_GD[Ngày giao dịch sàn],"&gt;="&amp;'Tong_hop'!$C$4,T_GD[Ngày giao dịch sàn],"&lt;"&amp;'Tong_hop'!$F$4)))</x:f>
      </x:c>
      <x:c r="U34" s="27" t="str">
        <x:f>IF(P34="","",IF(AC34&gt;0,"n.a.",SUMIFS(T_GD[Phí sàn cấn trừ],T_GD[Sàn],A34,T_GD[Shop],B34,T_GD[Ngày giao dịch sàn],"&gt;="&amp;'Tong_hop'!$C$4,T_GD[Ngày giao dịch sàn],"&lt;"&amp;'Tong_hop'!$F$4)+SUMIFS(T_GD[Ship shop chịu],T_GD[Sàn],A34,T_GD[Shop],B34,T_GD[Ngày giao dịch sàn],"&gt;="&amp;'Tong_hop'!$C$4,T_GD[Ngày giao dịch sàn],"&lt;"&amp;'Tong_hop'!$F$4)+SUMIFS(T_Chuyen[Phí chuyển đã xác nhận],T_Chuyen[Sàn],A34,T_Chuyen[Shop],B34,T_Chuyen[Ngày trừ số dư],"&gt;="&amp;'Tong_hop'!$C$4,T_Chuyen[Ngày trừ số dư],"&lt;"&amp;'Tong_hop'!$F$4)))</x:f>
      </x:c>
      <x:c r="V34" s="27" t="str">
        <x:f>IF(P34="","",IF(AC34&gt;0,"n.a.",SUMIFS(T_GD[Điều chỉnh khác +/-],T_GD[Sàn],A34,T_GD[Shop],B34,T_GD[Ngày giao dịch sàn],"&gt;="&amp;'Tong_hop'!$C$4,T_GD[Ngày giao dịch sàn],"&lt;"&amp;'Tong_hop'!$F$4)+SUMIFS(T_GD[Nạp vào số dư],T_GD[Sàn],A34,T_GD[Shop],B34,T_GD[Ngày giao dịch sàn],"&gt;="&amp;'Tong_hop'!$C$4,T_GD[Ngày giao dịch sàn],"&lt;"&amp;'Tong_hop'!$F$4)))</x:f>
      </x:c>
      <x:c r="W34" s="27" t="str">
        <x:f>IF(P34="","",IF(AC34&gt;0,"n.a.",SUMIFS(T_NH[Tiền thực nhận],T_NH[Sàn],A34,T_NH[Shop],B34,T_NH[Ngày báo Có],"&gt;="&amp;'Tong_hop'!$C$4,T_NH[Ngày báo Có],"&lt;"&amp;'Tong_hop'!$F$4)))</x:f>
      </x:c>
      <x:c r="X34" s="27" t="str">
        <x:f>IF(P34="","",IF(AC34&gt;0,"n.a.",D34+S34-T34-U34+V34-W34))</x:f>
      </x:c>
      <x:c r="Y34" s="27" t="str">
        <x:f>IF(P34="","",IF(AC34&gt;0,"n.a.",SUMIFS(T_GD[Thực ghi số dư +/-],T_GD[Sàn],A34,T_GD[Shop],B34,T_GD[Ngày giao dịch sàn],"&gt;="&amp;'Tong_hop'!$C$4,T_GD[Ngày giao dịch sàn],"&lt;"&amp;'Tong_hop'!$F$4,T_GD[Nhóm giao dịch],"Quyết toán")))</x:f>
      </x:c>
      <x:c r="Z34" s="27" t="str">
        <x:f>IF(P34="","",IF(AC34&gt;0,"n.a.",E34+SUMIFS(T_GD[Thực ghi số dư +/-],T_GD[Sàn],A34,T_GD[Shop],B34,T_GD[Ngày giao dịch sàn],"&gt;="&amp;'Tong_hop'!$C$4,T_GD[Ngày giao dịch sàn],"&lt;"&amp;'Tong_hop'!$F$4)-SUMIFS(T_Chuyen[Tiền trừ số dư],T_Chuyen[Sàn],A34,T_Chuyen[Shop],B34,T_Chuyen[Ngày trừ số dư],"&gt;="&amp;'Tong_hop'!$C$4,T_Chuyen[Ngày trừ số dư],"&lt;"&amp;'Tong_hop'!$F$4)))</x:f>
      </x:c>
      <x:c r="AA34" s="27" t="str">
        <x:f>IF(P34="","",IF(AC34&gt;0,"n.a.",SUMIFS(T_Chuyen[Còn đang chuyển],T_Chuyen[Sàn],A34,T_Chuyen[Shop],B34)))</x:f>
      </x:c>
      <x:c r="AB34" s="27" t="str">
        <x:f>IF(P34="","",IF(AC34&gt;0,"n.a.",SUMIFS(T_Chuyen[Tiền trừ số dư],T_Chuyen[Sàn],A34,T_Chuyen[Shop],B34,T_Chuyen[Ngày trừ số dư],"&gt;="&amp;'Tong_hop'!$C$4,T_Chuyen[Ngày trừ số dư],"&lt;"&amp;'Tong_hop'!$F$4)))</x:f>
      </x:c>
      <x:c r="AC34" s="28" t="str">
        <x:f>IF(P34="","",IF(R34="",0,1)+COUNTIFS(T_Don[Sàn],A34,T_Don[Shop],B34,T_Don[Kiểm tra dữ liệu],"?*")+COUNTIFS(T_GD[Sàn],A34,T_GD[Shop],B34,T_GD[Kiểm tra dữ liệu],"?*")+COUNTIFS(T_Chuyen[Sàn],A34,T_Chuyen[Shop],B34,T_Chuyen[Kiểm tra dữ liệu],"?*")+COUNTIFS(T_NH[Sàn],A34,T_NH[Shop],B34,T_NH[Kiểm tra dữ liệu],"?*"))</x:f>
      </x:c>
    </x:row>
    <x:row r="35" ht="22" customHeight="1">
      <x:c r="A35" s="10"/>
      <x:c r="B35" s="10"/>
      <x:c r="C35" s="25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10"/>
      <x:c r="O35" s="10"/>
      <x:c r="P35" s="23" t="str">
        <x:f>IF(AND(A35="",B35=""),"",A35&amp;"|"&amp;B35)</x:f>
      </x:c>
      <x:c r="Q35" s="27" t="str">
        <x:f>IF(P35="","",IF(COUNT(F35:J35)=5,SUM(F35:J35),"n.a."))</x:f>
      </x:c>
      <x:c r="R35" s="23" t="str">
        <x:f>IF(COUNTA(A35:O35)=0,"",IF(OR(NOT(OR(A35="TikTok Shop",A35="Shopee",A35="Lazada")),B35="",NOT(ISNUMBER(C35)),COUNT(D35:M35)&lt;&gt;10),"Thiếu/sai số dư",IF(C35&lt;&gt;'Tong_hop'!$F$4-1,"Sai ngày chốt",IF(COUNTIFS(T_SoDu[Khóa shop],P35)&lt;&gt;1,"Trùng shop",IF(AND(N35&lt;&gt;"Đã đủ",N35&lt;&gt;"Chưa"),"Thiếu xác nhận nguồn","")))))</x:f>
      </x:c>
      <x:c r="S35" s="27" t="str">
        <x:f>IF(P35="","",IF(AC35&gt;0,"n.a.",SUMIFS(T_Don[Phải thu gộp],T_Don[Sàn],A35,T_Don[Shop],B35,T_Don[Ngày ghi nhận bán],"&gt;="&amp;'Tong_hop'!$C$4,T_Don[Ngày ghi nhận bán],"&lt;"&amp;'Tong_hop'!$F$4)))</x:f>
      </x:c>
      <x:c r="T35" s="27" t="str">
        <x:f>IF(P35="","",IF(AC35&gt;0,"n.a.",SUMIFS(T_GD[Hoàn tiền shop chịu],T_GD[Sàn],A35,T_GD[Shop],B35,T_GD[Ngày giao dịch sàn],"&gt;="&amp;'Tong_hop'!$C$4,T_GD[Ngày giao dịch sàn],"&lt;"&amp;'Tong_hop'!$F$4)))</x:f>
      </x:c>
      <x:c r="U35" s="27" t="str">
        <x:f>IF(P35="","",IF(AC35&gt;0,"n.a.",SUMIFS(T_GD[Phí sàn cấn trừ],T_GD[Sàn],A35,T_GD[Shop],B35,T_GD[Ngày giao dịch sàn],"&gt;="&amp;'Tong_hop'!$C$4,T_GD[Ngày giao dịch sàn],"&lt;"&amp;'Tong_hop'!$F$4)+SUMIFS(T_GD[Ship shop chịu],T_GD[Sàn],A35,T_GD[Shop],B35,T_GD[Ngày giao dịch sàn],"&gt;="&amp;'Tong_hop'!$C$4,T_GD[Ngày giao dịch sàn],"&lt;"&amp;'Tong_hop'!$F$4)+SUMIFS(T_Chuyen[Phí chuyển đã xác nhận],T_Chuyen[Sàn],A35,T_Chuyen[Shop],B35,T_Chuyen[Ngày trừ số dư],"&gt;="&amp;'Tong_hop'!$C$4,T_Chuyen[Ngày trừ số dư],"&lt;"&amp;'Tong_hop'!$F$4)))</x:f>
      </x:c>
      <x:c r="V35" s="27" t="str">
        <x:f>IF(P35="","",IF(AC35&gt;0,"n.a.",SUMIFS(T_GD[Điều chỉnh khác +/-],T_GD[Sàn],A35,T_GD[Shop],B35,T_GD[Ngày giao dịch sàn],"&gt;="&amp;'Tong_hop'!$C$4,T_GD[Ngày giao dịch sàn],"&lt;"&amp;'Tong_hop'!$F$4)+SUMIFS(T_GD[Nạp vào số dư],T_GD[Sàn],A35,T_GD[Shop],B35,T_GD[Ngày giao dịch sàn],"&gt;="&amp;'Tong_hop'!$C$4,T_GD[Ngày giao dịch sàn],"&lt;"&amp;'Tong_hop'!$F$4)))</x:f>
      </x:c>
      <x:c r="W35" s="27" t="str">
        <x:f>IF(P35="","",IF(AC35&gt;0,"n.a.",SUMIFS(T_NH[Tiền thực nhận],T_NH[Sàn],A35,T_NH[Shop],B35,T_NH[Ngày báo Có],"&gt;="&amp;'Tong_hop'!$C$4,T_NH[Ngày báo Có],"&lt;"&amp;'Tong_hop'!$F$4)))</x:f>
      </x:c>
      <x:c r="X35" s="27" t="str">
        <x:f>IF(P35="","",IF(AC35&gt;0,"n.a.",D35+S35-T35-U35+V35-W35))</x:f>
      </x:c>
      <x:c r="Y35" s="27" t="str">
        <x:f>IF(P35="","",IF(AC35&gt;0,"n.a.",SUMIFS(T_GD[Thực ghi số dư +/-],T_GD[Sàn],A35,T_GD[Shop],B35,T_GD[Ngày giao dịch sàn],"&gt;="&amp;'Tong_hop'!$C$4,T_GD[Ngày giao dịch sàn],"&lt;"&amp;'Tong_hop'!$F$4,T_GD[Nhóm giao dịch],"Quyết toán")))</x:f>
      </x:c>
      <x:c r="Z35" s="27" t="str">
        <x:f>IF(P35="","",IF(AC35&gt;0,"n.a.",E35+SUMIFS(T_GD[Thực ghi số dư +/-],T_GD[Sàn],A35,T_GD[Shop],B35,T_GD[Ngày giao dịch sàn],"&gt;="&amp;'Tong_hop'!$C$4,T_GD[Ngày giao dịch sàn],"&lt;"&amp;'Tong_hop'!$F$4)-SUMIFS(T_Chuyen[Tiền trừ số dư],T_Chuyen[Sàn],A35,T_Chuyen[Shop],B35,T_Chuyen[Ngày trừ số dư],"&gt;="&amp;'Tong_hop'!$C$4,T_Chuyen[Ngày trừ số dư],"&lt;"&amp;'Tong_hop'!$F$4)))</x:f>
      </x:c>
      <x:c r="AA35" s="27" t="str">
        <x:f>IF(P35="","",IF(AC35&gt;0,"n.a.",SUMIFS(T_Chuyen[Còn đang chuyển],T_Chuyen[Sàn],A35,T_Chuyen[Shop],B35)))</x:f>
      </x:c>
      <x:c r="AB35" s="27" t="str">
        <x:f>IF(P35="","",IF(AC35&gt;0,"n.a.",SUMIFS(T_Chuyen[Tiền trừ số dư],T_Chuyen[Sàn],A35,T_Chuyen[Shop],B35,T_Chuyen[Ngày trừ số dư],"&gt;="&amp;'Tong_hop'!$C$4,T_Chuyen[Ngày trừ số dư],"&lt;"&amp;'Tong_hop'!$F$4)))</x:f>
      </x:c>
      <x:c r="AC35" s="28" t="str">
        <x:f>IF(P35="","",IF(R35="",0,1)+COUNTIFS(T_Don[Sàn],A35,T_Don[Shop],B35,T_Don[Kiểm tra dữ liệu],"?*")+COUNTIFS(T_GD[Sàn],A35,T_GD[Shop],B35,T_GD[Kiểm tra dữ liệu],"?*")+COUNTIFS(T_Chuyen[Sàn],A35,T_Chuyen[Shop],B35,T_Chuyen[Kiểm tra dữ liệu],"?*")+COUNTIFS(T_NH[Sàn],A35,T_NH[Shop],B35,T_NH[Kiểm tra dữ liệu],"?*"))</x:f>
      </x:c>
    </x:row>
    <x:row r="36" ht="22" customHeight="1">
      <x:c r="A36" s="10"/>
      <x:c r="B36" s="10"/>
      <x:c r="C36" s="25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10"/>
      <x:c r="O36" s="10"/>
      <x:c r="P36" s="23" t="str">
        <x:f>IF(AND(A36="",B36=""),"",A36&amp;"|"&amp;B36)</x:f>
      </x:c>
      <x:c r="Q36" s="27" t="str">
        <x:f>IF(P36="","",IF(COUNT(F36:J36)=5,SUM(F36:J36),"n.a."))</x:f>
      </x:c>
      <x:c r="R36" s="23" t="str">
        <x:f>IF(COUNTA(A36:O36)=0,"",IF(OR(NOT(OR(A36="TikTok Shop",A36="Shopee",A36="Lazada")),B36="",NOT(ISNUMBER(C36)),COUNT(D36:M36)&lt;&gt;10),"Thiếu/sai số dư",IF(C36&lt;&gt;'Tong_hop'!$F$4-1,"Sai ngày chốt",IF(COUNTIFS(T_SoDu[Khóa shop],P36)&lt;&gt;1,"Trùng shop",IF(AND(N36&lt;&gt;"Đã đủ",N36&lt;&gt;"Chưa"),"Thiếu xác nhận nguồn","")))))</x:f>
      </x:c>
      <x:c r="S36" s="27" t="str">
        <x:f>IF(P36="","",IF(AC36&gt;0,"n.a.",SUMIFS(T_Don[Phải thu gộp],T_Don[Sàn],A36,T_Don[Shop],B36,T_Don[Ngày ghi nhận bán],"&gt;="&amp;'Tong_hop'!$C$4,T_Don[Ngày ghi nhận bán],"&lt;"&amp;'Tong_hop'!$F$4)))</x:f>
      </x:c>
      <x:c r="T36" s="27" t="str">
        <x:f>IF(P36="","",IF(AC36&gt;0,"n.a.",SUMIFS(T_GD[Hoàn tiền shop chịu],T_GD[Sàn],A36,T_GD[Shop],B36,T_GD[Ngày giao dịch sàn],"&gt;="&amp;'Tong_hop'!$C$4,T_GD[Ngày giao dịch sàn],"&lt;"&amp;'Tong_hop'!$F$4)))</x:f>
      </x:c>
      <x:c r="U36" s="27" t="str">
        <x:f>IF(P36="","",IF(AC36&gt;0,"n.a.",SUMIFS(T_GD[Phí sàn cấn trừ],T_GD[Sàn],A36,T_GD[Shop],B36,T_GD[Ngày giao dịch sàn],"&gt;="&amp;'Tong_hop'!$C$4,T_GD[Ngày giao dịch sàn],"&lt;"&amp;'Tong_hop'!$F$4)+SUMIFS(T_GD[Ship shop chịu],T_GD[Sàn],A36,T_GD[Shop],B36,T_GD[Ngày giao dịch sàn],"&gt;="&amp;'Tong_hop'!$C$4,T_GD[Ngày giao dịch sàn],"&lt;"&amp;'Tong_hop'!$F$4)+SUMIFS(T_Chuyen[Phí chuyển đã xác nhận],T_Chuyen[Sàn],A36,T_Chuyen[Shop],B36,T_Chuyen[Ngày trừ số dư],"&gt;="&amp;'Tong_hop'!$C$4,T_Chuyen[Ngày trừ số dư],"&lt;"&amp;'Tong_hop'!$F$4)))</x:f>
      </x:c>
      <x:c r="V36" s="27" t="str">
        <x:f>IF(P36="","",IF(AC36&gt;0,"n.a.",SUMIFS(T_GD[Điều chỉnh khác +/-],T_GD[Sàn],A36,T_GD[Shop],B36,T_GD[Ngày giao dịch sàn],"&gt;="&amp;'Tong_hop'!$C$4,T_GD[Ngày giao dịch sàn],"&lt;"&amp;'Tong_hop'!$F$4)+SUMIFS(T_GD[Nạp vào số dư],T_GD[Sàn],A36,T_GD[Shop],B36,T_GD[Ngày giao dịch sàn],"&gt;="&amp;'Tong_hop'!$C$4,T_GD[Ngày giao dịch sàn],"&lt;"&amp;'Tong_hop'!$F$4)))</x:f>
      </x:c>
      <x:c r="W36" s="27" t="str">
        <x:f>IF(P36="","",IF(AC36&gt;0,"n.a.",SUMIFS(T_NH[Tiền thực nhận],T_NH[Sàn],A36,T_NH[Shop],B36,T_NH[Ngày báo Có],"&gt;="&amp;'Tong_hop'!$C$4,T_NH[Ngày báo Có],"&lt;"&amp;'Tong_hop'!$F$4)))</x:f>
      </x:c>
      <x:c r="X36" s="27" t="str">
        <x:f>IF(P36="","",IF(AC36&gt;0,"n.a.",D36+S36-T36-U36+V36-W36))</x:f>
      </x:c>
      <x:c r="Y36" s="27" t="str">
        <x:f>IF(P36="","",IF(AC36&gt;0,"n.a.",SUMIFS(T_GD[Thực ghi số dư +/-],T_GD[Sàn],A36,T_GD[Shop],B36,T_GD[Ngày giao dịch sàn],"&gt;="&amp;'Tong_hop'!$C$4,T_GD[Ngày giao dịch sàn],"&lt;"&amp;'Tong_hop'!$F$4,T_GD[Nhóm giao dịch],"Quyết toán")))</x:f>
      </x:c>
      <x:c r="Z36" s="27" t="str">
        <x:f>IF(P36="","",IF(AC36&gt;0,"n.a.",E36+SUMIFS(T_GD[Thực ghi số dư +/-],T_GD[Sàn],A36,T_GD[Shop],B36,T_GD[Ngày giao dịch sàn],"&gt;="&amp;'Tong_hop'!$C$4,T_GD[Ngày giao dịch sàn],"&lt;"&amp;'Tong_hop'!$F$4)-SUMIFS(T_Chuyen[Tiền trừ số dư],T_Chuyen[Sàn],A36,T_Chuyen[Shop],B36,T_Chuyen[Ngày trừ số dư],"&gt;="&amp;'Tong_hop'!$C$4,T_Chuyen[Ngày trừ số dư],"&lt;"&amp;'Tong_hop'!$F$4)))</x:f>
      </x:c>
      <x:c r="AA36" s="27" t="str">
        <x:f>IF(P36="","",IF(AC36&gt;0,"n.a.",SUMIFS(T_Chuyen[Còn đang chuyển],T_Chuyen[Sàn],A36,T_Chuyen[Shop],B36)))</x:f>
      </x:c>
      <x:c r="AB36" s="27" t="str">
        <x:f>IF(P36="","",IF(AC36&gt;0,"n.a.",SUMIFS(T_Chuyen[Tiền trừ số dư],T_Chuyen[Sàn],A36,T_Chuyen[Shop],B36,T_Chuyen[Ngày trừ số dư],"&gt;="&amp;'Tong_hop'!$C$4,T_Chuyen[Ngày trừ số dư],"&lt;"&amp;'Tong_hop'!$F$4)))</x:f>
      </x:c>
      <x:c r="AC36" s="28" t="str">
        <x:f>IF(P36="","",IF(R36="",0,1)+COUNTIFS(T_Don[Sàn],A36,T_Don[Shop],B36,T_Don[Kiểm tra dữ liệu],"?*")+COUNTIFS(T_GD[Sàn],A36,T_GD[Shop],B36,T_GD[Kiểm tra dữ liệu],"?*")+COUNTIFS(T_Chuyen[Sàn],A36,T_Chuyen[Shop],B36,T_Chuyen[Kiểm tra dữ liệu],"?*")+COUNTIFS(T_NH[Sàn],A36,T_NH[Shop],B36,T_NH[Kiểm tra dữ liệu],"?*"))</x:f>
      </x:c>
    </x:row>
    <x:row r="37" ht="22" customHeight="1">
      <x:c r="A37" s="10"/>
      <x:c r="B37" s="10"/>
      <x:c r="C37" s="25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10"/>
      <x:c r="O37" s="10"/>
      <x:c r="P37" s="23" t="str">
        <x:f>IF(AND(A37="",B37=""),"",A37&amp;"|"&amp;B37)</x:f>
      </x:c>
      <x:c r="Q37" s="27" t="str">
        <x:f>IF(P37="","",IF(COUNT(F37:J37)=5,SUM(F37:J37),"n.a."))</x:f>
      </x:c>
      <x:c r="R37" s="23" t="str">
        <x:f>IF(COUNTA(A37:O37)=0,"",IF(OR(NOT(OR(A37="TikTok Shop",A37="Shopee",A37="Lazada")),B37="",NOT(ISNUMBER(C37)),COUNT(D37:M37)&lt;&gt;10),"Thiếu/sai số dư",IF(C37&lt;&gt;'Tong_hop'!$F$4-1,"Sai ngày chốt",IF(COUNTIFS(T_SoDu[Khóa shop],P37)&lt;&gt;1,"Trùng shop",IF(AND(N37&lt;&gt;"Đã đủ",N37&lt;&gt;"Chưa"),"Thiếu xác nhận nguồn","")))))</x:f>
      </x:c>
      <x:c r="S37" s="27" t="str">
        <x:f>IF(P37="","",IF(AC37&gt;0,"n.a.",SUMIFS(T_Don[Phải thu gộp],T_Don[Sàn],A37,T_Don[Shop],B37,T_Don[Ngày ghi nhận bán],"&gt;="&amp;'Tong_hop'!$C$4,T_Don[Ngày ghi nhận bán],"&lt;"&amp;'Tong_hop'!$F$4)))</x:f>
      </x:c>
      <x:c r="T37" s="27" t="str">
        <x:f>IF(P37="","",IF(AC37&gt;0,"n.a.",SUMIFS(T_GD[Hoàn tiền shop chịu],T_GD[Sàn],A37,T_GD[Shop],B37,T_GD[Ngày giao dịch sàn],"&gt;="&amp;'Tong_hop'!$C$4,T_GD[Ngày giao dịch sàn],"&lt;"&amp;'Tong_hop'!$F$4)))</x:f>
      </x:c>
      <x:c r="U37" s="27" t="str">
        <x:f>IF(P37="","",IF(AC37&gt;0,"n.a.",SUMIFS(T_GD[Phí sàn cấn trừ],T_GD[Sàn],A37,T_GD[Shop],B37,T_GD[Ngày giao dịch sàn],"&gt;="&amp;'Tong_hop'!$C$4,T_GD[Ngày giao dịch sàn],"&lt;"&amp;'Tong_hop'!$F$4)+SUMIFS(T_GD[Ship shop chịu],T_GD[Sàn],A37,T_GD[Shop],B37,T_GD[Ngày giao dịch sàn],"&gt;="&amp;'Tong_hop'!$C$4,T_GD[Ngày giao dịch sàn],"&lt;"&amp;'Tong_hop'!$F$4)+SUMIFS(T_Chuyen[Phí chuyển đã xác nhận],T_Chuyen[Sàn],A37,T_Chuyen[Shop],B37,T_Chuyen[Ngày trừ số dư],"&gt;="&amp;'Tong_hop'!$C$4,T_Chuyen[Ngày trừ số dư],"&lt;"&amp;'Tong_hop'!$F$4)))</x:f>
      </x:c>
      <x:c r="V37" s="27" t="str">
        <x:f>IF(P37="","",IF(AC37&gt;0,"n.a.",SUMIFS(T_GD[Điều chỉnh khác +/-],T_GD[Sàn],A37,T_GD[Shop],B37,T_GD[Ngày giao dịch sàn],"&gt;="&amp;'Tong_hop'!$C$4,T_GD[Ngày giao dịch sàn],"&lt;"&amp;'Tong_hop'!$F$4)+SUMIFS(T_GD[Nạp vào số dư],T_GD[Sàn],A37,T_GD[Shop],B37,T_GD[Ngày giao dịch sàn],"&gt;="&amp;'Tong_hop'!$C$4,T_GD[Ngày giao dịch sàn],"&lt;"&amp;'Tong_hop'!$F$4)))</x:f>
      </x:c>
      <x:c r="W37" s="27" t="str">
        <x:f>IF(P37="","",IF(AC37&gt;0,"n.a.",SUMIFS(T_NH[Tiền thực nhận],T_NH[Sàn],A37,T_NH[Shop],B37,T_NH[Ngày báo Có],"&gt;="&amp;'Tong_hop'!$C$4,T_NH[Ngày báo Có],"&lt;"&amp;'Tong_hop'!$F$4)))</x:f>
      </x:c>
      <x:c r="X37" s="27" t="str">
        <x:f>IF(P37="","",IF(AC37&gt;0,"n.a.",D37+S37-T37-U37+V37-W37))</x:f>
      </x:c>
      <x:c r="Y37" s="27" t="str">
        <x:f>IF(P37="","",IF(AC37&gt;0,"n.a.",SUMIFS(T_GD[Thực ghi số dư +/-],T_GD[Sàn],A37,T_GD[Shop],B37,T_GD[Ngày giao dịch sàn],"&gt;="&amp;'Tong_hop'!$C$4,T_GD[Ngày giao dịch sàn],"&lt;"&amp;'Tong_hop'!$F$4,T_GD[Nhóm giao dịch],"Quyết toán")))</x:f>
      </x:c>
      <x:c r="Z37" s="27" t="str">
        <x:f>IF(P37="","",IF(AC37&gt;0,"n.a.",E37+SUMIFS(T_GD[Thực ghi số dư +/-],T_GD[Sàn],A37,T_GD[Shop],B37,T_GD[Ngày giao dịch sàn],"&gt;="&amp;'Tong_hop'!$C$4,T_GD[Ngày giao dịch sàn],"&lt;"&amp;'Tong_hop'!$F$4)-SUMIFS(T_Chuyen[Tiền trừ số dư],T_Chuyen[Sàn],A37,T_Chuyen[Shop],B37,T_Chuyen[Ngày trừ số dư],"&gt;="&amp;'Tong_hop'!$C$4,T_Chuyen[Ngày trừ số dư],"&lt;"&amp;'Tong_hop'!$F$4)))</x:f>
      </x:c>
      <x:c r="AA37" s="27" t="str">
        <x:f>IF(P37="","",IF(AC37&gt;0,"n.a.",SUMIFS(T_Chuyen[Còn đang chuyển],T_Chuyen[Sàn],A37,T_Chuyen[Shop],B37)))</x:f>
      </x:c>
      <x:c r="AB37" s="27" t="str">
        <x:f>IF(P37="","",IF(AC37&gt;0,"n.a.",SUMIFS(T_Chuyen[Tiền trừ số dư],T_Chuyen[Sàn],A37,T_Chuyen[Shop],B37,T_Chuyen[Ngày trừ số dư],"&gt;="&amp;'Tong_hop'!$C$4,T_Chuyen[Ngày trừ số dư],"&lt;"&amp;'Tong_hop'!$F$4)))</x:f>
      </x:c>
      <x:c r="AC37" s="28" t="str">
        <x:f>IF(P37="","",IF(R37="",0,1)+COUNTIFS(T_Don[Sàn],A37,T_Don[Shop],B37,T_Don[Kiểm tra dữ liệu],"?*")+COUNTIFS(T_GD[Sàn],A37,T_GD[Shop],B37,T_GD[Kiểm tra dữ liệu],"?*")+COUNTIFS(T_Chuyen[Sàn],A37,T_Chuyen[Shop],B37,T_Chuyen[Kiểm tra dữ liệu],"?*")+COUNTIFS(T_NH[Sàn],A37,T_NH[Shop],B37,T_NH[Kiểm tra dữ liệu],"?*"))</x:f>
      </x:c>
    </x:row>
    <x:row r="38" ht="22" customHeight="1">
      <x:c r="A38" s="10"/>
      <x:c r="B38" s="10"/>
      <x:c r="C38" s="25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10"/>
      <x:c r="O38" s="10"/>
      <x:c r="P38" s="23" t="str">
        <x:f>IF(AND(A38="",B38=""),"",A38&amp;"|"&amp;B38)</x:f>
      </x:c>
      <x:c r="Q38" s="27" t="str">
        <x:f>IF(P38="","",IF(COUNT(F38:J38)=5,SUM(F38:J38),"n.a."))</x:f>
      </x:c>
      <x:c r="R38" s="23" t="str">
        <x:f>IF(COUNTA(A38:O38)=0,"",IF(OR(NOT(OR(A38="TikTok Shop",A38="Shopee",A38="Lazada")),B38="",NOT(ISNUMBER(C38)),COUNT(D38:M38)&lt;&gt;10),"Thiếu/sai số dư",IF(C38&lt;&gt;'Tong_hop'!$F$4-1,"Sai ngày chốt",IF(COUNTIFS(T_SoDu[Khóa shop],P38)&lt;&gt;1,"Trùng shop",IF(AND(N38&lt;&gt;"Đã đủ",N38&lt;&gt;"Chưa"),"Thiếu xác nhận nguồn","")))))</x:f>
      </x:c>
      <x:c r="S38" s="27" t="str">
        <x:f>IF(P38="","",IF(AC38&gt;0,"n.a.",SUMIFS(T_Don[Phải thu gộp],T_Don[Sàn],A38,T_Don[Shop],B38,T_Don[Ngày ghi nhận bán],"&gt;="&amp;'Tong_hop'!$C$4,T_Don[Ngày ghi nhận bán],"&lt;"&amp;'Tong_hop'!$F$4)))</x:f>
      </x:c>
      <x:c r="T38" s="27" t="str">
        <x:f>IF(P38="","",IF(AC38&gt;0,"n.a.",SUMIFS(T_GD[Hoàn tiền shop chịu],T_GD[Sàn],A38,T_GD[Shop],B38,T_GD[Ngày giao dịch sàn],"&gt;="&amp;'Tong_hop'!$C$4,T_GD[Ngày giao dịch sàn],"&lt;"&amp;'Tong_hop'!$F$4)))</x:f>
      </x:c>
      <x:c r="U38" s="27" t="str">
        <x:f>IF(P38="","",IF(AC38&gt;0,"n.a.",SUMIFS(T_GD[Phí sàn cấn trừ],T_GD[Sàn],A38,T_GD[Shop],B38,T_GD[Ngày giao dịch sàn],"&gt;="&amp;'Tong_hop'!$C$4,T_GD[Ngày giao dịch sàn],"&lt;"&amp;'Tong_hop'!$F$4)+SUMIFS(T_GD[Ship shop chịu],T_GD[Sàn],A38,T_GD[Shop],B38,T_GD[Ngày giao dịch sàn],"&gt;="&amp;'Tong_hop'!$C$4,T_GD[Ngày giao dịch sàn],"&lt;"&amp;'Tong_hop'!$F$4)+SUMIFS(T_Chuyen[Phí chuyển đã xác nhận],T_Chuyen[Sàn],A38,T_Chuyen[Shop],B38,T_Chuyen[Ngày trừ số dư],"&gt;="&amp;'Tong_hop'!$C$4,T_Chuyen[Ngày trừ số dư],"&lt;"&amp;'Tong_hop'!$F$4)))</x:f>
      </x:c>
      <x:c r="V38" s="27" t="str">
        <x:f>IF(P38="","",IF(AC38&gt;0,"n.a.",SUMIFS(T_GD[Điều chỉnh khác +/-],T_GD[Sàn],A38,T_GD[Shop],B38,T_GD[Ngày giao dịch sàn],"&gt;="&amp;'Tong_hop'!$C$4,T_GD[Ngày giao dịch sàn],"&lt;"&amp;'Tong_hop'!$F$4)+SUMIFS(T_GD[Nạp vào số dư],T_GD[Sàn],A38,T_GD[Shop],B38,T_GD[Ngày giao dịch sàn],"&gt;="&amp;'Tong_hop'!$C$4,T_GD[Ngày giao dịch sàn],"&lt;"&amp;'Tong_hop'!$F$4)))</x:f>
      </x:c>
      <x:c r="W38" s="27" t="str">
        <x:f>IF(P38="","",IF(AC38&gt;0,"n.a.",SUMIFS(T_NH[Tiền thực nhận],T_NH[Sàn],A38,T_NH[Shop],B38,T_NH[Ngày báo Có],"&gt;="&amp;'Tong_hop'!$C$4,T_NH[Ngày báo Có],"&lt;"&amp;'Tong_hop'!$F$4)))</x:f>
      </x:c>
      <x:c r="X38" s="27" t="str">
        <x:f>IF(P38="","",IF(AC38&gt;0,"n.a.",D38+S38-T38-U38+V38-W38))</x:f>
      </x:c>
      <x:c r="Y38" s="27" t="str">
        <x:f>IF(P38="","",IF(AC38&gt;0,"n.a.",SUMIFS(T_GD[Thực ghi số dư +/-],T_GD[Sàn],A38,T_GD[Shop],B38,T_GD[Ngày giao dịch sàn],"&gt;="&amp;'Tong_hop'!$C$4,T_GD[Ngày giao dịch sàn],"&lt;"&amp;'Tong_hop'!$F$4,T_GD[Nhóm giao dịch],"Quyết toán")))</x:f>
      </x:c>
      <x:c r="Z38" s="27" t="str">
        <x:f>IF(P38="","",IF(AC38&gt;0,"n.a.",E38+SUMIFS(T_GD[Thực ghi số dư +/-],T_GD[Sàn],A38,T_GD[Shop],B38,T_GD[Ngày giao dịch sàn],"&gt;="&amp;'Tong_hop'!$C$4,T_GD[Ngày giao dịch sàn],"&lt;"&amp;'Tong_hop'!$F$4)-SUMIFS(T_Chuyen[Tiền trừ số dư],T_Chuyen[Sàn],A38,T_Chuyen[Shop],B38,T_Chuyen[Ngày trừ số dư],"&gt;="&amp;'Tong_hop'!$C$4,T_Chuyen[Ngày trừ số dư],"&lt;"&amp;'Tong_hop'!$F$4)))</x:f>
      </x:c>
      <x:c r="AA38" s="27" t="str">
        <x:f>IF(P38="","",IF(AC38&gt;0,"n.a.",SUMIFS(T_Chuyen[Còn đang chuyển],T_Chuyen[Sàn],A38,T_Chuyen[Shop],B38)))</x:f>
      </x:c>
      <x:c r="AB38" s="27" t="str">
        <x:f>IF(P38="","",IF(AC38&gt;0,"n.a.",SUMIFS(T_Chuyen[Tiền trừ số dư],T_Chuyen[Sàn],A38,T_Chuyen[Shop],B38,T_Chuyen[Ngày trừ số dư],"&gt;="&amp;'Tong_hop'!$C$4,T_Chuyen[Ngày trừ số dư],"&lt;"&amp;'Tong_hop'!$F$4)))</x:f>
      </x:c>
      <x:c r="AC38" s="28" t="str">
        <x:f>IF(P38="","",IF(R38="",0,1)+COUNTIFS(T_Don[Sàn],A38,T_Don[Shop],B38,T_Don[Kiểm tra dữ liệu],"?*")+COUNTIFS(T_GD[Sàn],A38,T_GD[Shop],B38,T_GD[Kiểm tra dữ liệu],"?*")+COUNTIFS(T_Chuyen[Sàn],A38,T_Chuyen[Shop],B38,T_Chuyen[Kiểm tra dữ liệu],"?*")+COUNTIFS(T_NH[Sàn],A38,T_NH[Shop],B38,T_NH[Kiểm tra dữ liệu],"?*"))</x:f>
      </x:c>
    </x:row>
    <x:row r="39" ht="22" customHeight="1">
      <x:c r="A39" s="10"/>
      <x:c r="B39" s="10"/>
      <x:c r="C39" s="25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10"/>
      <x:c r="O39" s="10"/>
      <x:c r="P39" s="23" t="str">
        <x:f>IF(AND(A39="",B39=""),"",A39&amp;"|"&amp;B39)</x:f>
      </x:c>
      <x:c r="Q39" s="27" t="str">
        <x:f>IF(P39="","",IF(COUNT(F39:J39)=5,SUM(F39:J39),"n.a."))</x:f>
      </x:c>
      <x:c r="R39" s="23" t="str">
        <x:f>IF(COUNTA(A39:O39)=0,"",IF(OR(NOT(OR(A39="TikTok Shop",A39="Shopee",A39="Lazada")),B39="",NOT(ISNUMBER(C39)),COUNT(D39:M39)&lt;&gt;10),"Thiếu/sai số dư",IF(C39&lt;&gt;'Tong_hop'!$F$4-1,"Sai ngày chốt",IF(COUNTIFS(T_SoDu[Khóa shop],P39)&lt;&gt;1,"Trùng shop",IF(AND(N39&lt;&gt;"Đã đủ",N39&lt;&gt;"Chưa"),"Thiếu xác nhận nguồn","")))))</x:f>
      </x:c>
      <x:c r="S39" s="27" t="str">
        <x:f>IF(P39="","",IF(AC39&gt;0,"n.a.",SUMIFS(T_Don[Phải thu gộp],T_Don[Sàn],A39,T_Don[Shop],B39,T_Don[Ngày ghi nhận bán],"&gt;="&amp;'Tong_hop'!$C$4,T_Don[Ngày ghi nhận bán],"&lt;"&amp;'Tong_hop'!$F$4)))</x:f>
      </x:c>
      <x:c r="T39" s="27" t="str">
        <x:f>IF(P39="","",IF(AC39&gt;0,"n.a.",SUMIFS(T_GD[Hoàn tiền shop chịu],T_GD[Sàn],A39,T_GD[Shop],B39,T_GD[Ngày giao dịch sàn],"&gt;="&amp;'Tong_hop'!$C$4,T_GD[Ngày giao dịch sàn],"&lt;"&amp;'Tong_hop'!$F$4)))</x:f>
      </x:c>
      <x:c r="U39" s="27" t="str">
        <x:f>IF(P39="","",IF(AC39&gt;0,"n.a.",SUMIFS(T_GD[Phí sàn cấn trừ],T_GD[Sàn],A39,T_GD[Shop],B39,T_GD[Ngày giao dịch sàn],"&gt;="&amp;'Tong_hop'!$C$4,T_GD[Ngày giao dịch sàn],"&lt;"&amp;'Tong_hop'!$F$4)+SUMIFS(T_GD[Ship shop chịu],T_GD[Sàn],A39,T_GD[Shop],B39,T_GD[Ngày giao dịch sàn],"&gt;="&amp;'Tong_hop'!$C$4,T_GD[Ngày giao dịch sàn],"&lt;"&amp;'Tong_hop'!$F$4)+SUMIFS(T_Chuyen[Phí chuyển đã xác nhận],T_Chuyen[Sàn],A39,T_Chuyen[Shop],B39,T_Chuyen[Ngày trừ số dư],"&gt;="&amp;'Tong_hop'!$C$4,T_Chuyen[Ngày trừ số dư],"&lt;"&amp;'Tong_hop'!$F$4)))</x:f>
      </x:c>
      <x:c r="V39" s="27" t="str">
        <x:f>IF(P39="","",IF(AC39&gt;0,"n.a.",SUMIFS(T_GD[Điều chỉnh khác +/-],T_GD[Sàn],A39,T_GD[Shop],B39,T_GD[Ngày giao dịch sàn],"&gt;="&amp;'Tong_hop'!$C$4,T_GD[Ngày giao dịch sàn],"&lt;"&amp;'Tong_hop'!$F$4)+SUMIFS(T_GD[Nạp vào số dư],T_GD[Sàn],A39,T_GD[Shop],B39,T_GD[Ngày giao dịch sàn],"&gt;="&amp;'Tong_hop'!$C$4,T_GD[Ngày giao dịch sàn],"&lt;"&amp;'Tong_hop'!$F$4)))</x:f>
      </x:c>
      <x:c r="W39" s="27" t="str">
        <x:f>IF(P39="","",IF(AC39&gt;0,"n.a.",SUMIFS(T_NH[Tiền thực nhận],T_NH[Sàn],A39,T_NH[Shop],B39,T_NH[Ngày báo Có],"&gt;="&amp;'Tong_hop'!$C$4,T_NH[Ngày báo Có],"&lt;"&amp;'Tong_hop'!$F$4)))</x:f>
      </x:c>
      <x:c r="X39" s="27" t="str">
        <x:f>IF(P39="","",IF(AC39&gt;0,"n.a.",D39+S39-T39-U39+V39-W39))</x:f>
      </x:c>
      <x:c r="Y39" s="27" t="str">
        <x:f>IF(P39="","",IF(AC39&gt;0,"n.a.",SUMIFS(T_GD[Thực ghi số dư +/-],T_GD[Sàn],A39,T_GD[Shop],B39,T_GD[Ngày giao dịch sàn],"&gt;="&amp;'Tong_hop'!$C$4,T_GD[Ngày giao dịch sàn],"&lt;"&amp;'Tong_hop'!$F$4,T_GD[Nhóm giao dịch],"Quyết toán")))</x:f>
      </x:c>
      <x:c r="Z39" s="27" t="str">
        <x:f>IF(P39="","",IF(AC39&gt;0,"n.a.",E39+SUMIFS(T_GD[Thực ghi số dư +/-],T_GD[Sàn],A39,T_GD[Shop],B39,T_GD[Ngày giao dịch sàn],"&gt;="&amp;'Tong_hop'!$C$4,T_GD[Ngày giao dịch sàn],"&lt;"&amp;'Tong_hop'!$F$4)-SUMIFS(T_Chuyen[Tiền trừ số dư],T_Chuyen[Sàn],A39,T_Chuyen[Shop],B39,T_Chuyen[Ngày trừ số dư],"&gt;="&amp;'Tong_hop'!$C$4,T_Chuyen[Ngày trừ số dư],"&lt;"&amp;'Tong_hop'!$F$4)))</x:f>
      </x:c>
      <x:c r="AA39" s="27" t="str">
        <x:f>IF(P39="","",IF(AC39&gt;0,"n.a.",SUMIFS(T_Chuyen[Còn đang chuyển],T_Chuyen[Sàn],A39,T_Chuyen[Shop],B39)))</x:f>
      </x:c>
      <x:c r="AB39" s="27" t="str">
        <x:f>IF(P39="","",IF(AC39&gt;0,"n.a.",SUMIFS(T_Chuyen[Tiền trừ số dư],T_Chuyen[Sàn],A39,T_Chuyen[Shop],B39,T_Chuyen[Ngày trừ số dư],"&gt;="&amp;'Tong_hop'!$C$4,T_Chuyen[Ngày trừ số dư],"&lt;"&amp;'Tong_hop'!$F$4)))</x:f>
      </x:c>
      <x:c r="AC39" s="28" t="str">
        <x:f>IF(P39="","",IF(R39="",0,1)+COUNTIFS(T_Don[Sàn],A39,T_Don[Shop],B39,T_Don[Kiểm tra dữ liệu],"?*")+COUNTIFS(T_GD[Sàn],A39,T_GD[Shop],B39,T_GD[Kiểm tra dữ liệu],"?*")+COUNTIFS(T_Chuyen[Sàn],A39,T_Chuyen[Shop],B39,T_Chuyen[Kiểm tra dữ liệu],"?*")+COUNTIFS(T_NH[Sàn],A39,T_NH[Shop],B39,T_NH[Kiểm tra dữ liệu],"?*"))</x:f>
      </x:c>
    </x:row>
    <x:row r="40" ht="22" customHeight="1">
      <x:c r="A40" s="10"/>
      <x:c r="B40" s="10"/>
      <x:c r="C40" s="25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10"/>
      <x:c r="O40" s="10"/>
      <x:c r="P40" s="23" t="str">
        <x:f>IF(AND(A40="",B40=""),"",A40&amp;"|"&amp;B40)</x:f>
      </x:c>
      <x:c r="Q40" s="27" t="str">
        <x:f>IF(P40="","",IF(COUNT(F40:J40)=5,SUM(F40:J40),"n.a."))</x:f>
      </x:c>
      <x:c r="R40" s="23" t="str">
        <x:f>IF(COUNTA(A40:O40)=0,"",IF(OR(NOT(OR(A40="TikTok Shop",A40="Shopee",A40="Lazada")),B40="",NOT(ISNUMBER(C40)),COUNT(D40:M40)&lt;&gt;10),"Thiếu/sai số dư",IF(C40&lt;&gt;'Tong_hop'!$F$4-1,"Sai ngày chốt",IF(COUNTIFS(T_SoDu[Khóa shop],P40)&lt;&gt;1,"Trùng shop",IF(AND(N40&lt;&gt;"Đã đủ",N40&lt;&gt;"Chưa"),"Thiếu xác nhận nguồn","")))))</x:f>
      </x:c>
      <x:c r="S40" s="27" t="str">
        <x:f>IF(P40="","",IF(AC40&gt;0,"n.a.",SUMIFS(T_Don[Phải thu gộp],T_Don[Sàn],A40,T_Don[Shop],B40,T_Don[Ngày ghi nhận bán],"&gt;="&amp;'Tong_hop'!$C$4,T_Don[Ngày ghi nhận bán],"&lt;"&amp;'Tong_hop'!$F$4)))</x:f>
      </x:c>
      <x:c r="T40" s="27" t="str">
        <x:f>IF(P40="","",IF(AC40&gt;0,"n.a.",SUMIFS(T_GD[Hoàn tiền shop chịu],T_GD[Sàn],A40,T_GD[Shop],B40,T_GD[Ngày giao dịch sàn],"&gt;="&amp;'Tong_hop'!$C$4,T_GD[Ngày giao dịch sàn],"&lt;"&amp;'Tong_hop'!$F$4)))</x:f>
      </x:c>
      <x:c r="U40" s="27" t="str">
        <x:f>IF(P40="","",IF(AC40&gt;0,"n.a.",SUMIFS(T_GD[Phí sàn cấn trừ],T_GD[Sàn],A40,T_GD[Shop],B40,T_GD[Ngày giao dịch sàn],"&gt;="&amp;'Tong_hop'!$C$4,T_GD[Ngày giao dịch sàn],"&lt;"&amp;'Tong_hop'!$F$4)+SUMIFS(T_GD[Ship shop chịu],T_GD[Sàn],A40,T_GD[Shop],B40,T_GD[Ngày giao dịch sàn],"&gt;="&amp;'Tong_hop'!$C$4,T_GD[Ngày giao dịch sàn],"&lt;"&amp;'Tong_hop'!$F$4)+SUMIFS(T_Chuyen[Phí chuyển đã xác nhận],T_Chuyen[Sàn],A40,T_Chuyen[Shop],B40,T_Chuyen[Ngày trừ số dư],"&gt;="&amp;'Tong_hop'!$C$4,T_Chuyen[Ngày trừ số dư],"&lt;"&amp;'Tong_hop'!$F$4)))</x:f>
      </x:c>
      <x:c r="V40" s="27" t="str">
        <x:f>IF(P40="","",IF(AC40&gt;0,"n.a.",SUMIFS(T_GD[Điều chỉnh khác +/-],T_GD[Sàn],A40,T_GD[Shop],B40,T_GD[Ngày giao dịch sàn],"&gt;="&amp;'Tong_hop'!$C$4,T_GD[Ngày giao dịch sàn],"&lt;"&amp;'Tong_hop'!$F$4)+SUMIFS(T_GD[Nạp vào số dư],T_GD[Sàn],A40,T_GD[Shop],B40,T_GD[Ngày giao dịch sàn],"&gt;="&amp;'Tong_hop'!$C$4,T_GD[Ngày giao dịch sàn],"&lt;"&amp;'Tong_hop'!$F$4)))</x:f>
      </x:c>
      <x:c r="W40" s="27" t="str">
        <x:f>IF(P40="","",IF(AC40&gt;0,"n.a.",SUMIFS(T_NH[Tiền thực nhận],T_NH[Sàn],A40,T_NH[Shop],B40,T_NH[Ngày báo Có],"&gt;="&amp;'Tong_hop'!$C$4,T_NH[Ngày báo Có],"&lt;"&amp;'Tong_hop'!$F$4)))</x:f>
      </x:c>
      <x:c r="X40" s="27" t="str">
        <x:f>IF(P40="","",IF(AC40&gt;0,"n.a.",D40+S40-T40-U40+V40-W40))</x:f>
      </x:c>
      <x:c r="Y40" s="27" t="str">
        <x:f>IF(P40="","",IF(AC40&gt;0,"n.a.",SUMIFS(T_GD[Thực ghi số dư +/-],T_GD[Sàn],A40,T_GD[Shop],B40,T_GD[Ngày giao dịch sàn],"&gt;="&amp;'Tong_hop'!$C$4,T_GD[Ngày giao dịch sàn],"&lt;"&amp;'Tong_hop'!$F$4,T_GD[Nhóm giao dịch],"Quyết toán")))</x:f>
      </x:c>
      <x:c r="Z40" s="27" t="str">
        <x:f>IF(P40="","",IF(AC40&gt;0,"n.a.",E40+SUMIFS(T_GD[Thực ghi số dư +/-],T_GD[Sàn],A40,T_GD[Shop],B40,T_GD[Ngày giao dịch sàn],"&gt;="&amp;'Tong_hop'!$C$4,T_GD[Ngày giao dịch sàn],"&lt;"&amp;'Tong_hop'!$F$4)-SUMIFS(T_Chuyen[Tiền trừ số dư],T_Chuyen[Sàn],A40,T_Chuyen[Shop],B40,T_Chuyen[Ngày trừ số dư],"&gt;="&amp;'Tong_hop'!$C$4,T_Chuyen[Ngày trừ số dư],"&lt;"&amp;'Tong_hop'!$F$4)))</x:f>
      </x:c>
      <x:c r="AA40" s="27" t="str">
        <x:f>IF(P40="","",IF(AC40&gt;0,"n.a.",SUMIFS(T_Chuyen[Còn đang chuyển],T_Chuyen[Sàn],A40,T_Chuyen[Shop],B40)))</x:f>
      </x:c>
      <x:c r="AB40" s="27" t="str">
        <x:f>IF(P40="","",IF(AC40&gt;0,"n.a.",SUMIFS(T_Chuyen[Tiền trừ số dư],T_Chuyen[Sàn],A40,T_Chuyen[Shop],B40,T_Chuyen[Ngày trừ số dư],"&gt;="&amp;'Tong_hop'!$C$4,T_Chuyen[Ngày trừ số dư],"&lt;"&amp;'Tong_hop'!$F$4)))</x:f>
      </x:c>
      <x:c r="AC40" s="28" t="str">
        <x:f>IF(P40="","",IF(R40="",0,1)+COUNTIFS(T_Don[Sàn],A40,T_Don[Shop],B40,T_Don[Kiểm tra dữ liệu],"?*")+COUNTIFS(T_GD[Sàn],A40,T_GD[Shop],B40,T_GD[Kiểm tra dữ liệu],"?*")+COUNTIFS(T_Chuyen[Sàn],A40,T_Chuyen[Shop],B40,T_Chuyen[Kiểm tra dữ liệu],"?*")+COUNTIFS(T_NH[Sàn],A40,T_NH[Shop],B40,T_NH[Kiểm tra dữ liệu],"?*"))</x:f>
      </x:c>
    </x:row>
    <x:row r="41" ht="22" customHeight="1">
      <x:c r="A41" s="10"/>
      <x:c r="B41" s="10"/>
      <x:c r="C41" s="25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10"/>
      <x:c r="O41" s="10"/>
      <x:c r="P41" s="23" t="str">
        <x:f>IF(AND(A41="",B41=""),"",A41&amp;"|"&amp;B41)</x:f>
      </x:c>
      <x:c r="Q41" s="27" t="str">
        <x:f>IF(P41="","",IF(COUNT(F41:J41)=5,SUM(F41:J41),"n.a."))</x:f>
      </x:c>
      <x:c r="R41" s="23" t="str">
        <x:f>IF(COUNTA(A41:O41)=0,"",IF(OR(NOT(OR(A41="TikTok Shop",A41="Shopee",A41="Lazada")),B41="",NOT(ISNUMBER(C41)),COUNT(D41:M41)&lt;&gt;10),"Thiếu/sai số dư",IF(C41&lt;&gt;'Tong_hop'!$F$4-1,"Sai ngày chốt",IF(COUNTIFS(T_SoDu[Khóa shop],P41)&lt;&gt;1,"Trùng shop",IF(AND(N41&lt;&gt;"Đã đủ",N41&lt;&gt;"Chưa"),"Thiếu xác nhận nguồn","")))))</x:f>
      </x:c>
      <x:c r="S41" s="27" t="str">
        <x:f>IF(P41="","",IF(AC41&gt;0,"n.a.",SUMIFS(T_Don[Phải thu gộp],T_Don[Sàn],A41,T_Don[Shop],B41,T_Don[Ngày ghi nhận bán],"&gt;="&amp;'Tong_hop'!$C$4,T_Don[Ngày ghi nhận bán],"&lt;"&amp;'Tong_hop'!$F$4)))</x:f>
      </x:c>
      <x:c r="T41" s="27" t="str">
        <x:f>IF(P41="","",IF(AC41&gt;0,"n.a.",SUMIFS(T_GD[Hoàn tiền shop chịu],T_GD[Sàn],A41,T_GD[Shop],B41,T_GD[Ngày giao dịch sàn],"&gt;="&amp;'Tong_hop'!$C$4,T_GD[Ngày giao dịch sàn],"&lt;"&amp;'Tong_hop'!$F$4)))</x:f>
      </x:c>
      <x:c r="U41" s="27" t="str">
        <x:f>IF(P41="","",IF(AC41&gt;0,"n.a.",SUMIFS(T_GD[Phí sàn cấn trừ],T_GD[Sàn],A41,T_GD[Shop],B41,T_GD[Ngày giao dịch sàn],"&gt;="&amp;'Tong_hop'!$C$4,T_GD[Ngày giao dịch sàn],"&lt;"&amp;'Tong_hop'!$F$4)+SUMIFS(T_GD[Ship shop chịu],T_GD[Sàn],A41,T_GD[Shop],B41,T_GD[Ngày giao dịch sàn],"&gt;="&amp;'Tong_hop'!$C$4,T_GD[Ngày giao dịch sàn],"&lt;"&amp;'Tong_hop'!$F$4)+SUMIFS(T_Chuyen[Phí chuyển đã xác nhận],T_Chuyen[Sàn],A41,T_Chuyen[Shop],B41,T_Chuyen[Ngày trừ số dư],"&gt;="&amp;'Tong_hop'!$C$4,T_Chuyen[Ngày trừ số dư],"&lt;"&amp;'Tong_hop'!$F$4)))</x:f>
      </x:c>
      <x:c r="V41" s="27" t="str">
        <x:f>IF(P41="","",IF(AC41&gt;0,"n.a.",SUMIFS(T_GD[Điều chỉnh khác +/-],T_GD[Sàn],A41,T_GD[Shop],B41,T_GD[Ngày giao dịch sàn],"&gt;="&amp;'Tong_hop'!$C$4,T_GD[Ngày giao dịch sàn],"&lt;"&amp;'Tong_hop'!$F$4)+SUMIFS(T_GD[Nạp vào số dư],T_GD[Sàn],A41,T_GD[Shop],B41,T_GD[Ngày giao dịch sàn],"&gt;="&amp;'Tong_hop'!$C$4,T_GD[Ngày giao dịch sàn],"&lt;"&amp;'Tong_hop'!$F$4)))</x:f>
      </x:c>
      <x:c r="W41" s="27" t="str">
        <x:f>IF(P41="","",IF(AC41&gt;0,"n.a.",SUMIFS(T_NH[Tiền thực nhận],T_NH[Sàn],A41,T_NH[Shop],B41,T_NH[Ngày báo Có],"&gt;="&amp;'Tong_hop'!$C$4,T_NH[Ngày báo Có],"&lt;"&amp;'Tong_hop'!$F$4)))</x:f>
      </x:c>
      <x:c r="X41" s="27" t="str">
        <x:f>IF(P41="","",IF(AC41&gt;0,"n.a.",D41+S41-T41-U41+V41-W41))</x:f>
      </x:c>
      <x:c r="Y41" s="27" t="str">
        <x:f>IF(P41="","",IF(AC41&gt;0,"n.a.",SUMIFS(T_GD[Thực ghi số dư +/-],T_GD[Sàn],A41,T_GD[Shop],B41,T_GD[Ngày giao dịch sàn],"&gt;="&amp;'Tong_hop'!$C$4,T_GD[Ngày giao dịch sàn],"&lt;"&amp;'Tong_hop'!$F$4,T_GD[Nhóm giao dịch],"Quyết toán")))</x:f>
      </x:c>
      <x:c r="Z41" s="27" t="str">
        <x:f>IF(P41="","",IF(AC41&gt;0,"n.a.",E41+SUMIFS(T_GD[Thực ghi số dư +/-],T_GD[Sàn],A41,T_GD[Shop],B41,T_GD[Ngày giao dịch sàn],"&gt;="&amp;'Tong_hop'!$C$4,T_GD[Ngày giao dịch sàn],"&lt;"&amp;'Tong_hop'!$F$4)-SUMIFS(T_Chuyen[Tiền trừ số dư],T_Chuyen[Sàn],A41,T_Chuyen[Shop],B41,T_Chuyen[Ngày trừ số dư],"&gt;="&amp;'Tong_hop'!$C$4,T_Chuyen[Ngày trừ số dư],"&lt;"&amp;'Tong_hop'!$F$4)))</x:f>
      </x:c>
      <x:c r="AA41" s="27" t="str">
        <x:f>IF(P41="","",IF(AC41&gt;0,"n.a.",SUMIFS(T_Chuyen[Còn đang chuyển],T_Chuyen[Sàn],A41,T_Chuyen[Shop],B41)))</x:f>
      </x:c>
      <x:c r="AB41" s="27" t="str">
        <x:f>IF(P41="","",IF(AC41&gt;0,"n.a.",SUMIFS(T_Chuyen[Tiền trừ số dư],T_Chuyen[Sàn],A41,T_Chuyen[Shop],B41,T_Chuyen[Ngày trừ số dư],"&gt;="&amp;'Tong_hop'!$C$4,T_Chuyen[Ngày trừ số dư],"&lt;"&amp;'Tong_hop'!$F$4)))</x:f>
      </x:c>
      <x:c r="AC41" s="28" t="str">
        <x:f>IF(P41="","",IF(R41="",0,1)+COUNTIFS(T_Don[Sàn],A41,T_Don[Shop],B41,T_Don[Kiểm tra dữ liệu],"?*")+COUNTIFS(T_GD[Sàn],A41,T_GD[Shop],B41,T_GD[Kiểm tra dữ liệu],"?*")+COUNTIFS(T_Chuyen[Sàn],A41,T_Chuyen[Shop],B41,T_Chuyen[Kiểm tra dữ liệu],"?*")+COUNTIFS(T_NH[Sàn],A41,T_NH[Shop],B41,T_NH[Kiểm tra dữ liệu],"?*"))</x:f>
      </x:c>
    </x:row>
    <x:row r="42" ht="22" customHeight="1">
      <x:c r="A42" s="10"/>
      <x:c r="B42" s="10"/>
      <x:c r="C42" s="25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10"/>
      <x:c r="O42" s="10"/>
      <x:c r="P42" s="23" t="str">
        <x:f>IF(AND(A42="",B42=""),"",A42&amp;"|"&amp;B42)</x:f>
      </x:c>
      <x:c r="Q42" s="27" t="str">
        <x:f>IF(P42="","",IF(COUNT(F42:J42)=5,SUM(F42:J42),"n.a."))</x:f>
      </x:c>
      <x:c r="R42" s="23" t="str">
        <x:f>IF(COUNTA(A42:O42)=0,"",IF(OR(NOT(OR(A42="TikTok Shop",A42="Shopee",A42="Lazada")),B42="",NOT(ISNUMBER(C42)),COUNT(D42:M42)&lt;&gt;10),"Thiếu/sai số dư",IF(C42&lt;&gt;'Tong_hop'!$F$4-1,"Sai ngày chốt",IF(COUNTIFS(T_SoDu[Khóa shop],P42)&lt;&gt;1,"Trùng shop",IF(AND(N42&lt;&gt;"Đã đủ",N42&lt;&gt;"Chưa"),"Thiếu xác nhận nguồn","")))))</x:f>
      </x:c>
      <x:c r="S42" s="27" t="str">
        <x:f>IF(P42="","",IF(AC42&gt;0,"n.a.",SUMIFS(T_Don[Phải thu gộp],T_Don[Sàn],A42,T_Don[Shop],B42,T_Don[Ngày ghi nhận bán],"&gt;="&amp;'Tong_hop'!$C$4,T_Don[Ngày ghi nhận bán],"&lt;"&amp;'Tong_hop'!$F$4)))</x:f>
      </x:c>
      <x:c r="T42" s="27" t="str">
        <x:f>IF(P42="","",IF(AC42&gt;0,"n.a.",SUMIFS(T_GD[Hoàn tiền shop chịu],T_GD[Sàn],A42,T_GD[Shop],B42,T_GD[Ngày giao dịch sàn],"&gt;="&amp;'Tong_hop'!$C$4,T_GD[Ngày giao dịch sàn],"&lt;"&amp;'Tong_hop'!$F$4)))</x:f>
      </x:c>
      <x:c r="U42" s="27" t="str">
        <x:f>IF(P42="","",IF(AC42&gt;0,"n.a.",SUMIFS(T_GD[Phí sàn cấn trừ],T_GD[Sàn],A42,T_GD[Shop],B42,T_GD[Ngày giao dịch sàn],"&gt;="&amp;'Tong_hop'!$C$4,T_GD[Ngày giao dịch sàn],"&lt;"&amp;'Tong_hop'!$F$4)+SUMIFS(T_GD[Ship shop chịu],T_GD[Sàn],A42,T_GD[Shop],B42,T_GD[Ngày giao dịch sàn],"&gt;="&amp;'Tong_hop'!$C$4,T_GD[Ngày giao dịch sàn],"&lt;"&amp;'Tong_hop'!$F$4)+SUMIFS(T_Chuyen[Phí chuyển đã xác nhận],T_Chuyen[Sàn],A42,T_Chuyen[Shop],B42,T_Chuyen[Ngày trừ số dư],"&gt;="&amp;'Tong_hop'!$C$4,T_Chuyen[Ngày trừ số dư],"&lt;"&amp;'Tong_hop'!$F$4)))</x:f>
      </x:c>
      <x:c r="V42" s="27" t="str">
        <x:f>IF(P42="","",IF(AC42&gt;0,"n.a.",SUMIFS(T_GD[Điều chỉnh khác +/-],T_GD[Sàn],A42,T_GD[Shop],B42,T_GD[Ngày giao dịch sàn],"&gt;="&amp;'Tong_hop'!$C$4,T_GD[Ngày giao dịch sàn],"&lt;"&amp;'Tong_hop'!$F$4)+SUMIFS(T_GD[Nạp vào số dư],T_GD[Sàn],A42,T_GD[Shop],B42,T_GD[Ngày giao dịch sàn],"&gt;="&amp;'Tong_hop'!$C$4,T_GD[Ngày giao dịch sàn],"&lt;"&amp;'Tong_hop'!$F$4)))</x:f>
      </x:c>
      <x:c r="W42" s="27" t="str">
        <x:f>IF(P42="","",IF(AC42&gt;0,"n.a.",SUMIFS(T_NH[Tiền thực nhận],T_NH[Sàn],A42,T_NH[Shop],B42,T_NH[Ngày báo Có],"&gt;="&amp;'Tong_hop'!$C$4,T_NH[Ngày báo Có],"&lt;"&amp;'Tong_hop'!$F$4)))</x:f>
      </x:c>
      <x:c r="X42" s="27" t="str">
        <x:f>IF(P42="","",IF(AC42&gt;0,"n.a.",D42+S42-T42-U42+V42-W42))</x:f>
      </x:c>
      <x:c r="Y42" s="27" t="str">
        <x:f>IF(P42="","",IF(AC42&gt;0,"n.a.",SUMIFS(T_GD[Thực ghi số dư +/-],T_GD[Sàn],A42,T_GD[Shop],B42,T_GD[Ngày giao dịch sàn],"&gt;="&amp;'Tong_hop'!$C$4,T_GD[Ngày giao dịch sàn],"&lt;"&amp;'Tong_hop'!$F$4,T_GD[Nhóm giao dịch],"Quyết toán")))</x:f>
      </x:c>
      <x:c r="Z42" s="27" t="str">
        <x:f>IF(P42="","",IF(AC42&gt;0,"n.a.",E42+SUMIFS(T_GD[Thực ghi số dư +/-],T_GD[Sàn],A42,T_GD[Shop],B42,T_GD[Ngày giao dịch sàn],"&gt;="&amp;'Tong_hop'!$C$4,T_GD[Ngày giao dịch sàn],"&lt;"&amp;'Tong_hop'!$F$4)-SUMIFS(T_Chuyen[Tiền trừ số dư],T_Chuyen[Sàn],A42,T_Chuyen[Shop],B42,T_Chuyen[Ngày trừ số dư],"&gt;="&amp;'Tong_hop'!$C$4,T_Chuyen[Ngày trừ số dư],"&lt;"&amp;'Tong_hop'!$F$4)))</x:f>
      </x:c>
      <x:c r="AA42" s="27" t="str">
        <x:f>IF(P42="","",IF(AC42&gt;0,"n.a.",SUMIFS(T_Chuyen[Còn đang chuyển],T_Chuyen[Sàn],A42,T_Chuyen[Shop],B42)))</x:f>
      </x:c>
      <x:c r="AB42" s="27" t="str">
        <x:f>IF(P42="","",IF(AC42&gt;0,"n.a.",SUMIFS(T_Chuyen[Tiền trừ số dư],T_Chuyen[Sàn],A42,T_Chuyen[Shop],B42,T_Chuyen[Ngày trừ số dư],"&gt;="&amp;'Tong_hop'!$C$4,T_Chuyen[Ngày trừ số dư],"&lt;"&amp;'Tong_hop'!$F$4)))</x:f>
      </x:c>
      <x:c r="AC42" s="28" t="str">
        <x:f>IF(P42="","",IF(R42="",0,1)+COUNTIFS(T_Don[Sàn],A42,T_Don[Shop],B42,T_Don[Kiểm tra dữ liệu],"?*")+COUNTIFS(T_GD[Sàn],A42,T_GD[Shop],B42,T_GD[Kiểm tra dữ liệu],"?*")+COUNTIFS(T_Chuyen[Sàn],A42,T_Chuyen[Shop],B42,T_Chuyen[Kiểm tra dữ liệu],"?*")+COUNTIFS(T_NH[Sàn],A42,T_NH[Shop],B42,T_NH[Kiểm tra dữ liệu],"?*"))</x:f>
      </x:c>
    </x:row>
    <x:row r="43" ht="22" customHeight="1">
      <x:c r="A43" s="10"/>
      <x:c r="B43" s="10"/>
      <x:c r="C43" s="25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10"/>
      <x:c r="O43" s="10"/>
      <x:c r="P43" s="23" t="str">
        <x:f>IF(AND(A43="",B43=""),"",A43&amp;"|"&amp;B43)</x:f>
      </x:c>
      <x:c r="Q43" s="27" t="str">
        <x:f>IF(P43="","",IF(COUNT(F43:J43)=5,SUM(F43:J43),"n.a."))</x:f>
      </x:c>
      <x:c r="R43" s="23" t="str">
        <x:f>IF(COUNTA(A43:O43)=0,"",IF(OR(NOT(OR(A43="TikTok Shop",A43="Shopee",A43="Lazada")),B43="",NOT(ISNUMBER(C43)),COUNT(D43:M43)&lt;&gt;10),"Thiếu/sai số dư",IF(C43&lt;&gt;'Tong_hop'!$F$4-1,"Sai ngày chốt",IF(COUNTIFS(T_SoDu[Khóa shop],P43)&lt;&gt;1,"Trùng shop",IF(AND(N43&lt;&gt;"Đã đủ",N43&lt;&gt;"Chưa"),"Thiếu xác nhận nguồn","")))))</x:f>
      </x:c>
      <x:c r="S43" s="27" t="str">
        <x:f>IF(P43="","",IF(AC43&gt;0,"n.a.",SUMIFS(T_Don[Phải thu gộp],T_Don[Sàn],A43,T_Don[Shop],B43,T_Don[Ngày ghi nhận bán],"&gt;="&amp;'Tong_hop'!$C$4,T_Don[Ngày ghi nhận bán],"&lt;"&amp;'Tong_hop'!$F$4)))</x:f>
      </x:c>
      <x:c r="T43" s="27" t="str">
        <x:f>IF(P43="","",IF(AC43&gt;0,"n.a.",SUMIFS(T_GD[Hoàn tiền shop chịu],T_GD[Sàn],A43,T_GD[Shop],B43,T_GD[Ngày giao dịch sàn],"&gt;="&amp;'Tong_hop'!$C$4,T_GD[Ngày giao dịch sàn],"&lt;"&amp;'Tong_hop'!$F$4)))</x:f>
      </x:c>
      <x:c r="U43" s="27" t="str">
        <x:f>IF(P43="","",IF(AC43&gt;0,"n.a.",SUMIFS(T_GD[Phí sàn cấn trừ],T_GD[Sàn],A43,T_GD[Shop],B43,T_GD[Ngày giao dịch sàn],"&gt;="&amp;'Tong_hop'!$C$4,T_GD[Ngày giao dịch sàn],"&lt;"&amp;'Tong_hop'!$F$4)+SUMIFS(T_GD[Ship shop chịu],T_GD[Sàn],A43,T_GD[Shop],B43,T_GD[Ngày giao dịch sàn],"&gt;="&amp;'Tong_hop'!$C$4,T_GD[Ngày giao dịch sàn],"&lt;"&amp;'Tong_hop'!$F$4)+SUMIFS(T_Chuyen[Phí chuyển đã xác nhận],T_Chuyen[Sàn],A43,T_Chuyen[Shop],B43,T_Chuyen[Ngày trừ số dư],"&gt;="&amp;'Tong_hop'!$C$4,T_Chuyen[Ngày trừ số dư],"&lt;"&amp;'Tong_hop'!$F$4)))</x:f>
      </x:c>
      <x:c r="V43" s="27" t="str">
        <x:f>IF(P43="","",IF(AC43&gt;0,"n.a.",SUMIFS(T_GD[Điều chỉnh khác +/-],T_GD[Sàn],A43,T_GD[Shop],B43,T_GD[Ngày giao dịch sàn],"&gt;="&amp;'Tong_hop'!$C$4,T_GD[Ngày giao dịch sàn],"&lt;"&amp;'Tong_hop'!$F$4)+SUMIFS(T_GD[Nạp vào số dư],T_GD[Sàn],A43,T_GD[Shop],B43,T_GD[Ngày giao dịch sàn],"&gt;="&amp;'Tong_hop'!$C$4,T_GD[Ngày giao dịch sàn],"&lt;"&amp;'Tong_hop'!$F$4)))</x:f>
      </x:c>
      <x:c r="W43" s="27" t="str">
        <x:f>IF(P43="","",IF(AC43&gt;0,"n.a.",SUMIFS(T_NH[Tiền thực nhận],T_NH[Sàn],A43,T_NH[Shop],B43,T_NH[Ngày báo Có],"&gt;="&amp;'Tong_hop'!$C$4,T_NH[Ngày báo Có],"&lt;"&amp;'Tong_hop'!$F$4)))</x:f>
      </x:c>
      <x:c r="X43" s="27" t="str">
        <x:f>IF(P43="","",IF(AC43&gt;0,"n.a.",D43+S43-T43-U43+V43-W43))</x:f>
      </x:c>
      <x:c r="Y43" s="27" t="str">
        <x:f>IF(P43="","",IF(AC43&gt;0,"n.a.",SUMIFS(T_GD[Thực ghi số dư +/-],T_GD[Sàn],A43,T_GD[Shop],B43,T_GD[Ngày giao dịch sàn],"&gt;="&amp;'Tong_hop'!$C$4,T_GD[Ngày giao dịch sàn],"&lt;"&amp;'Tong_hop'!$F$4,T_GD[Nhóm giao dịch],"Quyết toán")))</x:f>
      </x:c>
      <x:c r="Z43" s="27" t="str">
        <x:f>IF(P43="","",IF(AC43&gt;0,"n.a.",E43+SUMIFS(T_GD[Thực ghi số dư +/-],T_GD[Sàn],A43,T_GD[Shop],B43,T_GD[Ngày giao dịch sàn],"&gt;="&amp;'Tong_hop'!$C$4,T_GD[Ngày giao dịch sàn],"&lt;"&amp;'Tong_hop'!$F$4)-SUMIFS(T_Chuyen[Tiền trừ số dư],T_Chuyen[Sàn],A43,T_Chuyen[Shop],B43,T_Chuyen[Ngày trừ số dư],"&gt;="&amp;'Tong_hop'!$C$4,T_Chuyen[Ngày trừ số dư],"&lt;"&amp;'Tong_hop'!$F$4)))</x:f>
      </x:c>
      <x:c r="AA43" s="27" t="str">
        <x:f>IF(P43="","",IF(AC43&gt;0,"n.a.",SUMIFS(T_Chuyen[Còn đang chuyển],T_Chuyen[Sàn],A43,T_Chuyen[Shop],B43)))</x:f>
      </x:c>
      <x:c r="AB43" s="27" t="str">
        <x:f>IF(P43="","",IF(AC43&gt;0,"n.a.",SUMIFS(T_Chuyen[Tiền trừ số dư],T_Chuyen[Sàn],A43,T_Chuyen[Shop],B43,T_Chuyen[Ngày trừ số dư],"&gt;="&amp;'Tong_hop'!$C$4,T_Chuyen[Ngày trừ số dư],"&lt;"&amp;'Tong_hop'!$F$4)))</x:f>
      </x:c>
      <x:c r="AC43" s="28" t="str">
        <x:f>IF(P43="","",IF(R43="",0,1)+COUNTIFS(T_Don[Sàn],A43,T_Don[Shop],B43,T_Don[Kiểm tra dữ liệu],"?*")+COUNTIFS(T_GD[Sàn],A43,T_GD[Shop],B43,T_GD[Kiểm tra dữ liệu],"?*")+COUNTIFS(T_Chuyen[Sàn],A43,T_Chuyen[Shop],B43,T_Chuyen[Kiểm tra dữ liệu],"?*")+COUNTIFS(T_NH[Sàn],A43,T_NH[Shop],B43,T_NH[Kiểm tra dữ liệu],"?*"))</x:f>
      </x:c>
    </x:row>
    <x:row r="44" ht="22" customHeight="1">
      <x:c r="A44" s="10"/>
      <x:c r="B44" s="10"/>
      <x:c r="C44" s="25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10"/>
      <x:c r="O44" s="10"/>
      <x:c r="P44" s="23" t="str">
        <x:f>IF(AND(A44="",B44=""),"",A44&amp;"|"&amp;B44)</x:f>
      </x:c>
      <x:c r="Q44" s="27" t="str">
        <x:f>IF(P44="","",IF(COUNT(F44:J44)=5,SUM(F44:J44),"n.a."))</x:f>
      </x:c>
      <x:c r="R44" s="23" t="str">
        <x:f>IF(COUNTA(A44:O44)=0,"",IF(OR(NOT(OR(A44="TikTok Shop",A44="Shopee",A44="Lazada")),B44="",NOT(ISNUMBER(C44)),COUNT(D44:M44)&lt;&gt;10),"Thiếu/sai số dư",IF(C44&lt;&gt;'Tong_hop'!$F$4-1,"Sai ngày chốt",IF(COUNTIFS(T_SoDu[Khóa shop],P44)&lt;&gt;1,"Trùng shop",IF(AND(N44&lt;&gt;"Đã đủ",N44&lt;&gt;"Chưa"),"Thiếu xác nhận nguồn","")))))</x:f>
      </x:c>
      <x:c r="S44" s="27" t="str">
        <x:f>IF(P44="","",IF(AC44&gt;0,"n.a.",SUMIFS(T_Don[Phải thu gộp],T_Don[Sàn],A44,T_Don[Shop],B44,T_Don[Ngày ghi nhận bán],"&gt;="&amp;'Tong_hop'!$C$4,T_Don[Ngày ghi nhận bán],"&lt;"&amp;'Tong_hop'!$F$4)))</x:f>
      </x:c>
      <x:c r="T44" s="27" t="str">
        <x:f>IF(P44="","",IF(AC44&gt;0,"n.a.",SUMIFS(T_GD[Hoàn tiền shop chịu],T_GD[Sàn],A44,T_GD[Shop],B44,T_GD[Ngày giao dịch sàn],"&gt;="&amp;'Tong_hop'!$C$4,T_GD[Ngày giao dịch sàn],"&lt;"&amp;'Tong_hop'!$F$4)))</x:f>
      </x:c>
      <x:c r="U44" s="27" t="str">
        <x:f>IF(P44="","",IF(AC44&gt;0,"n.a.",SUMIFS(T_GD[Phí sàn cấn trừ],T_GD[Sàn],A44,T_GD[Shop],B44,T_GD[Ngày giao dịch sàn],"&gt;="&amp;'Tong_hop'!$C$4,T_GD[Ngày giao dịch sàn],"&lt;"&amp;'Tong_hop'!$F$4)+SUMIFS(T_GD[Ship shop chịu],T_GD[Sàn],A44,T_GD[Shop],B44,T_GD[Ngày giao dịch sàn],"&gt;="&amp;'Tong_hop'!$C$4,T_GD[Ngày giao dịch sàn],"&lt;"&amp;'Tong_hop'!$F$4)+SUMIFS(T_Chuyen[Phí chuyển đã xác nhận],T_Chuyen[Sàn],A44,T_Chuyen[Shop],B44,T_Chuyen[Ngày trừ số dư],"&gt;="&amp;'Tong_hop'!$C$4,T_Chuyen[Ngày trừ số dư],"&lt;"&amp;'Tong_hop'!$F$4)))</x:f>
      </x:c>
      <x:c r="V44" s="27" t="str">
        <x:f>IF(P44="","",IF(AC44&gt;0,"n.a.",SUMIFS(T_GD[Điều chỉnh khác +/-],T_GD[Sàn],A44,T_GD[Shop],B44,T_GD[Ngày giao dịch sàn],"&gt;="&amp;'Tong_hop'!$C$4,T_GD[Ngày giao dịch sàn],"&lt;"&amp;'Tong_hop'!$F$4)+SUMIFS(T_GD[Nạp vào số dư],T_GD[Sàn],A44,T_GD[Shop],B44,T_GD[Ngày giao dịch sàn],"&gt;="&amp;'Tong_hop'!$C$4,T_GD[Ngày giao dịch sàn],"&lt;"&amp;'Tong_hop'!$F$4)))</x:f>
      </x:c>
      <x:c r="W44" s="27" t="str">
        <x:f>IF(P44="","",IF(AC44&gt;0,"n.a.",SUMIFS(T_NH[Tiền thực nhận],T_NH[Sàn],A44,T_NH[Shop],B44,T_NH[Ngày báo Có],"&gt;="&amp;'Tong_hop'!$C$4,T_NH[Ngày báo Có],"&lt;"&amp;'Tong_hop'!$F$4)))</x:f>
      </x:c>
      <x:c r="X44" s="27" t="str">
        <x:f>IF(P44="","",IF(AC44&gt;0,"n.a.",D44+S44-T44-U44+V44-W44))</x:f>
      </x:c>
      <x:c r="Y44" s="27" t="str">
        <x:f>IF(P44="","",IF(AC44&gt;0,"n.a.",SUMIFS(T_GD[Thực ghi số dư +/-],T_GD[Sàn],A44,T_GD[Shop],B44,T_GD[Ngày giao dịch sàn],"&gt;="&amp;'Tong_hop'!$C$4,T_GD[Ngày giao dịch sàn],"&lt;"&amp;'Tong_hop'!$F$4,T_GD[Nhóm giao dịch],"Quyết toán")))</x:f>
      </x:c>
      <x:c r="Z44" s="27" t="str">
        <x:f>IF(P44="","",IF(AC44&gt;0,"n.a.",E44+SUMIFS(T_GD[Thực ghi số dư +/-],T_GD[Sàn],A44,T_GD[Shop],B44,T_GD[Ngày giao dịch sàn],"&gt;="&amp;'Tong_hop'!$C$4,T_GD[Ngày giao dịch sàn],"&lt;"&amp;'Tong_hop'!$F$4)-SUMIFS(T_Chuyen[Tiền trừ số dư],T_Chuyen[Sàn],A44,T_Chuyen[Shop],B44,T_Chuyen[Ngày trừ số dư],"&gt;="&amp;'Tong_hop'!$C$4,T_Chuyen[Ngày trừ số dư],"&lt;"&amp;'Tong_hop'!$F$4)))</x:f>
      </x:c>
      <x:c r="AA44" s="27" t="str">
        <x:f>IF(P44="","",IF(AC44&gt;0,"n.a.",SUMIFS(T_Chuyen[Còn đang chuyển],T_Chuyen[Sàn],A44,T_Chuyen[Shop],B44)))</x:f>
      </x:c>
      <x:c r="AB44" s="27" t="str">
        <x:f>IF(P44="","",IF(AC44&gt;0,"n.a.",SUMIFS(T_Chuyen[Tiền trừ số dư],T_Chuyen[Sàn],A44,T_Chuyen[Shop],B44,T_Chuyen[Ngày trừ số dư],"&gt;="&amp;'Tong_hop'!$C$4,T_Chuyen[Ngày trừ số dư],"&lt;"&amp;'Tong_hop'!$F$4)))</x:f>
      </x:c>
      <x:c r="AC44" s="28" t="str">
        <x:f>IF(P44="","",IF(R44="",0,1)+COUNTIFS(T_Don[Sàn],A44,T_Don[Shop],B44,T_Don[Kiểm tra dữ liệu],"?*")+COUNTIFS(T_GD[Sàn],A44,T_GD[Shop],B44,T_GD[Kiểm tra dữ liệu],"?*")+COUNTIFS(T_Chuyen[Sàn],A44,T_Chuyen[Shop],B44,T_Chuyen[Kiểm tra dữ liệu],"?*")+COUNTIFS(T_NH[Sàn],A44,T_NH[Shop],B44,T_NH[Kiểm tra dữ liệu],"?*"))</x:f>
      </x:c>
    </x:row>
    <x:row r="45" ht="22" customHeight="1">
      <x:c r="A45" s="10"/>
      <x:c r="B45" s="10"/>
      <x:c r="C45" s="25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10"/>
      <x:c r="O45" s="10"/>
      <x:c r="P45" s="23" t="str">
        <x:f>IF(AND(A45="",B45=""),"",A45&amp;"|"&amp;B45)</x:f>
      </x:c>
      <x:c r="Q45" s="27" t="str">
        <x:f>IF(P45="","",IF(COUNT(F45:J45)=5,SUM(F45:J45),"n.a."))</x:f>
      </x:c>
      <x:c r="R45" s="23" t="str">
        <x:f>IF(COUNTA(A45:O45)=0,"",IF(OR(NOT(OR(A45="TikTok Shop",A45="Shopee",A45="Lazada")),B45="",NOT(ISNUMBER(C45)),COUNT(D45:M45)&lt;&gt;10),"Thiếu/sai số dư",IF(C45&lt;&gt;'Tong_hop'!$F$4-1,"Sai ngày chốt",IF(COUNTIFS(T_SoDu[Khóa shop],P45)&lt;&gt;1,"Trùng shop",IF(AND(N45&lt;&gt;"Đã đủ",N45&lt;&gt;"Chưa"),"Thiếu xác nhận nguồn","")))))</x:f>
      </x:c>
      <x:c r="S45" s="27" t="str">
        <x:f>IF(P45="","",IF(AC45&gt;0,"n.a.",SUMIFS(T_Don[Phải thu gộp],T_Don[Sàn],A45,T_Don[Shop],B45,T_Don[Ngày ghi nhận bán],"&gt;="&amp;'Tong_hop'!$C$4,T_Don[Ngày ghi nhận bán],"&lt;"&amp;'Tong_hop'!$F$4)))</x:f>
      </x:c>
      <x:c r="T45" s="27" t="str">
        <x:f>IF(P45="","",IF(AC45&gt;0,"n.a.",SUMIFS(T_GD[Hoàn tiền shop chịu],T_GD[Sàn],A45,T_GD[Shop],B45,T_GD[Ngày giao dịch sàn],"&gt;="&amp;'Tong_hop'!$C$4,T_GD[Ngày giao dịch sàn],"&lt;"&amp;'Tong_hop'!$F$4)))</x:f>
      </x:c>
      <x:c r="U45" s="27" t="str">
        <x:f>IF(P45="","",IF(AC45&gt;0,"n.a.",SUMIFS(T_GD[Phí sàn cấn trừ],T_GD[Sàn],A45,T_GD[Shop],B45,T_GD[Ngày giao dịch sàn],"&gt;="&amp;'Tong_hop'!$C$4,T_GD[Ngày giao dịch sàn],"&lt;"&amp;'Tong_hop'!$F$4)+SUMIFS(T_GD[Ship shop chịu],T_GD[Sàn],A45,T_GD[Shop],B45,T_GD[Ngày giao dịch sàn],"&gt;="&amp;'Tong_hop'!$C$4,T_GD[Ngày giao dịch sàn],"&lt;"&amp;'Tong_hop'!$F$4)+SUMIFS(T_Chuyen[Phí chuyển đã xác nhận],T_Chuyen[Sàn],A45,T_Chuyen[Shop],B45,T_Chuyen[Ngày trừ số dư],"&gt;="&amp;'Tong_hop'!$C$4,T_Chuyen[Ngày trừ số dư],"&lt;"&amp;'Tong_hop'!$F$4)))</x:f>
      </x:c>
      <x:c r="V45" s="27" t="str">
        <x:f>IF(P45="","",IF(AC45&gt;0,"n.a.",SUMIFS(T_GD[Điều chỉnh khác +/-],T_GD[Sàn],A45,T_GD[Shop],B45,T_GD[Ngày giao dịch sàn],"&gt;="&amp;'Tong_hop'!$C$4,T_GD[Ngày giao dịch sàn],"&lt;"&amp;'Tong_hop'!$F$4)+SUMIFS(T_GD[Nạp vào số dư],T_GD[Sàn],A45,T_GD[Shop],B45,T_GD[Ngày giao dịch sàn],"&gt;="&amp;'Tong_hop'!$C$4,T_GD[Ngày giao dịch sàn],"&lt;"&amp;'Tong_hop'!$F$4)))</x:f>
      </x:c>
      <x:c r="W45" s="27" t="str">
        <x:f>IF(P45="","",IF(AC45&gt;0,"n.a.",SUMIFS(T_NH[Tiền thực nhận],T_NH[Sàn],A45,T_NH[Shop],B45,T_NH[Ngày báo Có],"&gt;="&amp;'Tong_hop'!$C$4,T_NH[Ngày báo Có],"&lt;"&amp;'Tong_hop'!$F$4)))</x:f>
      </x:c>
      <x:c r="X45" s="27" t="str">
        <x:f>IF(P45="","",IF(AC45&gt;0,"n.a.",D45+S45-T45-U45+V45-W45))</x:f>
      </x:c>
      <x:c r="Y45" s="27" t="str">
        <x:f>IF(P45="","",IF(AC45&gt;0,"n.a.",SUMIFS(T_GD[Thực ghi số dư +/-],T_GD[Sàn],A45,T_GD[Shop],B45,T_GD[Ngày giao dịch sàn],"&gt;="&amp;'Tong_hop'!$C$4,T_GD[Ngày giao dịch sàn],"&lt;"&amp;'Tong_hop'!$F$4,T_GD[Nhóm giao dịch],"Quyết toán")))</x:f>
      </x:c>
      <x:c r="Z45" s="27" t="str">
        <x:f>IF(P45="","",IF(AC45&gt;0,"n.a.",E45+SUMIFS(T_GD[Thực ghi số dư +/-],T_GD[Sàn],A45,T_GD[Shop],B45,T_GD[Ngày giao dịch sàn],"&gt;="&amp;'Tong_hop'!$C$4,T_GD[Ngày giao dịch sàn],"&lt;"&amp;'Tong_hop'!$F$4)-SUMIFS(T_Chuyen[Tiền trừ số dư],T_Chuyen[Sàn],A45,T_Chuyen[Shop],B45,T_Chuyen[Ngày trừ số dư],"&gt;="&amp;'Tong_hop'!$C$4,T_Chuyen[Ngày trừ số dư],"&lt;"&amp;'Tong_hop'!$F$4)))</x:f>
      </x:c>
      <x:c r="AA45" s="27" t="str">
        <x:f>IF(P45="","",IF(AC45&gt;0,"n.a.",SUMIFS(T_Chuyen[Còn đang chuyển],T_Chuyen[Sàn],A45,T_Chuyen[Shop],B45)))</x:f>
      </x:c>
      <x:c r="AB45" s="27" t="str">
        <x:f>IF(P45="","",IF(AC45&gt;0,"n.a.",SUMIFS(T_Chuyen[Tiền trừ số dư],T_Chuyen[Sàn],A45,T_Chuyen[Shop],B45,T_Chuyen[Ngày trừ số dư],"&gt;="&amp;'Tong_hop'!$C$4,T_Chuyen[Ngày trừ số dư],"&lt;"&amp;'Tong_hop'!$F$4)))</x:f>
      </x:c>
      <x:c r="AC45" s="28" t="str">
        <x:f>IF(P45="","",IF(R45="",0,1)+COUNTIFS(T_Don[Sàn],A45,T_Don[Shop],B45,T_Don[Kiểm tra dữ liệu],"?*")+COUNTIFS(T_GD[Sàn],A45,T_GD[Shop],B45,T_GD[Kiểm tra dữ liệu],"?*")+COUNTIFS(T_Chuyen[Sàn],A45,T_Chuyen[Shop],B45,T_Chuyen[Kiểm tra dữ liệu],"?*")+COUNTIFS(T_NH[Sàn],A45,T_NH[Shop],B45,T_NH[Kiểm tra dữ liệu],"?*"))</x:f>
      </x:c>
    </x:row>
    <x:row r="46" ht="22" customHeight="1">
      <x:c r="A46" s="10"/>
      <x:c r="B46" s="10"/>
      <x:c r="C46" s="25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10"/>
      <x:c r="O46" s="10"/>
      <x:c r="P46" s="23" t="str">
        <x:f>IF(AND(A46="",B46=""),"",A46&amp;"|"&amp;B46)</x:f>
      </x:c>
      <x:c r="Q46" s="27" t="str">
        <x:f>IF(P46="","",IF(COUNT(F46:J46)=5,SUM(F46:J46),"n.a."))</x:f>
      </x:c>
      <x:c r="R46" s="23" t="str">
        <x:f>IF(COUNTA(A46:O46)=0,"",IF(OR(NOT(OR(A46="TikTok Shop",A46="Shopee",A46="Lazada")),B46="",NOT(ISNUMBER(C46)),COUNT(D46:M46)&lt;&gt;10),"Thiếu/sai số dư",IF(C46&lt;&gt;'Tong_hop'!$F$4-1,"Sai ngày chốt",IF(COUNTIFS(T_SoDu[Khóa shop],P46)&lt;&gt;1,"Trùng shop",IF(AND(N46&lt;&gt;"Đã đủ",N46&lt;&gt;"Chưa"),"Thiếu xác nhận nguồn","")))))</x:f>
      </x:c>
      <x:c r="S46" s="27" t="str">
        <x:f>IF(P46="","",IF(AC46&gt;0,"n.a.",SUMIFS(T_Don[Phải thu gộp],T_Don[Sàn],A46,T_Don[Shop],B46,T_Don[Ngày ghi nhận bán],"&gt;="&amp;'Tong_hop'!$C$4,T_Don[Ngày ghi nhận bán],"&lt;"&amp;'Tong_hop'!$F$4)))</x:f>
      </x:c>
      <x:c r="T46" s="27" t="str">
        <x:f>IF(P46="","",IF(AC46&gt;0,"n.a.",SUMIFS(T_GD[Hoàn tiền shop chịu],T_GD[Sàn],A46,T_GD[Shop],B46,T_GD[Ngày giao dịch sàn],"&gt;="&amp;'Tong_hop'!$C$4,T_GD[Ngày giao dịch sàn],"&lt;"&amp;'Tong_hop'!$F$4)))</x:f>
      </x:c>
      <x:c r="U46" s="27" t="str">
        <x:f>IF(P46="","",IF(AC46&gt;0,"n.a.",SUMIFS(T_GD[Phí sàn cấn trừ],T_GD[Sàn],A46,T_GD[Shop],B46,T_GD[Ngày giao dịch sàn],"&gt;="&amp;'Tong_hop'!$C$4,T_GD[Ngày giao dịch sàn],"&lt;"&amp;'Tong_hop'!$F$4)+SUMIFS(T_GD[Ship shop chịu],T_GD[Sàn],A46,T_GD[Shop],B46,T_GD[Ngày giao dịch sàn],"&gt;="&amp;'Tong_hop'!$C$4,T_GD[Ngày giao dịch sàn],"&lt;"&amp;'Tong_hop'!$F$4)+SUMIFS(T_Chuyen[Phí chuyển đã xác nhận],T_Chuyen[Sàn],A46,T_Chuyen[Shop],B46,T_Chuyen[Ngày trừ số dư],"&gt;="&amp;'Tong_hop'!$C$4,T_Chuyen[Ngày trừ số dư],"&lt;"&amp;'Tong_hop'!$F$4)))</x:f>
      </x:c>
      <x:c r="V46" s="27" t="str">
        <x:f>IF(P46="","",IF(AC46&gt;0,"n.a.",SUMIFS(T_GD[Điều chỉnh khác +/-],T_GD[Sàn],A46,T_GD[Shop],B46,T_GD[Ngày giao dịch sàn],"&gt;="&amp;'Tong_hop'!$C$4,T_GD[Ngày giao dịch sàn],"&lt;"&amp;'Tong_hop'!$F$4)+SUMIFS(T_GD[Nạp vào số dư],T_GD[Sàn],A46,T_GD[Shop],B46,T_GD[Ngày giao dịch sàn],"&gt;="&amp;'Tong_hop'!$C$4,T_GD[Ngày giao dịch sàn],"&lt;"&amp;'Tong_hop'!$F$4)))</x:f>
      </x:c>
      <x:c r="W46" s="27" t="str">
        <x:f>IF(P46="","",IF(AC46&gt;0,"n.a.",SUMIFS(T_NH[Tiền thực nhận],T_NH[Sàn],A46,T_NH[Shop],B46,T_NH[Ngày báo Có],"&gt;="&amp;'Tong_hop'!$C$4,T_NH[Ngày báo Có],"&lt;"&amp;'Tong_hop'!$F$4)))</x:f>
      </x:c>
      <x:c r="X46" s="27" t="str">
        <x:f>IF(P46="","",IF(AC46&gt;0,"n.a.",D46+S46-T46-U46+V46-W46))</x:f>
      </x:c>
      <x:c r="Y46" s="27" t="str">
        <x:f>IF(P46="","",IF(AC46&gt;0,"n.a.",SUMIFS(T_GD[Thực ghi số dư +/-],T_GD[Sàn],A46,T_GD[Shop],B46,T_GD[Ngày giao dịch sàn],"&gt;="&amp;'Tong_hop'!$C$4,T_GD[Ngày giao dịch sàn],"&lt;"&amp;'Tong_hop'!$F$4,T_GD[Nhóm giao dịch],"Quyết toán")))</x:f>
      </x:c>
      <x:c r="Z46" s="27" t="str">
        <x:f>IF(P46="","",IF(AC46&gt;0,"n.a.",E46+SUMIFS(T_GD[Thực ghi số dư +/-],T_GD[Sàn],A46,T_GD[Shop],B46,T_GD[Ngày giao dịch sàn],"&gt;="&amp;'Tong_hop'!$C$4,T_GD[Ngày giao dịch sàn],"&lt;"&amp;'Tong_hop'!$F$4)-SUMIFS(T_Chuyen[Tiền trừ số dư],T_Chuyen[Sàn],A46,T_Chuyen[Shop],B46,T_Chuyen[Ngày trừ số dư],"&gt;="&amp;'Tong_hop'!$C$4,T_Chuyen[Ngày trừ số dư],"&lt;"&amp;'Tong_hop'!$F$4)))</x:f>
      </x:c>
      <x:c r="AA46" s="27" t="str">
        <x:f>IF(P46="","",IF(AC46&gt;0,"n.a.",SUMIFS(T_Chuyen[Còn đang chuyển],T_Chuyen[Sàn],A46,T_Chuyen[Shop],B46)))</x:f>
      </x:c>
      <x:c r="AB46" s="27" t="str">
        <x:f>IF(P46="","",IF(AC46&gt;0,"n.a.",SUMIFS(T_Chuyen[Tiền trừ số dư],T_Chuyen[Sàn],A46,T_Chuyen[Shop],B46,T_Chuyen[Ngày trừ số dư],"&gt;="&amp;'Tong_hop'!$C$4,T_Chuyen[Ngày trừ số dư],"&lt;"&amp;'Tong_hop'!$F$4)))</x:f>
      </x:c>
      <x:c r="AC46" s="28" t="str">
        <x:f>IF(P46="","",IF(R46="",0,1)+COUNTIFS(T_Don[Sàn],A46,T_Don[Shop],B46,T_Don[Kiểm tra dữ liệu],"?*")+COUNTIFS(T_GD[Sàn],A46,T_GD[Shop],B46,T_GD[Kiểm tra dữ liệu],"?*")+COUNTIFS(T_Chuyen[Sàn],A46,T_Chuyen[Shop],B46,T_Chuyen[Kiểm tra dữ liệu],"?*")+COUNTIFS(T_NH[Sàn],A46,T_NH[Shop],B46,T_NH[Kiểm tra dữ liệu],"?*"))</x:f>
      </x:c>
    </x:row>
    <x:row r="47" ht="22" customHeight="1">
      <x:c r="A47" s="10"/>
      <x:c r="B47" s="10"/>
      <x:c r="C47" s="25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10"/>
      <x:c r="O47" s="10"/>
      <x:c r="P47" s="23" t="str">
        <x:f>IF(AND(A47="",B47=""),"",A47&amp;"|"&amp;B47)</x:f>
      </x:c>
      <x:c r="Q47" s="27" t="str">
        <x:f>IF(P47="","",IF(COUNT(F47:J47)=5,SUM(F47:J47),"n.a."))</x:f>
      </x:c>
      <x:c r="R47" s="23" t="str">
        <x:f>IF(COUNTA(A47:O47)=0,"",IF(OR(NOT(OR(A47="TikTok Shop",A47="Shopee",A47="Lazada")),B47="",NOT(ISNUMBER(C47)),COUNT(D47:M47)&lt;&gt;10),"Thiếu/sai số dư",IF(C47&lt;&gt;'Tong_hop'!$F$4-1,"Sai ngày chốt",IF(COUNTIFS(T_SoDu[Khóa shop],P47)&lt;&gt;1,"Trùng shop",IF(AND(N47&lt;&gt;"Đã đủ",N47&lt;&gt;"Chưa"),"Thiếu xác nhận nguồn","")))))</x:f>
      </x:c>
      <x:c r="S47" s="27" t="str">
        <x:f>IF(P47="","",IF(AC47&gt;0,"n.a.",SUMIFS(T_Don[Phải thu gộp],T_Don[Sàn],A47,T_Don[Shop],B47,T_Don[Ngày ghi nhận bán],"&gt;="&amp;'Tong_hop'!$C$4,T_Don[Ngày ghi nhận bán],"&lt;"&amp;'Tong_hop'!$F$4)))</x:f>
      </x:c>
      <x:c r="T47" s="27" t="str">
        <x:f>IF(P47="","",IF(AC47&gt;0,"n.a.",SUMIFS(T_GD[Hoàn tiền shop chịu],T_GD[Sàn],A47,T_GD[Shop],B47,T_GD[Ngày giao dịch sàn],"&gt;="&amp;'Tong_hop'!$C$4,T_GD[Ngày giao dịch sàn],"&lt;"&amp;'Tong_hop'!$F$4)))</x:f>
      </x:c>
      <x:c r="U47" s="27" t="str">
        <x:f>IF(P47="","",IF(AC47&gt;0,"n.a.",SUMIFS(T_GD[Phí sàn cấn trừ],T_GD[Sàn],A47,T_GD[Shop],B47,T_GD[Ngày giao dịch sàn],"&gt;="&amp;'Tong_hop'!$C$4,T_GD[Ngày giao dịch sàn],"&lt;"&amp;'Tong_hop'!$F$4)+SUMIFS(T_GD[Ship shop chịu],T_GD[Sàn],A47,T_GD[Shop],B47,T_GD[Ngày giao dịch sàn],"&gt;="&amp;'Tong_hop'!$C$4,T_GD[Ngày giao dịch sàn],"&lt;"&amp;'Tong_hop'!$F$4)+SUMIFS(T_Chuyen[Phí chuyển đã xác nhận],T_Chuyen[Sàn],A47,T_Chuyen[Shop],B47,T_Chuyen[Ngày trừ số dư],"&gt;="&amp;'Tong_hop'!$C$4,T_Chuyen[Ngày trừ số dư],"&lt;"&amp;'Tong_hop'!$F$4)))</x:f>
      </x:c>
      <x:c r="V47" s="27" t="str">
        <x:f>IF(P47="","",IF(AC47&gt;0,"n.a.",SUMIFS(T_GD[Điều chỉnh khác +/-],T_GD[Sàn],A47,T_GD[Shop],B47,T_GD[Ngày giao dịch sàn],"&gt;="&amp;'Tong_hop'!$C$4,T_GD[Ngày giao dịch sàn],"&lt;"&amp;'Tong_hop'!$F$4)+SUMIFS(T_GD[Nạp vào số dư],T_GD[Sàn],A47,T_GD[Shop],B47,T_GD[Ngày giao dịch sàn],"&gt;="&amp;'Tong_hop'!$C$4,T_GD[Ngày giao dịch sàn],"&lt;"&amp;'Tong_hop'!$F$4)))</x:f>
      </x:c>
      <x:c r="W47" s="27" t="str">
        <x:f>IF(P47="","",IF(AC47&gt;0,"n.a.",SUMIFS(T_NH[Tiền thực nhận],T_NH[Sàn],A47,T_NH[Shop],B47,T_NH[Ngày báo Có],"&gt;="&amp;'Tong_hop'!$C$4,T_NH[Ngày báo Có],"&lt;"&amp;'Tong_hop'!$F$4)))</x:f>
      </x:c>
      <x:c r="X47" s="27" t="str">
        <x:f>IF(P47="","",IF(AC47&gt;0,"n.a.",D47+S47-T47-U47+V47-W47))</x:f>
      </x:c>
      <x:c r="Y47" s="27" t="str">
        <x:f>IF(P47="","",IF(AC47&gt;0,"n.a.",SUMIFS(T_GD[Thực ghi số dư +/-],T_GD[Sàn],A47,T_GD[Shop],B47,T_GD[Ngày giao dịch sàn],"&gt;="&amp;'Tong_hop'!$C$4,T_GD[Ngày giao dịch sàn],"&lt;"&amp;'Tong_hop'!$F$4,T_GD[Nhóm giao dịch],"Quyết toán")))</x:f>
      </x:c>
      <x:c r="Z47" s="27" t="str">
        <x:f>IF(P47="","",IF(AC47&gt;0,"n.a.",E47+SUMIFS(T_GD[Thực ghi số dư +/-],T_GD[Sàn],A47,T_GD[Shop],B47,T_GD[Ngày giao dịch sàn],"&gt;="&amp;'Tong_hop'!$C$4,T_GD[Ngày giao dịch sàn],"&lt;"&amp;'Tong_hop'!$F$4)-SUMIFS(T_Chuyen[Tiền trừ số dư],T_Chuyen[Sàn],A47,T_Chuyen[Shop],B47,T_Chuyen[Ngày trừ số dư],"&gt;="&amp;'Tong_hop'!$C$4,T_Chuyen[Ngày trừ số dư],"&lt;"&amp;'Tong_hop'!$F$4)))</x:f>
      </x:c>
      <x:c r="AA47" s="27" t="str">
        <x:f>IF(P47="","",IF(AC47&gt;0,"n.a.",SUMIFS(T_Chuyen[Còn đang chuyển],T_Chuyen[Sàn],A47,T_Chuyen[Shop],B47)))</x:f>
      </x:c>
      <x:c r="AB47" s="27" t="str">
        <x:f>IF(P47="","",IF(AC47&gt;0,"n.a.",SUMIFS(T_Chuyen[Tiền trừ số dư],T_Chuyen[Sàn],A47,T_Chuyen[Shop],B47,T_Chuyen[Ngày trừ số dư],"&gt;="&amp;'Tong_hop'!$C$4,T_Chuyen[Ngày trừ số dư],"&lt;"&amp;'Tong_hop'!$F$4)))</x:f>
      </x:c>
      <x:c r="AC47" s="28" t="str">
        <x:f>IF(P47="","",IF(R47="",0,1)+COUNTIFS(T_Don[Sàn],A47,T_Don[Shop],B47,T_Don[Kiểm tra dữ liệu],"?*")+COUNTIFS(T_GD[Sàn],A47,T_GD[Shop],B47,T_GD[Kiểm tra dữ liệu],"?*")+COUNTIFS(T_Chuyen[Sàn],A47,T_Chuyen[Shop],B47,T_Chuyen[Kiểm tra dữ liệu],"?*")+COUNTIFS(T_NH[Sàn],A47,T_NH[Shop],B47,T_NH[Kiểm tra dữ liệu],"?*"))</x:f>
      </x:c>
    </x:row>
    <x:row r="48" ht="22" customHeight="1">
      <x:c r="A48" s="10"/>
      <x:c r="B48" s="10"/>
      <x:c r="C48" s="25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10"/>
      <x:c r="O48" s="10"/>
      <x:c r="P48" s="23" t="str">
        <x:f>IF(AND(A48="",B48=""),"",A48&amp;"|"&amp;B48)</x:f>
      </x:c>
      <x:c r="Q48" s="27" t="str">
        <x:f>IF(P48="","",IF(COUNT(F48:J48)=5,SUM(F48:J48),"n.a."))</x:f>
      </x:c>
      <x:c r="R48" s="23" t="str">
        <x:f>IF(COUNTA(A48:O48)=0,"",IF(OR(NOT(OR(A48="TikTok Shop",A48="Shopee",A48="Lazada")),B48="",NOT(ISNUMBER(C48)),COUNT(D48:M48)&lt;&gt;10),"Thiếu/sai số dư",IF(C48&lt;&gt;'Tong_hop'!$F$4-1,"Sai ngày chốt",IF(COUNTIFS(T_SoDu[Khóa shop],P48)&lt;&gt;1,"Trùng shop",IF(AND(N48&lt;&gt;"Đã đủ",N48&lt;&gt;"Chưa"),"Thiếu xác nhận nguồn","")))))</x:f>
      </x:c>
      <x:c r="S48" s="27" t="str">
        <x:f>IF(P48="","",IF(AC48&gt;0,"n.a.",SUMIFS(T_Don[Phải thu gộp],T_Don[Sàn],A48,T_Don[Shop],B48,T_Don[Ngày ghi nhận bán],"&gt;="&amp;'Tong_hop'!$C$4,T_Don[Ngày ghi nhận bán],"&lt;"&amp;'Tong_hop'!$F$4)))</x:f>
      </x:c>
      <x:c r="T48" s="27" t="str">
        <x:f>IF(P48="","",IF(AC48&gt;0,"n.a.",SUMIFS(T_GD[Hoàn tiền shop chịu],T_GD[Sàn],A48,T_GD[Shop],B48,T_GD[Ngày giao dịch sàn],"&gt;="&amp;'Tong_hop'!$C$4,T_GD[Ngày giao dịch sàn],"&lt;"&amp;'Tong_hop'!$F$4)))</x:f>
      </x:c>
      <x:c r="U48" s="27" t="str">
        <x:f>IF(P48="","",IF(AC48&gt;0,"n.a.",SUMIFS(T_GD[Phí sàn cấn trừ],T_GD[Sàn],A48,T_GD[Shop],B48,T_GD[Ngày giao dịch sàn],"&gt;="&amp;'Tong_hop'!$C$4,T_GD[Ngày giao dịch sàn],"&lt;"&amp;'Tong_hop'!$F$4)+SUMIFS(T_GD[Ship shop chịu],T_GD[Sàn],A48,T_GD[Shop],B48,T_GD[Ngày giao dịch sàn],"&gt;="&amp;'Tong_hop'!$C$4,T_GD[Ngày giao dịch sàn],"&lt;"&amp;'Tong_hop'!$F$4)+SUMIFS(T_Chuyen[Phí chuyển đã xác nhận],T_Chuyen[Sàn],A48,T_Chuyen[Shop],B48,T_Chuyen[Ngày trừ số dư],"&gt;="&amp;'Tong_hop'!$C$4,T_Chuyen[Ngày trừ số dư],"&lt;"&amp;'Tong_hop'!$F$4)))</x:f>
      </x:c>
      <x:c r="V48" s="27" t="str">
        <x:f>IF(P48="","",IF(AC48&gt;0,"n.a.",SUMIFS(T_GD[Điều chỉnh khác +/-],T_GD[Sàn],A48,T_GD[Shop],B48,T_GD[Ngày giao dịch sàn],"&gt;="&amp;'Tong_hop'!$C$4,T_GD[Ngày giao dịch sàn],"&lt;"&amp;'Tong_hop'!$F$4)+SUMIFS(T_GD[Nạp vào số dư],T_GD[Sàn],A48,T_GD[Shop],B48,T_GD[Ngày giao dịch sàn],"&gt;="&amp;'Tong_hop'!$C$4,T_GD[Ngày giao dịch sàn],"&lt;"&amp;'Tong_hop'!$F$4)))</x:f>
      </x:c>
      <x:c r="W48" s="27" t="str">
        <x:f>IF(P48="","",IF(AC48&gt;0,"n.a.",SUMIFS(T_NH[Tiền thực nhận],T_NH[Sàn],A48,T_NH[Shop],B48,T_NH[Ngày báo Có],"&gt;="&amp;'Tong_hop'!$C$4,T_NH[Ngày báo Có],"&lt;"&amp;'Tong_hop'!$F$4)))</x:f>
      </x:c>
      <x:c r="X48" s="27" t="str">
        <x:f>IF(P48="","",IF(AC48&gt;0,"n.a.",D48+S48-T48-U48+V48-W48))</x:f>
      </x:c>
      <x:c r="Y48" s="27" t="str">
        <x:f>IF(P48="","",IF(AC48&gt;0,"n.a.",SUMIFS(T_GD[Thực ghi số dư +/-],T_GD[Sàn],A48,T_GD[Shop],B48,T_GD[Ngày giao dịch sàn],"&gt;="&amp;'Tong_hop'!$C$4,T_GD[Ngày giao dịch sàn],"&lt;"&amp;'Tong_hop'!$F$4,T_GD[Nhóm giao dịch],"Quyết toán")))</x:f>
      </x:c>
      <x:c r="Z48" s="27" t="str">
        <x:f>IF(P48="","",IF(AC48&gt;0,"n.a.",E48+SUMIFS(T_GD[Thực ghi số dư +/-],T_GD[Sàn],A48,T_GD[Shop],B48,T_GD[Ngày giao dịch sàn],"&gt;="&amp;'Tong_hop'!$C$4,T_GD[Ngày giao dịch sàn],"&lt;"&amp;'Tong_hop'!$F$4)-SUMIFS(T_Chuyen[Tiền trừ số dư],T_Chuyen[Sàn],A48,T_Chuyen[Shop],B48,T_Chuyen[Ngày trừ số dư],"&gt;="&amp;'Tong_hop'!$C$4,T_Chuyen[Ngày trừ số dư],"&lt;"&amp;'Tong_hop'!$F$4)))</x:f>
      </x:c>
      <x:c r="AA48" s="27" t="str">
        <x:f>IF(P48="","",IF(AC48&gt;0,"n.a.",SUMIFS(T_Chuyen[Còn đang chuyển],T_Chuyen[Sàn],A48,T_Chuyen[Shop],B48)))</x:f>
      </x:c>
      <x:c r="AB48" s="27" t="str">
        <x:f>IF(P48="","",IF(AC48&gt;0,"n.a.",SUMIFS(T_Chuyen[Tiền trừ số dư],T_Chuyen[Sàn],A48,T_Chuyen[Shop],B48,T_Chuyen[Ngày trừ số dư],"&gt;="&amp;'Tong_hop'!$C$4,T_Chuyen[Ngày trừ số dư],"&lt;"&amp;'Tong_hop'!$F$4)))</x:f>
      </x:c>
      <x:c r="AC48" s="28" t="str">
        <x:f>IF(P48="","",IF(R48="",0,1)+COUNTIFS(T_Don[Sàn],A48,T_Don[Shop],B48,T_Don[Kiểm tra dữ liệu],"?*")+COUNTIFS(T_GD[Sàn],A48,T_GD[Shop],B48,T_GD[Kiểm tra dữ liệu],"?*")+COUNTIFS(T_Chuyen[Sàn],A48,T_Chuyen[Shop],B48,T_Chuyen[Kiểm tra dữ liệu],"?*")+COUNTIFS(T_NH[Sàn],A48,T_NH[Shop],B48,T_NH[Kiểm tra dữ liệu],"?*"))</x:f>
      </x:c>
    </x:row>
    <x:row r="49" ht="22" customHeight="1">
      <x:c r="A49" s="10"/>
      <x:c r="B49" s="10"/>
      <x:c r="C49" s="25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10"/>
      <x:c r="O49" s="10"/>
      <x:c r="P49" s="23" t="str">
        <x:f>IF(AND(A49="",B49=""),"",A49&amp;"|"&amp;B49)</x:f>
      </x:c>
      <x:c r="Q49" s="27" t="str">
        <x:f>IF(P49="","",IF(COUNT(F49:J49)=5,SUM(F49:J49),"n.a."))</x:f>
      </x:c>
      <x:c r="R49" s="23" t="str">
        <x:f>IF(COUNTA(A49:O49)=0,"",IF(OR(NOT(OR(A49="TikTok Shop",A49="Shopee",A49="Lazada")),B49="",NOT(ISNUMBER(C49)),COUNT(D49:M49)&lt;&gt;10),"Thiếu/sai số dư",IF(C49&lt;&gt;'Tong_hop'!$F$4-1,"Sai ngày chốt",IF(COUNTIFS(T_SoDu[Khóa shop],P49)&lt;&gt;1,"Trùng shop",IF(AND(N49&lt;&gt;"Đã đủ",N49&lt;&gt;"Chưa"),"Thiếu xác nhận nguồn","")))))</x:f>
      </x:c>
      <x:c r="S49" s="27" t="str">
        <x:f>IF(P49="","",IF(AC49&gt;0,"n.a.",SUMIFS(T_Don[Phải thu gộp],T_Don[Sàn],A49,T_Don[Shop],B49,T_Don[Ngày ghi nhận bán],"&gt;="&amp;'Tong_hop'!$C$4,T_Don[Ngày ghi nhận bán],"&lt;"&amp;'Tong_hop'!$F$4)))</x:f>
      </x:c>
      <x:c r="T49" s="27" t="str">
        <x:f>IF(P49="","",IF(AC49&gt;0,"n.a.",SUMIFS(T_GD[Hoàn tiền shop chịu],T_GD[Sàn],A49,T_GD[Shop],B49,T_GD[Ngày giao dịch sàn],"&gt;="&amp;'Tong_hop'!$C$4,T_GD[Ngày giao dịch sàn],"&lt;"&amp;'Tong_hop'!$F$4)))</x:f>
      </x:c>
      <x:c r="U49" s="27" t="str">
        <x:f>IF(P49="","",IF(AC49&gt;0,"n.a.",SUMIFS(T_GD[Phí sàn cấn trừ],T_GD[Sàn],A49,T_GD[Shop],B49,T_GD[Ngày giao dịch sàn],"&gt;="&amp;'Tong_hop'!$C$4,T_GD[Ngày giao dịch sàn],"&lt;"&amp;'Tong_hop'!$F$4)+SUMIFS(T_GD[Ship shop chịu],T_GD[Sàn],A49,T_GD[Shop],B49,T_GD[Ngày giao dịch sàn],"&gt;="&amp;'Tong_hop'!$C$4,T_GD[Ngày giao dịch sàn],"&lt;"&amp;'Tong_hop'!$F$4)+SUMIFS(T_Chuyen[Phí chuyển đã xác nhận],T_Chuyen[Sàn],A49,T_Chuyen[Shop],B49,T_Chuyen[Ngày trừ số dư],"&gt;="&amp;'Tong_hop'!$C$4,T_Chuyen[Ngày trừ số dư],"&lt;"&amp;'Tong_hop'!$F$4)))</x:f>
      </x:c>
      <x:c r="V49" s="27" t="str">
        <x:f>IF(P49="","",IF(AC49&gt;0,"n.a.",SUMIFS(T_GD[Điều chỉnh khác +/-],T_GD[Sàn],A49,T_GD[Shop],B49,T_GD[Ngày giao dịch sàn],"&gt;="&amp;'Tong_hop'!$C$4,T_GD[Ngày giao dịch sàn],"&lt;"&amp;'Tong_hop'!$F$4)+SUMIFS(T_GD[Nạp vào số dư],T_GD[Sàn],A49,T_GD[Shop],B49,T_GD[Ngày giao dịch sàn],"&gt;="&amp;'Tong_hop'!$C$4,T_GD[Ngày giao dịch sàn],"&lt;"&amp;'Tong_hop'!$F$4)))</x:f>
      </x:c>
      <x:c r="W49" s="27" t="str">
        <x:f>IF(P49="","",IF(AC49&gt;0,"n.a.",SUMIFS(T_NH[Tiền thực nhận],T_NH[Sàn],A49,T_NH[Shop],B49,T_NH[Ngày báo Có],"&gt;="&amp;'Tong_hop'!$C$4,T_NH[Ngày báo Có],"&lt;"&amp;'Tong_hop'!$F$4)))</x:f>
      </x:c>
      <x:c r="X49" s="27" t="str">
        <x:f>IF(P49="","",IF(AC49&gt;0,"n.a.",D49+S49-T49-U49+V49-W49))</x:f>
      </x:c>
      <x:c r="Y49" s="27" t="str">
        <x:f>IF(P49="","",IF(AC49&gt;0,"n.a.",SUMIFS(T_GD[Thực ghi số dư +/-],T_GD[Sàn],A49,T_GD[Shop],B49,T_GD[Ngày giao dịch sàn],"&gt;="&amp;'Tong_hop'!$C$4,T_GD[Ngày giao dịch sàn],"&lt;"&amp;'Tong_hop'!$F$4,T_GD[Nhóm giao dịch],"Quyết toán")))</x:f>
      </x:c>
      <x:c r="Z49" s="27" t="str">
        <x:f>IF(P49="","",IF(AC49&gt;0,"n.a.",E49+SUMIFS(T_GD[Thực ghi số dư +/-],T_GD[Sàn],A49,T_GD[Shop],B49,T_GD[Ngày giao dịch sàn],"&gt;="&amp;'Tong_hop'!$C$4,T_GD[Ngày giao dịch sàn],"&lt;"&amp;'Tong_hop'!$F$4)-SUMIFS(T_Chuyen[Tiền trừ số dư],T_Chuyen[Sàn],A49,T_Chuyen[Shop],B49,T_Chuyen[Ngày trừ số dư],"&gt;="&amp;'Tong_hop'!$C$4,T_Chuyen[Ngày trừ số dư],"&lt;"&amp;'Tong_hop'!$F$4)))</x:f>
      </x:c>
      <x:c r="AA49" s="27" t="str">
        <x:f>IF(P49="","",IF(AC49&gt;0,"n.a.",SUMIFS(T_Chuyen[Còn đang chuyển],T_Chuyen[Sàn],A49,T_Chuyen[Shop],B49)))</x:f>
      </x:c>
      <x:c r="AB49" s="27" t="str">
        <x:f>IF(P49="","",IF(AC49&gt;0,"n.a.",SUMIFS(T_Chuyen[Tiền trừ số dư],T_Chuyen[Sàn],A49,T_Chuyen[Shop],B49,T_Chuyen[Ngày trừ số dư],"&gt;="&amp;'Tong_hop'!$C$4,T_Chuyen[Ngày trừ số dư],"&lt;"&amp;'Tong_hop'!$F$4)))</x:f>
      </x:c>
      <x:c r="AC49" s="28" t="str">
        <x:f>IF(P49="","",IF(R49="",0,1)+COUNTIFS(T_Don[Sàn],A49,T_Don[Shop],B49,T_Don[Kiểm tra dữ liệu],"?*")+COUNTIFS(T_GD[Sàn],A49,T_GD[Shop],B49,T_GD[Kiểm tra dữ liệu],"?*")+COUNTIFS(T_Chuyen[Sàn],A49,T_Chuyen[Shop],B49,T_Chuyen[Kiểm tra dữ liệu],"?*")+COUNTIFS(T_NH[Sàn],A49,T_NH[Shop],B49,T_NH[Kiểm tra dữ liệu],"?*"))</x:f>
      </x:c>
    </x:row>
    <x:row r="50" ht="22" customHeight="1">
      <x:c r="A50" s="10"/>
      <x:c r="B50" s="10"/>
      <x:c r="C50" s="25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10"/>
      <x:c r="O50" s="10"/>
      <x:c r="P50" s="23" t="str">
        <x:f>IF(AND(A50="",B50=""),"",A50&amp;"|"&amp;B50)</x:f>
      </x:c>
      <x:c r="Q50" s="27" t="str">
        <x:f>IF(P50="","",IF(COUNT(F50:J50)=5,SUM(F50:J50),"n.a."))</x:f>
      </x:c>
      <x:c r="R50" s="23" t="str">
        <x:f>IF(COUNTA(A50:O50)=0,"",IF(OR(NOT(OR(A50="TikTok Shop",A50="Shopee",A50="Lazada")),B50="",NOT(ISNUMBER(C50)),COUNT(D50:M50)&lt;&gt;10),"Thiếu/sai số dư",IF(C50&lt;&gt;'Tong_hop'!$F$4-1,"Sai ngày chốt",IF(COUNTIFS(T_SoDu[Khóa shop],P50)&lt;&gt;1,"Trùng shop",IF(AND(N50&lt;&gt;"Đã đủ",N50&lt;&gt;"Chưa"),"Thiếu xác nhận nguồn","")))))</x:f>
      </x:c>
      <x:c r="S50" s="27" t="str">
        <x:f>IF(P50="","",IF(AC50&gt;0,"n.a.",SUMIFS(T_Don[Phải thu gộp],T_Don[Sàn],A50,T_Don[Shop],B50,T_Don[Ngày ghi nhận bán],"&gt;="&amp;'Tong_hop'!$C$4,T_Don[Ngày ghi nhận bán],"&lt;"&amp;'Tong_hop'!$F$4)))</x:f>
      </x:c>
      <x:c r="T50" s="27" t="str">
        <x:f>IF(P50="","",IF(AC50&gt;0,"n.a.",SUMIFS(T_GD[Hoàn tiền shop chịu],T_GD[Sàn],A50,T_GD[Shop],B50,T_GD[Ngày giao dịch sàn],"&gt;="&amp;'Tong_hop'!$C$4,T_GD[Ngày giao dịch sàn],"&lt;"&amp;'Tong_hop'!$F$4)))</x:f>
      </x:c>
      <x:c r="U50" s="27" t="str">
        <x:f>IF(P50="","",IF(AC50&gt;0,"n.a.",SUMIFS(T_GD[Phí sàn cấn trừ],T_GD[Sàn],A50,T_GD[Shop],B50,T_GD[Ngày giao dịch sàn],"&gt;="&amp;'Tong_hop'!$C$4,T_GD[Ngày giao dịch sàn],"&lt;"&amp;'Tong_hop'!$F$4)+SUMIFS(T_GD[Ship shop chịu],T_GD[Sàn],A50,T_GD[Shop],B50,T_GD[Ngày giao dịch sàn],"&gt;="&amp;'Tong_hop'!$C$4,T_GD[Ngày giao dịch sàn],"&lt;"&amp;'Tong_hop'!$F$4)+SUMIFS(T_Chuyen[Phí chuyển đã xác nhận],T_Chuyen[Sàn],A50,T_Chuyen[Shop],B50,T_Chuyen[Ngày trừ số dư],"&gt;="&amp;'Tong_hop'!$C$4,T_Chuyen[Ngày trừ số dư],"&lt;"&amp;'Tong_hop'!$F$4)))</x:f>
      </x:c>
      <x:c r="V50" s="27" t="str">
        <x:f>IF(P50="","",IF(AC50&gt;0,"n.a.",SUMIFS(T_GD[Điều chỉnh khác +/-],T_GD[Sàn],A50,T_GD[Shop],B50,T_GD[Ngày giao dịch sàn],"&gt;="&amp;'Tong_hop'!$C$4,T_GD[Ngày giao dịch sàn],"&lt;"&amp;'Tong_hop'!$F$4)+SUMIFS(T_GD[Nạp vào số dư],T_GD[Sàn],A50,T_GD[Shop],B50,T_GD[Ngày giao dịch sàn],"&gt;="&amp;'Tong_hop'!$C$4,T_GD[Ngày giao dịch sàn],"&lt;"&amp;'Tong_hop'!$F$4)))</x:f>
      </x:c>
      <x:c r="W50" s="27" t="str">
        <x:f>IF(P50="","",IF(AC50&gt;0,"n.a.",SUMIFS(T_NH[Tiền thực nhận],T_NH[Sàn],A50,T_NH[Shop],B50,T_NH[Ngày báo Có],"&gt;="&amp;'Tong_hop'!$C$4,T_NH[Ngày báo Có],"&lt;"&amp;'Tong_hop'!$F$4)))</x:f>
      </x:c>
      <x:c r="X50" s="27" t="str">
        <x:f>IF(P50="","",IF(AC50&gt;0,"n.a.",D50+S50-T50-U50+V50-W50))</x:f>
      </x:c>
      <x:c r="Y50" s="27" t="str">
        <x:f>IF(P50="","",IF(AC50&gt;0,"n.a.",SUMIFS(T_GD[Thực ghi số dư +/-],T_GD[Sàn],A50,T_GD[Shop],B50,T_GD[Ngày giao dịch sàn],"&gt;="&amp;'Tong_hop'!$C$4,T_GD[Ngày giao dịch sàn],"&lt;"&amp;'Tong_hop'!$F$4,T_GD[Nhóm giao dịch],"Quyết toán")))</x:f>
      </x:c>
      <x:c r="Z50" s="27" t="str">
        <x:f>IF(P50="","",IF(AC50&gt;0,"n.a.",E50+SUMIFS(T_GD[Thực ghi số dư +/-],T_GD[Sàn],A50,T_GD[Shop],B50,T_GD[Ngày giao dịch sàn],"&gt;="&amp;'Tong_hop'!$C$4,T_GD[Ngày giao dịch sàn],"&lt;"&amp;'Tong_hop'!$F$4)-SUMIFS(T_Chuyen[Tiền trừ số dư],T_Chuyen[Sàn],A50,T_Chuyen[Shop],B50,T_Chuyen[Ngày trừ số dư],"&gt;="&amp;'Tong_hop'!$C$4,T_Chuyen[Ngày trừ số dư],"&lt;"&amp;'Tong_hop'!$F$4)))</x:f>
      </x:c>
      <x:c r="AA50" s="27" t="str">
        <x:f>IF(P50="","",IF(AC50&gt;0,"n.a.",SUMIFS(T_Chuyen[Còn đang chuyển],T_Chuyen[Sàn],A50,T_Chuyen[Shop],B50)))</x:f>
      </x:c>
      <x:c r="AB50" s="27" t="str">
        <x:f>IF(P50="","",IF(AC50&gt;0,"n.a.",SUMIFS(T_Chuyen[Tiền trừ số dư],T_Chuyen[Sàn],A50,T_Chuyen[Shop],B50,T_Chuyen[Ngày trừ số dư],"&gt;="&amp;'Tong_hop'!$C$4,T_Chuyen[Ngày trừ số dư],"&lt;"&amp;'Tong_hop'!$F$4)))</x:f>
      </x:c>
      <x:c r="AC50" s="28" t="str">
        <x:f>IF(P50="","",IF(R50="",0,1)+COUNTIFS(T_Don[Sàn],A50,T_Don[Shop],B50,T_Don[Kiểm tra dữ liệu],"?*")+COUNTIFS(T_GD[Sàn],A50,T_GD[Shop],B50,T_GD[Kiểm tra dữ liệu],"?*")+COUNTIFS(T_Chuyen[Sàn],A50,T_Chuyen[Shop],B50,T_Chuyen[Kiểm tra dữ liệu],"?*")+COUNTIFS(T_NH[Sàn],A50,T_NH[Shop],B50,T_NH[Kiểm tra dữ liệu],"?*"))</x:f>
      </x:c>
    </x:row>
    <x:row r="51" ht="22" customHeight="1">
      <x:c r="A51" s="10"/>
      <x:c r="B51" s="10"/>
      <x:c r="C51" s="25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10"/>
      <x:c r="O51" s="10"/>
      <x:c r="P51" s="23" t="str">
        <x:f>IF(AND(A51="",B51=""),"",A51&amp;"|"&amp;B51)</x:f>
      </x:c>
      <x:c r="Q51" s="27" t="str">
        <x:f>IF(P51="","",IF(COUNT(F51:J51)=5,SUM(F51:J51),"n.a."))</x:f>
      </x:c>
      <x:c r="R51" s="23" t="str">
        <x:f>IF(COUNTA(A51:O51)=0,"",IF(OR(NOT(OR(A51="TikTok Shop",A51="Shopee",A51="Lazada")),B51="",NOT(ISNUMBER(C51)),COUNT(D51:M51)&lt;&gt;10),"Thiếu/sai số dư",IF(C51&lt;&gt;'Tong_hop'!$F$4-1,"Sai ngày chốt",IF(COUNTIFS(T_SoDu[Khóa shop],P51)&lt;&gt;1,"Trùng shop",IF(AND(N51&lt;&gt;"Đã đủ",N51&lt;&gt;"Chưa"),"Thiếu xác nhận nguồn","")))))</x:f>
      </x:c>
      <x:c r="S51" s="27" t="str">
        <x:f>IF(P51="","",IF(AC51&gt;0,"n.a.",SUMIFS(T_Don[Phải thu gộp],T_Don[Sàn],A51,T_Don[Shop],B51,T_Don[Ngày ghi nhận bán],"&gt;="&amp;'Tong_hop'!$C$4,T_Don[Ngày ghi nhận bán],"&lt;"&amp;'Tong_hop'!$F$4)))</x:f>
      </x:c>
      <x:c r="T51" s="27" t="str">
        <x:f>IF(P51="","",IF(AC51&gt;0,"n.a.",SUMIFS(T_GD[Hoàn tiền shop chịu],T_GD[Sàn],A51,T_GD[Shop],B51,T_GD[Ngày giao dịch sàn],"&gt;="&amp;'Tong_hop'!$C$4,T_GD[Ngày giao dịch sàn],"&lt;"&amp;'Tong_hop'!$F$4)))</x:f>
      </x:c>
      <x:c r="U51" s="27" t="str">
        <x:f>IF(P51="","",IF(AC51&gt;0,"n.a.",SUMIFS(T_GD[Phí sàn cấn trừ],T_GD[Sàn],A51,T_GD[Shop],B51,T_GD[Ngày giao dịch sàn],"&gt;="&amp;'Tong_hop'!$C$4,T_GD[Ngày giao dịch sàn],"&lt;"&amp;'Tong_hop'!$F$4)+SUMIFS(T_GD[Ship shop chịu],T_GD[Sàn],A51,T_GD[Shop],B51,T_GD[Ngày giao dịch sàn],"&gt;="&amp;'Tong_hop'!$C$4,T_GD[Ngày giao dịch sàn],"&lt;"&amp;'Tong_hop'!$F$4)+SUMIFS(T_Chuyen[Phí chuyển đã xác nhận],T_Chuyen[Sàn],A51,T_Chuyen[Shop],B51,T_Chuyen[Ngày trừ số dư],"&gt;="&amp;'Tong_hop'!$C$4,T_Chuyen[Ngày trừ số dư],"&lt;"&amp;'Tong_hop'!$F$4)))</x:f>
      </x:c>
      <x:c r="V51" s="27" t="str">
        <x:f>IF(P51="","",IF(AC51&gt;0,"n.a.",SUMIFS(T_GD[Điều chỉnh khác +/-],T_GD[Sàn],A51,T_GD[Shop],B51,T_GD[Ngày giao dịch sàn],"&gt;="&amp;'Tong_hop'!$C$4,T_GD[Ngày giao dịch sàn],"&lt;"&amp;'Tong_hop'!$F$4)+SUMIFS(T_GD[Nạp vào số dư],T_GD[Sàn],A51,T_GD[Shop],B51,T_GD[Ngày giao dịch sàn],"&gt;="&amp;'Tong_hop'!$C$4,T_GD[Ngày giao dịch sàn],"&lt;"&amp;'Tong_hop'!$F$4)))</x:f>
      </x:c>
      <x:c r="W51" s="27" t="str">
        <x:f>IF(P51="","",IF(AC51&gt;0,"n.a.",SUMIFS(T_NH[Tiền thực nhận],T_NH[Sàn],A51,T_NH[Shop],B51,T_NH[Ngày báo Có],"&gt;="&amp;'Tong_hop'!$C$4,T_NH[Ngày báo Có],"&lt;"&amp;'Tong_hop'!$F$4)))</x:f>
      </x:c>
      <x:c r="X51" s="27" t="str">
        <x:f>IF(P51="","",IF(AC51&gt;0,"n.a.",D51+S51-T51-U51+V51-W51))</x:f>
      </x:c>
      <x:c r="Y51" s="27" t="str">
        <x:f>IF(P51="","",IF(AC51&gt;0,"n.a.",SUMIFS(T_GD[Thực ghi số dư +/-],T_GD[Sàn],A51,T_GD[Shop],B51,T_GD[Ngày giao dịch sàn],"&gt;="&amp;'Tong_hop'!$C$4,T_GD[Ngày giao dịch sàn],"&lt;"&amp;'Tong_hop'!$F$4,T_GD[Nhóm giao dịch],"Quyết toán")))</x:f>
      </x:c>
      <x:c r="Z51" s="27" t="str">
        <x:f>IF(P51="","",IF(AC51&gt;0,"n.a.",E51+SUMIFS(T_GD[Thực ghi số dư +/-],T_GD[Sàn],A51,T_GD[Shop],B51,T_GD[Ngày giao dịch sàn],"&gt;="&amp;'Tong_hop'!$C$4,T_GD[Ngày giao dịch sàn],"&lt;"&amp;'Tong_hop'!$F$4)-SUMIFS(T_Chuyen[Tiền trừ số dư],T_Chuyen[Sàn],A51,T_Chuyen[Shop],B51,T_Chuyen[Ngày trừ số dư],"&gt;="&amp;'Tong_hop'!$C$4,T_Chuyen[Ngày trừ số dư],"&lt;"&amp;'Tong_hop'!$F$4)))</x:f>
      </x:c>
      <x:c r="AA51" s="27" t="str">
        <x:f>IF(P51="","",IF(AC51&gt;0,"n.a.",SUMIFS(T_Chuyen[Còn đang chuyển],T_Chuyen[Sàn],A51,T_Chuyen[Shop],B51)))</x:f>
      </x:c>
      <x:c r="AB51" s="27" t="str">
        <x:f>IF(P51="","",IF(AC51&gt;0,"n.a.",SUMIFS(T_Chuyen[Tiền trừ số dư],T_Chuyen[Sàn],A51,T_Chuyen[Shop],B51,T_Chuyen[Ngày trừ số dư],"&gt;="&amp;'Tong_hop'!$C$4,T_Chuyen[Ngày trừ số dư],"&lt;"&amp;'Tong_hop'!$F$4)))</x:f>
      </x:c>
      <x:c r="AC51" s="28" t="str">
        <x:f>IF(P51="","",IF(R51="",0,1)+COUNTIFS(T_Don[Sàn],A51,T_Don[Shop],B51,T_Don[Kiểm tra dữ liệu],"?*")+COUNTIFS(T_GD[Sàn],A51,T_GD[Shop],B51,T_GD[Kiểm tra dữ liệu],"?*")+COUNTIFS(T_Chuyen[Sàn],A51,T_Chuyen[Shop],B51,T_Chuyen[Kiểm tra dữ liệu],"?*")+COUNTIFS(T_NH[Sàn],A51,T_NH[Shop],B51,T_NH[Kiểm tra dữ liệu],"?*"))</x:f>
      </x:c>
    </x:row>
    <x:row r="52" ht="22" customHeight="1">
      <x:c r="A52" s="10"/>
      <x:c r="B52" s="10"/>
      <x:c r="C52" s="25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10"/>
      <x:c r="O52" s="10"/>
      <x:c r="P52" s="23" t="str">
        <x:f>IF(AND(A52="",B52=""),"",A52&amp;"|"&amp;B52)</x:f>
      </x:c>
      <x:c r="Q52" s="27" t="str">
        <x:f>IF(P52="","",IF(COUNT(F52:J52)=5,SUM(F52:J52),"n.a."))</x:f>
      </x:c>
      <x:c r="R52" s="23" t="str">
        <x:f>IF(COUNTA(A52:O52)=0,"",IF(OR(NOT(OR(A52="TikTok Shop",A52="Shopee",A52="Lazada")),B52="",NOT(ISNUMBER(C52)),COUNT(D52:M52)&lt;&gt;10),"Thiếu/sai số dư",IF(C52&lt;&gt;'Tong_hop'!$F$4-1,"Sai ngày chốt",IF(COUNTIFS(T_SoDu[Khóa shop],P52)&lt;&gt;1,"Trùng shop",IF(AND(N52&lt;&gt;"Đã đủ",N52&lt;&gt;"Chưa"),"Thiếu xác nhận nguồn","")))))</x:f>
      </x:c>
      <x:c r="S52" s="27" t="str">
        <x:f>IF(P52="","",IF(AC52&gt;0,"n.a.",SUMIFS(T_Don[Phải thu gộp],T_Don[Sàn],A52,T_Don[Shop],B52,T_Don[Ngày ghi nhận bán],"&gt;="&amp;'Tong_hop'!$C$4,T_Don[Ngày ghi nhận bán],"&lt;"&amp;'Tong_hop'!$F$4)))</x:f>
      </x:c>
      <x:c r="T52" s="27" t="str">
        <x:f>IF(P52="","",IF(AC52&gt;0,"n.a.",SUMIFS(T_GD[Hoàn tiền shop chịu],T_GD[Sàn],A52,T_GD[Shop],B52,T_GD[Ngày giao dịch sàn],"&gt;="&amp;'Tong_hop'!$C$4,T_GD[Ngày giao dịch sàn],"&lt;"&amp;'Tong_hop'!$F$4)))</x:f>
      </x:c>
      <x:c r="U52" s="27" t="str">
        <x:f>IF(P52="","",IF(AC52&gt;0,"n.a.",SUMIFS(T_GD[Phí sàn cấn trừ],T_GD[Sàn],A52,T_GD[Shop],B52,T_GD[Ngày giao dịch sàn],"&gt;="&amp;'Tong_hop'!$C$4,T_GD[Ngày giao dịch sàn],"&lt;"&amp;'Tong_hop'!$F$4)+SUMIFS(T_GD[Ship shop chịu],T_GD[Sàn],A52,T_GD[Shop],B52,T_GD[Ngày giao dịch sàn],"&gt;="&amp;'Tong_hop'!$C$4,T_GD[Ngày giao dịch sàn],"&lt;"&amp;'Tong_hop'!$F$4)+SUMIFS(T_Chuyen[Phí chuyển đã xác nhận],T_Chuyen[Sàn],A52,T_Chuyen[Shop],B52,T_Chuyen[Ngày trừ số dư],"&gt;="&amp;'Tong_hop'!$C$4,T_Chuyen[Ngày trừ số dư],"&lt;"&amp;'Tong_hop'!$F$4)))</x:f>
      </x:c>
      <x:c r="V52" s="27" t="str">
        <x:f>IF(P52="","",IF(AC52&gt;0,"n.a.",SUMIFS(T_GD[Điều chỉnh khác +/-],T_GD[Sàn],A52,T_GD[Shop],B52,T_GD[Ngày giao dịch sàn],"&gt;="&amp;'Tong_hop'!$C$4,T_GD[Ngày giao dịch sàn],"&lt;"&amp;'Tong_hop'!$F$4)+SUMIFS(T_GD[Nạp vào số dư],T_GD[Sàn],A52,T_GD[Shop],B52,T_GD[Ngày giao dịch sàn],"&gt;="&amp;'Tong_hop'!$C$4,T_GD[Ngày giao dịch sàn],"&lt;"&amp;'Tong_hop'!$F$4)))</x:f>
      </x:c>
      <x:c r="W52" s="27" t="str">
        <x:f>IF(P52="","",IF(AC52&gt;0,"n.a.",SUMIFS(T_NH[Tiền thực nhận],T_NH[Sàn],A52,T_NH[Shop],B52,T_NH[Ngày báo Có],"&gt;="&amp;'Tong_hop'!$C$4,T_NH[Ngày báo Có],"&lt;"&amp;'Tong_hop'!$F$4)))</x:f>
      </x:c>
      <x:c r="X52" s="27" t="str">
        <x:f>IF(P52="","",IF(AC52&gt;0,"n.a.",D52+S52-T52-U52+V52-W52))</x:f>
      </x:c>
      <x:c r="Y52" s="27" t="str">
        <x:f>IF(P52="","",IF(AC52&gt;0,"n.a.",SUMIFS(T_GD[Thực ghi số dư +/-],T_GD[Sàn],A52,T_GD[Shop],B52,T_GD[Ngày giao dịch sàn],"&gt;="&amp;'Tong_hop'!$C$4,T_GD[Ngày giao dịch sàn],"&lt;"&amp;'Tong_hop'!$F$4,T_GD[Nhóm giao dịch],"Quyết toán")))</x:f>
      </x:c>
      <x:c r="Z52" s="27" t="str">
        <x:f>IF(P52="","",IF(AC52&gt;0,"n.a.",E52+SUMIFS(T_GD[Thực ghi số dư +/-],T_GD[Sàn],A52,T_GD[Shop],B52,T_GD[Ngày giao dịch sàn],"&gt;="&amp;'Tong_hop'!$C$4,T_GD[Ngày giao dịch sàn],"&lt;"&amp;'Tong_hop'!$F$4)-SUMIFS(T_Chuyen[Tiền trừ số dư],T_Chuyen[Sàn],A52,T_Chuyen[Shop],B52,T_Chuyen[Ngày trừ số dư],"&gt;="&amp;'Tong_hop'!$C$4,T_Chuyen[Ngày trừ số dư],"&lt;"&amp;'Tong_hop'!$F$4)))</x:f>
      </x:c>
      <x:c r="AA52" s="27" t="str">
        <x:f>IF(P52="","",IF(AC52&gt;0,"n.a.",SUMIFS(T_Chuyen[Còn đang chuyển],T_Chuyen[Sàn],A52,T_Chuyen[Shop],B52)))</x:f>
      </x:c>
      <x:c r="AB52" s="27" t="str">
        <x:f>IF(P52="","",IF(AC52&gt;0,"n.a.",SUMIFS(T_Chuyen[Tiền trừ số dư],T_Chuyen[Sàn],A52,T_Chuyen[Shop],B52,T_Chuyen[Ngày trừ số dư],"&gt;="&amp;'Tong_hop'!$C$4,T_Chuyen[Ngày trừ số dư],"&lt;"&amp;'Tong_hop'!$F$4)))</x:f>
      </x:c>
      <x:c r="AC52" s="28" t="str">
        <x:f>IF(P52="","",IF(R52="",0,1)+COUNTIFS(T_Don[Sàn],A52,T_Don[Shop],B52,T_Don[Kiểm tra dữ liệu],"?*")+COUNTIFS(T_GD[Sàn],A52,T_GD[Shop],B52,T_GD[Kiểm tra dữ liệu],"?*")+COUNTIFS(T_Chuyen[Sàn],A52,T_Chuyen[Shop],B52,T_Chuyen[Kiểm tra dữ liệu],"?*")+COUNTIFS(T_NH[Sàn],A52,T_NH[Shop],B52,T_NH[Kiểm tra dữ liệu],"?*"))</x:f>
      </x:c>
    </x:row>
    <x:row r="53" ht="22" customHeight="1">
      <x:c r="A53" s="10"/>
      <x:c r="B53" s="10"/>
      <x:c r="C53" s="25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10"/>
      <x:c r="O53" s="10"/>
      <x:c r="P53" s="23" t="str">
        <x:f>IF(AND(A53="",B53=""),"",A53&amp;"|"&amp;B53)</x:f>
      </x:c>
      <x:c r="Q53" s="27" t="str">
        <x:f>IF(P53="","",IF(COUNT(F53:J53)=5,SUM(F53:J53),"n.a."))</x:f>
      </x:c>
      <x:c r="R53" s="23" t="str">
        <x:f>IF(COUNTA(A53:O53)=0,"",IF(OR(NOT(OR(A53="TikTok Shop",A53="Shopee",A53="Lazada")),B53="",NOT(ISNUMBER(C53)),COUNT(D53:M53)&lt;&gt;10),"Thiếu/sai số dư",IF(C53&lt;&gt;'Tong_hop'!$F$4-1,"Sai ngày chốt",IF(COUNTIFS(T_SoDu[Khóa shop],P53)&lt;&gt;1,"Trùng shop",IF(AND(N53&lt;&gt;"Đã đủ",N53&lt;&gt;"Chưa"),"Thiếu xác nhận nguồn","")))))</x:f>
      </x:c>
      <x:c r="S53" s="27" t="str">
        <x:f>IF(P53="","",IF(AC53&gt;0,"n.a.",SUMIFS(T_Don[Phải thu gộp],T_Don[Sàn],A53,T_Don[Shop],B53,T_Don[Ngày ghi nhận bán],"&gt;="&amp;'Tong_hop'!$C$4,T_Don[Ngày ghi nhận bán],"&lt;"&amp;'Tong_hop'!$F$4)))</x:f>
      </x:c>
      <x:c r="T53" s="27" t="str">
        <x:f>IF(P53="","",IF(AC53&gt;0,"n.a.",SUMIFS(T_GD[Hoàn tiền shop chịu],T_GD[Sàn],A53,T_GD[Shop],B53,T_GD[Ngày giao dịch sàn],"&gt;="&amp;'Tong_hop'!$C$4,T_GD[Ngày giao dịch sàn],"&lt;"&amp;'Tong_hop'!$F$4)))</x:f>
      </x:c>
      <x:c r="U53" s="27" t="str">
        <x:f>IF(P53="","",IF(AC53&gt;0,"n.a.",SUMIFS(T_GD[Phí sàn cấn trừ],T_GD[Sàn],A53,T_GD[Shop],B53,T_GD[Ngày giao dịch sàn],"&gt;="&amp;'Tong_hop'!$C$4,T_GD[Ngày giao dịch sàn],"&lt;"&amp;'Tong_hop'!$F$4)+SUMIFS(T_GD[Ship shop chịu],T_GD[Sàn],A53,T_GD[Shop],B53,T_GD[Ngày giao dịch sàn],"&gt;="&amp;'Tong_hop'!$C$4,T_GD[Ngày giao dịch sàn],"&lt;"&amp;'Tong_hop'!$F$4)+SUMIFS(T_Chuyen[Phí chuyển đã xác nhận],T_Chuyen[Sàn],A53,T_Chuyen[Shop],B53,T_Chuyen[Ngày trừ số dư],"&gt;="&amp;'Tong_hop'!$C$4,T_Chuyen[Ngày trừ số dư],"&lt;"&amp;'Tong_hop'!$F$4)))</x:f>
      </x:c>
      <x:c r="V53" s="27" t="str">
        <x:f>IF(P53="","",IF(AC53&gt;0,"n.a.",SUMIFS(T_GD[Điều chỉnh khác +/-],T_GD[Sàn],A53,T_GD[Shop],B53,T_GD[Ngày giao dịch sàn],"&gt;="&amp;'Tong_hop'!$C$4,T_GD[Ngày giao dịch sàn],"&lt;"&amp;'Tong_hop'!$F$4)+SUMIFS(T_GD[Nạp vào số dư],T_GD[Sàn],A53,T_GD[Shop],B53,T_GD[Ngày giao dịch sàn],"&gt;="&amp;'Tong_hop'!$C$4,T_GD[Ngày giao dịch sàn],"&lt;"&amp;'Tong_hop'!$F$4)))</x:f>
      </x:c>
      <x:c r="W53" s="27" t="str">
        <x:f>IF(P53="","",IF(AC53&gt;0,"n.a.",SUMIFS(T_NH[Tiền thực nhận],T_NH[Sàn],A53,T_NH[Shop],B53,T_NH[Ngày báo Có],"&gt;="&amp;'Tong_hop'!$C$4,T_NH[Ngày báo Có],"&lt;"&amp;'Tong_hop'!$F$4)))</x:f>
      </x:c>
      <x:c r="X53" s="27" t="str">
        <x:f>IF(P53="","",IF(AC53&gt;0,"n.a.",D53+S53-T53-U53+V53-W53))</x:f>
      </x:c>
      <x:c r="Y53" s="27" t="str">
        <x:f>IF(P53="","",IF(AC53&gt;0,"n.a.",SUMIFS(T_GD[Thực ghi số dư +/-],T_GD[Sàn],A53,T_GD[Shop],B53,T_GD[Ngày giao dịch sàn],"&gt;="&amp;'Tong_hop'!$C$4,T_GD[Ngày giao dịch sàn],"&lt;"&amp;'Tong_hop'!$F$4,T_GD[Nhóm giao dịch],"Quyết toán")))</x:f>
      </x:c>
      <x:c r="Z53" s="27" t="str">
        <x:f>IF(P53="","",IF(AC53&gt;0,"n.a.",E53+SUMIFS(T_GD[Thực ghi số dư +/-],T_GD[Sàn],A53,T_GD[Shop],B53,T_GD[Ngày giao dịch sàn],"&gt;="&amp;'Tong_hop'!$C$4,T_GD[Ngày giao dịch sàn],"&lt;"&amp;'Tong_hop'!$F$4)-SUMIFS(T_Chuyen[Tiền trừ số dư],T_Chuyen[Sàn],A53,T_Chuyen[Shop],B53,T_Chuyen[Ngày trừ số dư],"&gt;="&amp;'Tong_hop'!$C$4,T_Chuyen[Ngày trừ số dư],"&lt;"&amp;'Tong_hop'!$F$4)))</x:f>
      </x:c>
      <x:c r="AA53" s="27" t="str">
        <x:f>IF(P53="","",IF(AC53&gt;0,"n.a.",SUMIFS(T_Chuyen[Còn đang chuyển],T_Chuyen[Sàn],A53,T_Chuyen[Shop],B53)))</x:f>
      </x:c>
      <x:c r="AB53" s="27" t="str">
        <x:f>IF(P53="","",IF(AC53&gt;0,"n.a.",SUMIFS(T_Chuyen[Tiền trừ số dư],T_Chuyen[Sàn],A53,T_Chuyen[Shop],B53,T_Chuyen[Ngày trừ số dư],"&gt;="&amp;'Tong_hop'!$C$4,T_Chuyen[Ngày trừ số dư],"&lt;"&amp;'Tong_hop'!$F$4)))</x:f>
      </x:c>
      <x:c r="AC53" s="28" t="str">
        <x:f>IF(P53="","",IF(R53="",0,1)+COUNTIFS(T_Don[Sàn],A53,T_Don[Shop],B53,T_Don[Kiểm tra dữ liệu],"?*")+COUNTIFS(T_GD[Sàn],A53,T_GD[Shop],B53,T_GD[Kiểm tra dữ liệu],"?*")+COUNTIFS(T_Chuyen[Sàn],A53,T_Chuyen[Shop],B53,T_Chuyen[Kiểm tra dữ liệu],"?*")+COUNTIFS(T_NH[Sàn],A53,T_NH[Shop],B53,T_NH[Kiểm tra dữ liệu],"?*"))</x:f>
      </x:c>
    </x:row>
    <x:row r="54" ht="22" customHeight="1">
      <x:c r="A54" s="10"/>
      <x:c r="B54" s="10"/>
      <x:c r="C54" s="25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10"/>
      <x:c r="O54" s="10"/>
      <x:c r="P54" s="23" t="str">
        <x:f>IF(AND(A54="",B54=""),"",A54&amp;"|"&amp;B54)</x:f>
      </x:c>
      <x:c r="Q54" s="27" t="str">
        <x:f>IF(P54="","",IF(COUNT(F54:J54)=5,SUM(F54:J54),"n.a."))</x:f>
      </x:c>
      <x:c r="R54" s="23" t="str">
        <x:f>IF(COUNTA(A54:O54)=0,"",IF(OR(NOT(OR(A54="TikTok Shop",A54="Shopee",A54="Lazada")),B54="",NOT(ISNUMBER(C54)),COUNT(D54:M54)&lt;&gt;10),"Thiếu/sai số dư",IF(C54&lt;&gt;'Tong_hop'!$F$4-1,"Sai ngày chốt",IF(COUNTIFS(T_SoDu[Khóa shop],P54)&lt;&gt;1,"Trùng shop",IF(AND(N54&lt;&gt;"Đã đủ",N54&lt;&gt;"Chưa"),"Thiếu xác nhận nguồn","")))))</x:f>
      </x:c>
      <x:c r="S54" s="27" t="str">
        <x:f>IF(P54="","",IF(AC54&gt;0,"n.a.",SUMIFS(T_Don[Phải thu gộp],T_Don[Sàn],A54,T_Don[Shop],B54,T_Don[Ngày ghi nhận bán],"&gt;="&amp;'Tong_hop'!$C$4,T_Don[Ngày ghi nhận bán],"&lt;"&amp;'Tong_hop'!$F$4)))</x:f>
      </x:c>
      <x:c r="T54" s="27" t="str">
        <x:f>IF(P54="","",IF(AC54&gt;0,"n.a.",SUMIFS(T_GD[Hoàn tiền shop chịu],T_GD[Sàn],A54,T_GD[Shop],B54,T_GD[Ngày giao dịch sàn],"&gt;="&amp;'Tong_hop'!$C$4,T_GD[Ngày giao dịch sàn],"&lt;"&amp;'Tong_hop'!$F$4)))</x:f>
      </x:c>
      <x:c r="U54" s="27" t="str">
        <x:f>IF(P54="","",IF(AC54&gt;0,"n.a.",SUMIFS(T_GD[Phí sàn cấn trừ],T_GD[Sàn],A54,T_GD[Shop],B54,T_GD[Ngày giao dịch sàn],"&gt;="&amp;'Tong_hop'!$C$4,T_GD[Ngày giao dịch sàn],"&lt;"&amp;'Tong_hop'!$F$4)+SUMIFS(T_GD[Ship shop chịu],T_GD[Sàn],A54,T_GD[Shop],B54,T_GD[Ngày giao dịch sàn],"&gt;="&amp;'Tong_hop'!$C$4,T_GD[Ngày giao dịch sàn],"&lt;"&amp;'Tong_hop'!$F$4)+SUMIFS(T_Chuyen[Phí chuyển đã xác nhận],T_Chuyen[Sàn],A54,T_Chuyen[Shop],B54,T_Chuyen[Ngày trừ số dư],"&gt;="&amp;'Tong_hop'!$C$4,T_Chuyen[Ngày trừ số dư],"&lt;"&amp;'Tong_hop'!$F$4)))</x:f>
      </x:c>
      <x:c r="V54" s="27" t="str">
        <x:f>IF(P54="","",IF(AC54&gt;0,"n.a.",SUMIFS(T_GD[Điều chỉnh khác +/-],T_GD[Sàn],A54,T_GD[Shop],B54,T_GD[Ngày giao dịch sàn],"&gt;="&amp;'Tong_hop'!$C$4,T_GD[Ngày giao dịch sàn],"&lt;"&amp;'Tong_hop'!$F$4)+SUMIFS(T_GD[Nạp vào số dư],T_GD[Sàn],A54,T_GD[Shop],B54,T_GD[Ngày giao dịch sàn],"&gt;="&amp;'Tong_hop'!$C$4,T_GD[Ngày giao dịch sàn],"&lt;"&amp;'Tong_hop'!$F$4)))</x:f>
      </x:c>
      <x:c r="W54" s="27" t="str">
        <x:f>IF(P54="","",IF(AC54&gt;0,"n.a.",SUMIFS(T_NH[Tiền thực nhận],T_NH[Sàn],A54,T_NH[Shop],B54,T_NH[Ngày báo Có],"&gt;="&amp;'Tong_hop'!$C$4,T_NH[Ngày báo Có],"&lt;"&amp;'Tong_hop'!$F$4)))</x:f>
      </x:c>
      <x:c r="X54" s="27" t="str">
        <x:f>IF(P54="","",IF(AC54&gt;0,"n.a.",D54+S54-T54-U54+V54-W54))</x:f>
      </x:c>
      <x:c r="Y54" s="27" t="str">
        <x:f>IF(P54="","",IF(AC54&gt;0,"n.a.",SUMIFS(T_GD[Thực ghi số dư +/-],T_GD[Sàn],A54,T_GD[Shop],B54,T_GD[Ngày giao dịch sàn],"&gt;="&amp;'Tong_hop'!$C$4,T_GD[Ngày giao dịch sàn],"&lt;"&amp;'Tong_hop'!$F$4,T_GD[Nhóm giao dịch],"Quyết toán")))</x:f>
      </x:c>
      <x:c r="Z54" s="27" t="str">
        <x:f>IF(P54="","",IF(AC54&gt;0,"n.a.",E54+SUMIFS(T_GD[Thực ghi số dư +/-],T_GD[Sàn],A54,T_GD[Shop],B54,T_GD[Ngày giao dịch sàn],"&gt;="&amp;'Tong_hop'!$C$4,T_GD[Ngày giao dịch sàn],"&lt;"&amp;'Tong_hop'!$F$4)-SUMIFS(T_Chuyen[Tiền trừ số dư],T_Chuyen[Sàn],A54,T_Chuyen[Shop],B54,T_Chuyen[Ngày trừ số dư],"&gt;="&amp;'Tong_hop'!$C$4,T_Chuyen[Ngày trừ số dư],"&lt;"&amp;'Tong_hop'!$F$4)))</x:f>
      </x:c>
      <x:c r="AA54" s="27" t="str">
        <x:f>IF(P54="","",IF(AC54&gt;0,"n.a.",SUMIFS(T_Chuyen[Còn đang chuyển],T_Chuyen[Sàn],A54,T_Chuyen[Shop],B54)))</x:f>
      </x:c>
      <x:c r="AB54" s="27" t="str">
        <x:f>IF(P54="","",IF(AC54&gt;0,"n.a.",SUMIFS(T_Chuyen[Tiền trừ số dư],T_Chuyen[Sàn],A54,T_Chuyen[Shop],B54,T_Chuyen[Ngày trừ số dư],"&gt;="&amp;'Tong_hop'!$C$4,T_Chuyen[Ngày trừ số dư],"&lt;"&amp;'Tong_hop'!$F$4)))</x:f>
      </x:c>
      <x:c r="AC54" s="28" t="str">
        <x:f>IF(P54="","",IF(R54="",0,1)+COUNTIFS(T_Don[Sàn],A54,T_Don[Shop],B54,T_Don[Kiểm tra dữ liệu],"?*")+COUNTIFS(T_GD[Sàn],A54,T_GD[Shop],B54,T_GD[Kiểm tra dữ liệu],"?*")+COUNTIFS(T_Chuyen[Sàn],A54,T_Chuyen[Shop],B54,T_Chuyen[Kiểm tra dữ liệu],"?*")+COUNTIFS(T_NH[Sàn],A54,T_NH[Shop],B54,T_NH[Kiểm tra dữ liệu],"?*"))</x:f>
      </x:c>
    </x:row>
    <x:row r="55" ht="22" customHeight="1">
      <x:c r="A55" s="10"/>
      <x:c r="B55" s="10"/>
      <x:c r="C55" s="25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10"/>
      <x:c r="O55" s="10"/>
      <x:c r="P55" s="23" t="str">
        <x:f>IF(AND(A55="",B55=""),"",A55&amp;"|"&amp;B55)</x:f>
      </x:c>
      <x:c r="Q55" s="27" t="str">
        <x:f>IF(P55="","",IF(COUNT(F55:J55)=5,SUM(F55:J55),"n.a."))</x:f>
      </x:c>
      <x:c r="R55" s="23" t="str">
        <x:f>IF(COUNTA(A55:O55)=0,"",IF(OR(NOT(OR(A55="TikTok Shop",A55="Shopee",A55="Lazada")),B55="",NOT(ISNUMBER(C55)),COUNT(D55:M55)&lt;&gt;10),"Thiếu/sai số dư",IF(C55&lt;&gt;'Tong_hop'!$F$4-1,"Sai ngày chốt",IF(COUNTIFS(T_SoDu[Khóa shop],P55)&lt;&gt;1,"Trùng shop",IF(AND(N55&lt;&gt;"Đã đủ",N55&lt;&gt;"Chưa"),"Thiếu xác nhận nguồn","")))))</x:f>
      </x:c>
      <x:c r="S55" s="27" t="str">
        <x:f>IF(P55="","",IF(AC55&gt;0,"n.a.",SUMIFS(T_Don[Phải thu gộp],T_Don[Sàn],A55,T_Don[Shop],B55,T_Don[Ngày ghi nhận bán],"&gt;="&amp;'Tong_hop'!$C$4,T_Don[Ngày ghi nhận bán],"&lt;"&amp;'Tong_hop'!$F$4)))</x:f>
      </x:c>
      <x:c r="T55" s="27" t="str">
        <x:f>IF(P55="","",IF(AC55&gt;0,"n.a.",SUMIFS(T_GD[Hoàn tiền shop chịu],T_GD[Sàn],A55,T_GD[Shop],B55,T_GD[Ngày giao dịch sàn],"&gt;="&amp;'Tong_hop'!$C$4,T_GD[Ngày giao dịch sàn],"&lt;"&amp;'Tong_hop'!$F$4)))</x:f>
      </x:c>
      <x:c r="U55" s="27" t="str">
        <x:f>IF(P55="","",IF(AC55&gt;0,"n.a.",SUMIFS(T_GD[Phí sàn cấn trừ],T_GD[Sàn],A55,T_GD[Shop],B55,T_GD[Ngày giao dịch sàn],"&gt;="&amp;'Tong_hop'!$C$4,T_GD[Ngày giao dịch sàn],"&lt;"&amp;'Tong_hop'!$F$4)+SUMIFS(T_GD[Ship shop chịu],T_GD[Sàn],A55,T_GD[Shop],B55,T_GD[Ngày giao dịch sàn],"&gt;="&amp;'Tong_hop'!$C$4,T_GD[Ngày giao dịch sàn],"&lt;"&amp;'Tong_hop'!$F$4)+SUMIFS(T_Chuyen[Phí chuyển đã xác nhận],T_Chuyen[Sàn],A55,T_Chuyen[Shop],B55,T_Chuyen[Ngày trừ số dư],"&gt;="&amp;'Tong_hop'!$C$4,T_Chuyen[Ngày trừ số dư],"&lt;"&amp;'Tong_hop'!$F$4)))</x:f>
      </x:c>
      <x:c r="V55" s="27" t="str">
        <x:f>IF(P55="","",IF(AC55&gt;0,"n.a.",SUMIFS(T_GD[Điều chỉnh khác +/-],T_GD[Sàn],A55,T_GD[Shop],B55,T_GD[Ngày giao dịch sàn],"&gt;="&amp;'Tong_hop'!$C$4,T_GD[Ngày giao dịch sàn],"&lt;"&amp;'Tong_hop'!$F$4)+SUMIFS(T_GD[Nạp vào số dư],T_GD[Sàn],A55,T_GD[Shop],B55,T_GD[Ngày giao dịch sàn],"&gt;="&amp;'Tong_hop'!$C$4,T_GD[Ngày giao dịch sàn],"&lt;"&amp;'Tong_hop'!$F$4)))</x:f>
      </x:c>
      <x:c r="W55" s="27" t="str">
        <x:f>IF(P55="","",IF(AC55&gt;0,"n.a.",SUMIFS(T_NH[Tiền thực nhận],T_NH[Sàn],A55,T_NH[Shop],B55,T_NH[Ngày báo Có],"&gt;="&amp;'Tong_hop'!$C$4,T_NH[Ngày báo Có],"&lt;"&amp;'Tong_hop'!$F$4)))</x:f>
      </x:c>
      <x:c r="X55" s="27" t="str">
        <x:f>IF(P55="","",IF(AC55&gt;0,"n.a.",D55+S55-T55-U55+V55-W55))</x:f>
      </x:c>
      <x:c r="Y55" s="27" t="str">
        <x:f>IF(P55="","",IF(AC55&gt;0,"n.a.",SUMIFS(T_GD[Thực ghi số dư +/-],T_GD[Sàn],A55,T_GD[Shop],B55,T_GD[Ngày giao dịch sàn],"&gt;="&amp;'Tong_hop'!$C$4,T_GD[Ngày giao dịch sàn],"&lt;"&amp;'Tong_hop'!$F$4,T_GD[Nhóm giao dịch],"Quyết toán")))</x:f>
      </x:c>
      <x:c r="Z55" s="27" t="str">
        <x:f>IF(P55="","",IF(AC55&gt;0,"n.a.",E55+SUMIFS(T_GD[Thực ghi số dư +/-],T_GD[Sàn],A55,T_GD[Shop],B55,T_GD[Ngày giao dịch sàn],"&gt;="&amp;'Tong_hop'!$C$4,T_GD[Ngày giao dịch sàn],"&lt;"&amp;'Tong_hop'!$F$4)-SUMIFS(T_Chuyen[Tiền trừ số dư],T_Chuyen[Sàn],A55,T_Chuyen[Shop],B55,T_Chuyen[Ngày trừ số dư],"&gt;="&amp;'Tong_hop'!$C$4,T_Chuyen[Ngày trừ số dư],"&lt;"&amp;'Tong_hop'!$F$4)))</x:f>
      </x:c>
      <x:c r="AA55" s="27" t="str">
        <x:f>IF(P55="","",IF(AC55&gt;0,"n.a.",SUMIFS(T_Chuyen[Còn đang chuyển],T_Chuyen[Sàn],A55,T_Chuyen[Shop],B55)))</x:f>
      </x:c>
      <x:c r="AB55" s="27" t="str">
        <x:f>IF(P55="","",IF(AC55&gt;0,"n.a.",SUMIFS(T_Chuyen[Tiền trừ số dư],T_Chuyen[Sàn],A55,T_Chuyen[Shop],B55,T_Chuyen[Ngày trừ số dư],"&gt;="&amp;'Tong_hop'!$C$4,T_Chuyen[Ngày trừ số dư],"&lt;"&amp;'Tong_hop'!$F$4)))</x:f>
      </x:c>
      <x:c r="AC55" s="28" t="str">
        <x:f>IF(P55="","",IF(R55="",0,1)+COUNTIFS(T_Don[Sàn],A55,T_Don[Shop],B55,T_Don[Kiểm tra dữ liệu],"?*")+COUNTIFS(T_GD[Sàn],A55,T_GD[Shop],B55,T_GD[Kiểm tra dữ liệu],"?*")+COUNTIFS(T_Chuyen[Sàn],A55,T_Chuyen[Shop],B55,T_Chuyen[Kiểm tra dữ liệu],"?*")+COUNTIFS(T_NH[Sàn],A55,T_NH[Shop],B55,T_NH[Kiểm tra dữ liệu],"?*"))</x:f>
      </x:c>
    </x:row>
    <x:row r="56" ht="22" customHeight="1">
      <x:c r="A56" s="10"/>
      <x:c r="B56" s="10"/>
      <x:c r="C56" s="25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10"/>
      <x:c r="O56" s="10"/>
      <x:c r="P56" s="23" t="str">
        <x:f>IF(AND(A56="",B56=""),"",A56&amp;"|"&amp;B56)</x:f>
      </x:c>
      <x:c r="Q56" s="27" t="str">
        <x:f>IF(P56="","",IF(COUNT(F56:J56)=5,SUM(F56:J56),"n.a."))</x:f>
      </x:c>
      <x:c r="R56" s="23" t="str">
        <x:f>IF(COUNTA(A56:O56)=0,"",IF(OR(NOT(OR(A56="TikTok Shop",A56="Shopee",A56="Lazada")),B56="",NOT(ISNUMBER(C56)),COUNT(D56:M56)&lt;&gt;10),"Thiếu/sai số dư",IF(C56&lt;&gt;'Tong_hop'!$F$4-1,"Sai ngày chốt",IF(COUNTIFS(T_SoDu[Khóa shop],P56)&lt;&gt;1,"Trùng shop",IF(AND(N56&lt;&gt;"Đã đủ",N56&lt;&gt;"Chưa"),"Thiếu xác nhận nguồn","")))))</x:f>
      </x:c>
      <x:c r="S56" s="27" t="str">
        <x:f>IF(P56="","",IF(AC56&gt;0,"n.a.",SUMIFS(T_Don[Phải thu gộp],T_Don[Sàn],A56,T_Don[Shop],B56,T_Don[Ngày ghi nhận bán],"&gt;="&amp;'Tong_hop'!$C$4,T_Don[Ngày ghi nhận bán],"&lt;"&amp;'Tong_hop'!$F$4)))</x:f>
      </x:c>
      <x:c r="T56" s="27" t="str">
        <x:f>IF(P56="","",IF(AC56&gt;0,"n.a.",SUMIFS(T_GD[Hoàn tiền shop chịu],T_GD[Sàn],A56,T_GD[Shop],B56,T_GD[Ngày giao dịch sàn],"&gt;="&amp;'Tong_hop'!$C$4,T_GD[Ngày giao dịch sàn],"&lt;"&amp;'Tong_hop'!$F$4)))</x:f>
      </x:c>
      <x:c r="U56" s="27" t="str">
        <x:f>IF(P56="","",IF(AC56&gt;0,"n.a.",SUMIFS(T_GD[Phí sàn cấn trừ],T_GD[Sàn],A56,T_GD[Shop],B56,T_GD[Ngày giao dịch sàn],"&gt;="&amp;'Tong_hop'!$C$4,T_GD[Ngày giao dịch sàn],"&lt;"&amp;'Tong_hop'!$F$4)+SUMIFS(T_GD[Ship shop chịu],T_GD[Sàn],A56,T_GD[Shop],B56,T_GD[Ngày giao dịch sàn],"&gt;="&amp;'Tong_hop'!$C$4,T_GD[Ngày giao dịch sàn],"&lt;"&amp;'Tong_hop'!$F$4)+SUMIFS(T_Chuyen[Phí chuyển đã xác nhận],T_Chuyen[Sàn],A56,T_Chuyen[Shop],B56,T_Chuyen[Ngày trừ số dư],"&gt;="&amp;'Tong_hop'!$C$4,T_Chuyen[Ngày trừ số dư],"&lt;"&amp;'Tong_hop'!$F$4)))</x:f>
      </x:c>
      <x:c r="V56" s="27" t="str">
        <x:f>IF(P56="","",IF(AC56&gt;0,"n.a.",SUMIFS(T_GD[Điều chỉnh khác +/-],T_GD[Sàn],A56,T_GD[Shop],B56,T_GD[Ngày giao dịch sàn],"&gt;="&amp;'Tong_hop'!$C$4,T_GD[Ngày giao dịch sàn],"&lt;"&amp;'Tong_hop'!$F$4)+SUMIFS(T_GD[Nạp vào số dư],T_GD[Sàn],A56,T_GD[Shop],B56,T_GD[Ngày giao dịch sàn],"&gt;="&amp;'Tong_hop'!$C$4,T_GD[Ngày giao dịch sàn],"&lt;"&amp;'Tong_hop'!$F$4)))</x:f>
      </x:c>
      <x:c r="W56" s="27" t="str">
        <x:f>IF(P56="","",IF(AC56&gt;0,"n.a.",SUMIFS(T_NH[Tiền thực nhận],T_NH[Sàn],A56,T_NH[Shop],B56,T_NH[Ngày báo Có],"&gt;="&amp;'Tong_hop'!$C$4,T_NH[Ngày báo Có],"&lt;"&amp;'Tong_hop'!$F$4)))</x:f>
      </x:c>
      <x:c r="X56" s="27" t="str">
        <x:f>IF(P56="","",IF(AC56&gt;0,"n.a.",D56+S56-T56-U56+V56-W56))</x:f>
      </x:c>
      <x:c r="Y56" s="27" t="str">
        <x:f>IF(P56="","",IF(AC56&gt;0,"n.a.",SUMIFS(T_GD[Thực ghi số dư +/-],T_GD[Sàn],A56,T_GD[Shop],B56,T_GD[Ngày giao dịch sàn],"&gt;="&amp;'Tong_hop'!$C$4,T_GD[Ngày giao dịch sàn],"&lt;"&amp;'Tong_hop'!$F$4,T_GD[Nhóm giao dịch],"Quyết toán")))</x:f>
      </x:c>
      <x:c r="Z56" s="27" t="str">
        <x:f>IF(P56="","",IF(AC56&gt;0,"n.a.",E56+SUMIFS(T_GD[Thực ghi số dư +/-],T_GD[Sàn],A56,T_GD[Shop],B56,T_GD[Ngày giao dịch sàn],"&gt;="&amp;'Tong_hop'!$C$4,T_GD[Ngày giao dịch sàn],"&lt;"&amp;'Tong_hop'!$F$4)-SUMIFS(T_Chuyen[Tiền trừ số dư],T_Chuyen[Sàn],A56,T_Chuyen[Shop],B56,T_Chuyen[Ngày trừ số dư],"&gt;="&amp;'Tong_hop'!$C$4,T_Chuyen[Ngày trừ số dư],"&lt;"&amp;'Tong_hop'!$F$4)))</x:f>
      </x:c>
      <x:c r="AA56" s="27" t="str">
        <x:f>IF(P56="","",IF(AC56&gt;0,"n.a.",SUMIFS(T_Chuyen[Còn đang chuyển],T_Chuyen[Sàn],A56,T_Chuyen[Shop],B56)))</x:f>
      </x:c>
      <x:c r="AB56" s="27" t="str">
        <x:f>IF(P56="","",IF(AC56&gt;0,"n.a.",SUMIFS(T_Chuyen[Tiền trừ số dư],T_Chuyen[Sàn],A56,T_Chuyen[Shop],B56,T_Chuyen[Ngày trừ số dư],"&gt;="&amp;'Tong_hop'!$C$4,T_Chuyen[Ngày trừ số dư],"&lt;"&amp;'Tong_hop'!$F$4)))</x:f>
      </x:c>
      <x:c r="AC56" s="28" t="str">
        <x:f>IF(P56="","",IF(R56="",0,1)+COUNTIFS(T_Don[Sàn],A56,T_Don[Shop],B56,T_Don[Kiểm tra dữ liệu],"?*")+COUNTIFS(T_GD[Sàn],A56,T_GD[Shop],B56,T_GD[Kiểm tra dữ liệu],"?*")+COUNTIFS(T_Chuyen[Sàn],A56,T_Chuyen[Shop],B56,T_Chuyen[Kiểm tra dữ liệu],"?*")+COUNTIFS(T_NH[Sàn],A56,T_NH[Shop],B56,T_NH[Kiểm tra dữ liệu],"?*"))</x:f>
      </x:c>
    </x:row>
    <x:row r="57" ht="22" customHeight="1">
      <x:c r="A57" s="10"/>
      <x:c r="B57" s="10"/>
      <x:c r="C57" s="25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10"/>
      <x:c r="O57" s="10"/>
      <x:c r="P57" s="23" t="str">
        <x:f>IF(AND(A57="",B57=""),"",A57&amp;"|"&amp;B57)</x:f>
      </x:c>
      <x:c r="Q57" s="27" t="str">
        <x:f>IF(P57="","",IF(COUNT(F57:J57)=5,SUM(F57:J57),"n.a."))</x:f>
      </x:c>
      <x:c r="R57" s="23" t="str">
        <x:f>IF(COUNTA(A57:O57)=0,"",IF(OR(NOT(OR(A57="TikTok Shop",A57="Shopee",A57="Lazada")),B57="",NOT(ISNUMBER(C57)),COUNT(D57:M57)&lt;&gt;10),"Thiếu/sai số dư",IF(C57&lt;&gt;'Tong_hop'!$F$4-1,"Sai ngày chốt",IF(COUNTIFS(T_SoDu[Khóa shop],P57)&lt;&gt;1,"Trùng shop",IF(AND(N57&lt;&gt;"Đã đủ",N57&lt;&gt;"Chưa"),"Thiếu xác nhận nguồn","")))))</x:f>
      </x:c>
      <x:c r="S57" s="27" t="str">
        <x:f>IF(P57="","",IF(AC57&gt;0,"n.a.",SUMIFS(T_Don[Phải thu gộp],T_Don[Sàn],A57,T_Don[Shop],B57,T_Don[Ngày ghi nhận bán],"&gt;="&amp;'Tong_hop'!$C$4,T_Don[Ngày ghi nhận bán],"&lt;"&amp;'Tong_hop'!$F$4)))</x:f>
      </x:c>
      <x:c r="T57" s="27" t="str">
        <x:f>IF(P57="","",IF(AC57&gt;0,"n.a.",SUMIFS(T_GD[Hoàn tiền shop chịu],T_GD[Sàn],A57,T_GD[Shop],B57,T_GD[Ngày giao dịch sàn],"&gt;="&amp;'Tong_hop'!$C$4,T_GD[Ngày giao dịch sàn],"&lt;"&amp;'Tong_hop'!$F$4)))</x:f>
      </x:c>
      <x:c r="U57" s="27" t="str">
        <x:f>IF(P57="","",IF(AC57&gt;0,"n.a.",SUMIFS(T_GD[Phí sàn cấn trừ],T_GD[Sàn],A57,T_GD[Shop],B57,T_GD[Ngày giao dịch sàn],"&gt;="&amp;'Tong_hop'!$C$4,T_GD[Ngày giao dịch sàn],"&lt;"&amp;'Tong_hop'!$F$4)+SUMIFS(T_GD[Ship shop chịu],T_GD[Sàn],A57,T_GD[Shop],B57,T_GD[Ngày giao dịch sàn],"&gt;="&amp;'Tong_hop'!$C$4,T_GD[Ngày giao dịch sàn],"&lt;"&amp;'Tong_hop'!$F$4)+SUMIFS(T_Chuyen[Phí chuyển đã xác nhận],T_Chuyen[Sàn],A57,T_Chuyen[Shop],B57,T_Chuyen[Ngày trừ số dư],"&gt;="&amp;'Tong_hop'!$C$4,T_Chuyen[Ngày trừ số dư],"&lt;"&amp;'Tong_hop'!$F$4)))</x:f>
      </x:c>
      <x:c r="V57" s="27" t="str">
        <x:f>IF(P57="","",IF(AC57&gt;0,"n.a.",SUMIFS(T_GD[Điều chỉnh khác +/-],T_GD[Sàn],A57,T_GD[Shop],B57,T_GD[Ngày giao dịch sàn],"&gt;="&amp;'Tong_hop'!$C$4,T_GD[Ngày giao dịch sàn],"&lt;"&amp;'Tong_hop'!$F$4)+SUMIFS(T_GD[Nạp vào số dư],T_GD[Sàn],A57,T_GD[Shop],B57,T_GD[Ngày giao dịch sàn],"&gt;="&amp;'Tong_hop'!$C$4,T_GD[Ngày giao dịch sàn],"&lt;"&amp;'Tong_hop'!$F$4)))</x:f>
      </x:c>
      <x:c r="W57" s="27" t="str">
        <x:f>IF(P57="","",IF(AC57&gt;0,"n.a.",SUMIFS(T_NH[Tiền thực nhận],T_NH[Sàn],A57,T_NH[Shop],B57,T_NH[Ngày báo Có],"&gt;="&amp;'Tong_hop'!$C$4,T_NH[Ngày báo Có],"&lt;"&amp;'Tong_hop'!$F$4)))</x:f>
      </x:c>
      <x:c r="X57" s="27" t="str">
        <x:f>IF(P57="","",IF(AC57&gt;0,"n.a.",D57+S57-T57-U57+V57-W57))</x:f>
      </x:c>
      <x:c r="Y57" s="27" t="str">
        <x:f>IF(P57="","",IF(AC57&gt;0,"n.a.",SUMIFS(T_GD[Thực ghi số dư +/-],T_GD[Sàn],A57,T_GD[Shop],B57,T_GD[Ngày giao dịch sàn],"&gt;="&amp;'Tong_hop'!$C$4,T_GD[Ngày giao dịch sàn],"&lt;"&amp;'Tong_hop'!$F$4,T_GD[Nhóm giao dịch],"Quyết toán")))</x:f>
      </x:c>
      <x:c r="Z57" s="27" t="str">
        <x:f>IF(P57="","",IF(AC57&gt;0,"n.a.",E57+SUMIFS(T_GD[Thực ghi số dư +/-],T_GD[Sàn],A57,T_GD[Shop],B57,T_GD[Ngày giao dịch sàn],"&gt;="&amp;'Tong_hop'!$C$4,T_GD[Ngày giao dịch sàn],"&lt;"&amp;'Tong_hop'!$F$4)-SUMIFS(T_Chuyen[Tiền trừ số dư],T_Chuyen[Sàn],A57,T_Chuyen[Shop],B57,T_Chuyen[Ngày trừ số dư],"&gt;="&amp;'Tong_hop'!$C$4,T_Chuyen[Ngày trừ số dư],"&lt;"&amp;'Tong_hop'!$F$4)))</x:f>
      </x:c>
      <x:c r="AA57" s="27" t="str">
        <x:f>IF(P57="","",IF(AC57&gt;0,"n.a.",SUMIFS(T_Chuyen[Còn đang chuyển],T_Chuyen[Sàn],A57,T_Chuyen[Shop],B57)))</x:f>
      </x:c>
      <x:c r="AB57" s="27" t="str">
        <x:f>IF(P57="","",IF(AC57&gt;0,"n.a.",SUMIFS(T_Chuyen[Tiền trừ số dư],T_Chuyen[Sàn],A57,T_Chuyen[Shop],B57,T_Chuyen[Ngày trừ số dư],"&gt;="&amp;'Tong_hop'!$C$4,T_Chuyen[Ngày trừ số dư],"&lt;"&amp;'Tong_hop'!$F$4)))</x:f>
      </x:c>
      <x:c r="AC57" s="28" t="str">
        <x:f>IF(P57="","",IF(R57="",0,1)+COUNTIFS(T_Don[Sàn],A57,T_Don[Shop],B57,T_Don[Kiểm tra dữ liệu],"?*")+COUNTIFS(T_GD[Sàn],A57,T_GD[Shop],B57,T_GD[Kiểm tra dữ liệu],"?*")+COUNTIFS(T_Chuyen[Sàn],A57,T_Chuyen[Shop],B57,T_Chuyen[Kiểm tra dữ liệu],"?*")+COUNTIFS(T_NH[Sàn],A57,T_NH[Shop],B57,T_NH[Kiểm tra dữ liệu],"?*"))</x:f>
      </x:c>
    </x:row>
    <x:row r="58" ht="22" customHeight="1">
      <x:c r="A58" s="10"/>
      <x:c r="B58" s="10"/>
      <x:c r="C58" s="25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10"/>
      <x:c r="O58" s="10"/>
      <x:c r="P58" s="23" t="str">
        <x:f>IF(AND(A58="",B58=""),"",A58&amp;"|"&amp;B58)</x:f>
      </x:c>
      <x:c r="Q58" s="27" t="str">
        <x:f>IF(P58="","",IF(COUNT(F58:J58)=5,SUM(F58:J58),"n.a."))</x:f>
      </x:c>
      <x:c r="R58" s="23" t="str">
        <x:f>IF(COUNTA(A58:O58)=0,"",IF(OR(NOT(OR(A58="TikTok Shop",A58="Shopee",A58="Lazada")),B58="",NOT(ISNUMBER(C58)),COUNT(D58:M58)&lt;&gt;10),"Thiếu/sai số dư",IF(C58&lt;&gt;'Tong_hop'!$F$4-1,"Sai ngày chốt",IF(COUNTIFS(T_SoDu[Khóa shop],P58)&lt;&gt;1,"Trùng shop",IF(AND(N58&lt;&gt;"Đã đủ",N58&lt;&gt;"Chưa"),"Thiếu xác nhận nguồn","")))))</x:f>
      </x:c>
      <x:c r="S58" s="27" t="str">
        <x:f>IF(P58="","",IF(AC58&gt;0,"n.a.",SUMIFS(T_Don[Phải thu gộp],T_Don[Sàn],A58,T_Don[Shop],B58,T_Don[Ngày ghi nhận bán],"&gt;="&amp;'Tong_hop'!$C$4,T_Don[Ngày ghi nhận bán],"&lt;"&amp;'Tong_hop'!$F$4)))</x:f>
      </x:c>
      <x:c r="T58" s="27" t="str">
        <x:f>IF(P58="","",IF(AC58&gt;0,"n.a.",SUMIFS(T_GD[Hoàn tiền shop chịu],T_GD[Sàn],A58,T_GD[Shop],B58,T_GD[Ngày giao dịch sàn],"&gt;="&amp;'Tong_hop'!$C$4,T_GD[Ngày giao dịch sàn],"&lt;"&amp;'Tong_hop'!$F$4)))</x:f>
      </x:c>
      <x:c r="U58" s="27" t="str">
        <x:f>IF(P58="","",IF(AC58&gt;0,"n.a.",SUMIFS(T_GD[Phí sàn cấn trừ],T_GD[Sàn],A58,T_GD[Shop],B58,T_GD[Ngày giao dịch sàn],"&gt;="&amp;'Tong_hop'!$C$4,T_GD[Ngày giao dịch sàn],"&lt;"&amp;'Tong_hop'!$F$4)+SUMIFS(T_GD[Ship shop chịu],T_GD[Sàn],A58,T_GD[Shop],B58,T_GD[Ngày giao dịch sàn],"&gt;="&amp;'Tong_hop'!$C$4,T_GD[Ngày giao dịch sàn],"&lt;"&amp;'Tong_hop'!$F$4)+SUMIFS(T_Chuyen[Phí chuyển đã xác nhận],T_Chuyen[Sàn],A58,T_Chuyen[Shop],B58,T_Chuyen[Ngày trừ số dư],"&gt;="&amp;'Tong_hop'!$C$4,T_Chuyen[Ngày trừ số dư],"&lt;"&amp;'Tong_hop'!$F$4)))</x:f>
      </x:c>
      <x:c r="V58" s="27" t="str">
        <x:f>IF(P58="","",IF(AC58&gt;0,"n.a.",SUMIFS(T_GD[Điều chỉnh khác +/-],T_GD[Sàn],A58,T_GD[Shop],B58,T_GD[Ngày giao dịch sàn],"&gt;="&amp;'Tong_hop'!$C$4,T_GD[Ngày giao dịch sàn],"&lt;"&amp;'Tong_hop'!$F$4)+SUMIFS(T_GD[Nạp vào số dư],T_GD[Sàn],A58,T_GD[Shop],B58,T_GD[Ngày giao dịch sàn],"&gt;="&amp;'Tong_hop'!$C$4,T_GD[Ngày giao dịch sàn],"&lt;"&amp;'Tong_hop'!$F$4)))</x:f>
      </x:c>
      <x:c r="W58" s="27" t="str">
        <x:f>IF(P58="","",IF(AC58&gt;0,"n.a.",SUMIFS(T_NH[Tiền thực nhận],T_NH[Sàn],A58,T_NH[Shop],B58,T_NH[Ngày báo Có],"&gt;="&amp;'Tong_hop'!$C$4,T_NH[Ngày báo Có],"&lt;"&amp;'Tong_hop'!$F$4)))</x:f>
      </x:c>
      <x:c r="X58" s="27" t="str">
        <x:f>IF(P58="","",IF(AC58&gt;0,"n.a.",D58+S58-T58-U58+V58-W58))</x:f>
      </x:c>
      <x:c r="Y58" s="27" t="str">
        <x:f>IF(P58="","",IF(AC58&gt;0,"n.a.",SUMIFS(T_GD[Thực ghi số dư +/-],T_GD[Sàn],A58,T_GD[Shop],B58,T_GD[Ngày giao dịch sàn],"&gt;="&amp;'Tong_hop'!$C$4,T_GD[Ngày giao dịch sàn],"&lt;"&amp;'Tong_hop'!$F$4,T_GD[Nhóm giao dịch],"Quyết toán")))</x:f>
      </x:c>
      <x:c r="Z58" s="27" t="str">
        <x:f>IF(P58="","",IF(AC58&gt;0,"n.a.",E58+SUMIFS(T_GD[Thực ghi số dư +/-],T_GD[Sàn],A58,T_GD[Shop],B58,T_GD[Ngày giao dịch sàn],"&gt;="&amp;'Tong_hop'!$C$4,T_GD[Ngày giao dịch sàn],"&lt;"&amp;'Tong_hop'!$F$4)-SUMIFS(T_Chuyen[Tiền trừ số dư],T_Chuyen[Sàn],A58,T_Chuyen[Shop],B58,T_Chuyen[Ngày trừ số dư],"&gt;="&amp;'Tong_hop'!$C$4,T_Chuyen[Ngày trừ số dư],"&lt;"&amp;'Tong_hop'!$F$4)))</x:f>
      </x:c>
      <x:c r="AA58" s="27" t="str">
        <x:f>IF(P58="","",IF(AC58&gt;0,"n.a.",SUMIFS(T_Chuyen[Còn đang chuyển],T_Chuyen[Sàn],A58,T_Chuyen[Shop],B58)))</x:f>
      </x:c>
      <x:c r="AB58" s="27" t="str">
        <x:f>IF(P58="","",IF(AC58&gt;0,"n.a.",SUMIFS(T_Chuyen[Tiền trừ số dư],T_Chuyen[Sàn],A58,T_Chuyen[Shop],B58,T_Chuyen[Ngày trừ số dư],"&gt;="&amp;'Tong_hop'!$C$4,T_Chuyen[Ngày trừ số dư],"&lt;"&amp;'Tong_hop'!$F$4)))</x:f>
      </x:c>
      <x:c r="AC58" s="28" t="str">
        <x:f>IF(P58="","",IF(R58="",0,1)+COUNTIFS(T_Don[Sàn],A58,T_Don[Shop],B58,T_Don[Kiểm tra dữ liệu],"?*")+COUNTIFS(T_GD[Sàn],A58,T_GD[Shop],B58,T_GD[Kiểm tra dữ liệu],"?*")+COUNTIFS(T_Chuyen[Sàn],A58,T_Chuyen[Shop],B58,T_Chuyen[Kiểm tra dữ liệu],"?*")+COUNTIFS(T_NH[Sàn],A58,T_NH[Shop],B58,T_NH[Kiểm tra dữ liệu],"?*"))</x:f>
      </x:c>
    </x:row>
    <x:row r="59" ht="22" customHeight="1">
      <x:c r="A59" s="10"/>
      <x:c r="B59" s="10"/>
      <x:c r="C59" s="25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10"/>
      <x:c r="O59" s="10"/>
      <x:c r="P59" s="23" t="str">
        <x:f>IF(AND(A59="",B59=""),"",A59&amp;"|"&amp;B59)</x:f>
      </x:c>
      <x:c r="Q59" s="27" t="str">
        <x:f>IF(P59="","",IF(COUNT(F59:J59)=5,SUM(F59:J59),"n.a."))</x:f>
      </x:c>
      <x:c r="R59" s="23" t="str">
        <x:f>IF(COUNTA(A59:O59)=0,"",IF(OR(NOT(OR(A59="TikTok Shop",A59="Shopee",A59="Lazada")),B59="",NOT(ISNUMBER(C59)),COUNT(D59:M59)&lt;&gt;10),"Thiếu/sai số dư",IF(C59&lt;&gt;'Tong_hop'!$F$4-1,"Sai ngày chốt",IF(COUNTIFS(T_SoDu[Khóa shop],P59)&lt;&gt;1,"Trùng shop",IF(AND(N59&lt;&gt;"Đã đủ",N59&lt;&gt;"Chưa"),"Thiếu xác nhận nguồn","")))))</x:f>
      </x:c>
      <x:c r="S59" s="27" t="str">
        <x:f>IF(P59="","",IF(AC59&gt;0,"n.a.",SUMIFS(T_Don[Phải thu gộp],T_Don[Sàn],A59,T_Don[Shop],B59,T_Don[Ngày ghi nhận bán],"&gt;="&amp;'Tong_hop'!$C$4,T_Don[Ngày ghi nhận bán],"&lt;"&amp;'Tong_hop'!$F$4)))</x:f>
      </x:c>
      <x:c r="T59" s="27" t="str">
        <x:f>IF(P59="","",IF(AC59&gt;0,"n.a.",SUMIFS(T_GD[Hoàn tiền shop chịu],T_GD[Sàn],A59,T_GD[Shop],B59,T_GD[Ngày giao dịch sàn],"&gt;="&amp;'Tong_hop'!$C$4,T_GD[Ngày giao dịch sàn],"&lt;"&amp;'Tong_hop'!$F$4)))</x:f>
      </x:c>
      <x:c r="U59" s="27" t="str">
        <x:f>IF(P59="","",IF(AC59&gt;0,"n.a.",SUMIFS(T_GD[Phí sàn cấn trừ],T_GD[Sàn],A59,T_GD[Shop],B59,T_GD[Ngày giao dịch sàn],"&gt;="&amp;'Tong_hop'!$C$4,T_GD[Ngày giao dịch sàn],"&lt;"&amp;'Tong_hop'!$F$4)+SUMIFS(T_GD[Ship shop chịu],T_GD[Sàn],A59,T_GD[Shop],B59,T_GD[Ngày giao dịch sàn],"&gt;="&amp;'Tong_hop'!$C$4,T_GD[Ngày giao dịch sàn],"&lt;"&amp;'Tong_hop'!$F$4)+SUMIFS(T_Chuyen[Phí chuyển đã xác nhận],T_Chuyen[Sàn],A59,T_Chuyen[Shop],B59,T_Chuyen[Ngày trừ số dư],"&gt;="&amp;'Tong_hop'!$C$4,T_Chuyen[Ngày trừ số dư],"&lt;"&amp;'Tong_hop'!$F$4)))</x:f>
      </x:c>
      <x:c r="V59" s="27" t="str">
        <x:f>IF(P59="","",IF(AC59&gt;0,"n.a.",SUMIFS(T_GD[Điều chỉnh khác +/-],T_GD[Sàn],A59,T_GD[Shop],B59,T_GD[Ngày giao dịch sàn],"&gt;="&amp;'Tong_hop'!$C$4,T_GD[Ngày giao dịch sàn],"&lt;"&amp;'Tong_hop'!$F$4)+SUMIFS(T_GD[Nạp vào số dư],T_GD[Sàn],A59,T_GD[Shop],B59,T_GD[Ngày giao dịch sàn],"&gt;="&amp;'Tong_hop'!$C$4,T_GD[Ngày giao dịch sàn],"&lt;"&amp;'Tong_hop'!$F$4)))</x:f>
      </x:c>
      <x:c r="W59" s="27" t="str">
        <x:f>IF(P59="","",IF(AC59&gt;0,"n.a.",SUMIFS(T_NH[Tiền thực nhận],T_NH[Sàn],A59,T_NH[Shop],B59,T_NH[Ngày báo Có],"&gt;="&amp;'Tong_hop'!$C$4,T_NH[Ngày báo Có],"&lt;"&amp;'Tong_hop'!$F$4)))</x:f>
      </x:c>
      <x:c r="X59" s="27" t="str">
        <x:f>IF(P59="","",IF(AC59&gt;0,"n.a.",D59+S59-T59-U59+V59-W59))</x:f>
      </x:c>
      <x:c r="Y59" s="27" t="str">
        <x:f>IF(P59="","",IF(AC59&gt;0,"n.a.",SUMIFS(T_GD[Thực ghi số dư +/-],T_GD[Sàn],A59,T_GD[Shop],B59,T_GD[Ngày giao dịch sàn],"&gt;="&amp;'Tong_hop'!$C$4,T_GD[Ngày giao dịch sàn],"&lt;"&amp;'Tong_hop'!$F$4,T_GD[Nhóm giao dịch],"Quyết toán")))</x:f>
      </x:c>
      <x:c r="Z59" s="27" t="str">
        <x:f>IF(P59="","",IF(AC59&gt;0,"n.a.",E59+SUMIFS(T_GD[Thực ghi số dư +/-],T_GD[Sàn],A59,T_GD[Shop],B59,T_GD[Ngày giao dịch sàn],"&gt;="&amp;'Tong_hop'!$C$4,T_GD[Ngày giao dịch sàn],"&lt;"&amp;'Tong_hop'!$F$4)-SUMIFS(T_Chuyen[Tiền trừ số dư],T_Chuyen[Sàn],A59,T_Chuyen[Shop],B59,T_Chuyen[Ngày trừ số dư],"&gt;="&amp;'Tong_hop'!$C$4,T_Chuyen[Ngày trừ số dư],"&lt;"&amp;'Tong_hop'!$F$4)))</x:f>
      </x:c>
      <x:c r="AA59" s="27" t="str">
        <x:f>IF(P59="","",IF(AC59&gt;0,"n.a.",SUMIFS(T_Chuyen[Còn đang chuyển],T_Chuyen[Sàn],A59,T_Chuyen[Shop],B59)))</x:f>
      </x:c>
      <x:c r="AB59" s="27" t="str">
        <x:f>IF(P59="","",IF(AC59&gt;0,"n.a.",SUMIFS(T_Chuyen[Tiền trừ số dư],T_Chuyen[Sàn],A59,T_Chuyen[Shop],B59,T_Chuyen[Ngày trừ số dư],"&gt;="&amp;'Tong_hop'!$C$4,T_Chuyen[Ngày trừ số dư],"&lt;"&amp;'Tong_hop'!$F$4)))</x:f>
      </x:c>
      <x:c r="AC59" s="28" t="str">
        <x:f>IF(P59="","",IF(R59="",0,1)+COUNTIFS(T_Don[Sàn],A59,T_Don[Shop],B59,T_Don[Kiểm tra dữ liệu],"?*")+COUNTIFS(T_GD[Sàn],A59,T_GD[Shop],B59,T_GD[Kiểm tra dữ liệu],"?*")+COUNTIFS(T_Chuyen[Sàn],A59,T_Chuyen[Shop],B59,T_Chuyen[Kiểm tra dữ liệu],"?*")+COUNTIFS(T_NH[Sàn],A59,T_NH[Shop],B59,T_NH[Kiểm tra dữ liệu],"?*"))</x:f>
      </x:c>
    </x:row>
    <x:row r="60" ht="22" customHeight="1">
      <x:c r="A60" s="10"/>
      <x:c r="B60" s="10"/>
      <x:c r="C60" s="25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10"/>
      <x:c r="O60" s="10"/>
      <x:c r="P60" s="23" t="str">
        <x:f>IF(AND(A60="",B60=""),"",A60&amp;"|"&amp;B60)</x:f>
      </x:c>
      <x:c r="Q60" s="27" t="str">
        <x:f>IF(P60="","",IF(COUNT(F60:J60)=5,SUM(F60:J60),"n.a."))</x:f>
      </x:c>
      <x:c r="R60" s="23" t="str">
        <x:f>IF(COUNTA(A60:O60)=0,"",IF(OR(NOT(OR(A60="TikTok Shop",A60="Shopee",A60="Lazada")),B60="",NOT(ISNUMBER(C60)),COUNT(D60:M60)&lt;&gt;10),"Thiếu/sai số dư",IF(C60&lt;&gt;'Tong_hop'!$F$4-1,"Sai ngày chốt",IF(COUNTIFS(T_SoDu[Khóa shop],P60)&lt;&gt;1,"Trùng shop",IF(AND(N60&lt;&gt;"Đã đủ",N60&lt;&gt;"Chưa"),"Thiếu xác nhận nguồn","")))))</x:f>
      </x:c>
      <x:c r="S60" s="27" t="str">
        <x:f>IF(P60="","",IF(AC60&gt;0,"n.a.",SUMIFS(T_Don[Phải thu gộp],T_Don[Sàn],A60,T_Don[Shop],B60,T_Don[Ngày ghi nhận bán],"&gt;="&amp;'Tong_hop'!$C$4,T_Don[Ngày ghi nhận bán],"&lt;"&amp;'Tong_hop'!$F$4)))</x:f>
      </x:c>
      <x:c r="T60" s="27" t="str">
        <x:f>IF(P60="","",IF(AC60&gt;0,"n.a.",SUMIFS(T_GD[Hoàn tiền shop chịu],T_GD[Sàn],A60,T_GD[Shop],B60,T_GD[Ngày giao dịch sàn],"&gt;="&amp;'Tong_hop'!$C$4,T_GD[Ngày giao dịch sàn],"&lt;"&amp;'Tong_hop'!$F$4)))</x:f>
      </x:c>
      <x:c r="U60" s="27" t="str">
        <x:f>IF(P60="","",IF(AC60&gt;0,"n.a.",SUMIFS(T_GD[Phí sàn cấn trừ],T_GD[Sàn],A60,T_GD[Shop],B60,T_GD[Ngày giao dịch sàn],"&gt;="&amp;'Tong_hop'!$C$4,T_GD[Ngày giao dịch sàn],"&lt;"&amp;'Tong_hop'!$F$4)+SUMIFS(T_GD[Ship shop chịu],T_GD[Sàn],A60,T_GD[Shop],B60,T_GD[Ngày giao dịch sàn],"&gt;="&amp;'Tong_hop'!$C$4,T_GD[Ngày giao dịch sàn],"&lt;"&amp;'Tong_hop'!$F$4)+SUMIFS(T_Chuyen[Phí chuyển đã xác nhận],T_Chuyen[Sàn],A60,T_Chuyen[Shop],B60,T_Chuyen[Ngày trừ số dư],"&gt;="&amp;'Tong_hop'!$C$4,T_Chuyen[Ngày trừ số dư],"&lt;"&amp;'Tong_hop'!$F$4)))</x:f>
      </x:c>
      <x:c r="V60" s="27" t="str">
        <x:f>IF(P60="","",IF(AC60&gt;0,"n.a.",SUMIFS(T_GD[Điều chỉnh khác +/-],T_GD[Sàn],A60,T_GD[Shop],B60,T_GD[Ngày giao dịch sàn],"&gt;="&amp;'Tong_hop'!$C$4,T_GD[Ngày giao dịch sàn],"&lt;"&amp;'Tong_hop'!$F$4)+SUMIFS(T_GD[Nạp vào số dư],T_GD[Sàn],A60,T_GD[Shop],B60,T_GD[Ngày giao dịch sàn],"&gt;="&amp;'Tong_hop'!$C$4,T_GD[Ngày giao dịch sàn],"&lt;"&amp;'Tong_hop'!$F$4)))</x:f>
      </x:c>
      <x:c r="W60" s="27" t="str">
        <x:f>IF(P60="","",IF(AC60&gt;0,"n.a.",SUMIFS(T_NH[Tiền thực nhận],T_NH[Sàn],A60,T_NH[Shop],B60,T_NH[Ngày báo Có],"&gt;="&amp;'Tong_hop'!$C$4,T_NH[Ngày báo Có],"&lt;"&amp;'Tong_hop'!$F$4)))</x:f>
      </x:c>
      <x:c r="X60" s="27" t="str">
        <x:f>IF(P60="","",IF(AC60&gt;0,"n.a.",D60+S60-T60-U60+V60-W60))</x:f>
      </x:c>
      <x:c r="Y60" s="27" t="str">
        <x:f>IF(P60="","",IF(AC60&gt;0,"n.a.",SUMIFS(T_GD[Thực ghi số dư +/-],T_GD[Sàn],A60,T_GD[Shop],B60,T_GD[Ngày giao dịch sàn],"&gt;="&amp;'Tong_hop'!$C$4,T_GD[Ngày giao dịch sàn],"&lt;"&amp;'Tong_hop'!$F$4,T_GD[Nhóm giao dịch],"Quyết toán")))</x:f>
      </x:c>
      <x:c r="Z60" s="27" t="str">
        <x:f>IF(P60="","",IF(AC60&gt;0,"n.a.",E60+SUMIFS(T_GD[Thực ghi số dư +/-],T_GD[Sàn],A60,T_GD[Shop],B60,T_GD[Ngày giao dịch sàn],"&gt;="&amp;'Tong_hop'!$C$4,T_GD[Ngày giao dịch sàn],"&lt;"&amp;'Tong_hop'!$F$4)-SUMIFS(T_Chuyen[Tiền trừ số dư],T_Chuyen[Sàn],A60,T_Chuyen[Shop],B60,T_Chuyen[Ngày trừ số dư],"&gt;="&amp;'Tong_hop'!$C$4,T_Chuyen[Ngày trừ số dư],"&lt;"&amp;'Tong_hop'!$F$4)))</x:f>
      </x:c>
      <x:c r="AA60" s="27" t="str">
        <x:f>IF(P60="","",IF(AC60&gt;0,"n.a.",SUMIFS(T_Chuyen[Còn đang chuyển],T_Chuyen[Sàn],A60,T_Chuyen[Shop],B60)))</x:f>
      </x:c>
      <x:c r="AB60" s="27" t="str">
        <x:f>IF(P60="","",IF(AC60&gt;0,"n.a.",SUMIFS(T_Chuyen[Tiền trừ số dư],T_Chuyen[Sàn],A60,T_Chuyen[Shop],B60,T_Chuyen[Ngày trừ số dư],"&gt;="&amp;'Tong_hop'!$C$4,T_Chuyen[Ngày trừ số dư],"&lt;"&amp;'Tong_hop'!$F$4)))</x:f>
      </x:c>
      <x:c r="AC60" s="28" t="str">
        <x:f>IF(P60="","",IF(R60="",0,1)+COUNTIFS(T_Don[Sàn],A60,T_Don[Shop],B60,T_Don[Kiểm tra dữ liệu],"?*")+COUNTIFS(T_GD[Sàn],A60,T_GD[Shop],B60,T_GD[Kiểm tra dữ liệu],"?*")+COUNTIFS(T_Chuyen[Sàn],A60,T_Chuyen[Shop],B60,T_Chuyen[Kiểm tra dữ liệu],"?*")+COUNTIFS(T_NH[Sàn],A60,T_NH[Shop],B60,T_NH[Kiểm tra dữ liệu],"?*"))</x:f>
      </x:c>
    </x:row>
    <x:row r="61" ht="22" customHeight="1">
      <x:c r="A61" s="10"/>
      <x:c r="B61" s="10"/>
      <x:c r="C61" s="25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10"/>
      <x:c r="O61" s="10"/>
      <x:c r="P61" s="23" t="str">
        <x:f>IF(AND(A61="",B61=""),"",A61&amp;"|"&amp;B61)</x:f>
      </x:c>
      <x:c r="Q61" s="27" t="str">
        <x:f>IF(P61="","",IF(COUNT(F61:J61)=5,SUM(F61:J61),"n.a."))</x:f>
      </x:c>
      <x:c r="R61" s="23" t="str">
        <x:f>IF(COUNTA(A61:O61)=0,"",IF(OR(NOT(OR(A61="TikTok Shop",A61="Shopee",A61="Lazada")),B61="",NOT(ISNUMBER(C61)),COUNT(D61:M61)&lt;&gt;10),"Thiếu/sai số dư",IF(C61&lt;&gt;'Tong_hop'!$F$4-1,"Sai ngày chốt",IF(COUNTIFS(T_SoDu[Khóa shop],P61)&lt;&gt;1,"Trùng shop",IF(AND(N61&lt;&gt;"Đã đủ",N61&lt;&gt;"Chưa"),"Thiếu xác nhận nguồn","")))))</x:f>
      </x:c>
      <x:c r="S61" s="27" t="str">
        <x:f>IF(P61="","",IF(AC61&gt;0,"n.a.",SUMIFS(T_Don[Phải thu gộp],T_Don[Sàn],A61,T_Don[Shop],B61,T_Don[Ngày ghi nhận bán],"&gt;="&amp;'Tong_hop'!$C$4,T_Don[Ngày ghi nhận bán],"&lt;"&amp;'Tong_hop'!$F$4)))</x:f>
      </x:c>
      <x:c r="T61" s="27" t="str">
        <x:f>IF(P61="","",IF(AC61&gt;0,"n.a.",SUMIFS(T_GD[Hoàn tiền shop chịu],T_GD[Sàn],A61,T_GD[Shop],B61,T_GD[Ngày giao dịch sàn],"&gt;="&amp;'Tong_hop'!$C$4,T_GD[Ngày giao dịch sàn],"&lt;"&amp;'Tong_hop'!$F$4)))</x:f>
      </x:c>
      <x:c r="U61" s="27" t="str">
        <x:f>IF(P61="","",IF(AC61&gt;0,"n.a.",SUMIFS(T_GD[Phí sàn cấn trừ],T_GD[Sàn],A61,T_GD[Shop],B61,T_GD[Ngày giao dịch sàn],"&gt;="&amp;'Tong_hop'!$C$4,T_GD[Ngày giao dịch sàn],"&lt;"&amp;'Tong_hop'!$F$4)+SUMIFS(T_GD[Ship shop chịu],T_GD[Sàn],A61,T_GD[Shop],B61,T_GD[Ngày giao dịch sàn],"&gt;="&amp;'Tong_hop'!$C$4,T_GD[Ngày giao dịch sàn],"&lt;"&amp;'Tong_hop'!$F$4)+SUMIFS(T_Chuyen[Phí chuyển đã xác nhận],T_Chuyen[Sàn],A61,T_Chuyen[Shop],B61,T_Chuyen[Ngày trừ số dư],"&gt;="&amp;'Tong_hop'!$C$4,T_Chuyen[Ngày trừ số dư],"&lt;"&amp;'Tong_hop'!$F$4)))</x:f>
      </x:c>
      <x:c r="V61" s="27" t="str">
        <x:f>IF(P61="","",IF(AC61&gt;0,"n.a.",SUMIFS(T_GD[Điều chỉnh khác +/-],T_GD[Sàn],A61,T_GD[Shop],B61,T_GD[Ngày giao dịch sàn],"&gt;="&amp;'Tong_hop'!$C$4,T_GD[Ngày giao dịch sàn],"&lt;"&amp;'Tong_hop'!$F$4)+SUMIFS(T_GD[Nạp vào số dư],T_GD[Sàn],A61,T_GD[Shop],B61,T_GD[Ngày giao dịch sàn],"&gt;="&amp;'Tong_hop'!$C$4,T_GD[Ngày giao dịch sàn],"&lt;"&amp;'Tong_hop'!$F$4)))</x:f>
      </x:c>
      <x:c r="W61" s="27" t="str">
        <x:f>IF(P61="","",IF(AC61&gt;0,"n.a.",SUMIFS(T_NH[Tiền thực nhận],T_NH[Sàn],A61,T_NH[Shop],B61,T_NH[Ngày báo Có],"&gt;="&amp;'Tong_hop'!$C$4,T_NH[Ngày báo Có],"&lt;"&amp;'Tong_hop'!$F$4)))</x:f>
      </x:c>
      <x:c r="X61" s="27" t="str">
        <x:f>IF(P61="","",IF(AC61&gt;0,"n.a.",D61+S61-T61-U61+V61-W61))</x:f>
      </x:c>
      <x:c r="Y61" s="27" t="str">
        <x:f>IF(P61="","",IF(AC61&gt;0,"n.a.",SUMIFS(T_GD[Thực ghi số dư +/-],T_GD[Sàn],A61,T_GD[Shop],B61,T_GD[Ngày giao dịch sàn],"&gt;="&amp;'Tong_hop'!$C$4,T_GD[Ngày giao dịch sàn],"&lt;"&amp;'Tong_hop'!$F$4,T_GD[Nhóm giao dịch],"Quyết toán")))</x:f>
      </x:c>
      <x:c r="Z61" s="27" t="str">
        <x:f>IF(P61="","",IF(AC61&gt;0,"n.a.",E61+SUMIFS(T_GD[Thực ghi số dư +/-],T_GD[Sàn],A61,T_GD[Shop],B61,T_GD[Ngày giao dịch sàn],"&gt;="&amp;'Tong_hop'!$C$4,T_GD[Ngày giao dịch sàn],"&lt;"&amp;'Tong_hop'!$F$4)-SUMIFS(T_Chuyen[Tiền trừ số dư],T_Chuyen[Sàn],A61,T_Chuyen[Shop],B61,T_Chuyen[Ngày trừ số dư],"&gt;="&amp;'Tong_hop'!$C$4,T_Chuyen[Ngày trừ số dư],"&lt;"&amp;'Tong_hop'!$F$4)))</x:f>
      </x:c>
      <x:c r="AA61" s="27" t="str">
        <x:f>IF(P61="","",IF(AC61&gt;0,"n.a.",SUMIFS(T_Chuyen[Còn đang chuyển],T_Chuyen[Sàn],A61,T_Chuyen[Shop],B61)))</x:f>
      </x:c>
      <x:c r="AB61" s="27" t="str">
        <x:f>IF(P61="","",IF(AC61&gt;0,"n.a.",SUMIFS(T_Chuyen[Tiền trừ số dư],T_Chuyen[Sàn],A61,T_Chuyen[Shop],B61,T_Chuyen[Ngày trừ số dư],"&gt;="&amp;'Tong_hop'!$C$4,T_Chuyen[Ngày trừ số dư],"&lt;"&amp;'Tong_hop'!$F$4)))</x:f>
      </x:c>
      <x:c r="AC61" s="28" t="str">
        <x:f>IF(P61="","",IF(R61="",0,1)+COUNTIFS(T_Don[Sàn],A61,T_Don[Shop],B61,T_Don[Kiểm tra dữ liệu],"?*")+COUNTIFS(T_GD[Sàn],A61,T_GD[Shop],B61,T_GD[Kiểm tra dữ liệu],"?*")+COUNTIFS(T_Chuyen[Sàn],A61,T_Chuyen[Shop],B61,T_Chuyen[Kiểm tra dữ liệu],"?*")+COUNTIFS(T_NH[Sàn],A61,T_NH[Shop],B61,T_NH[Kiểm tra dữ liệu],"?*"))</x:f>
      </x:c>
    </x:row>
    <x:row r="62" ht="22" customHeight="1">
      <x:c r="A62" s="10"/>
      <x:c r="B62" s="10"/>
      <x:c r="C62" s="25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10"/>
      <x:c r="O62" s="10"/>
      <x:c r="P62" s="23" t="str">
        <x:f>IF(AND(A62="",B62=""),"",A62&amp;"|"&amp;B62)</x:f>
      </x:c>
      <x:c r="Q62" s="27" t="str">
        <x:f>IF(P62="","",IF(COUNT(F62:J62)=5,SUM(F62:J62),"n.a."))</x:f>
      </x:c>
      <x:c r="R62" s="23" t="str">
        <x:f>IF(COUNTA(A62:O62)=0,"",IF(OR(NOT(OR(A62="TikTok Shop",A62="Shopee",A62="Lazada")),B62="",NOT(ISNUMBER(C62)),COUNT(D62:M62)&lt;&gt;10),"Thiếu/sai số dư",IF(C62&lt;&gt;'Tong_hop'!$F$4-1,"Sai ngày chốt",IF(COUNTIFS(T_SoDu[Khóa shop],P62)&lt;&gt;1,"Trùng shop",IF(AND(N62&lt;&gt;"Đã đủ",N62&lt;&gt;"Chưa"),"Thiếu xác nhận nguồn","")))))</x:f>
      </x:c>
      <x:c r="S62" s="27" t="str">
        <x:f>IF(P62="","",IF(AC62&gt;0,"n.a.",SUMIFS(T_Don[Phải thu gộp],T_Don[Sàn],A62,T_Don[Shop],B62,T_Don[Ngày ghi nhận bán],"&gt;="&amp;'Tong_hop'!$C$4,T_Don[Ngày ghi nhận bán],"&lt;"&amp;'Tong_hop'!$F$4)))</x:f>
      </x:c>
      <x:c r="T62" s="27" t="str">
        <x:f>IF(P62="","",IF(AC62&gt;0,"n.a.",SUMIFS(T_GD[Hoàn tiền shop chịu],T_GD[Sàn],A62,T_GD[Shop],B62,T_GD[Ngày giao dịch sàn],"&gt;="&amp;'Tong_hop'!$C$4,T_GD[Ngày giao dịch sàn],"&lt;"&amp;'Tong_hop'!$F$4)))</x:f>
      </x:c>
      <x:c r="U62" s="27" t="str">
        <x:f>IF(P62="","",IF(AC62&gt;0,"n.a.",SUMIFS(T_GD[Phí sàn cấn trừ],T_GD[Sàn],A62,T_GD[Shop],B62,T_GD[Ngày giao dịch sàn],"&gt;="&amp;'Tong_hop'!$C$4,T_GD[Ngày giao dịch sàn],"&lt;"&amp;'Tong_hop'!$F$4)+SUMIFS(T_GD[Ship shop chịu],T_GD[Sàn],A62,T_GD[Shop],B62,T_GD[Ngày giao dịch sàn],"&gt;="&amp;'Tong_hop'!$C$4,T_GD[Ngày giao dịch sàn],"&lt;"&amp;'Tong_hop'!$F$4)+SUMIFS(T_Chuyen[Phí chuyển đã xác nhận],T_Chuyen[Sàn],A62,T_Chuyen[Shop],B62,T_Chuyen[Ngày trừ số dư],"&gt;="&amp;'Tong_hop'!$C$4,T_Chuyen[Ngày trừ số dư],"&lt;"&amp;'Tong_hop'!$F$4)))</x:f>
      </x:c>
      <x:c r="V62" s="27" t="str">
        <x:f>IF(P62="","",IF(AC62&gt;0,"n.a.",SUMIFS(T_GD[Điều chỉnh khác +/-],T_GD[Sàn],A62,T_GD[Shop],B62,T_GD[Ngày giao dịch sàn],"&gt;="&amp;'Tong_hop'!$C$4,T_GD[Ngày giao dịch sàn],"&lt;"&amp;'Tong_hop'!$F$4)+SUMIFS(T_GD[Nạp vào số dư],T_GD[Sàn],A62,T_GD[Shop],B62,T_GD[Ngày giao dịch sàn],"&gt;="&amp;'Tong_hop'!$C$4,T_GD[Ngày giao dịch sàn],"&lt;"&amp;'Tong_hop'!$F$4)))</x:f>
      </x:c>
      <x:c r="W62" s="27" t="str">
        <x:f>IF(P62="","",IF(AC62&gt;0,"n.a.",SUMIFS(T_NH[Tiền thực nhận],T_NH[Sàn],A62,T_NH[Shop],B62,T_NH[Ngày báo Có],"&gt;="&amp;'Tong_hop'!$C$4,T_NH[Ngày báo Có],"&lt;"&amp;'Tong_hop'!$F$4)))</x:f>
      </x:c>
      <x:c r="X62" s="27" t="str">
        <x:f>IF(P62="","",IF(AC62&gt;0,"n.a.",D62+S62-T62-U62+V62-W62))</x:f>
      </x:c>
      <x:c r="Y62" s="27" t="str">
        <x:f>IF(P62="","",IF(AC62&gt;0,"n.a.",SUMIFS(T_GD[Thực ghi số dư +/-],T_GD[Sàn],A62,T_GD[Shop],B62,T_GD[Ngày giao dịch sàn],"&gt;="&amp;'Tong_hop'!$C$4,T_GD[Ngày giao dịch sàn],"&lt;"&amp;'Tong_hop'!$F$4,T_GD[Nhóm giao dịch],"Quyết toán")))</x:f>
      </x:c>
      <x:c r="Z62" s="27" t="str">
        <x:f>IF(P62="","",IF(AC62&gt;0,"n.a.",E62+SUMIFS(T_GD[Thực ghi số dư +/-],T_GD[Sàn],A62,T_GD[Shop],B62,T_GD[Ngày giao dịch sàn],"&gt;="&amp;'Tong_hop'!$C$4,T_GD[Ngày giao dịch sàn],"&lt;"&amp;'Tong_hop'!$F$4)-SUMIFS(T_Chuyen[Tiền trừ số dư],T_Chuyen[Sàn],A62,T_Chuyen[Shop],B62,T_Chuyen[Ngày trừ số dư],"&gt;="&amp;'Tong_hop'!$C$4,T_Chuyen[Ngày trừ số dư],"&lt;"&amp;'Tong_hop'!$F$4)))</x:f>
      </x:c>
      <x:c r="AA62" s="27" t="str">
        <x:f>IF(P62="","",IF(AC62&gt;0,"n.a.",SUMIFS(T_Chuyen[Còn đang chuyển],T_Chuyen[Sàn],A62,T_Chuyen[Shop],B62)))</x:f>
      </x:c>
      <x:c r="AB62" s="27" t="str">
        <x:f>IF(P62="","",IF(AC62&gt;0,"n.a.",SUMIFS(T_Chuyen[Tiền trừ số dư],T_Chuyen[Sàn],A62,T_Chuyen[Shop],B62,T_Chuyen[Ngày trừ số dư],"&gt;="&amp;'Tong_hop'!$C$4,T_Chuyen[Ngày trừ số dư],"&lt;"&amp;'Tong_hop'!$F$4)))</x:f>
      </x:c>
      <x:c r="AC62" s="28" t="str">
        <x:f>IF(P62="","",IF(R62="",0,1)+COUNTIFS(T_Don[Sàn],A62,T_Don[Shop],B62,T_Don[Kiểm tra dữ liệu],"?*")+COUNTIFS(T_GD[Sàn],A62,T_GD[Shop],B62,T_GD[Kiểm tra dữ liệu],"?*")+COUNTIFS(T_Chuyen[Sàn],A62,T_Chuyen[Shop],B62,T_Chuyen[Kiểm tra dữ liệu],"?*")+COUNTIFS(T_NH[Sàn],A62,T_NH[Shop],B62,T_NH[Kiểm tra dữ liệu],"?*"))</x:f>
      </x:c>
    </x:row>
    <x:row r="63" ht="22" customHeight="1">
      <x:c r="A63" s="10"/>
      <x:c r="B63" s="10"/>
      <x:c r="C63" s="25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10"/>
      <x:c r="O63" s="10"/>
      <x:c r="P63" s="23" t="str">
        <x:f>IF(AND(A63="",B63=""),"",A63&amp;"|"&amp;B63)</x:f>
      </x:c>
      <x:c r="Q63" s="27" t="str">
        <x:f>IF(P63="","",IF(COUNT(F63:J63)=5,SUM(F63:J63),"n.a."))</x:f>
      </x:c>
      <x:c r="R63" s="23" t="str">
        <x:f>IF(COUNTA(A63:O63)=0,"",IF(OR(NOT(OR(A63="TikTok Shop",A63="Shopee",A63="Lazada")),B63="",NOT(ISNUMBER(C63)),COUNT(D63:M63)&lt;&gt;10),"Thiếu/sai số dư",IF(C63&lt;&gt;'Tong_hop'!$F$4-1,"Sai ngày chốt",IF(COUNTIFS(T_SoDu[Khóa shop],P63)&lt;&gt;1,"Trùng shop",IF(AND(N63&lt;&gt;"Đã đủ",N63&lt;&gt;"Chưa"),"Thiếu xác nhận nguồn","")))))</x:f>
      </x:c>
      <x:c r="S63" s="27" t="str">
        <x:f>IF(P63="","",IF(AC63&gt;0,"n.a.",SUMIFS(T_Don[Phải thu gộp],T_Don[Sàn],A63,T_Don[Shop],B63,T_Don[Ngày ghi nhận bán],"&gt;="&amp;'Tong_hop'!$C$4,T_Don[Ngày ghi nhận bán],"&lt;"&amp;'Tong_hop'!$F$4)))</x:f>
      </x:c>
      <x:c r="T63" s="27" t="str">
        <x:f>IF(P63="","",IF(AC63&gt;0,"n.a.",SUMIFS(T_GD[Hoàn tiền shop chịu],T_GD[Sàn],A63,T_GD[Shop],B63,T_GD[Ngày giao dịch sàn],"&gt;="&amp;'Tong_hop'!$C$4,T_GD[Ngày giao dịch sàn],"&lt;"&amp;'Tong_hop'!$F$4)))</x:f>
      </x:c>
      <x:c r="U63" s="27" t="str">
        <x:f>IF(P63="","",IF(AC63&gt;0,"n.a.",SUMIFS(T_GD[Phí sàn cấn trừ],T_GD[Sàn],A63,T_GD[Shop],B63,T_GD[Ngày giao dịch sàn],"&gt;="&amp;'Tong_hop'!$C$4,T_GD[Ngày giao dịch sàn],"&lt;"&amp;'Tong_hop'!$F$4)+SUMIFS(T_GD[Ship shop chịu],T_GD[Sàn],A63,T_GD[Shop],B63,T_GD[Ngày giao dịch sàn],"&gt;="&amp;'Tong_hop'!$C$4,T_GD[Ngày giao dịch sàn],"&lt;"&amp;'Tong_hop'!$F$4)+SUMIFS(T_Chuyen[Phí chuyển đã xác nhận],T_Chuyen[Sàn],A63,T_Chuyen[Shop],B63,T_Chuyen[Ngày trừ số dư],"&gt;="&amp;'Tong_hop'!$C$4,T_Chuyen[Ngày trừ số dư],"&lt;"&amp;'Tong_hop'!$F$4)))</x:f>
      </x:c>
      <x:c r="V63" s="27" t="str">
        <x:f>IF(P63="","",IF(AC63&gt;0,"n.a.",SUMIFS(T_GD[Điều chỉnh khác +/-],T_GD[Sàn],A63,T_GD[Shop],B63,T_GD[Ngày giao dịch sàn],"&gt;="&amp;'Tong_hop'!$C$4,T_GD[Ngày giao dịch sàn],"&lt;"&amp;'Tong_hop'!$F$4)+SUMIFS(T_GD[Nạp vào số dư],T_GD[Sàn],A63,T_GD[Shop],B63,T_GD[Ngày giao dịch sàn],"&gt;="&amp;'Tong_hop'!$C$4,T_GD[Ngày giao dịch sàn],"&lt;"&amp;'Tong_hop'!$F$4)))</x:f>
      </x:c>
      <x:c r="W63" s="27" t="str">
        <x:f>IF(P63="","",IF(AC63&gt;0,"n.a.",SUMIFS(T_NH[Tiền thực nhận],T_NH[Sàn],A63,T_NH[Shop],B63,T_NH[Ngày báo Có],"&gt;="&amp;'Tong_hop'!$C$4,T_NH[Ngày báo Có],"&lt;"&amp;'Tong_hop'!$F$4)))</x:f>
      </x:c>
      <x:c r="X63" s="27" t="str">
        <x:f>IF(P63="","",IF(AC63&gt;0,"n.a.",D63+S63-T63-U63+V63-W63))</x:f>
      </x:c>
      <x:c r="Y63" s="27" t="str">
        <x:f>IF(P63="","",IF(AC63&gt;0,"n.a.",SUMIFS(T_GD[Thực ghi số dư +/-],T_GD[Sàn],A63,T_GD[Shop],B63,T_GD[Ngày giao dịch sàn],"&gt;="&amp;'Tong_hop'!$C$4,T_GD[Ngày giao dịch sàn],"&lt;"&amp;'Tong_hop'!$F$4,T_GD[Nhóm giao dịch],"Quyết toán")))</x:f>
      </x:c>
      <x:c r="Z63" s="27" t="str">
        <x:f>IF(P63="","",IF(AC63&gt;0,"n.a.",E63+SUMIFS(T_GD[Thực ghi số dư +/-],T_GD[Sàn],A63,T_GD[Shop],B63,T_GD[Ngày giao dịch sàn],"&gt;="&amp;'Tong_hop'!$C$4,T_GD[Ngày giao dịch sàn],"&lt;"&amp;'Tong_hop'!$F$4)-SUMIFS(T_Chuyen[Tiền trừ số dư],T_Chuyen[Sàn],A63,T_Chuyen[Shop],B63,T_Chuyen[Ngày trừ số dư],"&gt;="&amp;'Tong_hop'!$C$4,T_Chuyen[Ngày trừ số dư],"&lt;"&amp;'Tong_hop'!$F$4)))</x:f>
      </x:c>
      <x:c r="AA63" s="27" t="str">
        <x:f>IF(P63="","",IF(AC63&gt;0,"n.a.",SUMIFS(T_Chuyen[Còn đang chuyển],T_Chuyen[Sàn],A63,T_Chuyen[Shop],B63)))</x:f>
      </x:c>
      <x:c r="AB63" s="27" t="str">
        <x:f>IF(P63="","",IF(AC63&gt;0,"n.a.",SUMIFS(T_Chuyen[Tiền trừ số dư],T_Chuyen[Sàn],A63,T_Chuyen[Shop],B63,T_Chuyen[Ngày trừ số dư],"&gt;="&amp;'Tong_hop'!$C$4,T_Chuyen[Ngày trừ số dư],"&lt;"&amp;'Tong_hop'!$F$4)))</x:f>
      </x:c>
      <x:c r="AC63" s="28" t="str">
        <x:f>IF(P63="","",IF(R63="",0,1)+COUNTIFS(T_Don[Sàn],A63,T_Don[Shop],B63,T_Don[Kiểm tra dữ liệu],"?*")+COUNTIFS(T_GD[Sàn],A63,T_GD[Shop],B63,T_GD[Kiểm tra dữ liệu],"?*")+COUNTIFS(T_Chuyen[Sàn],A63,T_Chuyen[Shop],B63,T_Chuyen[Kiểm tra dữ liệu],"?*")+COUNTIFS(T_NH[Sàn],A63,T_NH[Shop],B63,T_NH[Kiểm tra dữ liệu],"?*"))</x:f>
      </x:c>
    </x:row>
    <x:row r="64" ht="22" customHeight="1">
      <x:c r="A64" s="10"/>
      <x:c r="B64" s="10"/>
      <x:c r="C64" s="25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10"/>
      <x:c r="O64" s="10"/>
      <x:c r="P64" s="23" t="str">
        <x:f>IF(AND(A64="",B64=""),"",A64&amp;"|"&amp;B64)</x:f>
      </x:c>
      <x:c r="Q64" s="27" t="str">
        <x:f>IF(P64="","",IF(COUNT(F64:J64)=5,SUM(F64:J64),"n.a."))</x:f>
      </x:c>
      <x:c r="R64" s="23" t="str">
        <x:f>IF(COUNTA(A64:O64)=0,"",IF(OR(NOT(OR(A64="TikTok Shop",A64="Shopee",A64="Lazada")),B64="",NOT(ISNUMBER(C64)),COUNT(D64:M64)&lt;&gt;10),"Thiếu/sai số dư",IF(C64&lt;&gt;'Tong_hop'!$F$4-1,"Sai ngày chốt",IF(COUNTIFS(T_SoDu[Khóa shop],P64)&lt;&gt;1,"Trùng shop",IF(AND(N64&lt;&gt;"Đã đủ",N64&lt;&gt;"Chưa"),"Thiếu xác nhận nguồn","")))))</x:f>
      </x:c>
      <x:c r="S64" s="27" t="str">
        <x:f>IF(P64="","",IF(AC64&gt;0,"n.a.",SUMIFS(T_Don[Phải thu gộp],T_Don[Sàn],A64,T_Don[Shop],B64,T_Don[Ngày ghi nhận bán],"&gt;="&amp;'Tong_hop'!$C$4,T_Don[Ngày ghi nhận bán],"&lt;"&amp;'Tong_hop'!$F$4)))</x:f>
      </x:c>
      <x:c r="T64" s="27" t="str">
        <x:f>IF(P64="","",IF(AC64&gt;0,"n.a.",SUMIFS(T_GD[Hoàn tiền shop chịu],T_GD[Sàn],A64,T_GD[Shop],B64,T_GD[Ngày giao dịch sàn],"&gt;="&amp;'Tong_hop'!$C$4,T_GD[Ngày giao dịch sàn],"&lt;"&amp;'Tong_hop'!$F$4)))</x:f>
      </x:c>
      <x:c r="U64" s="27" t="str">
        <x:f>IF(P64="","",IF(AC64&gt;0,"n.a.",SUMIFS(T_GD[Phí sàn cấn trừ],T_GD[Sàn],A64,T_GD[Shop],B64,T_GD[Ngày giao dịch sàn],"&gt;="&amp;'Tong_hop'!$C$4,T_GD[Ngày giao dịch sàn],"&lt;"&amp;'Tong_hop'!$F$4)+SUMIFS(T_GD[Ship shop chịu],T_GD[Sàn],A64,T_GD[Shop],B64,T_GD[Ngày giao dịch sàn],"&gt;="&amp;'Tong_hop'!$C$4,T_GD[Ngày giao dịch sàn],"&lt;"&amp;'Tong_hop'!$F$4)+SUMIFS(T_Chuyen[Phí chuyển đã xác nhận],T_Chuyen[Sàn],A64,T_Chuyen[Shop],B64,T_Chuyen[Ngày trừ số dư],"&gt;="&amp;'Tong_hop'!$C$4,T_Chuyen[Ngày trừ số dư],"&lt;"&amp;'Tong_hop'!$F$4)))</x:f>
      </x:c>
      <x:c r="V64" s="27" t="str">
        <x:f>IF(P64="","",IF(AC64&gt;0,"n.a.",SUMIFS(T_GD[Điều chỉnh khác +/-],T_GD[Sàn],A64,T_GD[Shop],B64,T_GD[Ngày giao dịch sàn],"&gt;="&amp;'Tong_hop'!$C$4,T_GD[Ngày giao dịch sàn],"&lt;"&amp;'Tong_hop'!$F$4)+SUMIFS(T_GD[Nạp vào số dư],T_GD[Sàn],A64,T_GD[Shop],B64,T_GD[Ngày giao dịch sàn],"&gt;="&amp;'Tong_hop'!$C$4,T_GD[Ngày giao dịch sàn],"&lt;"&amp;'Tong_hop'!$F$4)))</x:f>
      </x:c>
      <x:c r="W64" s="27" t="str">
        <x:f>IF(P64="","",IF(AC64&gt;0,"n.a.",SUMIFS(T_NH[Tiền thực nhận],T_NH[Sàn],A64,T_NH[Shop],B64,T_NH[Ngày báo Có],"&gt;="&amp;'Tong_hop'!$C$4,T_NH[Ngày báo Có],"&lt;"&amp;'Tong_hop'!$F$4)))</x:f>
      </x:c>
      <x:c r="X64" s="27" t="str">
        <x:f>IF(P64="","",IF(AC64&gt;0,"n.a.",D64+S64-T64-U64+V64-W64))</x:f>
      </x:c>
      <x:c r="Y64" s="27" t="str">
        <x:f>IF(P64="","",IF(AC64&gt;0,"n.a.",SUMIFS(T_GD[Thực ghi số dư +/-],T_GD[Sàn],A64,T_GD[Shop],B64,T_GD[Ngày giao dịch sàn],"&gt;="&amp;'Tong_hop'!$C$4,T_GD[Ngày giao dịch sàn],"&lt;"&amp;'Tong_hop'!$F$4,T_GD[Nhóm giao dịch],"Quyết toán")))</x:f>
      </x:c>
      <x:c r="Z64" s="27" t="str">
        <x:f>IF(P64="","",IF(AC64&gt;0,"n.a.",E64+SUMIFS(T_GD[Thực ghi số dư +/-],T_GD[Sàn],A64,T_GD[Shop],B64,T_GD[Ngày giao dịch sàn],"&gt;="&amp;'Tong_hop'!$C$4,T_GD[Ngày giao dịch sàn],"&lt;"&amp;'Tong_hop'!$F$4)-SUMIFS(T_Chuyen[Tiền trừ số dư],T_Chuyen[Sàn],A64,T_Chuyen[Shop],B64,T_Chuyen[Ngày trừ số dư],"&gt;="&amp;'Tong_hop'!$C$4,T_Chuyen[Ngày trừ số dư],"&lt;"&amp;'Tong_hop'!$F$4)))</x:f>
      </x:c>
      <x:c r="AA64" s="27" t="str">
        <x:f>IF(P64="","",IF(AC64&gt;0,"n.a.",SUMIFS(T_Chuyen[Còn đang chuyển],T_Chuyen[Sàn],A64,T_Chuyen[Shop],B64)))</x:f>
      </x:c>
      <x:c r="AB64" s="27" t="str">
        <x:f>IF(P64="","",IF(AC64&gt;0,"n.a.",SUMIFS(T_Chuyen[Tiền trừ số dư],T_Chuyen[Sàn],A64,T_Chuyen[Shop],B64,T_Chuyen[Ngày trừ số dư],"&gt;="&amp;'Tong_hop'!$C$4,T_Chuyen[Ngày trừ số dư],"&lt;"&amp;'Tong_hop'!$F$4)))</x:f>
      </x:c>
      <x:c r="AC64" s="28" t="str">
        <x:f>IF(P64="","",IF(R64="",0,1)+COUNTIFS(T_Don[Sàn],A64,T_Don[Shop],B64,T_Don[Kiểm tra dữ liệu],"?*")+COUNTIFS(T_GD[Sàn],A64,T_GD[Shop],B64,T_GD[Kiểm tra dữ liệu],"?*")+COUNTIFS(T_Chuyen[Sàn],A64,T_Chuyen[Shop],B64,T_Chuyen[Kiểm tra dữ liệu],"?*")+COUNTIFS(T_NH[Sàn],A64,T_NH[Shop],B64,T_NH[Kiểm tra dữ liệu],"?*"))</x:f>
      </x:c>
    </x:row>
    <x:row r="65" ht="22" customHeight="1">
      <x:c r="A65" s="10"/>
      <x:c r="B65" s="10"/>
      <x:c r="C65" s="25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10"/>
      <x:c r="O65" s="10"/>
      <x:c r="P65" s="23" t="str">
        <x:f>IF(AND(A65="",B65=""),"",A65&amp;"|"&amp;B65)</x:f>
      </x:c>
      <x:c r="Q65" s="27" t="str">
        <x:f>IF(P65="","",IF(COUNT(F65:J65)=5,SUM(F65:J65),"n.a."))</x:f>
      </x:c>
      <x:c r="R65" s="23" t="str">
        <x:f>IF(COUNTA(A65:O65)=0,"",IF(OR(NOT(OR(A65="TikTok Shop",A65="Shopee",A65="Lazada")),B65="",NOT(ISNUMBER(C65)),COUNT(D65:M65)&lt;&gt;10),"Thiếu/sai số dư",IF(C65&lt;&gt;'Tong_hop'!$F$4-1,"Sai ngày chốt",IF(COUNTIFS(T_SoDu[Khóa shop],P65)&lt;&gt;1,"Trùng shop",IF(AND(N65&lt;&gt;"Đã đủ",N65&lt;&gt;"Chưa"),"Thiếu xác nhận nguồn","")))))</x:f>
      </x:c>
      <x:c r="S65" s="27" t="str">
        <x:f>IF(P65="","",IF(AC65&gt;0,"n.a.",SUMIFS(T_Don[Phải thu gộp],T_Don[Sàn],A65,T_Don[Shop],B65,T_Don[Ngày ghi nhận bán],"&gt;="&amp;'Tong_hop'!$C$4,T_Don[Ngày ghi nhận bán],"&lt;"&amp;'Tong_hop'!$F$4)))</x:f>
      </x:c>
      <x:c r="T65" s="27" t="str">
        <x:f>IF(P65="","",IF(AC65&gt;0,"n.a.",SUMIFS(T_GD[Hoàn tiền shop chịu],T_GD[Sàn],A65,T_GD[Shop],B65,T_GD[Ngày giao dịch sàn],"&gt;="&amp;'Tong_hop'!$C$4,T_GD[Ngày giao dịch sàn],"&lt;"&amp;'Tong_hop'!$F$4)))</x:f>
      </x:c>
      <x:c r="U65" s="27" t="str">
        <x:f>IF(P65="","",IF(AC65&gt;0,"n.a.",SUMIFS(T_GD[Phí sàn cấn trừ],T_GD[Sàn],A65,T_GD[Shop],B65,T_GD[Ngày giao dịch sàn],"&gt;="&amp;'Tong_hop'!$C$4,T_GD[Ngày giao dịch sàn],"&lt;"&amp;'Tong_hop'!$F$4)+SUMIFS(T_GD[Ship shop chịu],T_GD[Sàn],A65,T_GD[Shop],B65,T_GD[Ngày giao dịch sàn],"&gt;="&amp;'Tong_hop'!$C$4,T_GD[Ngày giao dịch sàn],"&lt;"&amp;'Tong_hop'!$F$4)+SUMIFS(T_Chuyen[Phí chuyển đã xác nhận],T_Chuyen[Sàn],A65,T_Chuyen[Shop],B65,T_Chuyen[Ngày trừ số dư],"&gt;="&amp;'Tong_hop'!$C$4,T_Chuyen[Ngày trừ số dư],"&lt;"&amp;'Tong_hop'!$F$4)))</x:f>
      </x:c>
      <x:c r="V65" s="27" t="str">
        <x:f>IF(P65="","",IF(AC65&gt;0,"n.a.",SUMIFS(T_GD[Điều chỉnh khác +/-],T_GD[Sàn],A65,T_GD[Shop],B65,T_GD[Ngày giao dịch sàn],"&gt;="&amp;'Tong_hop'!$C$4,T_GD[Ngày giao dịch sàn],"&lt;"&amp;'Tong_hop'!$F$4)+SUMIFS(T_GD[Nạp vào số dư],T_GD[Sàn],A65,T_GD[Shop],B65,T_GD[Ngày giao dịch sàn],"&gt;="&amp;'Tong_hop'!$C$4,T_GD[Ngày giao dịch sàn],"&lt;"&amp;'Tong_hop'!$F$4)))</x:f>
      </x:c>
      <x:c r="W65" s="27" t="str">
        <x:f>IF(P65="","",IF(AC65&gt;0,"n.a.",SUMIFS(T_NH[Tiền thực nhận],T_NH[Sàn],A65,T_NH[Shop],B65,T_NH[Ngày báo Có],"&gt;="&amp;'Tong_hop'!$C$4,T_NH[Ngày báo Có],"&lt;"&amp;'Tong_hop'!$F$4)))</x:f>
      </x:c>
      <x:c r="X65" s="27" t="str">
        <x:f>IF(P65="","",IF(AC65&gt;0,"n.a.",D65+S65-T65-U65+V65-W65))</x:f>
      </x:c>
      <x:c r="Y65" s="27" t="str">
        <x:f>IF(P65="","",IF(AC65&gt;0,"n.a.",SUMIFS(T_GD[Thực ghi số dư +/-],T_GD[Sàn],A65,T_GD[Shop],B65,T_GD[Ngày giao dịch sàn],"&gt;="&amp;'Tong_hop'!$C$4,T_GD[Ngày giao dịch sàn],"&lt;"&amp;'Tong_hop'!$F$4,T_GD[Nhóm giao dịch],"Quyết toán")))</x:f>
      </x:c>
      <x:c r="Z65" s="27" t="str">
        <x:f>IF(P65="","",IF(AC65&gt;0,"n.a.",E65+SUMIFS(T_GD[Thực ghi số dư +/-],T_GD[Sàn],A65,T_GD[Shop],B65,T_GD[Ngày giao dịch sàn],"&gt;="&amp;'Tong_hop'!$C$4,T_GD[Ngày giao dịch sàn],"&lt;"&amp;'Tong_hop'!$F$4)-SUMIFS(T_Chuyen[Tiền trừ số dư],T_Chuyen[Sàn],A65,T_Chuyen[Shop],B65,T_Chuyen[Ngày trừ số dư],"&gt;="&amp;'Tong_hop'!$C$4,T_Chuyen[Ngày trừ số dư],"&lt;"&amp;'Tong_hop'!$F$4)))</x:f>
      </x:c>
      <x:c r="AA65" s="27" t="str">
        <x:f>IF(P65="","",IF(AC65&gt;0,"n.a.",SUMIFS(T_Chuyen[Còn đang chuyển],T_Chuyen[Sàn],A65,T_Chuyen[Shop],B65)))</x:f>
      </x:c>
      <x:c r="AB65" s="27" t="str">
        <x:f>IF(P65="","",IF(AC65&gt;0,"n.a.",SUMIFS(T_Chuyen[Tiền trừ số dư],T_Chuyen[Sàn],A65,T_Chuyen[Shop],B65,T_Chuyen[Ngày trừ số dư],"&gt;="&amp;'Tong_hop'!$C$4,T_Chuyen[Ngày trừ số dư],"&lt;"&amp;'Tong_hop'!$F$4)))</x:f>
      </x:c>
      <x:c r="AC65" s="28" t="str">
        <x:f>IF(P65="","",IF(R65="",0,1)+COUNTIFS(T_Don[Sàn],A65,T_Don[Shop],B65,T_Don[Kiểm tra dữ liệu],"?*")+COUNTIFS(T_GD[Sàn],A65,T_GD[Shop],B65,T_GD[Kiểm tra dữ liệu],"?*")+COUNTIFS(T_Chuyen[Sàn],A65,T_Chuyen[Shop],B65,T_Chuyen[Kiểm tra dữ liệu],"?*")+COUNTIFS(T_NH[Sàn],A65,T_NH[Shop],B65,T_NH[Kiểm tra dữ liệu],"?*"))</x:f>
      </x:c>
    </x:row>
    <x:row r="66" ht="22" customHeight="1">
      <x:c r="A66" s="10"/>
      <x:c r="B66" s="10"/>
      <x:c r="C66" s="25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10"/>
      <x:c r="O66" s="10"/>
      <x:c r="P66" s="23" t="str">
        <x:f>IF(AND(A66="",B66=""),"",A66&amp;"|"&amp;B66)</x:f>
      </x:c>
      <x:c r="Q66" s="27" t="str">
        <x:f>IF(P66="","",IF(COUNT(F66:J66)=5,SUM(F66:J66),"n.a."))</x:f>
      </x:c>
      <x:c r="R66" s="23" t="str">
        <x:f>IF(COUNTA(A66:O66)=0,"",IF(OR(NOT(OR(A66="TikTok Shop",A66="Shopee",A66="Lazada")),B66="",NOT(ISNUMBER(C66)),COUNT(D66:M66)&lt;&gt;10),"Thiếu/sai số dư",IF(C66&lt;&gt;'Tong_hop'!$F$4-1,"Sai ngày chốt",IF(COUNTIFS(T_SoDu[Khóa shop],P66)&lt;&gt;1,"Trùng shop",IF(AND(N66&lt;&gt;"Đã đủ",N66&lt;&gt;"Chưa"),"Thiếu xác nhận nguồn","")))))</x:f>
      </x:c>
      <x:c r="S66" s="27" t="str">
        <x:f>IF(P66="","",IF(AC66&gt;0,"n.a.",SUMIFS(T_Don[Phải thu gộp],T_Don[Sàn],A66,T_Don[Shop],B66,T_Don[Ngày ghi nhận bán],"&gt;="&amp;'Tong_hop'!$C$4,T_Don[Ngày ghi nhận bán],"&lt;"&amp;'Tong_hop'!$F$4)))</x:f>
      </x:c>
      <x:c r="T66" s="27" t="str">
        <x:f>IF(P66="","",IF(AC66&gt;0,"n.a.",SUMIFS(T_GD[Hoàn tiền shop chịu],T_GD[Sàn],A66,T_GD[Shop],B66,T_GD[Ngày giao dịch sàn],"&gt;="&amp;'Tong_hop'!$C$4,T_GD[Ngày giao dịch sàn],"&lt;"&amp;'Tong_hop'!$F$4)))</x:f>
      </x:c>
      <x:c r="U66" s="27" t="str">
        <x:f>IF(P66="","",IF(AC66&gt;0,"n.a.",SUMIFS(T_GD[Phí sàn cấn trừ],T_GD[Sàn],A66,T_GD[Shop],B66,T_GD[Ngày giao dịch sàn],"&gt;="&amp;'Tong_hop'!$C$4,T_GD[Ngày giao dịch sàn],"&lt;"&amp;'Tong_hop'!$F$4)+SUMIFS(T_GD[Ship shop chịu],T_GD[Sàn],A66,T_GD[Shop],B66,T_GD[Ngày giao dịch sàn],"&gt;="&amp;'Tong_hop'!$C$4,T_GD[Ngày giao dịch sàn],"&lt;"&amp;'Tong_hop'!$F$4)+SUMIFS(T_Chuyen[Phí chuyển đã xác nhận],T_Chuyen[Sàn],A66,T_Chuyen[Shop],B66,T_Chuyen[Ngày trừ số dư],"&gt;="&amp;'Tong_hop'!$C$4,T_Chuyen[Ngày trừ số dư],"&lt;"&amp;'Tong_hop'!$F$4)))</x:f>
      </x:c>
      <x:c r="V66" s="27" t="str">
        <x:f>IF(P66="","",IF(AC66&gt;0,"n.a.",SUMIFS(T_GD[Điều chỉnh khác +/-],T_GD[Sàn],A66,T_GD[Shop],B66,T_GD[Ngày giao dịch sàn],"&gt;="&amp;'Tong_hop'!$C$4,T_GD[Ngày giao dịch sàn],"&lt;"&amp;'Tong_hop'!$F$4)+SUMIFS(T_GD[Nạp vào số dư],T_GD[Sàn],A66,T_GD[Shop],B66,T_GD[Ngày giao dịch sàn],"&gt;="&amp;'Tong_hop'!$C$4,T_GD[Ngày giao dịch sàn],"&lt;"&amp;'Tong_hop'!$F$4)))</x:f>
      </x:c>
      <x:c r="W66" s="27" t="str">
        <x:f>IF(P66="","",IF(AC66&gt;0,"n.a.",SUMIFS(T_NH[Tiền thực nhận],T_NH[Sàn],A66,T_NH[Shop],B66,T_NH[Ngày báo Có],"&gt;="&amp;'Tong_hop'!$C$4,T_NH[Ngày báo Có],"&lt;"&amp;'Tong_hop'!$F$4)))</x:f>
      </x:c>
      <x:c r="X66" s="27" t="str">
        <x:f>IF(P66="","",IF(AC66&gt;0,"n.a.",D66+S66-T66-U66+V66-W66))</x:f>
      </x:c>
      <x:c r="Y66" s="27" t="str">
        <x:f>IF(P66="","",IF(AC66&gt;0,"n.a.",SUMIFS(T_GD[Thực ghi số dư +/-],T_GD[Sàn],A66,T_GD[Shop],B66,T_GD[Ngày giao dịch sàn],"&gt;="&amp;'Tong_hop'!$C$4,T_GD[Ngày giao dịch sàn],"&lt;"&amp;'Tong_hop'!$F$4,T_GD[Nhóm giao dịch],"Quyết toán")))</x:f>
      </x:c>
      <x:c r="Z66" s="27" t="str">
        <x:f>IF(P66="","",IF(AC66&gt;0,"n.a.",E66+SUMIFS(T_GD[Thực ghi số dư +/-],T_GD[Sàn],A66,T_GD[Shop],B66,T_GD[Ngày giao dịch sàn],"&gt;="&amp;'Tong_hop'!$C$4,T_GD[Ngày giao dịch sàn],"&lt;"&amp;'Tong_hop'!$F$4)-SUMIFS(T_Chuyen[Tiền trừ số dư],T_Chuyen[Sàn],A66,T_Chuyen[Shop],B66,T_Chuyen[Ngày trừ số dư],"&gt;="&amp;'Tong_hop'!$C$4,T_Chuyen[Ngày trừ số dư],"&lt;"&amp;'Tong_hop'!$F$4)))</x:f>
      </x:c>
      <x:c r="AA66" s="27" t="str">
        <x:f>IF(P66="","",IF(AC66&gt;0,"n.a.",SUMIFS(T_Chuyen[Còn đang chuyển],T_Chuyen[Sàn],A66,T_Chuyen[Shop],B66)))</x:f>
      </x:c>
      <x:c r="AB66" s="27" t="str">
        <x:f>IF(P66="","",IF(AC66&gt;0,"n.a.",SUMIFS(T_Chuyen[Tiền trừ số dư],T_Chuyen[Sàn],A66,T_Chuyen[Shop],B66,T_Chuyen[Ngày trừ số dư],"&gt;="&amp;'Tong_hop'!$C$4,T_Chuyen[Ngày trừ số dư],"&lt;"&amp;'Tong_hop'!$F$4)))</x:f>
      </x:c>
      <x:c r="AC66" s="28" t="str">
        <x:f>IF(P66="","",IF(R66="",0,1)+COUNTIFS(T_Don[Sàn],A66,T_Don[Shop],B66,T_Don[Kiểm tra dữ liệu],"?*")+COUNTIFS(T_GD[Sàn],A66,T_GD[Shop],B66,T_GD[Kiểm tra dữ liệu],"?*")+COUNTIFS(T_Chuyen[Sàn],A66,T_Chuyen[Shop],B66,T_Chuyen[Kiểm tra dữ liệu],"?*")+COUNTIFS(T_NH[Sàn],A66,T_NH[Shop],B66,T_NH[Kiểm tra dữ liệu],"?*"))</x:f>
      </x:c>
    </x:row>
    <x:row r="67" ht="22" customHeight="1">
      <x:c r="A67" s="10"/>
      <x:c r="B67" s="10"/>
      <x:c r="C67" s="25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10"/>
      <x:c r="O67" s="10"/>
      <x:c r="P67" s="23" t="str">
        <x:f>IF(AND(A67="",B67=""),"",A67&amp;"|"&amp;B67)</x:f>
      </x:c>
      <x:c r="Q67" s="27" t="str">
        <x:f>IF(P67="","",IF(COUNT(F67:J67)=5,SUM(F67:J67),"n.a."))</x:f>
      </x:c>
      <x:c r="R67" s="23" t="str">
        <x:f>IF(COUNTA(A67:O67)=0,"",IF(OR(NOT(OR(A67="TikTok Shop",A67="Shopee",A67="Lazada")),B67="",NOT(ISNUMBER(C67)),COUNT(D67:M67)&lt;&gt;10),"Thiếu/sai số dư",IF(C67&lt;&gt;'Tong_hop'!$F$4-1,"Sai ngày chốt",IF(COUNTIFS(T_SoDu[Khóa shop],P67)&lt;&gt;1,"Trùng shop",IF(AND(N67&lt;&gt;"Đã đủ",N67&lt;&gt;"Chưa"),"Thiếu xác nhận nguồn","")))))</x:f>
      </x:c>
      <x:c r="S67" s="27" t="str">
        <x:f>IF(P67="","",IF(AC67&gt;0,"n.a.",SUMIFS(T_Don[Phải thu gộp],T_Don[Sàn],A67,T_Don[Shop],B67,T_Don[Ngày ghi nhận bán],"&gt;="&amp;'Tong_hop'!$C$4,T_Don[Ngày ghi nhận bán],"&lt;"&amp;'Tong_hop'!$F$4)))</x:f>
      </x:c>
      <x:c r="T67" s="27" t="str">
        <x:f>IF(P67="","",IF(AC67&gt;0,"n.a.",SUMIFS(T_GD[Hoàn tiền shop chịu],T_GD[Sàn],A67,T_GD[Shop],B67,T_GD[Ngày giao dịch sàn],"&gt;="&amp;'Tong_hop'!$C$4,T_GD[Ngày giao dịch sàn],"&lt;"&amp;'Tong_hop'!$F$4)))</x:f>
      </x:c>
      <x:c r="U67" s="27" t="str">
        <x:f>IF(P67="","",IF(AC67&gt;0,"n.a.",SUMIFS(T_GD[Phí sàn cấn trừ],T_GD[Sàn],A67,T_GD[Shop],B67,T_GD[Ngày giao dịch sàn],"&gt;="&amp;'Tong_hop'!$C$4,T_GD[Ngày giao dịch sàn],"&lt;"&amp;'Tong_hop'!$F$4)+SUMIFS(T_GD[Ship shop chịu],T_GD[Sàn],A67,T_GD[Shop],B67,T_GD[Ngày giao dịch sàn],"&gt;="&amp;'Tong_hop'!$C$4,T_GD[Ngày giao dịch sàn],"&lt;"&amp;'Tong_hop'!$F$4)+SUMIFS(T_Chuyen[Phí chuyển đã xác nhận],T_Chuyen[Sàn],A67,T_Chuyen[Shop],B67,T_Chuyen[Ngày trừ số dư],"&gt;="&amp;'Tong_hop'!$C$4,T_Chuyen[Ngày trừ số dư],"&lt;"&amp;'Tong_hop'!$F$4)))</x:f>
      </x:c>
      <x:c r="V67" s="27" t="str">
        <x:f>IF(P67="","",IF(AC67&gt;0,"n.a.",SUMIFS(T_GD[Điều chỉnh khác +/-],T_GD[Sàn],A67,T_GD[Shop],B67,T_GD[Ngày giao dịch sàn],"&gt;="&amp;'Tong_hop'!$C$4,T_GD[Ngày giao dịch sàn],"&lt;"&amp;'Tong_hop'!$F$4)+SUMIFS(T_GD[Nạp vào số dư],T_GD[Sàn],A67,T_GD[Shop],B67,T_GD[Ngày giao dịch sàn],"&gt;="&amp;'Tong_hop'!$C$4,T_GD[Ngày giao dịch sàn],"&lt;"&amp;'Tong_hop'!$F$4)))</x:f>
      </x:c>
      <x:c r="W67" s="27" t="str">
        <x:f>IF(P67="","",IF(AC67&gt;0,"n.a.",SUMIFS(T_NH[Tiền thực nhận],T_NH[Sàn],A67,T_NH[Shop],B67,T_NH[Ngày báo Có],"&gt;="&amp;'Tong_hop'!$C$4,T_NH[Ngày báo Có],"&lt;"&amp;'Tong_hop'!$F$4)))</x:f>
      </x:c>
      <x:c r="X67" s="27" t="str">
        <x:f>IF(P67="","",IF(AC67&gt;0,"n.a.",D67+S67-T67-U67+V67-W67))</x:f>
      </x:c>
      <x:c r="Y67" s="27" t="str">
        <x:f>IF(P67="","",IF(AC67&gt;0,"n.a.",SUMIFS(T_GD[Thực ghi số dư +/-],T_GD[Sàn],A67,T_GD[Shop],B67,T_GD[Ngày giao dịch sàn],"&gt;="&amp;'Tong_hop'!$C$4,T_GD[Ngày giao dịch sàn],"&lt;"&amp;'Tong_hop'!$F$4,T_GD[Nhóm giao dịch],"Quyết toán")))</x:f>
      </x:c>
      <x:c r="Z67" s="27" t="str">
        <x:f>IF(P67="","",IF(AC67&gt;0,"n.a.",E67+SUMIFS(T_GD[Thực ghi số dư +/-],T_GD[Sàn],A67,T_GD[Shop],B67,T_GD[Ngày giao dịch sàn],"&gt;="&amp;'Tong_hop'!$C$4,T_GD[Ngày giao dịch sàn],"&lt;"&amp;'Tong_hop'!$F$4)-SUMIFS(T_Chuyen[Tiền trừ số dư],T_Chuyen[Sàn],A67,T_Chuyen[Shop],B67,T_Chuyen[Ngày trừ số dư],"&gt;="&amp;'Tong_hop'!$C$4,T_Chuyen[Ngày trừ số dư],"&lt;"&amp;'Tong_hop'!$F$4)))</x:f>
      </x:c>
      <x:c r="AA67" s="27" t="str">
        <x:f>IF(P67="","",IF(AC67&gt;0,"n.a.",SUMIFS(T_Chuyen[Còn đang chuyển],T_Chuyen[Sàn],A67,T_Chuyen[Shop],B67)))</x:f>
      </x:c>
      <x:c r="AB67" s="27" t="str">
        <x:f>IF(P67="","",IF(AC67&gt;0,"n.a.",SUMIFS(T_Chuyen[Tiền trừ số dư],T_Chuyen[Sàn],A67,T_Chuyen[Shop],B67,T_Chuyen[Ngày trừ số dư],"&gt;="&amp;'Tong_hop'!$C$4,T_Chuyen[Ngày trừ số dư],"&lt;"&amp;'Tong_hop'!$F$4)))</x:f>
      </x:c>
      <x:c r="AC67" s="28" t="str">
        <x:f>IF(P67="","",IF(R67="",0,1)+COUNTIFS(T_Don[Sàn],A67,T_Don[Shop],B67,T_Don[Kiểm tra dữ liệu],"?*")+COUNTIFS(T_GD[Sàn],A67,T_GD[Shop],B67,T_GD[Kiểm tra dữ liệu],"?*")+COUNTIFS(T_Chuyen[Sàn],A67,T_Chuyen[Shop],B67,T_Chuyen[Kiểm tra dữ liệu],"?*")+COUNTIFS(T_NH[Sàn],A67,T_NH[Shop],B67,T_NH[Kiểm tra dữ liệu],"?*"))</x:f>
      </x:c>
    </x:row>
    <x:row r="68" ht="22" customHeight="1">
      <x:c r="A68" s="10"/>
      <x:c r="B68" s="10"/>
      <x:c r="C68" s="25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10"/>
      <x:c r="O68" s="10"/>
      <x:c r="P68" s="23" t="str">
        <x:f>IF(AND(A68="",B68=""),"",A68&amp;"|"&amp;B68)</x:f>
      </x:c>
      <x:c r="Q68" s="27" t="str">
        <x:f>IF(P68="","",IF(COUNT(F68:J68)=5,SUM(F68:J68),"n.a."))</x:f>
      </x:c>
      <x:c r="R68" s="23" t="str">
        <x:f>IF(COUNTA(A68:O68)=0,"",IF(OR(NOT(OR(A68="TikTok Shop",A68="Shopee",A68="Lazada")),B68="",NOT(ISNUMBER(C68)),COUNT(D68:M68)&lt;&gt;10),"Thiếu/sai số dư",IF(C68&lt;&gt;'Tong_hop'!$F$4-1,"Sai ngày chốt",IF(COUNTIFS(T_SoDu[Khóa shop],P68)&lt;&gt;1,"Trùng shop",IF(AND(N68&lt;&gt;"Đã đủ",N68&lt;&gt;"Chưa"),"Thiếu xác nhận nguồn","")))))</x:f>
      </x:c>
      <x:c r="S68" s="27" t="str">
        <x:f>IF(P68="","",IF(AC68&gt;0,"n.a.",SUMIFS(T_Don[Phải thu gộp],T_Don[Sàn],A68,T_Don[Shop],B68,T_Don[Ngày ghi nhận bán],"&gt;="&amp;'Tong_hop'!$C$4,T_Don[Ngày ghi nhận bán],"&lt;"&amp;'Tong_hop'!$F$4)))</x:f>
      </x:c>
      <x:c r="T68" s="27" t="str">
        <x:f>IF(P68="","",IF(AC68&gt;0,"n.a.",SUMIFS(T_GD[Hoàn tiền shop chịu],T_GD[Sàn],A68,T_GD[Shop],B68,T_GD[Ngày giao dịch sàn],"&gt;="&amp;'Tong_hop'!$C$4,T_GD[Ngày giao dịch sàn],"&lt;"&amp;'Tong_hop'!$F$4)))</x:f>
      </x:c>
      <x:c r="U68" s="27" t="str">
        <x:f>IF(P68="","",IF(AC68&gt;0,"n.a.",SUMIFS(T_GD[Phí sàn cấn trừ],T_GD[Sàn],A68,T_GD[Shop],B68,T_GD[Ngày giao dịch sàn],"&gt;="&amp;'Tong_hop'!$C$4,T_GD[Ngày giao dịch sàn],"&lt;"&amp;'Tong_hop'!$F$4)+SUMIFS(T_GD[Ship shop chịu],T_GD[Sàn],A68,T_GD[Shop],B68,T_GD[Ngày giao dịch sàn],"&gt;="&amp;'Tong_hop'!$C$4,T_GD[Ngày giao dịch sàn],"&lt;"&amp;'Tong_hop'!$F$4)+SUMIFS(T_Chuyen[Phí chuyển đã xác nhận],T_Chuyen[Sàn],A68,T_Chuyen[Shop],B68,T_Chuyen[Ngày trừ số dư],"&gt;="&amp;'Tong_hop'!$C$4,T_Chuyen[Ngày trừ số dư],"&lt;"&amp;'Tong_hop'!$F$4)))</x:f>
      </x:c>
      <x:c r="V68" s="27" t="str">
        <x:f>IF(P68="","",IF(AC68&gt;0,"n.a.",SUMIFS(T_GD[Điều chỉnh khác +/-],T_GD[Sàn],A68,T_GD[Shop],B68,T_GD[Ngày giao dịch sàn],"&gt;="&amp;'Tong_hop'!$C$4,T_GD[Ngày giao dịch sàn],"&lt;"&amp;'Tong_hop'!$F$4)+SUMIFS(T_GD[Nạp vào số dư],T_GD[Sàn],A68,T_GD[Shop],B68,T_GD[Ngày giao dịch sàn],"&gt;="&amp;'Tong_hop'!$C$4,T_GD[Ngày giao dịch sàn],"&lt;"&amp;'Tong_hop'!$F$4)))</x:f>
      </x:c>
      <x:c r="W68" s="27" t="str">
        <x:f>IF(P68="","",IF(AC68&gt;0,"n.a.",SUMIFS(T_NH[Tiền thực nhận],T_NH[Sàn],A68,T_NH[Shop],B68,T_NH[Ngày báo Có],"&gt;="&amp;'Tong_hop'!$C$4,T_NH[Ngày báo Có],"&lt;"&amp;'Tong_hop'!$F$4)))</x:f>
      </x:c>
      <x:c r="X68" s="27" t="str">
        <x:f>IF(P68="","",IF(AC68&gt;0,"n.a.",D68+S68-T68-U68+V68-W68))</x:f>
      </x:c>
      <x:c r="Y68" s="27" t="str">
        <x:f>IF(P68="","",IF(AC68&gt;0,"n.a.",SUMIFS(T_GD[Thực ghi số dư +/-],T_GD[Sàn],A68,T_GD[Shop],B68,T_GD[Ngày giao dịch sàn],"&gt;="&amp;'Tong_hop'!$C$4,T_GD[Ngày giao dịch sàn],"&lt;"&amp;'Tong_hop'!$F$4,T_GD[Nhóm giao dịch],"Quyết toán")))</x:f>
      </x:c>
      <x:c r="Z68" s="27" t="str">
        <x:f>IF(P68="","",IF(AC68&gt;0,"n.a.",E68+SUMIFS(T_GD[Thực ghi số dư +/-],T_GD[Sàn],A68,T_GD[Shop],B68,T_GD[Ngày giao dịch sàn],"&gt;="&amp;'Tong_hop'!$C$4,T_GD[Ngày giao dịch sàn],"&lt;"&amp;'Tong_hop'!$F$4)-SUMIFS(T_Chuyen[Tiền trừ số dư],T_Chuyen[Sàn],A68,T_Chuyen[Shop],B68,T_Chuyen[Ngày trừ số dư],"&gt;="&amp;'Tong_hop'!$C$4,T_Chuyen[Ngày trừ số dư],"&lt;"&amp;'Tong_hop'!$F$4)))</x:f>
      </x:c>
      <x:c r="AA68" s="27" t="str">
        <x:f>IF(P68="","",IF(AC68&gt;0,"n.a.",SUMIFS(T_Chuyen[Còn đang chuyển],T_Chuyen[Sàn],A68,T_Chuyen[Shop],B68)))</x:f>
      </x:c>
      <x:c r="AB68" s="27" t="str">
        <x:f>IF(P68="","",IF(AC68&gt;0,"n.a.",SUMIFS(T_Chuyen[Tiền trừ số dư],T_Chuyen[Sàn],A68,T_Chuyen[Shop],B68,T_Chuyen[Ngày trừ số dư],"&gt;="&amp;'Tong_hop'!$C$4,T_Chuyen[Ngày trừ số dư],"&lt;"&amp;'Tong_hop'!$F$4)))</x:f>
      </x:c>
      <x:c r="AC68" s="28" t="str">
        <x:f>IF(P68="","",IF(R68="",0,1)+COUNTIFS(T_Don[Sàn],A68,T_Don[Shop],B68,T_Don[Kiểm tra dữ liệu],"?*")+COUNTIFS(T_GD[Sàn],A68,T_GD[Shop],B68,T_GD[Kiểm tra dữ liệu],"?*")+COUNTIFS(T_Chuyen[Sàn],A68,T_Chuyen[Shop],B68,T_Chuyen[Kiểm tra dữ liệu],"?*")+COUNTIFS(T_NH[Sàn],A68,T_NH[Shop],B68,T_NH[Kiểm tra dữ liệu],"?*"))</x:f>
      </x:c>
    </x:row>
    <x:row r="69" ht="22" customHeight="1">
      <x:c r="A69" s="10"/>
      <x:c r="B69" s="10"/>
      <x:c r="C69" s="25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10"/>
      <x:c r="O69" s="10"/>
      <x:c r="P69" s="23" t="str">
        <x:f>IF(AND(A69="",B69=""),"",A69&amp;"|"&amp;B69)</x:f>
      </x:c>
      <x:c r="Q69" s="27" t="str">
        <x:f>IF(P69="","",IF(COUNT(F69:J69)=5,SUM(F69:J69),"n.a."))</x:f>
      </x:c>
      <x:c r="R69" s="23" t="str">
        <x:f>IF(COUNTA(A69:O69)=0,"",IF(OR(NOT(OR(A69="TikTok Shop",A69="Shopee",A69="Lazada")),B69="",NOT(ISNUMBER(C69)),COUNT(D69:M69)&lt;&gt;10),"Thiếu/sai số dư",IF(C69&lt;&gt;'Tong_hop'!$F$4-1,"Sai ngày chốt",IF(COUNTIFS(T_SoDu[Khóa shop],P69)&lt;&gt;1,"Trùng shop",IF(AND(N69&lt;&gt;"Đã đủ",N69&lt;&gt;"Chưa"),"Thiếu xác nhận nguồn","")))))</x:f>
      </x:c>
      <x:c r="S69" s="27" t="str">
        <x:f>IF(P69="","",IF(AC69&gt;0,"n.a.",SUMIFS(T_Don[Phải thu gộp],T_Don[Sàn],A69,T_Don[Shop],B69,T_Don[Ngày ghi nhận bán],"&gt;="&amp;'Tong_hop'!$C$4,T_Don[Ngày ghi nhận bán],"&lt;"&amp;'Tong_hop'!$F$4)))</x:f>
      </x:c>
      <x:c r="T69" s="27" t="str">
        <x:f>IF(P69="","",IF(AC69&gt;0,"n.a.",SUMIFS(T_GD[Hoàn tiền shop chịu],T_GD[Sàn],A69,T_GD[Shop],B69,T_GD[Ngày giao dịch sàn],"&gt;="&amp;'Tong_hop'!$C$4,T_GD[Ngày giao dịch sàn],"&lt;"&amp;'Tong_hop'!$F$4)))</x:f>
      </x:c>
      <x:c r="U69" s="27" t="str">
        <x:f>IF(P69="","",IF(AC69&gt;0,"n.a.",SUMIFS(T_GD[Phí sàn cấn trừ],T_GD[Sàn],A69,T_GD[Shop],B69,T_GD[Ngày giao dịch sàn],"&gt;="&amp;'Tong_hop'!$C$4,T_GD[Ngày giao dịch sàn],"&lt;"&amp;'Tong_hop'!$F$4)+SUMIFS(T_GD[Ship shop chịu],T_GD[Sàn],A69,T_GD[Shop],B69,T_GD[Ngày giao dịch sàn],"&gt;="&amp;'Tong_hop'!$C$4,T_GD[Ngày giao dịch sàn],"&lt;"&amp;'Tong_hop'!$F$4)+SUMIFS(T_Chuyen[Phí chuyển đã xác nhận],T_Chuyen[Sàn],A69,T_Chuyen[Shop],B69,T_Chuyen[Ngày trừ số dư],"&gt;="&amp;'Tong_hop'!$C$4,T_Chuyen[Ngày trừ số dư],"&lt;"&amp;'Tong_hop'!$F$4)))</x:f>
      </x:c>
      <x:c r="V69" s="27" t="str">
        <x:f>IF(P69="","",IF(AC69&gt;0,"n.a.",SUMIFS(T_GD[Điều chỉnh khác +/-],T_GD[Sàn],A69,T_GD[Shop],B69,T_GD[Ngày giao dịch sàn],"&gt;="&amp;'Tong_hop'!$C$4,T_GD[Ngày giao dịch sàn],"&lt;"&amp;'Tong_hop'!$F$4)+SUMIFS(T_GD[Nạp vào số dư],T_GD[Sàn],A69,T_GD[Shop],B69,T_GD[Ngày giao dịch sàn],"&gt;="&amp;'Tong_hop'!$C$4,T_GD[Ngày giao dịch sàn],"&lt;"&amp;'Tong_hop'!$F$4)))</x:f>
      </x:c>
      <x:c r="W69" s="27" t="str">
        <x:f>IF(P69="","",IF(AC69&gt;0,"n.a.",SUMIFS(T_NH[Tiền thực nhận],T_NH[Sàn],A69,T_NH[Shop],B69,T_NH[Ngày báo Có],"&gt;="&amp;'Tong_hop'!$C$4,T_NH[Ngày báo Có],"&lt;"&amp;'Tong_hop'!$F$4)))</x:f>
      </x:c>
      <x:c r="X69" s="27" t="str">
        <x:f>IF(P69="","",IF(AC69&gt;0,"n.a.",D69+S69-T69-U69+V69-W69))</x:f>
      </x:c>
      <x:c r="Y69" s="27" t="str">
        <x:f>IF(P69="","",IF(AC69&gt;0,"n.a.",SUMIFS(T_GD[Thực ghi số dư +/-],T_GD[Sàn],A69,T_GD[Shop],B69,T_GD[Ngày giao dịch sàn],"&gt;="&amp;'Tong_hop'!$C$4,T_GD[Ngày giao dịch sàn],"&lt;"&amp;'Tong_hop'!$F$4,T_GD[Nhóm giao dịch],"Quyết toán")))</x:f>
      </x:c>
      <x:c r="Z69" s="27" t="str">
        <x:f>IF(P69="","",IF(AC69&gt;0,"n.a.",E69+SUMIFS(T_GD[Thực ghi số dư +/-],T_GD[Sàn],A69,T_GD[Shop],B69,T_GD[Ngày giao dịch sàn],"&gt;="&amp;'Tong_hop'!$C$4,T_GD[Ngày giao dịch sàn],"&lt;"&amp;'Tong_hop'!$F$4)-SUMIFS(T_Chuyen[Tiền trừ số dư],T_Chuyen[Sàn],A69,T_Chuyen[Shop],B69,T_Chuyen[Ngày trừ số dư],"&gt;="&amp;'Tong_hop'!$C$4,T_Chuyen[Ngày trừ số dư],"&lt;"&amp;'Tong_hop'!$F$4)))</x:f>
      </x:c>
      <x:c r="AA69" s="27" t="str">
        <x:f>IF(P69="","",IF(AC69&gt;0,"n.a.",SUMIFS(T_Chuyen[Còn đang chuyển],T_Chuyen[Sàn],A69,T_Chuyen[Shop],B69)))</x:f>
      </x:c>
      <x:c r="AB69" s="27" t="str">
        <x:f>IF(P69="","",IF(AC69&gt;0,"n.a.",SUMIFS(T_Chuyen[Tiền trừ số dư],T_Chuyen[Sàn],A69,T_Chuyen[Shop],B69,T_Chuyen[Ngày trừ số dư],"&gt;="&amp;'Tong_hop'!$C$4,T_Chuyen[Ngày trừ số dư],"&lt;"&amp;'Tong_hop'!$F$4)))</x:f>
      </x:c>
      <x:c r="AC69" s="28" t="str">
        <x:f>IF(P69="","",IF(R69="",0,1)+COUNTIFS(T_Don[Sàn],A69,T_Don[Shop],B69,T_Don[Kiểm tra dữ liệu],"?*")+COUNTIFS(T_GD[Sàn],A69,T_GD[Shop],B69,T_GD[Kiểm tra dữ liệu],"?*")+COUNTIFS(T_Chuyen[Sàn],A69,T_Chuyen[Shop],B69,T_Chuyen[Kiểm tra dữ liệu],"?*")+COUNTIFS(T_NH[Sàn],A69,T_NH[Shop],B69,T_NH[Kiểm tra dữ liệu],"?*"))</x:f>
      </x:c>
    </x:row>
    <x:row r="70" ht="22" customHeight="1">
      <x:c r="A70" s="10"/>
      <x:c r="B70" s="10"/>
      <x:c r="C70" s="25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10"/>
      <x:c r="O70" s="10"/>
      <x:c r="P70" s="23" t="str">
        <x:f>IF(AND(A70="",B70=""),"",A70&amp;"|"&amp;B70)</x:f>
      </x:c>
      <x:c r="Q70" s="27" t="str">
        <x:f>IF(P70="","",IF(COUNT(F70:J70)=5,SUM(F70:J70),"n.a."))</x:f>
      </x:c>
      <x:c r="R70" s="23" t="str">
        <x:f>IF(COUNTA(A70:O70)=0,"",IF(OR(NOT(OR(A70="TikTok Shop",A70="Shopee",A70="Lazada")),B70="",NOT(ISNUMBER(C70)),COUNT(D70:M70)&lt;&gt;10),"Thiếu/sai số dư",IF(C70&lt;&gt;'Tong_hop'!$F$4-1,"Sai ngày chốt",IF(COUNTIFS(T_SoDu[Khóa shop],P70)&lt;&gt;1,"Trùng shop",IF(AND(N70&lt;&gt;"Đã đủ",N70&lt;&gt;"Chưa"),"Thiếu xác nhận nguồn","")))))</x:f>
      </x:c>
      <x:c r="S70" s="27" t="str">
        <x:f>IF(P70="","",IF(AC70&gt;0,"n.a.",SUMIFS(T_Don[Phải thu gộp],T_Don[Sàn],A70,T_Don[Shop],B70,T_Don[Ngày ghi nhận bán],"&gt;="&amp;'Tong_hop'!$C$4,T_Don[Ngày ghi nhận bán],"&lt;"&amp;'Tong_hop'!$F$4)))</x:f>
      </x:c>
      <x:c r="T70" s="27" t="str">
        <x:f>IF(P70="","",IF(AC70&gt;0,"n.a.",SUMIFS(T_GD[Hoàn tiền shop chịu],T_GD[Sàn],A70,T_GD[Shop],B70,T_GD[Ngày giao dịch sàn],"&gt;="&amp;'Tong_hop'!$C$4,T_GD[Ngày giao dịch sàn],"&lt;"&amp;'Tong_hop'!$F$4)))</x:f>
      </x:c>
      <x:c r="U70" s="27" t="str">
        <x:f>IF(P70="","",IF(AC70&gt;0,"n.a.",SUMIFS(T_GD[Phí sàn cấn trừ],T_GD[Sàn],A70,T_GD[Shop],B70,T_GD[Ngày giao dịch sàn],"&gt;="&amp;'Tong_hop'!$C$4,T_GD[Ngày giao dịch sàn],"&lt;"&amp;'Tong_hop'!$F$4)+SUMIFS(T_GD[Ship shop chịu],T_GD[Sàn],A70,T_GD[Shop],B70,T_GD[Ngày giao dịch sàn],"&gt;="&amp;'Tong_hop'!$C$4,T_GD[Ngày giao dịch sàn],"&lt;"&amp;'Tong_hop'!$F$4)+SUMIFS(T_Chuyen[Phí chuyển đã xác nhận],T_Chuyen[Sàn],A70,T_Chuyen[Shop],B70,T_Chuyen[Ngày trừ số dư],"&gt;="&amp;'Tong_hop'!$C$4,T_Chuyen[Ngày trừ số dư],"&lt;"&amp;'Tong_hop'!$F$4)))</x:f>
      </x:c>
      <x:c r="V70" s="27" t="str">
        <x:f>IF(P70="","",IF(AC70&gt;0,"n.a.",SUMIFS(T_GD[Điều chỉnh khác +/-],T_GD[Sàn],A70,T_GD[Shop],B70,T_GD[Ngày giao dịch sàn],"&gt;="&amp;'Tong_hop'!$C$4,T_GD[Ngày giao dịch sàn],"&lt;"&amp;'Tong_hop'!$F$4)+SUMIFS(T_GD[Nạp vào số dư],T_GD[Sàn],A70,T_GD[Shop],B70,T_GD[Ngày giao dịch sàn],"&gt;="&amp;'Tong_hop'!$C$4,T_GD[Ngày giao dịch sàn],"&lt;"&amp;'Tong_hop'!$F$4)))</x:f>
      </x:c>
      <x:c r="W70" s="27" t="str">
        <x:f>IF(P70="","",IF(AC70&gt;0,"n.a.",SUMIFS(T_NH[Tiền thực nhận],T_NH[Sàn],A70,T_NH[Shop],B70,T_NH[Ngày báo Có],"&gt;="&amp;'Tong_hop'!$C$4,T_NH[Ngày báo Có],"&lt;"&amp;'Tong_hop'!$F$4)))</x:f>
      </x:c>
      <x:c r="X70" s="27" t="str">
        <x:f>IF(P70="","",IF(AC70&gt;0,"n.a.",D70+S70-T70-U70+V70-W70))</x:f>
      </x:c>
      <x:c r="Y70" s="27" t="str">
        <x:f>IF(P70="","",IF(AC70&gt;0,"n.a.",SUMIFS(T_GD[Thực ghi số dư +/-],T_GD[Sàn],A70,T_GD[Shop],B70,T_GD[Ngày giao dịch sàn],"&gt;="&amp;'Tong_hop'!$C$4,T_GD[Ngày giao dịch sàn],"&lt;"&amp;'Tong_hop'!$F$4,T_GD[Nhóm giao dịch],"Quyết toán")))</x:f>
      </x:c>
      <x:c r="Z70" s="27" t="str">
        <x:f>IF(P70="","",IF(AC70&gt;0,"n.a.",E70+SUMIFS(T_GD[Thực ghi số dư +/-],T_GD[Sàn],A70,T_GD[Shop],B70,T_GD[Ngày giao dịch sàn],"&gt;="&amp;'Tong_hop'!$C$4,T_GD[Ngày giao dịch sàn],"&lt;"&amp;'Tong_hop'!$F$4)-SUMIFS(T_Chuyen[Tiền trừ số dư],T_Chuyen[Sàn],A70,T_Chuyen[Shop],B70,T_Chuyen[Ngày trừ số dư],"&gt;="&amp;'Tong_hop'!$C$4,T_Chuyen[Ngày trừ số dư],"&lt;"&amp;'Tong_hop'!$F$4)))</x:f>
      </x:c>
      <x:c r="AA70" s="27" t="str">
        <x:f>IF(P70="","",IF(AC70&gt;0,"n.a.",SUMIFS(T_Chuyen[Còn đang chuyển],T_Chuyen[Sàn],A70,T_Chuyen[Shop],B70)))</x:f>
      </x:c>
      <x:c r="AB70" s="27" t="str">
        <x:f>IF(P70="","",IF(AC70&gt;0,"n.a.",SUMIFS(T_Chuyen[Tiền trừ số dư],T_Chuyen[Sàn],A70,T_Chuyen[Shop],B70,T_Chuyen[Ngày trừ số dư],"&gt;="&amp;'Tong_hop'!$C$4,T_Chuyen[Ngày trừ số dư],"&lt;"&amp;'Tong_hop'!$F$4)))</x:f>
      </x:c>
      <x:c r="AC70" s="28" t="str">
        <x:f>IF(P70="","",IF(R70="",0,1)+COUNTIFS(T_Don[Sàn],A70,T_Don[Shop],B70,T_Don[Kiểm tra dữ liệu],"?*")+COUNTIFS(T_GD[Sàn],A70,T_GD[Shop],B70,T_GD[Kiểm tra dữ liệu],"?*")+COUNTIFS(T_Chuyen[Sàn],A70,T_Chuyen[Shop],B70,T_Chuyen[Kiểm tra dữ liệu],"?*")+COUNTIFS(T_NH[Sàn],A70,T_NH[Shop],B70,T_NH[Kiểm tra dữ liệu],"?*"))</x:f>
      </x:c>
    </x:row>
    <x:row r="71" ht="22" customHeight="1">
      <x:c r="A71" s="10"/>
      <x:c r="B71" s="10"/>
      <x:c r="C71" s="25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10"/>
      <x:c r="O71" s="10"/>
      <x:c r="P71" s="23" t="str">
        <x:f>IF(AND(A71="",B71=""),"",A71&amp;"|"&amp;B71)</x:f>
      </x:c>
      <x:c r="Q71" s="27" t="str">
        <x:f>IF(P71="","",IF(COUNT(F71:J71)=5,SUM(F71:J71),"n.a."))</x:f>
      </x:c>
      <x:c r="R71" s="23" t="str">
        <x:f>IF(COUNTA(A71:O71)=0,"",IF(OR(NOT(OR(A71="TikTok Shop",A71="Shopee",A71="Lazada")),B71="",NOT(ISNUMBER(C71)),COUNT(D71:M71)&lt;&gt;10),"Thiếu/sai số dư",IF(C71&lt;&gt;'Tong_hop'!$F$4-1,"Sai ngày chốt",IF(COUNTIFS(T_SoDu[Khóa shop],P71)&lt;&gt;1,"Trùng shop",IF(AND(N71&lt;&gt;"Đã đủ",N71&lt;&gt;"Chưa"),"Thiếu xác nhận nguồn","")))))</x:f>
      </x:c>
      <x:c r="S71" s="27" t="str">
        <x:f>IF(P71="","",IF(AC71&gt;0,"n.a.",SUMIFS(T_Don[Phải thu gộp],T_Don[Sàn],A71,T_Don[Shop],B71,T_Don[Ngày ghi nhận bán],"&gt;="&amp;'Tong_hop'!$C$4,T_Don[Ngày ghi nhận bán],"&lt;"&amp;'Tong_hop'!$F$4)))</x:f>
      </x:c>
      <x:c r="T71" s="27" t="str">
        <x:f>IF(P71="","",IF(AC71&gt;0,"n.a.",SUMIFS(T_GD[Hoàn tiền shop chịu],T_GD[Sàn],A71,T_GD[Shop],B71,T_GD[Ngày giao dịch sàn],"&gt;="&amp;'Tong_hop'!$C$4,T_GD[Ngày giao dịch sàn],"&lt;"&amp;'Tong_hop'!$F$4)))</x:f>
      </x:c>
      <x:c r="U71" s="27" t="str">
        <x:f>IF(P71="","",IF(AC71&gt;0,"n.a.",SUMIFS(T_GD[Phí sàn cấn trừ],T_GD[Sàn],A71,T_GD[Shop],B71,T_GD[Ngày giao dịch sàn],"&gt;="&amp;'Tong_hop'!$C$4,T_GD[Ngày giao dịch sàn],"&lt;"&amp;'Tong_hop'!$F$4)+SUMIFS(T_GD[Ship shop chịu],T_GD[Sàn],A71,T_GD[Shop],B71,T_GD[Ngày giao dịch sàn],"&gt;="&amp;'Tong_hop'!$C$4,T_GD[Ngày giao dịch sàn],"&lt;"&amp;'Tong_hop'!$F$4)+SUMIFS(T_Chuyen[Phí chuyển đã xác nhận],T_Chuyen[Sàn],A71,T_Chuyen[Shop],B71,T_Chuyen[Ngày trừ số dư],"&gt;="&amp;'Tong_hop'!$C$4,T_Chuyen[Ngày trừ số dư],"&lt;"&amp;'Tong_hop'!$F$4)))</x:f>
      </x:c>
      <x:c r="V71" s="27" t="str">
        <x:f>IF(P71="","",IF(AC71&gt;0,"n.a.",SUMIFS(T_GD[Điều chỉnh khác +/-],T_GD[Sàn],A71,T_GD[Shop],B71,T_GD[Ngày giao dịch sàn],"&gt;="&amp;'Tong_hop'!$C$4,T_GD[Ngày giao dịch sàn],"&lt;"&amp;'Tong_hop'!$F$4)+SUMIFS(T_GD[Nạp vào số dư],T_GD[Sàn],A71,T_GD[Shop],B71,T_GD[Ngày giao dịch sàn],"&gt;="&amp;'Tong_hop'!$C$4,T_GD[Ngày giao dịch sàn],"&lt;"&amp;'Tong_hop'!$F$4)))</x:f>
      </x:c>
      <x:c r="W71" s="27" t="str">
        <x:f>IF(P71="","",IF(AC71&gt;0,"n.a.",SUMIFS(T_NH[Tiền thực nhận],T_NH[Sàn],A71,T_NH[Shop],B71,T_NH[Ngày báo Có],"&gt;="&amp;'Tong_hop'!$C$4,T_NH[Ngày báo Có],"&lt;"&amp;'Tong_hop'!$F$4)))</x:f>
      </x:c>
      <x:c r="X71" s="27" t="str">
        <x:f>IF(P71="","",IF(AC71&gt;0,"n.a.",D71+S71-T71-U71+V71-W71))</x:f>
      </x:c>
      <x:c r="Y71" s="27" t="str">
        <x:f>IF(P71="","",IF(AC71&gt;0,"n.a.",SUMIFS(T_GD[Thực ghi số dư +/-],T_GD[Sàn],A71,T_GD[Shop],B71,T_GD[Ngày giao dịch sàn],"&gt;="&amp;'Tong_hop'!$C$4,T_GD[Ngày giao dịch sàn],"&lt;"&amp;'Tong_hop'!$F$4,T_GD[Nhóm giao dịch],"Quyết toán")))</x:f>
      </x:c>
      <x:c r="Z71" s="27" t="str">
        <x:f>IF(P71="","",IF(AC71&gt;0,"n.a.",E71+SUMIFS(T_GD[Thực ghi số dư +/-],T_GD[Sàn],A71,T_GD[Shop],B71,T_GD[Ngày giao dịch sàn],"&gt;="&amp;'Tong_hop'!$C$4,T_GD[Ngày giao dịch sàn],"&lt;"&amp;'Tong_hop'!$F$4)-SUMIFS(T_Chuyen[Tiền trừ số dư],T_Chuyen[Sàn],A71,T_Chuyen[Shop],B71,T_Chuyen[Ngày trừ số dư],"&gt;="&amp;'Tong_hop'!$C$4,T_Chuyen[Ngày trừ số dư],"&lt;"&amp;'Tong_hop'!$F$4)))</x:f>
      </x:c>
      <x:c r="AA71" s="27" t="str">
        <x:f>IF(P71="","",IF(AC71&gt;0,"n.a.",SUMIFS(T_Chuyen[Còn đang chuyển],T_Chuyen[Sàn],A71,T_Chuyen[Shop],B71)))</x:f>
      </x:c>
      <x:c r="AB71" s="27" t="str">
        <x:f>IF(P71="","",IF(AC71&gt;0,"n.a.",SUMIFS(T_Chuyen[Tiền trừ số dư],T_Chuyen[Sàn],A71,T_Chuyen[Shop],B71,T_Chuyen[Ngày trừ số dư],"&gt;="&amp;'Tong_hop'!$C$4,T_Chuyen[Ngày trừ số dư],"&lt;"&amp;'Tong_hop'!$F$4)))</x:f>
      </x:c>
      <x:c r="AC71" s="28" t="str">
        <x:f>IF(P71="","",IF(R71="",0,1)+COUNTIFS(T_Don[Sàn],A71,T_Don[Shop],B71,T_Don[Kiểm tra dữ liệu],"?*")+COUNTIFS(T_GD[Sàn],A71,T_GD[Shop],B71,T_GD[Kiểm tra dữ liệu],"?*")+COUNTIFS(T_Chuyen[Sàn],A71,T_Chuyen[Shop],B71,T_Chuyen[Kiểm tra dữ liệu],"?*")+COUNTIFS(T_NH[Sàn],A71,T_NH[Shop],B71,T_NH[Kiểm tra dữ liệu],"?*"))</x:f>
      </x:c>
    </x:row>
    <x:row r="72" ht="22" customHeight="1">
      <x:c r="A72" s="10"/>
      <x:c r="B72" s="10"/>
      <x:c r="C72" s="25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10"/>
      <x:c r="O72" s="10"/>
      <x:c r="P72" s="23" t="str">
        <x:f>IF(AND(A72="",B72=""),"",A72&amp;"|"&amp;B72)</x:f>
      </x:c>
      <x:c r="Q72" s="27" t="str">
        <x:f>IF(P72="","",IF(COUNT(F72:J72)=5,SUM(F72:J72),"n.a."))</x:f>
      </x:c>
      <x:c r="R72" s="23" t="str">
        <x:f>IF(COUNTA(A72:O72)=0,"",IF(OR(NOT(OR(A72="TikTok Shop",A72="Shopee",A72="Lazada")),B72="",NOT(ISNUMBER(C72)),COUNT(D72:M72)&lt;&gt;10),"Thiếu/sai số dư",IF(C72&lt;&gt;'Tong_hop'!$F$4-1,"Sai ngày chốt",IF(COUNTIFS(T_SoDu[Khóa shop],P72)&lt;&gt;1,"Trùng shop",IF(AND(N72&lt;&gt;"Đã đủ",N72&lt;&gt;"Chưa"),"Thiếu xác nhận nguồn","")))))</x:f>
      </x:c>
      <x:c r="S72" s="27" t="str">
        <x:f>IF(P72="","",IF(AC72&gt;0,"n.a.",SUMIFS(T_Don[Phải thu gộp],T_Don[Sàn],A72,T_Don[Shop],B72,T_Don[Ngày ghi nhận bán],"&gt;="&amp;'Tong_hop'!$C$4,T_Don[Ngày ghi nhận bán],"&lt;"&amp;'Tong_hop'!$F$4)))</x:f>
      </x:c>
      <x:c r="T72" s="27" t="str">
        <x:f>IF(P72="","",IF(AC72&gt;0,"n.a.",SUMIFS(T_GD[Hoàn tiền shop chịu],T_GD[Sàn],A72,T_GD[Shop],B72,T_GD[Ngày giao dịch sàn],"&gt;="&amp;'Tong_hop'!$C$4,T_GD[Ngày giao dịch sàn],"&lt;"&amp;'Tong_hop'!$F$4)))</x:f>
      </x:c>
      <x:c r="U72" s="27" t="str">
        <x:f>IF(P72="","",IF(AC72&gt;0,"n.a.",SUMIFS(T_GD[Phí sàn cấn trừ],T_GD[Sàn],A72,T_GD[Shop],B72,T_GD[Ngày giao dịch sàn],"&gt;="&amp;'Tong_hop'!$C$4,T_GD[Ngày giao dịch sàn],"&lt;"&amp;'Tong_hop'!$F$4)+SUMIFS(T_GD[Ship shop chịu],T_GD[Sàn],A72,T_GD[Shop],B72,T_GD[Ngày giao dịch sàn],"&gt;="&amp;'Tong_hop'!$C$4,T_GD[Ngày giao dịch sàn],"&lt;"&amp;'Tong_hop'!$F$4)+SUMIFS(T_Chuyen[Phí chuyển đã xác nhận],T_Chuyen[Sàn],A72,T_Chuyen[Shop],B72,T_Chuyen[Ngày trừ số dư],"&gt;="&amp;'Tong_hop'!$C$4,T_Chuyen[Ngày trừ số dư],"&lt;"&amp;'Tong_hop'!$F$4)))</x:f>
      </x:c>
      <x:c r="V72" s="27" t="str">
        <x:f>IF(P72="","",IF(AC72&gt;0,"n.a.",SUMIFS(T_GD[Điều chỉnh khác +/-],T_GD[Sàn],A72,T_GD[Shop],B72,T_GD[Ngày giao dịch sàn],"&gt;="&amp;'Tong_hop'!$C$4,T_GD[Ngày giao dịch sàn],"&lt;"&amp;'Tong_hop'!$F$4)+SUMIFS(T_GD[Nạp vào số dư],T_GD[Sàn],A72,T_GD[Shop],B72,T_GD[Ngày giao dịch sàn],"&gt;="&amp;'Tong_hop'!$C$4,T_GD[Ngày giao dịch sàn],"&lt;"&amp;'Tong_hop'!$F$4)))</x:f>
      </x:c>
      <x:c r="W72" s="27" t="str">
        <x:f>IF(P72="","",IF(AC72&gt;0,"n.a.",SUMIFS(T_NH[Tiền thực nhận],T_NH[Sàn],A72,T_NH[Shop],B72,T_NH[Ngày báo Có],"&gt;="&amp;'Tong_hop'!$C$4,T_NH[Ngày báo Có],"&lt;"&amp;'Tong_hop'!$F$4)))</x:f>
      </x:c>
      <x:c r="X72" s="27" t="str">
        <x:f>IF(P72="","",IF(AC72&gt;0,"n.a.",D72+S72-T72-U72+V72-W72))</x:f>
      </x:c>
      <x:c r="Y72" s="27" t="str">
        <x:f>IF(P72="","",IF(AC72&gt;0,"n.a.",SUMIFS(T_GD[Thực ghi số dư +/-],T_GD[Sàn],A72,T_GD[Shop],B72,T_GD[Ngày giao dịch sàn],"&gt;="&amp;'Tong_hop'!$C$4,T_GD[Ngày giao dịch sàn],"&lt;"&amp;'Tong_hop'!$F$4,T_GD[Nhóm giao dịch],"Quyết toán")))</x:f>
      </x:c>
      <x:c r="Z72" s="27" t="str">
        <x:f>IF(P72="","",IF(AC72&gt;0,"n.a.",E72+SUMIFS(T_GD[Thực ghi số dư +/-],T_GD[Sàn],A72,T_GD[Shop],B72,T_GD[Ngày giao dịch sàn],"&gt;="&amp;'Tong_hop'!$C$4,T_GD[Ngày giao dịch sàn],"&lt;"&amp;'Tong_hop'!$F$4)-SUMIFS(T_Chuyen[Tiền trừ số dư],T_Chuyen[Sàn],A72,T_Chuyen[Shop],B72,T_Chuyen[Ngày trừ số dư],"&gt;="&amp;'Tong_hop'!$C$4,T_Chuyen[Ngày trừ số dư],"&lt;"&amp;'Tong_hop'!$F$4)))</x:f>
      </x:c>
      <x:c r="AA72" s="27" t="str">
        <x:f>IF(P72="","",IF(AC72&gt;0,"n.a.",SUMIFS(T_Chuyen[Còn đang chuyển],T_Chuyen[Sàn],A72,T_Chuyen[Shop],B72)))</x:f>
      </x:c>
      <x:c r="AB72" s="27" t="str">
        <x:f>IF(P72="","",IF(AC72&gt;0,"n.a.",SUMIFS(T_Chuyen[Tiền trừ số dư],T_Chuyen[Sàn],A72,T_Chuyen[Shop],B72,T_Chuyen[Ngày trừ số dư],"&gt;="&amp;'Tong_hop'!$C$4,T_Chuyen[Ngày trừ số dư],"&lt;"&amp;'Tong_hop'!$F$4)))</x:f>
      </x:c>
      <x:c r="AC72" s="28" t="str">
        <x:f>IF(P72="","",IF(R72="",0,1)+COUNTIFS(T_Don[Sàn],A72,T_Don[Shop],B72,T_Don[Kiểm tra dữ liệu],"?*")+COUNTIFS(T_GD[Sàn],A72,T_GD[Shop],B72,T_GD[Kiểm tra dữ liệu],"?*")+COUNTIFS(T_Chuyen[Sàn],A72,T_Chuyen[Shop],B72,T_Chuyen[Kiểm tra dữ liệu],"?*")+COUNTIFS(T_NH[Sàn],A72,T_NH[Shop],B72,T_NH[Kiểm tra dữ liệu],"?*"))</x:f>
      </x:c>
    </x:row>
    <x:row r="73" ht="22" customHeight="1">
      <x:c r="A73" s="10"/>
      <x:c r="B73" s="10"/>
      <x:c r="C73" s="25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10"/>
      <x:c r="O73" s="10"/>
      <x:c r="P73" s="23" t="str">
        <x:f>IF(AND(A73="",B73=""),"",A73&amp;"|"&amp;B73)</x:f>
      </x:c>
      <x:c r="Q73" s="27" t="str">
        <x:f>IF(P73="","",IF(COUNT(F73:J73)=5,SUM(F73:J73),"n.a."))</x:f>
      </x:c>
      <x:c r="R73" s="23" t="str">
        <x:f>IF(COUNTA(A73:O73)=0,"",IF(OR(NOT(OR(A73="TikTok Shop",A73="Shopee",A73="Lazada")),B73="",NOT(ISNUMBER(C73)),COUNT(D73:M73)&lt;&gt;10),"Thiếu/sai số dư",IF(C73&lt;&gt;'Tong_hop'!$F$4-1,"Sai ngày chốt",IF(COUNTIFS(T_SoDu[Khóa shop],P73)&lt;&gt;1,"Trùng shop",IF(AND(N73&lt;&gt;"Đã đủ",N73&lt;&gt;"Chưa"),"Thiếu xác nhận nguồn","")))))</x:f>
      </x:c>
      <x:c r="S73" s="27" t="str">
        <x:f>IF(P73="","",IF(AC73&gt;0,"n.a.",SUMIFS(T_Don[Phải thu gộp],T_Don[Sàn],A73,T_Don[Shop],B73,T_Don[Ngày ghi nhận bán],"&gt;="&amp;'Tong_hop'!$C$4,T_Don[Ngày ghi nhận bán],"&lt;"&amp;'Tong_hop'!$F$4)))</x:f>
      </x:c>
      <x:c r="T73" s="27" t="str">
        <x:f>IF(P73="","",IF(AC73&gt;0,"n.a.",SUMIFS(T_GD[Hoàn tiền shop chịu],T_GD[Sàn],A73,T_GD[Shop],B73,T_GD[Ngày giao dịch sàn],"&gt;="&amp;'Tong_hop'!$C$4,T_GD[Ngày giao dịch sàn],"&lt;"&amp;'Tong_hop'!$F$4)))</x:f>
      </x:c>
      <x:c r="U73" s="27" t="str">
        <x:f>IF(P73="","",IF(AC73&gt;0,"n.a.",SUMIFS(T_GD[Phí sàn cấn trừ],T_GD[Sàn],A73,T_GD[Shop],B73,T_GD[Ngày giao dịch sàn],"&gt;="&amp;'Tong_hop'!$C$4,T_GD[Ngày giao dịch sàn],"&lt;"&amp;'Tong_hop'!$F$4)+SUMIFS(T_GD[Ship shop chịu],T_GD[Sàn],A73,T_GD[Shop],B73,T_GD[Ngày giao dịch sàn],"&gt;="&amp;'Tong_hop'!$C$4,T_GD[Ngày giao dịch sàn],"&lt;"&amp;'Tong_hop'!$F$4)+SUMIFS(T_Chuyen[Phí chuyển đã xác nhận],T_Chuyen[Sàn],A73,T_Chuyen[Shop],B73,T_Chuyen[Ngày trừ số dư],"&gt;="&amp;'Tong_hop'!$C$4,T_Chuyen[Ngày trừ số dư],"&lt;"&amp;'Tong_hop'!$F$4)))</x:f>
      </x:c>
      <x:c r="V73" s="27" t="str">
        <x:f>IF(P73="","",IF(AC73&gt;0,"n.a.",SUMIFS(T_GD[Điều chỉnh khác +/-],T_GD[Sàn],A73,T_GD[Shop],B73,T_GD[Ngày giao dịch sàn],"&gt;="&amp;'Tong_hop'!$C$4,T_GD[Ngày giao dịch sàn],"&lt;"&amp;'Tong_hop'!$F$4)+SUMIFS(T_GD[Nạp vào số dư],T_GD[Sàn],A73,T_GD[Shop],B73,T_GD[Ngày giao dịch sàn],"&gt;="&amp;'Tong_hop'!$C$4,T_GD[Ngày giao dịch sàn],"&lt;"&amp;'Tong_hop'!$F$4)))</x:f>
      </x:c>
      <x:c r="W73" s="27" t="str">
        <x:f>IF(P73="","",IF(AC73&gt;0,"n.a.",SUMIFS(T_NH[Tiền thực nhận],T_NH[Sàn],A73,T_NH[Shop],B73,T_NH[Ngày báo Có],"&gt;="&amp;'Tong_hop'!$C$4,T_NH[Ngày báo Có],"&lt;"&amp;'Tong_hop'!$F$4)))</x:f>
      </x:c>
      <x:c r="X73" s="27" t="str">
        <x:f>IF(P73="","",IF(AC73&gt;0,"n.a.",D73+S73-T73-U73+V73-W73))</x:f>
      </x:c>
      <x:c r="Y73" s="27" t="str">
        <x:f>IF(P73="","",IF(AC73&gt;0,"n.a.",SUMIFS(T_GD[Thực ghi số dư +/-],T_GD[Sàn],A73,T_GD[Shop],B73,T_GD[Ngày giao dịch sàn],"&gt;="&amp;'Tong_hop'!$C$4,T_GD[Ngày giao dịch sàn],"&lt;"&amp;'Tong_hop'!$F$4,T_GD[Nhóm giao dịch],"Quyết toán")))</x:f>
      </x:c>
      <x:c r="Z73" s="27" t="str">
        <x:f>IF(P73="","",IF(AC73&gt;0,"n.a.",E73+SUMIFS(T_GD[Thực ghi số dư +/-],T_GD[Sàn],A73,T_GD[Shop],B73,T_GD[Ngày giao dịch sàn],"&gt;="&amp;'Tong_hop'!$C$4,T_GD[Ngày giao dịch sàn],"&lt;"&amp;'Tong_hop'!$F$4)-SUMIFS(T_Chuyen[Tiền trừ số dư],T_Chuyen[Sàn],A73,T_Chuyen[Shop],B73,T_Chuyen[Ngày trừ số dư],"&gt;="&amp;'Tong_hop'!$C$4,T_Chuyen[Ngày trừ số dư],"&lt;"&amp;'Tong_hop'!$F$4)))</x:f>
      </x:c>
      <x:c r="AA73" s="27" t="str">
        <x:f>IF(P73="","",IF(AC73&gt;0,"n.a.",SUMIFS(T_Chuyen[Còn đang chuyển],T_Chuyen[Sàn],A73,T_Chuyen[Shop],B73)))</x:f>
      </x:c>
      <x:c r="AB73" s="27" t="str">
        <x:f>IF(P73="","",IF(AC73&gt;0,"n.a.",SUMIFS(T_Chuyen[Tiền trừ số dư],T_Chuyen[Sàn],A73,T_Chuyen[Shop],B73,T_Chuyen[Ngày trừ số dư],"&gt;="&amp;'Tong_hop'!$C$4,T_Chuyen[Ngày trừ số dư],"&lt;"&amp;'Tong_hop'!$F$4)))</x:f>
      </x:c>
      <x:c r="AC73" s="28" t="str">
        <x:f>IF(P73="","",IF(R73="",0,1)+COUNTIFS(T_Don[Sàn],A73,T_Don[Shop],B73,T_Don[Kiểm tra dữ liệu],"?*")+COUNTIFS(T_GD[Sàn],A73,T_GD[Shop],B73,T_GD[Kiểm tra dữ liệu],"?*")+COUNTIFS(T_Chuyen[Sàn],A73,T_Chuyen[Shop],B73,T_Chuyen[Kiểm tra dữ liệu],"?*")+COUNTIFS(T_NH[Sàn],A73,T_NH[Shop],B73,T_NH[Kiểm tra dữ liệu],"?*"))</x:f>
      </x:c>
    </x:row>
    <x:row r="74" ht="22" customHeight="1">
      <x:c r="A74" s="10"/>
      <x:c r="B74" s="10"/>
      <x:c r="C74" s="25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10"/>
      <x:c r="O74" s="10"/>
      <x:c r="P74" s="23" t="str">
        <x:f>IF(AND(A74="",B74=""),"",A74&amp;"|"&amp;B74)</x:f>
      </x:c>
      <x:c r="Q74" s="27" t="str">
        <x:f>IF(P74="","",IF(COUNT(F74:J74)=5,SUM(F74:J74),"n.a."))</x:f>
      </x:c>
      <x:c r="R74" s="23" t="str">
        <x:f>IF(COUNTA(A74:O74)=0,"",IF(OR(NOT(OR(A74="TikTok Shop",A74="Shopee",A74="Lazada")),B74="",NOT(ISNUMBER(C74)),COUNT(D74:M74)&lt;&gt;10),"Thiếu/sai số dư",IF(C74&lt;&gt;'Tong_hop'!$F$4-1,"Sai ngày chốt",IF(COUNTIFS(T_SoDu[Khóa shop],P74)&lt;&gt;1,"Trùng shop",IF(AND(N74&lt;&gt;"Đã đủ",N74&lt;&gt;"Chưa"),"Thiếu xác nhận nguồn","")))))</x:f>
      </x:c>
      <x:c r="S74" s="27" t="str">
        <x:f>IF(P74="","",IF(AC74&gt;0,"n.a.",SUMIFS(T_Don[Phải thu gộp],T_Don[Sàn],A74,T_Don[Shop],B74,T_Don[Ngày ghi nhận bán],"&gt;="&amp;'Tong_hop'!$C$4,T_Don[Ngày ghi nhận bán],"&lt;"&amp;'Tong_hop'!$F$4)))</x:f>
      </x:c>
      <x:c r="T74" s="27" t="str">
        <x:f>IF(P74="","",IF(AC74&gt;0,"n.a.",SUMIFS(T_GD[Hoàn tiền shop chịu],T_GD[Sàn],A74,T_GD[Shop],B74,T_GD[Ngày giao dịch sàn],"&gt;="&amp;'Tong_hop'!$C$4,T_GD[Ngày giao dịch sàn],"&lt;"&amp;'Tong_hop'!$F$4)))</x:f>
      </x:c>
      <x:c r="U74" s="27" t="str">
        <x:f>IF(P74="","",IF(AC74&gt;0,"n.a.",SUMIFS(T_GD[Phí sàn cấn trừ],T_GD[Sàn],A74,T_GD[Shop],B74,T_GD[Ngày giao dịch sàn],"&gt;="&amp;'Tong_hop'!$C$4,T_GD[Ngày giao dịch sàn],"&lt;"&amp;'Tong_hop'!$F$4)+SUMIFS(T_GD[Ship shop chịu],T_GD[Sàn],A74,T_GD[Shop],B74,T_GD[Ngày giao dịch sàn],"&gt;="&amp;'Tong_hop'!$C$4,T_GD[Ngày giao dịch sàn],"&lt;"&amp;'Tong_hop'!$F$4)+SUMIFS(T_Chuyen[Phí chuyển đã xác nhận],T_Chuyen[Sàn],A74,T_Chuyen[Shop],B74,T_Chuyen[Ngày trừ số dư],"&gt;="&amp;'Tong_hop'!$C$4,T_Chuyen[Ngày trừ số dư],"&lt;"&amp;'Tong_hop'!$F$4)))</x:f>
      </x:c>
      <x:c r="V74" s="27" t="str">
        <x:f>IF(P74="","",IF(AC74&gt;0,"n.a.",SUMIFS(T_GD[Điều chỉnh khác +/-],T_GD[Sàn],A74,T_GD[Shop],B74,T_GD[Ngày giao dịch sàn],"&gt;="&amp;'Tong_hop'!$C$4,T_GD[Ngày giao dịch sàn],"&lt;"&amp;'Tong_hop'!$F$4)+SUMIFS(T_GD[Nạp vào số dư],T_GD[Sàn],A74,T_GD[Shop],B74,T_GD[Ngày giao dịch sàn],"&gt;="&amp;'Tong_hop'!$C$4,T_GD[Ngày giao dịch sàn],"&lt;"&amp;'Tong_hop'!$F$4)))</x:f>
      </x:c>
      <x:c r="W74" s="27" t="str">
        <x:f>IF(P74="","",IF(AC74&gt;0,"n.a.",SUMIFS(T_NH[Tiền thực nhận],T_NH[Sàn],A74,T_NH[Shop],B74,T_NH[Ngày báo Có],"&gt;="&amp;'Tong_hop'!$C$4,T_NH[Ngày báo Có],"&lt;"&amp;'Tong_hop'!$F$4)))</x:f>
      </x:c>
      <x:c r="X74" s="27" t="str">
        <x:f>IF(P74="","",IF(AC74&gt;0,"n.a.",D74+S74-T74-U74+V74-W74))</x:f>
      </x:c>
      <x:c r="Y74" s="27" t="str">
        <x:f>IF(P74="","",IF(AC74&gt;0,"n.a.",SUMIFS(T_GD[Thực ghi số dư +/-],T_GD[Sàn],A74,T_GD[Shop],B74,T_GD[Ngày giao dịch sàn],"&gt;="&amp;'Tong_hop'!$C$4,T_GD[Ngày giao dịch sàn],"&lt;"&amp;'Tong_hop'!$F$4,T_GD[Nhóm giao dịch],"Quyết toán")))</x:f>
      </x:c>
      <x:c r="Z74" s="27" t="str">
        <x:f>IF(P74="","",IF(AC74&gt;0,"n.a.",E74+SUMIFS(T_GD[Thực ghi số dư +/-],T_GD[Sàn],A74,T_GD[Shop],B74,T_GD[Ngày giao dịch sàn],"&gt;="&amp;'Tong_hop'!$C$4,T_GD[Ngày giao dịch sàn],"&lt;"&amp;'Tong_hop'!$F$4)-SUMIFS(T_Chuyen[Tiền trừ số dư],T_Chuyen[Sàn],A74,T_Chuyen[Shop],B74,T_Chuyen[Ngày trừ số dư],"&gt;="&amp;'Tong_hop'!$C$4,T_Chuyen[Ngày trừ số dư],"&lt;"&amp;'Tong_hop'!$F$4)))</x:f>
      </x:c>
      <x:c r="AA74" s="27" t="str">
        <x:f>IF(P74="","",IF(AC74&gt;0,"n.a.",SUMIFS(T_Chuyen[Còn đang chuyển],T_Chuyen[Sàn],A74,T_Chuyen[Shop],B74)))</x:f>
      </x:c>
      <x:c r="AB74" s="27" t="str">
        <x:f>IF(P74="","",IF(AC74&gt;0,"n.a.",SUMIFS(T_Chuyen[Tiền trừ số dư],T_Chuyen[Sàn],A74,T_Chuyen[Shop],B74,T_Chuyen[Ngày trừ số dư],"&gt;="&amp;'Tong_hop'!$C$4,T_Chuyen[Ngày trừ số dư],"&lt;"&amp;'Tong_hop'!$F$4)))</x:f>
      </x:c>
      <x:c r="AC74" s="28" t="str">
        <x:f>IF(P74="","",IF(R74="",0,1)+COUNTIFS(T_Don[Sàn],A74,T_Don[Shop],B74,T_Don[Kiểm tra dữ liệu],"?*")+COUNTIFS(T_GD[Sàn],A74,T_GD[Shop],B74,T_GD[Kiểm tra dữ liệu],"?*")+COUNTIFS(T_Chuyen[Sàn],A74,T_Chuyen[Shop],B74,T_Chuyen[Kiểm tra dữ liệu],"?*")+COUNTIFS(T_NH[Sàn],A74,T_NH[Shop],B74,T_NH[Kiểm tra dữ liệu],"?*"))</x:f>
      </x:c>
    </x:row>
    <x:row r="75" ht="22" customHeight="1">
      <x:c r="A75" s="10"/>
      <x:c r="B75" s="10"/>
      <x:c r="C75" s="25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10"/>
      <x:c r="O75" s="10"/>
      <x:c r="P75" s="23" t="str">
        <x:f>IF(AND(A75="",B75=""),"",A75&amp;"|"&amp;B75)</x:f>
      </x:c>
      <x:c r="Q75" s="27" t="str">
        <x:f>IF(P75="","",IF(COUNT(F75:J75)=5,SUM(F75:J75),"n.a."))</x:f>
      </x:c>
      <x:c r="R75" s="23" t="str">
        <x:f>IF(COUNTA(A75:O75)=0,"",IF(OR(NOT(OR(A75="TikTok Shop",A75="Shopee",A75="Lazada")),B75="",NOT(ISNUMBER(C75)),COUNT(D75:M75)&lt;&gt;10),"Thiếu/sai số dư",IF(C75&lt;&gt;'Tong_hop'!$F$4-1,"Sai ngày chốt",IF(COUNTIFS(T_SoDu[Khóa shop],P75)&lt;&gt;1,"Trùng shop",IF(AND(N75&lt;&gt;"Đã đủ",N75&lt;&gt;"Chưa"),"Thiếu xác nhận nguồn","")))))</x:f>
      </x:c>
      <x:c r="S75" s="27" t="str">
        <x:f>IF(P75="","",IF(AC75&gt;0,"n.a.",SUMIFS(T_Don[Phải thu gộp],T_Don[Sàn],A75,T_Don[Shop],B75,T_Don[Ngày ghi nhận bán],"&gt;="&amp;'Tong_hop'!$C$4,T_Don[Ngày ghi nhận bán],"&lt;"&amp;'Tong_hop'!$F$4)))</x:f>
      </x:c>
      <x:c r="T75" s="27" t="str">
        <x:f>IF(P75="","",IF(AC75&gt;0,"n.a.",SUMIFS(T_GD[Hoàn tiền shop chịu],T_GD[Sàn],A75,T_GD[Shop],B75,T_GD[Ngày giao dịch sàn],"&gt;="&amp;'Tong_hop'!$C$4,T_GD[Ngày giao dịch sàn],"&lt;"&amp;'Tong_hop'!$F$4)))</x:f>
      </x:c>
      <x:c r="U75" s="27" t="str">
        <x:f>IF(P75="","",IF(AC75&gt;0,"n.a.",SUMIFS(T_GD[Phí sàn cấn trừ],T_GD[Sàn],A75,T_GD[Shop],B75,T_GD[Ngày giao dịch sàn],"&gt;="&amp;'Tong_hop'!$C$4,T_GD[Ngày giao dịch sàn],"&lt;"&amp;'Tong_hop'!$F$4)+SUMIFS(T_GD[Ship shop chịu],T_GD[Sàn],A75,T_GD[Shop],B75,T_GD[Ngày giao dịch sàn],"&gt;="&amp;'Tong_hop'!$C$4,T_GD[Ngày giao dịch sàn],"&lt;"&amp;'Tong_hop'!$F$4)+SUMIFS(T_Chuyen[Phí chuyển đã xác nhận],T_Chuyen[Sàn],A75,T_Chuyen[Shop],B75,T_Chuyen[Ngày trừ số dư],"&gt;="&amp;'Tong_hop'!$C$4,T_Chuyen[Ngày trừ số dư],"&lt;"&amp;'Tong_hop'!$F$4)))</x:f>
      </x:c>
      <x:c r="V75" s="27" t="str">
        <x:f>IF(P75="","",IF(AC75&gt;0,"n.a.",SUMIFS(T_GD[Điều chỉnh khác +/-],T_GD[Sàn],A75,T_GD[Shop],B75,T_GD[Ngày giao dịch sàn],"&gt;="&amp;'Tong_hop'!$C$4,T_GD[Ngày giao dịch sàn],"&lt;"&amp;'Tong_hop'!$F$4)+SUMIFS(T_GD[Nạp vào số dư],T_GD[Sàn],A75,T_GD[Shop],B75,T_GD[Ngày giao dịch sàn],"&gt;="&amp;'Tong_hop'!$C$4,T_GD[Ngày giao dịch sàn],"&lt;"&amp;'Tong_hop'!$F$4)))</x:f>
      </x:c>
      <x:c r="W75" s="27" t="str">
        <x:f>IF(P75="","",IF(AC75&gt;0,"n.a.",SUMIFS(T_NH[Tiền thực nhận],T_NH[Sàn],A75,T_NH[Shop],B75,T_NH[Ngày báo Có],"&gt;="&amp;'Tong_hop'!$C$4,T_NH[Ngày báo Có],"&lt;"&amp;'Tong_hop'!$F$4)))</x:f>
      </x:c>
      <x:c r="X75" s="27" t="str">
        <x:f>IF(P75="","",IF(AC75&gt;0,"n.a.",D75+S75-T75-U75+V75-W75))</x:f>
      </x:c>
      <x:c r="Y75" s="27" t="str">
        <x:f>IF(P75="","",IF(AC75&gt;0,"n.a.",SUMIFS(T_GD[Thực ghi số dư +/-],T_GD[Sàn],A75,T_GD[Shop],B75,T_GD[Ngày giao dịch sàn],"&gt;="&amp;'Tong_hop'!$C$4,T_GD[Ngày giao dịch sàn],"&lt;"&amp;'Tong_hop'!$F$4,T_GD[Nhóm giao dịch],"Quyết toán")))</x:f>
      </x:c>
      <x:c r="Z75" s="27" t="str">
        <x:f>IF(P75="","",IF(AC75&gt;0,"n.a.",E75+SUMIFS(T_GD[Thực ghi số dư +/-],T_GD[Sàn],A75,T_GD[Shop],B75,T_GD[Ngày giao dịch sàn],"&gt;="&amp;'Tong_hop'!$C$4,T_GD[Ngày giao dịch sàn],"&lt;"&amp;'Tong_hop'!$F$4)-SUMIFS(T_Chuyen[Tiền trừ số dư],T_Chuyen[Sàn],A75,T_Chuyen[Shop],B75,T_Chuyen[Ngày trừ số dư],"&gt;="&amp;'Tong_hop'!$C$4,T_Chuyen[Ngày trừ số dư],"&lt;"&amp;'Tong_hop'!$F$4)))</x:f>
      </x:c>
      <x:c r="AA75" s="27" t="str">
        <x:f>IF(P75="","",IF(AC75&gt;0,"n.a.",SUMIFS(T_Chuyen[Còn đang chuyển],T_Chuyen[Sàn],A75,T_Chuyen[Shop],B75)))</x:f>
      </x:c>
      <x:c r="AB75" s="27" t="str">
        <x:f>IF(P75="","",IF(AC75&gt;0,"n.a.",SUMIFS(T_Chuyen[Tiền trừ số dư],T_Chuyen[Sàn],A75,T_Chuyen[Shop],B75,T_Chuyen[Ngày trừ số dư],"&gt;="&amp;'Tong_hop'!$C$4,T_Chuyen[Ngày trừ số dư],"&lt;"&amp;'Tong_hop'!$F$4)))</x:f>
      </x:c>
      <x:c r="AC75" s="28" t="str">
        <x:f>IF(P75="","",IF(R75="",0,1)+COUNTIFS(T_Don[Sàn],A75,T_Don[Shop],B75,T_Don[Kiểm tra dữ liệu],"?*")+COUNTIFS(T_GD[Sàn],A75,T_GD[Shop],B75,T_GD[Kiểm tra dữ liệu],"?*")+COUNTIFS(T_Chuyen[Sàn],A75,T_Chuyen[Shop],B75,T_Chuyen[Kiểm tra dữ liệu],"?*")+COUNTIFS(T_NH[Sàn],A75,T_NH[Shop],B75,T_NH[Kiểm tra dữ liệu],"?*"))</x:f>
      </x:c>
    </x:row>
    <x:row r="76" ht="22" customHeight="1">
      <x:c r="A76" s="10"/>
      <x:c r="B76" s="10"/>
      <x:c r="C76" s="25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10"/>
      <x:c r="O76" s="10"/>
      <x:c r="P76" s="23" t="str">
        <x:f>IF(AND(A76="",B76=""),"",A76&amp;"|"&amp;B76)</x:f>
      </x:c>
      <x:c r="Q76" s="27" t="str">
        <x:f>IF(P76="","",IF(COUNT(F76:J76)=5,SUM(F76:J76),"n.a."))</x:f>
      </x:c>
      <x:c r="R76" s="23" t="str">
        <x:f>IF(COUNTA(A76:O76)=0,"",IF(OR(NOT(OR(A76="TikTok Shop",A76="Shopee",A76="Lazada")),B76="",NOT(ISNUMBER(C76)),COUNT(D76:M76)&lt;&gt;10),"Thiếu/sai số dư",IF(C76&lt;&gt;'Tong_hop'!$F$4-1,"Sai ngày chốt",IF(COUNTIFS(T_SoDu[Khóa shop],P76)&lt;&gt;1,"Trùng shop",IF(AND(N76&lt;&gt;"Đã đủ",N76&lt;&gt;"Chưa"),"Thiếu xác nhận nguồn","")))))</x:f>
      </x:c>
      <x:c r="S76" s="27" t="str">
        <x:f>IF(P76="","",IF(AC76&gt;0,"n.a.",SUMIFS(T_Don[Phải thu gộp],T_Don[Sàn],A76,T_Don[Shop],B76,T_Don[Ngày ghi nhận bán],"&gt;="&amp;'Tong_hop'!$C$4,T_Don[Ngày ghi nhận bán],"&lt;"&amp;'Tong_hop'!$F$4)))</x:f>
      </x:c>
      <x:c r="T76" s="27" t="str">
        <x:f>IF(P76="","",IF(AC76&gt;0,"n.a.",SUMIFS(T_GD[Hoàn tiền shop chịu],T_GD[Sàn],A76,T_GD[Shop],B76,T_GD[Ngày giao dịch sàn],"&gt;="&amp;'Tong_hop'!$C$4,T_GD[Ngày giao dịch sàn],"&lt;"&amp;'Tong_hop'!$F$4)))</x:f>
      </x:c>
      <x:c r="U76" s="27" t="str">
        <x:f>IF(P76="","",IF(AC76&gt;0,"n.a.",SUMIFS(T_GD[Phí sàn cấn trừ],T_GD[Sàn],A76,T_GD[Shop],B76,T_GD[Ngày giao dịch sàn],"&gt;="&amp;'Tong_hop'!$C$4,T_GD[Ngày giao dịch sàn],"&lt;"&amp;'Tong_hop'!$F$4)+SUMIFS(T_GD[Ship shop chịu],T_GD[Sàn],A76,T_GD[Shop],B76,T_GD[Ngày giao dịch sàn],"&gt;="&amp;'Tong_hop'!$C$4,T_GD[Ngày giao dịch sàn],"&lt;"&amp;'Tong_hop'!$F$4)+SUMIFS(T_Chuyen[Phí chuyển đã xác nhận],T_Chuyen[Sàn],A76,T_Chuyen[Shop],B76,T_Chuyen[Ngày trừ số dư],"&gt;="&amp;'Tong_hop'!$C$4,T_Chuyen[Ngày trừ số dư],"&lt;"&amp;'Tong_hop'!$F$4)))</x:f>
      </x:c>
      <x:c r="V76" s="27" t="str">
        <x:f>IF(P76="","",IF(AC76&gt;0,"n.a.",SUMIFS(T_GD[Điều chỉnh khác +/-],T_GD[Sàn],A76,T_GD[Shop],B76,T_GD[Ngày giao dịch sàn],"&gt;="&amp;'Tong_hop'!$C$4,T_GD[Ngày giao dịch sàn],"&lt;"&amp;'Tong_hop'!$F$4)+SUMIFS(T_GD[Nạp vào số dư],T_GD[Sàn],A76,T_GD[Shop],B76,T_GD[Ngày giao dịch sàn],"&gt;="&amp;'Tong_hop'!$C$4,T_GD[Ngày giao dịch sàn],"&lt;"&amp;'Tong_hop'!$F$4)))</x:f>
      </x:c>
      <x:c r="W76" s="27" t="str">
        <x:f>IF(P76="","",IF(AC76&gt;0,"n.a.",SUMIFS(T_NH[Tiền thực nhận],T_NH[Sàn],A76,T_NH[Shop],B76,T_NH[Ngày báo Có],"&gt;="&amp;'Tong_hop'!$C$4,T_NH[Ngày báo Có],"&lt;"&amp;'Tong_hop'!$F$4)))</x:f>
      </x:c>
      <x:c r="X76" s="27" t="str">
        <x:f>IF(P76="","",IF(AC76&gt;0,"n.a.",D76+S76-T76-U76+V76-W76))</x:f>
      </x:c>
      <x:c r="Y76" s="27" t="str">
        <x:f>IF(P76="","",IF(AC76&gt;0,"n.a.",SUMIFS(T_GD[Thực ghi số dư +/-],T_GD[Sàn],A76,T_GD[Shop],B76,T_GD[Ngày giao dịch sàn],"&gt;="&amp;'Tong_hop'!$C$4,T_GD[Ngày giao dịch sàn],"&lt;"&amp;'Tong_hop'!$F$4,T_GD[Nhóm giao dịch],"Quyết toán")))</x:f>
      </x:c>
      <x:c r="Z76" s="27" t="str">
        <x:f>IF(P76="","",IF(AC76&gt;0,"n.a.",E76+SUMIFS(T_GD[Thực ghi số dư +/-],T_GD[Sàn],A76,T_GD[Shop],B76,T_GD[Ngày giao dịch sàn],"&gt;="&amp;'Tong_hop'!$C$4,T_GD[Ngày giao dịch sàn],"&lt;"&amp;'Tong_hop'!$F$4)-SUMIFS(T_Chuyen[Tiền trừ số dư],T_Chuyen[Sàn],A76,T_Chuyen[Shop],B76,T_Chuyen[Ngày trừ số dư],"&gt;="&amp;'Tong_hop'!$C$4,T_Chuyen[Ngày trừ số dư],"&lt;"&amp;'Tong_hop'!$F$4)))</x:f>
      </x:c>
      <x:c r="AA76" s="27" t="str">
        <x:f>IF(P76="","",IF(AC76&gt;0,"n.a.",SUMIFS(T_Chuyen[Còn đang chuyển],T_Chuyen[Sàn],A76,T_Chuyen[Shop],B76)))</x:f>
      </x:c>
      <x:c r="AB76" s="27" t="str">
        <x:f>IF(P76="","",IF(AC76&gt;0,"n.a.",SUMIFS(T_Chuyen[Tiền trừ số dư],T_Chuyen[Sàn],A76,T_Chuyen[Shop],B76,T_Chuyen[Ngày trừ số dư],"&gt;="&amp;'Tong_hop'!$C$4,T_Chuyen[Ngày trừ số dư],"&lt;"&amp;'Tong_hop'!$F$4)))</x:f>
      </x:c>
      <x:c r="AC76" s="28" t="str">
        <x:f>IF(P76="","",IF(R76="",0,1)+COUNTIFS(T_Don[Sàn],A76,T_Don[Shop],B76,T_Don[Kiểm tra dữ liệu],"?*")+COUNTIFS(T_GD[Sàn],A76,T_GD[Shop],B76,T_GD[Kiểm tra dữ liệu],"?*")+COUNTIFS(T_Chuyen[Sàn],A76,T_Chuyen[Shop],B76,T_Chuyen[Kiểm tra dữ liệu],"?*")+COUNTIFS(T_NH[Sàn],A76,T_NH[Shop],B76,T_NH[Kiểm tra dữ liệu],"?*"))</x:f>
      </x:c>
    </x:row>
    <x:row r="77" ht="22" customHeight="1">
      <x:c r="A77" s="10"/>
      <x:c r="B77" s="10"/>
      <x:c r="C77" s="25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10"/>
      <x:c r="O77" s="10"/>
      <x:c r="P77" s="23" t="str">
        <x:f>IF(AND(A77="",B77=""),"",A77&amp;"|"&amp;B77)</x:f>
      </x:c>
      <x:c r="Q77" s="27" t="str">
        <x:f>IF(P77="","",IF(COUNT(F77:J77)=5,SUM(F77:J77),"n.a."))</x:f>
      </x:c>
      <x:c r="R77" s="23" t="str">
        <x:f>IF(COUNTA(A77:O77)=0,"",IF(OR(NOT(OR(A77="TikTok Shop",A77="Shopee",A77="Lazada")),B77="",NOT(ISNUMBER(C77)),COUNT(D77:M77)&lt;&gt;10),"Thiếu/sai số dư",IF(C77&lt;&gt;'Tong_hop'!$F$4-1,"Sai ngày chốt",IF(COUNTIFS(T_SoDu[Khóa shop],P77)&lt;&gt;1,"Trùng shop",IF(AND(N77&lt;&gt;"Đã đủ",N77&lt;&gt;"Chưa"),"Thiếu xác nhận nguồn","")))))</x:f>
      </x:c>
      <x:c r="S77" s="27" t="str">
        <x:f>IF(P77="","",IF(AC77&gt;0,"n.a.",SUMIFS(T_Don[Phải thu gộp],T_Don[Sàn],A77,T_Don[Shop],B77,T_Don[Ngày ghi nhận bán],"&gt;="&amp;'Tong_hop'!$C$4,T_Don[Ngày ghi nhận bán],"&lt;"&amp;'Tong_hop'!$F$4)))</x:f>
      </x:c>
      <x:c r="T77" s="27" t="str">
        <x:f>IF(P77="","",IF(AC77&gt;0,"n.a.",SUMIFS(T_GD[Hoàn tiền shop chịu],T_GD[Sàn],A77,T_GD[Shop],B77,T_GD[Ngày giao dịch sàn],"&gt;="&amp;'Tong_hop'!$C$4,T_GD[Ngày giao dịch sàn],"&lt;"&amp;'Tong_hop'!$F$4)))</x:f>
      </x:c>
      <x:c r="U77" s="27" t="str">
        <x:f>IF(P77="","",IF(AC77&gt;0,"n.a.",SUMIFS(T_GD[Phí sàn cấn trừ],T_GD[Sàn],A77,T_GD[Shop],B77,T_GD[Ngày giao dịch sàn],"&gt;="&amp;'Tong_hop'!$C$4,T_GD[Ngày giao dịch sàn],"&lt;"&amp;'Tong_hop'!$F$4)+SUMIFS(T_GD[Ship shop chịu],T_GD[Sàn],A77,T_GD[Shop],B77,T_GD[Ngày giao dịch sàn],"&gt;="&amp;'Tong_hop'!$C$4,T_GD[Ngày giao dịch sàn],"&lt;"&amp;'Tong_hop'!$F$4)+SUMIFS(T_Chuyen[Phí chuyển đã xác nhận],T_Chuyen[Sàn],A77,T_Chuyen[Shop],B77,T_Chuyen[Ngày trừ số dư],"&gt;="&amp;'Tong_hop'!$C$4,T_Chuyen[Ngày trừ số dư],"&lt;"&amp;'Tong_hop'!$F$4)))</x:f>
      </x:c>
      <x:c r="V77" s="27" t="str">
        <x:f>IF(P77="","",IF(AC77&gt;0,"n.a.",SUMIFS(T_GD[Điều chỉnh khác +/-],T_GD[Sàn],A77,T_GD[Shop],B77,T_GD[Ngày giao dịch sàn],"&gt;="&amp;'Tong_hop'!$C$4,T_GD[Ngày giao dịch sàn],"&lt;"&amp;'Tong_hop'!$F$4)+SUMIFS(T_GD[Nạp vào số dư],T_GD[Sàn],A77,T_GD[Shop],B77,T_GD[Ngày giao dịch sàn],"&gt;="&amp;'Tong_hop'!$C$4,T_GD[Ngày giao dịch sàn],"&lt;"&amp;'Tong_hop'!$F$4)))</x:f>
      </x:c>
      <x:c r="W77" s="27" t="str">
        <x:f>IF(P77="","",IF(AC77&gt;0,"n.a.",SUMIFS(T_NH[Tiền thực nhận],T_NH[Sàn],A77,T_NH[Shop],B77,T_NH[Ngày báo Có],"&gt;="&amp;'Tong_hop'!$C$4,T_NH[Ngày báo Có],"&lt;"&amp;'Tong_hop'!$F$4)))</x:f>
      </x:c>
      <x:c r="X77" s="27" t="str">
        <x:f>IF(P77="","",IF(AC77&gt;0,"n.a.",D77+S77-T77-U77+V77-W77))</x:f>
      </x:c>
      <x:c r="Y77" s="27" t="str">
        <x:f>IF(P77="","",IF(AC77&gt;0,"n.a.",SUMIFS(T_GD[Thực ghi số dư +/-],T_GD[Sàn],A77,T_GD[Shop],B77,T_GD[Ngày giao dịch sàn],"&gt;="&amp;'Tong_hop'!$C$4,T_GD[Ngày giao dịch sàn],"&lt;"&amp;'Tong_hop'!$F$4,T_GD[Nhóm giao dịch],"Quyết toán")))</x:f>
      </x:c>
      <x:c r="Z77" s="27" t="str">
        <x:f>IF(P77="","",IF(AC77&gt;0,"n.a.",E77+SUMIFS(T_GD[Thực ghi số dư +/-],T_GD[Sàn],A77,T_GD[Shop],B77,T_GD[Ngày giao dịch sàn],"&gt;="&amp;'Tong_hop'!$C$4,T_GD[Ngày giao dịch sàn],"&lt;"&amp;'Tong_hop'!$F$4)-SUMIFS(T_Chuyen[Tiền trừ số dư],T_Chuyen[Sàn],A77,T_Chuyen[Shop],B77,T_Chuyen[Ngày trừ số dư],"&gt;="&amp;'Tong_hop'!$C$4,T_Chuyen[Ngày trừ số dư],"&lt;"&amp;'Tong_hop'!$F$4)))</x:f>
      </x:c>
      <x:c r="AA77" s="27" t="str">
        <x:f>IF(P77="","",IF(AC77&gt;0,"n.a.",SUMIFS(T_Chuyen[Còn đang chuyển],T_Chuyen[Sàn],A77,T_Chuyen[Shop],B77)))</x:f>
      </x:c>
      <x:c r="AB77" s="27" t="str">
        <x:f>IF(P77="","",IF(AC77&gt;0,"n.a.",SUMIFS(T_Chuyen[Tiền trừ số dư],T_Chuyen[Sàn],A77,T_Chuyen[Shop],B77,T_Chuyen[Ngày trừ số dư],"&gt;="&amp;'Tong_hop'!$C$4,T_Chuyen[Ngày trừ số dư],"&lt;"&amp;'Tong_hop'!$F$4)))</x:f>
      </x:c>
      <x:c r="AC77" s="28" t="str">
        <x:f>IF(P77="","",IF(R77="",0,1)+COUNTIFS(T_Don[Sàn],A77,T_Don[Shop],B77,T_Don[Kiểm tra dữ liệu],"?*")+COUNTIFS(T_GD[Sàn],A77,T_GD[Shop],B77,T_GD[Kiểm tra dữ liệu],"?*")+COUNTIFS(T_Chuyen[Sàn],A77,T_Chuyen[Shop],B77,T_Chuyen[Kiểm tra dữ liệu],"?*")+COUNTIFS(T_NH[Sàn],A77,T_NH[Shop],B77,T_NH[Kiểm tra dữ liệu],"?*"))</x:f>
      </x:c>
    </x:row>
    <x:row r="78" ht="22" customHeight="1">
      <x:c r="A78" s="10"/>
      <x:c r="B78" s="10"/>
      <x:c r="C78" s="25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10"/>
      <x:c r="O78" s="10"/>
      <x:c r="P78" s="23" t="str">
        <x:f>IF(AND(A78="",B78=""),"",A78&amp;"|"&amp;B78)</x:f>
      </x:c>
      <x:c r="Q78" s="27" t="str">
        <x:f>IF(P78="","",IF(COUNT(F78:J78)=5,SUM(F78:J78),"n.a."))</x:f>
      </x:c>
      <x:c r="R78" s="23" t="str">
        <x:f>IF(COUNTA(A78:O78)=0,"",IF(OR(NOT(OR(A78="TikTok Shop",A78="Shopee",A78="Lazada")),B78="",NOT(ISNUMBER(C78)),COUNT(D78:M78)&lt;&gt;10),"Thiếu/sai số dư",IF(C78&lt;&gt;'Tong_hop'!$F$4-1,"Sai ngày chốt",IF(COUNTIFS(T_SoDu[Khóa shop],P78)&lt;&gt;1,"Trùng shop",IF(AND(N78&lt;&gt;"Đã đủ",N78&lt;&gt;"Chưa"),"Thiếu xác nhận nguồn","")))))</x:f>
      </x:c>
      <x:c r="S78" s="27" t="str">
        <x:f>IF(P78="","",IF(AC78&gt;0,"n.a.",SUMIFS(T_Don[Phải thu gộp],T_Don[Sàn],A78,T_Don[Shop],B78,T_Don[Ngày ghi nhận bán],"&gt;="&amp;'Tong_hop'!$C$4,T_Don[Ngày ghi nhận bán],"&lt;"&amp;'Tong_hop'!$F$4)))</x:f>
      </x:c>
      <x:c r="T78" s="27" t="str">
        <x:f>IF(P78="","",IF(AC78&gt;0,"n.a.",SUMIFS(T_GD[Hoàn tiền shop chịu],T_GD[Sàn],A78,T_GD[Shop],B78,T_GD[Ngày giao dịch sàn],"&gt;="&amp;'Tong_hop'!$C$4,T_GD[Ngày giao dịch sàn],"&lt;"&amp;'Tong_hop'!$F$4)))</x:f>
      </x:c>
      <x:c r="U78" s="27" t="str">
        <x:f>IF(P78="","",IF(AC78&gt;0,"n.a.",SUMIFS(T_GD[Phí sàn cấn trừ],T_GD[Sàn],A78,T_GD[Shop],B78,T_GD[Ngày giao dịch sàn],"&gt;="&amp;'Tong_hop'!$C$4,T_GD[Ngày giao dịch sàn],"&lt;"&amp;'Tong_hop'!$F$4)+SUMIFS(T_GD[Ship shop chịu],T_GD[Sàn],A78,T_GD[Shop],B78,T_GD[Ngày giao dịch sàn],"&gt;="&amp;'Tong_hop'!$C$4,T_GD[Ngày giao dịch sàn],"&lt;"&amp;'Tong_hop'!$F$4)+SUMIFS(T_Chuyen[Phí chuyển đã xác nhận],T_Chuyen[Sàn],A78,T_Chuyen[Shop],B78,T_Chuyen[Ngày trừ số dư],"&gt;="&amp;'Tong_hop'!$C$4,T_Chuyen[Ngày trừ số dư],"&lt;"&amp;'Tong_hop'!$F$4)))</x:f>
      </x:c>
      <x:c r="V78" s="27" t="str">
        <x:f>IF(P78="","",IF(AC78&gt;0,"n.a.",SUMIFS(T_GD[Điều chỉnh khác +/-],T_GD[Sàn],A78,T_GD[Shop],B78,T_GD[Ngày giao dịch sàn],"&gt;="&amp;'Tong_hop'!$C$4,T_GD[Ngày giao dịch sàn],"&lt;"&amp;'Tong_hop'!$F$4)+SUMIFS(T_GD[Nạp vào số dư],T_GD[Sàn],A78,T_GD[Shop],B78,T_GD[Ngày giao dịch sàn],"&gt;="&amp;'Tong_hop'!$C$4,T_GD[Ngày giao dịch sàn],"&lt;"&amp;'Tong_hop'!$F$4)))</x:f>
      </x:c>
      <x:c r="W78" s="27" t="str">
        <x:f>IF(P78="","",IF(AC78&gt;0,"n.a.",SUMIFS(T_NH[Tiền thực nhận],T_NH[Sàn],A78,T_NH[Shop],B78,T_NH[Ngày báo Có],"&gt;="&amp;'Tong_hop'!$C$4,T_NH[Ngày báo Có],"&lt;"&amp;'Tong_hop'!$F$4)))</x:f>
      </x:c>
      <x:c r="X78" s="27" t="str">
        <x:f>IF(P78="","",IF(AC78&gt;0,"n.a.",D78+S78-T78-U78+V78-W78))</x:f>
      </x:c>
      <x:c r="Y78" s="27" t="str">
        <x:f>IF(P78="","",IF(AC78&gt;0,"n.a.",SUMIFS(T_GD[Thực ghi số dư +/-],T_GD[Sàn],A78,T_GD[Shop],B78,T_GD[Ngày giao dịch sàn],"&gt;="&amp;'Tong_hop'!$C$4,T_GD[Ngày giao dịch sàn],"&lt;"&amp;'Tong_hop'!$F$4,T_GD[Nhóm giao dịch],"Quyết toán")))</x:f>
      </x:c>
      <x:c r="Z78" s="27" t="str">
        <x:f>IF(P78="","",IF(AC78&gt;0,"n.a.",E78+SUMIFS(T_GD[Thực ghi số dư +/-],T_GD[Sàn],A78,T_GD[Shop],B78,T_GD[Ngày giao dịch sàn],"&gt;="&amp;'Tong_hop'!$C$4,T_GD[Ngày giao dịch sàn],"&lt;"&amp;'Tong_hop'!$F$4)-SUMIFS(T_Chuyen[Tiền trừ số dư],T_Chuyen[Sàn],A78,T_Chuyen[Shop],B78,T_Chuyen[Ngày trừ số dư],"&gt;="&amp;'Tong_hop'!$C$4,T_Chuyen[Ngày trừ số dư],"&lt;"&amp;'Tong_hop'!$F$4)))</x:f>
      </x:c>
      <x:c r="AA78" s="27" t="str">
        <x:f>IF(P78="","",IF(AC78&gt;0,"n.a.",SUMIFS(T_Chuyen[Còn đang chuyển],T_Chuyen[Sàn],A78,T_Chuyen[Shop],B78)))</x:f>
      </x:c>
      <x:c r="AB78" s="27" t="str">
        <x:f>IF(P78="","",IF(AC78&gt;0,"n.a.",SUMIFS(T_Chuyen[Tiền trừ số dư],T_Chuyen[Sàn],A78,T_Chuyen[Shop],B78,T_Chuyen[Ngày trừ số dư],"&gt;="&amp;'Tong_hop'!$C$4,T_Chuyen[Ngày trừ số dư],"&lt;"&amp;'Tong_hop'!$F$4)))</x:f>
      </x:c>
      <x:c r="AC78" s="28" t="str">
        <x:f>IF(P78="","",IF(R78="",0,1)+COUNTIFS(T_Don[Sàn],A78,T_Don[Shop],B78,T_Don[Kiểm tra dữ liệu],"?*")+COUNTIFS(T_GD[Sàn],A78,T_GD[Shop],B78,T_GD[Kiểm tra dữ liệu],"?*")+COUNTIFS(T_Chuyen[Sàn],A78,T_Chuyen[Shop],B78,T_Chuyen[Kiểm tra dữ liệu],"?*")+COUNTIFS(T_NH[Sàn],A78,T_NH[Shop],B78,T_NH[Kiểm tra dữ liệu],"?*"))</x:f>
      </x:c>
    </x:row>
    <x:row r="79" ht="22" customHeight="1">
      <x:c r="A79" s="10"/>
      <x:c r="B79" s="10"/>
      <x:c r="C79" s="25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10"/>
      <x:c r="O79" s="10"/>
      <x:c r="P79" s="23" t="str">
        <x:f>IF(AND(A79="",B79=""),"",A79&amp;"|"&amp;B79)</x:f>
      </x:c>
      <x:c r="Q79" s="27" t="str">
        <x:f>IF(P79="","",IF(COUNT(F79:J79)=5,SUM(F79:J79),"n.a."))</x:f>
      </x:c>
      <x:c r="R79" s="23" t="str">
        <x:f>IF(COUNTA(A79:O79)=0,"",IF(OR(NOT(OR(A79="TikTok Shop",A79="Shopee",A79="Lazada")),B79="",NOT(ISNUMBER(C79)),COUNT(D79:M79)&lt;&gt;10),"Thiếu/sai số dư",IF(C79&lt;&gt;'Tong_hop'!$F$4-1,"Sai ngày chốt",IF(COUNTIFS(T_SoDu[Khóa shop],P79)&lt;&gt;1,"Trùng shop",IF(AND(N79&lt;&gt;"Đã đủ",N79&lt;&gt;"Chưa"),"Thiếu xác nhận nguồn","")))))</x:f>
      </x:c>
      <x:c r="S79" s="27" t="str">
        <x:f>IF(P79="","",IF(AC79&gt;0,"n.a.",SUMIFS(T_Don[Phải thu gộp],T_Don[Sàn],A79,T_Don[Shop],B79,T_Don[Ngày ghi nhận bán],"&gt;="&amp;'Tong_hop'!$C$4,T_Don[Ngày ghi nhận bán],"&lt;"&amp;'Tong_hop'!$F$4)))</x:f>
      </x:c>
      <x:c r="T79" s="27" t="str">
        <x:f>IF(P79="","",IF(AC79&gt;0,"n.a.",SUMIFS(T_GD[Hoàn tiền shop chịu],T_GD[Sàn],A79,T_GD[Shop],B79,T_GD[Ngày giao dịch sàn],"&gt;="&amp;'Tong_hop'!$C$4,T_GD[Ngày giao dịch sàn],"&lt;"&amp;'Tong_hop'!$F$4)))</x:f>
      </x:c>
      <x:c r="U79" s="27" t="str">
        <x:f>IF(P79="","",IF(AC79&gt;0,"n.a.",SUMIFS(T_GD[Phí sàn cấn trừ],T_GD[Sàn],A79,T_GD[Shop],B79,T_GD[Ngày giao dịch sàn],"&gt;="&amp;'Tong_hop'!$C$4,T_GD[Ngày giao dịch sàn],"&lt;"&amp;'Tong_hop'!$F$4)+SUMIFS(T_GD[Ship shop chịu],T_GD[Sàn],A79,T_GD[Shop],B79,T_GD[Ngày giao dịch sàn],"&gt;="&amp;'Tong_hop'!$C$4,T_GD[Ngày giao dịch sàn],"&lt;"&amp;'Tong_hop'!$F$4)+SUMIFS(T_Chuyen[Phí chuyển đã xác nhận],T_Chuyen[Sàn],A79,T_Chuyen[Shop],B79,T_Chuyen[Ngày trừ số dư],"&gt;="&amp;'Tong_hop'!$C$4,T_Chuyen[Ngày trừ số dư],"&lt;"&amp;'Tong_hop'!$F$4)))</x:f>
      </x:c>
      <x:c r="V79" s="27" t="str">
        <x:f>IF(P79="","",IF(AC79&gt;0,"n.a.",SUMIFS(T_GD[Điều chỉnh khác +/-],T_GD[Sàn],A79,T_GD[Shop],B79,T_GD[Ngày giao dịch sàn],"&gt;="&amp;'Tong_hop'!$C$4,T_GD[Ngày giao dịch sàn],"&lt;"&amp;'Tong_hop'!$F$4)+SUMIFS(T_GD[Nạp vào số dư],T_GD[Sàn],A79,T_GD[Shop],B79,T_GD[Ngày giao dịch sàn],"&gt;="&amp;'Tong_hop'!$C$4,T_GD[Ngày giao dịch sàn],"&lt;"&amp;'Tong_hop'!$F$4)))</x:f>
      </x:c>
      <x:c r="W79" s="27" t="str">
        <x:f>IF(P79="","",IF(AC79&gt;0,"n.a.",SUMIFS(T_NH[Tiền thực nhận],T_NH[Sàn],A79,T_NH[Shop],B79,T_NH[Ngày báo Có],"&gt;="&amp;'Tong_hop'!$C$4,T_NH[Ngày báo Có],"&lt;"&amp;'Tong_hop'!$F$4)))</x:f>
      </x:c>
      <x:c r="X79" s="27" t="str">
        <x:f>IF(P79="","",IF(AC79&gt;0,"n.a.",D79+S79-T79-U79+V79-W79))</x:f>
      </x:c>
      <x:c r="Y79" s="27" t="str">
        <x:f>IF(P79="","",IF(AC79&gt;0,"n.a.",SUMIFS(T_GD[Thực ghi số dư +/-],T_GD[Sàn],A79,T_GD[Shop],B79,T_GD[Ngày giao dịch sàn],"&gt;="&amp;'Tong_hop'!$C$4,T_GD[Ngày giao dịch sàn],"&lt;"&amp;'Tong_hop'!$F$4,T_GD[Nhóm giao dịch],"Quyết toán")))</x:f>
      </x:c>
      <x:c r="Z79" s="27" t="str">
        <x:f>IF(P79="","",IF(AC79&gt;0,"n.a.",E79+SUMIFS(T_GD[Thực ghi số dư +/-],T_GD[Sàn],A79,T_GD[Shop],B79,T_GD[Ngày giao dịch sàn],"&gt;="&amp;'Tong_hop'!$C$4,T_GD[Ngày giao dịch sàn],"&lt;"&amp;'Tong_hop'!$F$4)-SUMIFS(T_Chuyen[Tiền trừ số dư],T_Chuyen[Sàn],A79,T_Chuyen[Shop],B79,T_Chuyen[Ngày trừ số dư],"&gt;="&amp;'Tong_hop'!$C$4,T_Chuyen[Ngày trừ số dư],"&lt;"&amp;'Tong_hop'!$F$4)))</x:f>
      </x:c>
      <x:c r="AA79" s="27" t="str">
        <x:f>IF(P79="","",IF(AC79&gt;0,"n.a.",SUMIFS(T_Chuyen[Còn đang chuyển],T_Chuyen[Sàn],A79,T_Chuyen[Shop],B79)))</x:f>
      </x:c>
      <x:c r="AB79" s="27" t="str">
        <x:f>IF(P79="","",IF(AC79&gt;0,"n.a.",SUMIFS(T_Chuyen[Tiền trừ số dư],T_Chuyen[Sàn],A79,T_Chuyen[Shop],B79,T_Chuyen[Ngày trừ số dư],"&gt;="&amp;'Tong_hop'!$C$4,T_Chuyen[Ngày trừ số dư],"&lt;"&amp;'Tong_hop'!$F$4)))</x:f>
      </x:c>
      <x:c r="AC79" s="28" t="str">
        <x:f>IF(P79="","",IF(R79="",0,1)+COUNTIFS(T_Don[Sàn],A79,T_Don[Shop],B79,T_Don[Kiểm tra dữ liệu],"?*")+COUNTIFS(T_GD[Sàn],A79,T_GD[Shop],B79,T_GD[Kiểm tra dữ liệu],"?*")+COUNTIFS(T_Chuyen[Sàn],A79,T_Chuyen[Shop],B79,T_Chuyen[Kiểm tra dữ liệu],"?*")+COUNTIFS(T_NH[Sàn],A79,T_NH[Shop],B79,T_NH[Kiểm tra dữ liệu],"?*"))</x:f>
      </x:c>
    </x:row>
    <x:row r="80" ht="22" customHeight="1">
      <x:c r="A80" s="10"/>
      <x:c r="B80" s="10"/>
      <x:c r="C80" s="25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10"/>
      <x:c r="O80" s="10"/>
      <x:c r="P80" s="23" t="str">
        <x:f>IF(AND(A80="",B80=""),"",A80&amp;"|"&amp;B80)</x:f>
      </x:c>
      <x:c r="Q80" s="27" t="str">
        <x:f>IF(P80="","",IF(COUNT(F80:J80)=5,SUM(F80:J80),"n.a."))</x:f>
      </x:c>
      <x:c r="R80" s="23" t="str">
        <x:f>IF(COUNTA(A80:O80)=0,"",IF(OR(NOT(OR(A80="TikTok Shop",A80="Shopee",A80="Lazada")),B80="",NOT(ISNUMBER(C80)),COUNT(D80:M80)&lt;&gt;10),"Thiếu/sai số dư",IF(C80&lt;&gt;'Tong_hop'!$F$4-1,"Sai ngày chốt",IF(COUNTIFS(T_SoDu[Khóa shop],P80)&lt;&gt;1,"Trùng shop",IF(AND(N80&lt;&gt;"Đã đủ",N80&lt;&gt;"Chưa"),"Thiếu xác nhận nguồn","")))))</x:f>
      </x:c>
      <x:c r="S80" s="27" t="str">
        <x:f>IF(P80="","",IF(AC80&gt;0,"n.a.",SUMIFS(T_Don[Phải thu gộp],T_Don[Sàn],A80,T_Don[Shop],B80,T_Don[Ngày ghi nhận bán],"&gt;="&amp;'Tong_hop'!$C$4,T_Don[Ngày ghi nhận bán],"&lt;"&amp;'Tong_hop'!$F$4)))</x:f>
      </x:c>
      <x:c r="T80" s="27" t="str">
        <x:f>IF(P80="","",IF(AC80&gt;0,"n.a.",SUMIFS(T_GD[Hoàn tiền shop chịu],T_GD[Sàn],A80,T_GD[Shop],B80,T_GD[Ngày giao dịch sàn],"&gt;="&amp;'Tong_hop'!$C$4,T_GD[Ngày giao dịch sàn],"&lt;"&amp;'Tong_hop'!$F$4)))</x:f>
      </x:c>
      <x:c r="U80" s="27" t="str">
        <x:f>IF(P80="","",IF(AC80&gt;0,"n.a.",SUMIFS(T_GD[Phí sàn cấn trừ],T_GD[Sàn],A80,T_GD[Shop],B80,T_GD[Ngày giao dịch sàn],"&gt;="&amp;'Tong_hop'!$C$4,T_GD[Ngày giao dịch sàn],"&lt;"&amp;'Tong_hop'!$F$4)+SUMIFS(T_GD[Ship shop chịu],T_GD[Sàn],A80,T_GD[Shop],B80,T_GD[Ngày giao dịch sàn],"&gt;="&amp;'Tong_hop'!$C$4,T_GD[Ngày giao dịch sàn],"&lt;"&amp;'Tong_hop'!$F$4)+SUMIFS(T_Chuyen[Phí chuyển đã xác nhận],T_Chuyen[Sàn],A80,T_Chuyen[Shop],B80,T_Chuyen[Ngày trừ số dư],"&gt;="&amp;'Tong_hop'!$C$4,T_Chuyen[Ngày trừ số dư],"&lt;"&amp;'Tong_hop'!$F$4)))</x:f>
      </x:c>
      <x:c r="V80" s="27" t="str">
        <x:f>IF(P80="","",IF(AC80&gt;0,"n.a.",SUMIFS(T_GD[Điều chỉnh khác +/-],T_GD[Sàn],A80,T_GD[Shop],B80,T_GD[Ngày giao dịch sàn],"&gt;="&amp;'Tong_hop'!$C$4,T_GD[Ngày giao dịch sàn],"&lt;"&amp;'Tong_hop'!$F$4)+SUMIFS(T_GD[Nạp vào số dư],T_GD[Sàn],A80,T_GD[Shop],B80,T_GD[Ngày giao dịch sàn],"&gt;="&amp;'Tong_hop'!$C$4,T_GD[Ngày giao dịch sàn],"&lt;"&amp;'Tong_hop'!$F$4)))</x:f>
      </x:c>
      <x:c r="W80" s="27" t="str">
        <x:f>IF(P80="","",IF(AC80&gt;0,"n.a.",SUMIFS(T_NH[Tiền thực nhận],T_NH[Sàn],A80,T_NH[Shop],B80,T_NH[Ngày báo Có],"&gt;="&amp;'Tong_hop'!$C$4,T_NH[Ngày báo Có],"&lt;"&amp;'Tong_hop'!$F$4)))</x:f>
      </x:c>
      <x:c r="X80" s="27" t="str">
        <x:f>IF(P80="","",IF(AC80&gt;0,"n.a.",D80+S80-T80-U80+V80-W80))</x:f>
      </x:c>
      <x:c r="Y80" s="27" t="str">
        <x:f>IF(P80="","",IF(AC80&gt;0,"n.a.",SUMIFS(T_GD[Thực ghi số dư +/-],T_GD[Sàn],A80,T_GD[Shop],B80,T_GD[Ngày giao dịch sàn],"&gt;="&amp;'Tong_hop'!$C$4,T_GD[Ngày giao dịch sàn],"&lt;"&amp;'Tong_hop'!$F$4,T_GD[Nhóm giao dịch],"Quyết toán")))</x:f>
      </x:c>
      <x:c r="Z80" s="27" t="str">
        <x:f>IF(P80="","",IF(AC80&gt;0,"n.a.",E80+SUMIFS(T_GD[Thực ghi số dư +/-],T_GD[Sàn],A80,T_GD[Shop],B80,T_GD[Ngày giao dịch sàn],"&gt;="&amp;'Tong_hop'!$C$4,T_GD[Ngày giao dịch sàn],"&lt;"&amp;'Tong_hop'!$F$4)-SUMIFS(T_Chuyen[Tiền trừ số dư],T_Chuyen[Sàn],A80,T_Chuyen[Shop],B80,T_Chuyen[Ngày trừ số dư],"&gt;="&amp;'Tong_hop'!$C$4,T_Chuyen[Ngày trừ số dư],"&lt;"&amp;'Tong_hop'!$F$4)))</x:f>
      </x:c>
      <x:c r="AA80" s="27" t="str">
        <x:f>IF(P80="","",IF(AC80&gt;0,"n.a.",SUMIFS(T_Chuyen[Còn đang chuyển],T_Chuyen[Sàn],A80,T_Chuyen[Shop],B80)))</x:f>
      </x:c>
      <x:c r="AB80" s="27" t="str">
        <x:f>IF(P80="","",IF(AC80&gt;0,"n.a.",SUMIFS(T_Chuyen[Tiền trừ số dư],T_Chuyen[Sàn],A80,T_Chuyen[Shop],B80,T_Chuyen[Ngày trừ số dư],"&gt;="&amp;'Tong_hop'!$C$4,T_Chuyen[Ngày trừ số dư],"&lt;"&amp;'Tong_hop'!$F$4)))</x:f>
      </x:c>
      <x:c r="AC80" s="28" t="str">
        <x:f>IF(P80="","",IF(R80="",0,1)+COUNTIFS(T_Don[Sàn],A80,T_Don[Shop],B80,T_Don[Kiểm tra dữ liệu],"?*")+COUNTIFS(T_GD[Sàn],A80,T_GD[Shop],B80,T_GD[Kiểm tra dữ liệu],"?*")+COUNTIFS(T_Chuyen[Sàn],A80,T_Chuyen[Shop],B80,T_Chuyen[Kiểm tra dữ liệu],"?*")+COUNTIFS(T_NH[Sàn],A80,T_NH[Shop],B80,T_NH[Kiểm tra dữ liệu],"?*"))</x:f>
      </x:c>
    </x:row>
    <x:row r="81" ht="22" customHeight="1">
      <x:c r="A81" s="10"/>
      <x:c r="B81" s="10"/>
      <x:c r="C81" s="25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10"/>
      <x:c r="O81" s="10"/>
      <x:c r="P81" s="23" t="str">
        <x:f>IF(AND(A81="",B81=""),"",A81&amp;"|"&amp;B81)</x:f>
      </x:c>
      <x:c r="Q81" s="27" t="str">
        <x:f>IF(P81="","",IF(COUNT(F81:J81)=5,SUM(F81:J81),"n.a."))</x:f>
      </x:c>
      <x:c r="R81" s="23" t="str">
        <x:f>IF(COUNTA(A81:O81)=0,"",IF(OR(NOT(OR(A81="TikTok Shop",A81="Shopee",A81="Lazada")),B81="",NOT(ISNUMBER(C81)),COUNT(D81:M81)&lt;&gt;10),"Thiếu/sai số dư",IF(C81&lt;&gt;'Tong_hop'!$F$4-1,"Sai ngày chốt",IF(COUNTIFS(T_SoDu[Khóa shop],P81)&lt;&gt;1,"Trùng shop",IF(AND(N81&lt;&gt;"Đã đủ",N81&lt;&gt;"Chưa"),"Thiếu xác nhận nguồn","")))))</x:f>
      </x:c>
      <x:c r="S81" s="27" t="str">
        <x:f>IF(P81="","",IF(AC81&gt;0,"n.a.",SUMIFS(T_Don[Phải thu gộp],T_Don[Sàn],A81,T_Don[Shop],B81,T_Don[Ngày ghi nhận bán],"&gt;="&amp;'Tong_hop'!$C$4,T_Don[Ngày ghi nhận bán],"&lt;"&amp;'Tong_hop'!$F$4)))</x:f>
      </x:c>
      <x:c r="T81" s="27" t="str">
        <x:f>IF(P81="","",IF(AC81&gt;0,"n.a.",SUMIFS(T_GD[Hoàn tiền shop chịu],T_GD[Sàn],A81,T_GD[Shop],B81,T_GD[Ngày giao dịch sàn],"&gt;="&amp;'Tong_hop'!$C$4,T_GD[Ngày giao dịch sàn],"&lt;"&amp;'Tong_hop'!$F$4)))</x:f>
      </x:c>
      <x:c r="U81" s="27" t="str">
        <x:f>IF(P81="","",IF(AC81&gt;0,"n.a.",SUMIFS(T_GD[Phí sàn cấn trừ],T_GD[Sàn],A81,T_GD[Shop],B81,T_GD[Ngày giao dịch sàn],"&gt;="&amp;'Tong_hop'!$C$4,T_GD[Ngày giao dịch sàn],"&lt;"&amp;'Tong_hop'!$F$4)+SUMIFS(T_GD[Ship shop chịu],T_GD[Sàn],A81,T_GD[Shop],B81,T_GD[Ngày giao dịch sàn],"&gt;="&amp;'Tong_hop'!$C$4,T_GD[Ngày giao dịch sàn],"&lt;"&amp;'Tong_hop'!$F$4)+SUMIFS(T_Chuyen[Phí chuyển đã xác nhận],T_Chuyen[Sàn],A81,T_Chuyen[Shop],B81,T_Chuyen[Ngày trừ số dư],"&gt;="&amp;'Tong_hop'!$C$4,T_Chuyen[Ngày trừ số dư],"&lt;"&amp;'Tong_hop'!$F$4)))</x:f>
      </x:c>
      <x:c r="V81" s="27" t="str">
        <x:f>IF(P81="","",IF(AC81&gt;0,"n.a.",SUMIFS(T_GD[Điều chỉnh khác +/-],T_GD[Sàn],A81,T_GD[Shop],B81,T_GD[Ngày giao dịch sàn],"&gt;="&amp;'Tong_hop'!$C$4,T_GD[Ngày giao dịch sàn],"&lt;"&amp;'Tong_hop'!$F$4)+SUMIFS(T_GD[Nạp vào số dư],T_GD[Sàn],A81,T_GD[Shop],B81,T_GD[Ngày giao dịch sàn],"&gt;="&amp;'Tong_hop'!$C$4,T_GD[Ngày giao dịch sàn],"&lt;"&amp;'Tong_hop'!$F$4)))</x:f>
      </x:c>
      <x:c r="W81" s="27" t="str">
        <x:f>IF(P81="","",IF(AC81&gt;0,"n.a.",SUMIFS(T_NH[Tiền thực nhận],T_NH[Sàn],A81,T_NH[Shop],B81,T_NH[Ngày báo Có],"&gt;="&amp;'Tong_hop'!$C$4,T_NH[Ngày báo Có],"&lt;"&amp;'Tong_hop'!$F$4)))</x:f>
      </x:c>
      <x:c r="X81" s="27" t="str">
        <x:f>IF(P81="","",IF(AC81&gt;0,"n.a.",D81+S81-T81-U81+V81-W81))</x:f>
      </x:c>
      <x:c r="Y81" s="27" t="str">
        <x:f>IF(P81="","",IF(AC81&gt;0,"n.a.",SUMIFS(T_GD[Thực ghi số dư +/-],T_GD[Sàn],A81,T_GD[Shop],B81,T_GD[Ngày giao dịch sàn],"&gt;="&amp;'Tong_hop'!$C$4,T_GD[Ngày giao dịch sàn],"&lt;"&amp;'Tong_hop'!$F$4,T_GD[Nhóm giao dịch],"Quyết toán")))</x:f>
      </x:c>
      <x:c r="Z81" s="27" t="str">
        <x:f>IF(P81="","",IF(AC81&gt;0,"n.a.",E81+SUMIFS(T_GD[Thực ghi số dư +/-],T_GD[Sàn],A81,T_GD[Shop],B81,T_GD[Ngày giao dịch sàn],"&gt;="&amp;'Tong_hop'!$C$4,T_GD[Ngày giao dịch sàn],"&lt;"&amp;'Tong_hop'!$F$4)-SUMIFS(T_Chuyen[Tiền trừ số dư],T_Chuyen[Sàn],A81,T_Chuyen[Shop],B81,T_Chuyen[Ngày trừ số dư],"&gt;="&amp;'Tong_hop'!$C$4,T_Chuyen[Ngày trừ số dư],"&lt;"&amp;'Tong_hop'!$F$4)))</x:f>
      </x:c>
      <x:c r="AA81" s="27" t="str">
        <x:f>IF(P81="","",IF(AC81&gt;0,"n.a.",SUMIFS(T_Chuyen[Còn đang chuyển],T_Chuyen[Sàn],A81,T_Chuyen[Shop],B81)))</x:f>
      </x:c>
      <x:c r="AB81" s="27" t="str">
        <x:f>IF(P81="","",IF(AC81&gt;0,"n.a.",SUMIFS(T_Chuyen[Tiền trừ số dư],T_Chuyen[Sàn],A81,T_Chuyen[Shop],B81,T_Chuyen[Ngày trừ số dư],"&gt;="&amp;'Tong_hop'!$C$4,T_Chuyen[Ngày trừ số dư],"&lt;"&amp;'Tong_hop'!$F$4)))</x:f>
      </x:c>
      <x:c r="AC81" s="28" t="str">
        <x:f>IF(P81="","",IF(R81="",0,1)+COUNTIFS(T_Don[Sàn],A81,T_Don[Shop],B81,T_Don[Kiểm tra dữ liệu],"?*")+COUNTIFS(T_GD[Sàn],A81,T_GD[Shop],B81,T_GD[Kiểm tra dữ liệu],"?*")+COUNTIFS(T_Chuyen[Sàn],A81,T_Chuyen[Shop],B81,T_Chuyen[Kiểm tra dữ liệu],"?*")+COUNTIFS(T_NH[Sàn],A81,T_NH[Shop],B81,T_NH[Kiểm tra dữ liệu],"?*"))</x:f>
      </x:c>
    </x:row>
    <x:row r="82" ht="22" customHeight="1">
      <x:c r="A82" s="10"/>
      <x:c r="B82" s="10"/>
      <x:c r="C82" s="25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10"/>
      <x:c r="O82" s="10"/>
      <x:c r="P82" s="23" t="str">
        <x:f>IF(AND(A82="",B82=""),"",A82&amp;"|"&amp;B82)</x:f>
      </x:c>
      <x:c r="Q82" s="27" t="str">
        <x:f>IF(P82="","",IF(COUNT(F82:J82)=5,SUM(F82:J82),"n.a."))</x:f>
      </x:c>
      <x:c r="R82" s="23" t="str">
        <x:f>IF(COUNTA(A82:O82)=0,"",IF(OR(NOT(OR(A82="TikTok Shop",A82="Shopee",A82="Lazada")),B82="",NOT(ISNUMBER(C82)),COUNT(D82:M82)&lt;&gt;10),"Thiếu/sai số dư",IF(C82&lt;&gt;'Tong_hop'!$F$4-1,"Sai ngày chốt",IF(COUNTIFS(T_SoDu[Khóa shop],P82)&lt;&gt;1,"Trùng shop",IF(AND(N82&lt;&gt;"Đã đủ",N82&lt;&gt;"Chưa"),"Thiếu xác nhận nguồn","")))))</x:f>
      </x:c>
      <x:c r="S82" s="27" t="str">
        <x:f>IF(P82="","",IF(AC82&gt;0,"n.a.",SUMIFS(T_Don[Phải thu gộp],T_Don[Sàn],A82,T_Don[Shop],B82,T_Don[Ngày ghi nhận bán],"&gt;="&amp;'Tong_hop'!$C$4,T_Don[Ngày ghi nhận bán],"&lt;"&amp;'Tong_hop'!$F$4)))</x:f>
      </x:c>
      <x:c r="T82" s="27" t="str">
        <x:f>IF(P82="","",IF(AC82&gt;0,"n.a.",SUMIFS(T_GD[Hoàn tiền shop chịu],T_GD[Sàn],A82,T_GD[Shop],B82,T_GD[Ngày giao dịch sàn],"&gt;="&amp;'Tong_hop'!$C$4,T_GD[Ngày giao dịch sàn],"&lt;"&amp;'Tong_hop'!$F$4)))</x:f>
      </x:c>
      <x:c r="U82" s="27" t="str">
        <x:f>IF(P82="","",IF(AC82&gt;0,"n.a.",SUMIFS(T_GD[Phí sàn cấn trừ],T_GD[Sàn],A82,T_GD[Shop],B82,T_GD[Ngày giao dịch sàn],"&gt;="&amp;'Tong_hop'!$C$4,T_GD[Ngày giao dịch sàn],"&lt;"&amp;'Tong_hop'!$F$4)+SUMIFS(T_GD[Ship shop chịu],T_GD[Sàn],A82,T_GD[Shop],B82,T_GD[Ngày giao dịch sàn],"&gt;="&amp;'Tong_hop'!$C$4,T_GD[Ngày giao dịch sàn],"&lt;"&amp;'Tong_hop'!$F$4)+SUMIFS(T_Chuyen[Phí chuyển đã xác nhận],T_Chuyen[Sàn],A82,T_Chuyen[Shop],B82,T_Chuyen[Ngày trừ số dư],"&gt;="&amp;'Tong_hop'!$C$4,T_Chuyen[Ngày trừ số dư],"&lt;"&amp;'Tong_hop'!$F$4)))</x:f>
      </x:c>
      <x:c r="V82" s="27" t="str">
        <x:f>IF(P82="","",IF(AC82&gt;0,"n.a.",SUMIFS(T_GD[Điều chỉnh khác +/-],T_GD[Sàn],A82,T_GD[Shop],B82,T_GD[Ngày giao dịch sàn],"&gt;="&amp;'Tong_hop'!$C$4,T_GD[Ngày giao dịch sàn],"&lt;"&amp;'Tong_hop'!$F$4)+SUMIFS(T_GD[Nạp vào số dư],T_GD[Sàn],A82,T_GD[Shop],B82,T_GD[Ngày giao dịch sàn],"&gt;="&amp;'Tong_hop'!$C$4,T_GD[Ngày giao dịch sàn],"&lt;"&amp;'Tong_hop'!$F$4)))</x:f>
      </x:c>
      <x:c r="W82" s="27" t="str">
        <x:f>IF(P82="","",IF(AC82&gt;0,"n.a.",SUMIFS(T_NH[Tiền thực nhận],T_NH[Sàn],A82,T_NH[Shop],B82,T_NH[Ngày báo Có],"&gt;="&amp;'Tong_hop'!$C$4,T_NH[Ngày báo Có],"&lt;"&amp;'Tong_hop'!$F$4)))</x:f>
      </x:c>
      <x:c r="X82" s="27" t="str">
        <x:f>IF(P82="","",IF(AC82&gt;0,"n.a.",D82+S82-T82-U82+V82-W82))</x:f>
      </x:c>
      <x:c r="Y82" s="27" t="str">
        <x:f>IF(P82="","",IF(AC82&gt;0,"n.a.",SUMIFS(T_GD[Thực ghi số dư +/-],T_GD[Sàn],A82,T_GD[Shop],B82,T_GD[Ngày giao dịch sàn],"&gt;="&amp;'Tong_hop'!$C$4,T_GD[Ngày giao dịch sàn],"&lt;"&amp;'Tong_hop'!$F$4,T_GD[Nhóm giao dịch],"Quyết toán")))</x:f>
      </x:c>
      <x:c r="Z82" s="27" t="str">
        <x:f>IF(P82="","",IF(AC82&gt;0,"n.a.",E82+SUMIFS(T_GD[Thực ghi số dư +/-],T_GD[Sàn],A82,T_GD[Shop],B82,T_GD[Ngày giao dịch sàn],"&gt;="&amp;'Tong_hop'!$C$4,T_GD[Ngày giao dịch sàn],"&lt;"&amp;'Tong_hop'!$F$4)-SUMIFS(T_Chuyen[Tiền trừ số dư],T_Chuyen[Sàn],A82,T_Chuyen[Shop],B82,T_Chuyen[Ngày trừ số dư],"&gt;="&amp;'Tong_hop'!$C$4,T_Chuyen[Ngày trừ số dư],"&lt;"&amp;'Tong_hop'!$F$4)))</x:f>
      </x:c>
      <x:c r="AA82" s="27" t="str">
        <x:f>IF(P82="","",IF(AC82&gt;0,"n.a.",SUMIFS(T_Chuyen[Còn đang chuyển],T_Chuyen[Sàn],A82,T_Chuyen[Shop],B82)))</x:f>
      </x:c>
      <x:c r="AB82" s="27" t="str">
        <x:f>IF(P82="","",IF(AC82&gt;0,"n.a.",SUMIFS(T_Chuyen[Tiền trừ số dư],T_Chuyen[Sàn],A82,T_Chuyen[Shop],B82,T_Chuyen[Ngày trừ số dư],"&gt;="&amp;'Tong_hop'!$C$4,T_Chuyen[Ngày trừ số dư],"&lt;"&amp;'Tong_hop'!$F$4)))</x:f>
      </x:c>
      <x:c r="AC82" s="28" t="str">
        <x:f>IF(P82="","",IF(R82="",0,1)+COUNTIFS(T_Don[Sàn],A82,T_Don[Shop],B82,T_Don[Kiểm tra dữ liệu],"?*")+COUNTIFS(T_GD[Sàn],A82,T_GD[Shop],B82,T_GD[Kiểm tra dữ liệu],"?*")+COUNTIFS(T_Chuyen[Sàn],A82,T_Chuyen[Shop],B82,T_Chuyen[Kiểm tra dữ liệu],"?*")+COUNTIFS(T_NH[Sàn],A82,T_NH[Shop],B82,T_NH[Kiểm tra dữ liệu],"?*"))</x:f>
      </x:c>
    </x:row>
    <x:row r="83" ht="22" customHeight="1">
      <x:c r="A83" s="10"/>
      <x:c r="B83" s="10"/>
      <x:c r="C83" s="25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10"/>
      <x:c r="O83" s="10"/>
      <x:c r="P83" s="23" t="str">
        <x:f>IF(AND(A83="",B83=""),"",A83&amp;"|"&amp;B83)</x:f>
      </x:c>
      <x:c r="Q83" s="27" t="str">
        <x:f>IF(P83="","",IF(COUNT(F83:J83)=5,SUM(F83:J83),"n.a."))</x:f>
      </x:c>
      <x:c r="R83" s="23" t="str">
        <x:f>IF(COUNTA(A83:O83)=0,"",IF(OR(NOT(OR(A83="TikTok Shop",A83="Shopee",A83="Lazada")),B83="",NOT(ISNUMBER(C83)),COUNT(D83:M83)&lt;&gt;10),"Thiếu/sai số dư",IF(C83&lt;&gt;'Tong_hop'!$F$4-1,"Sai ngày chốt",IF(COUNTIFS(T_SoDu[Khóa shop],P83)&lt;&gt;1,"Trùng shop",IF(AND(N83&lt;&gt;"Đã đủ",N83&lt;&gt;"Chưa"),"Thiếu xác nhận nguồn","")))))</x:f>
      </x:c>
      <x:c r="S83" s="27" t="str">
        <x:f>IF(P83="","",IF(AC83&gt;0,"n.a.",SUMIFS(T_Don[Phải thu gộp],T_Don[Sàn],A83,T_Don[Shop],B83,T_Don[Ngày ghi nhận bán],"&gt;="&amp;'Tong_hop'!$C$4,T_Don[Ngày ghi nhận bán],"&lt;"&amp;'Tong_hop'!$F$4)))</x:f>
      </x:c>
      <x:c r="T83" s="27" t="str">
        <x:f>IF(P83="","",IF(AC83&gt;0,"n.a.",SUMIFS(T_GD[Hoàn tiền shop chịu],T_GD[Sàn],A83,T_GD[Shop],B83,T_GD[Ngày giao dịch sàn],"&gt;="&amp;'Tong_hop'!$C$4,T_GD[Ngày giao dịch sàn],"&lt;"&amp;'Tong_hop'!$F$4)))</x:f>
      </x:c>
      <x:c r="U83" s="27" t="str">
        <x:f>IF(P83="","",IF(AC83&gt;0,"n.a.",SUMIFS(T_GD[Phí sàn cấn trừ],T_GD[Sàn],A83,T_GD[Shop],B83,T_GD[Ngày giao dịch sàn],"&gt;="&amp;'Tong_hop'!$C$4,T_GD[Ngày giao dịch sàn],"&lt;"&amp;'Tong_hop'!$F$4)+SUMIFS(T_GD[Ship shop chịu],T_GD[Sàn],A83,T_GD[Shop],B83,T_GD[Ngày giao dịch sàn],"&gt;="&amp;'Tong_hop'!$C$4,T_GD[Ngày giao dịch sàn],"&lt;"&amp;'Tong_hop'!$F$4)+SUMIFS(T_Chuyen[Phí chuyển đã xác nhận],T_Chuyen[Sàn],A83,T_Chuyen[Shop],B83,T_Chuyen[Ngày trừ số dư],"&gt;="&amp;'Tong_hop'!$C$4,T_Chuyen[Ngày trừ số dư],"&lt;"&amp;'Tong_hop'!$F$4)))</x:f>
      </x:c>
      <x:c r="V83" s="27" t="str">
        <x:f>IF(P83="","",IF(AC83&gt;0,"n.a.",SUMIFS(T_GD[Điều chỉnh khác +/-],T_GD[Sàn],A83,T_GD[Shop],B83,T_GD[Ngày giao dịch sàn],"&gt;="&amp;'Tong_hop'!$C$4,T_GD[Ngày giao dịch sàn],"&lt;"&amp;'Tong_hop'!$F$4)+SUMIFS(T_GD[Nạp vào số dư],T_GD[Sàn],A83,T_GD[Shop],B83,T_GD[Ngày giao dịch sàn],"&gt;="&amp;'Tong_hop'!$C$4,T_GD[Ngày giao dịch sàn],"&lt;"&amp;'Tong_hop'!$F$4)))</x:f>
      </x:c>
      <x:c r="W83" s="27" t="str">
        <x:f>IF(P83="","",IF(AC83&gt;0,"n.a.",SUMIFS(T_NH[Tiền thực nhận],T_NH[Sàn],A83,T_NH[Shop],B83,T_NH[Ngày báo Có],"&gt;="&amp;'Tong_hop'!$C$4,T_NH[Ngày báo Có],"&lt;"&amp;'Tong_hop'!$F$4)))</x:f>
      </x:c>
      <x:c r="X83" s="27" t="str">
        <x:f>IF(P83="","",IF(AC83&gt;0,"n.a.",D83+S83-T83-U83+V83-W83))</x:f>
      </x:c>
      <x:c r="Y83" s="27" t="str">
        <x:f>IF(P83="","",IF(AC83&gt;0,"n.a.",SUMIFS(T_GD[Thực ghi số dư +/-],T_GD[Sàn],A83,T_GD[Shop],B83,T_GD[Ngày giao dịch sàn],"&gt;="&amp;'Tong_hop'!$C$4,T_GD[Ngày giao dịch sàn],"&lt;"&amp;'Tong_hop'!$F$4,T_GD[Nhóm giao dịch],"Quyết toán")))</x:f>
      </x:c>
      <x:c r="Z83" s="27" t="str">
        <x:f>IF(P83="","",IF(AC83&gt;0,"n.a.",E83+SUMIFS(T_GD[Thực ghi số dư +/-],T_GD[Sàn],A83,T_GD[Shop],B83,T_GD[Ngày giao dịch sàn],"&gt;="&amp;'Tong_hop'!$C$4,T_GD[Ngày giao dịch sàn],"&lt;"&amp;'Tong_hop'!$F$4)-SUMIFS(T_Chuyen[Tiền trừ số dư],T_Chuyen[Sàn],A83,T_Chuyen[Shop],B83,T_Chuyen[Ngày trừ số dư],"&gt;="&amp;'Tong_hop'!$C$4,T_Chuyen[Ngày trừ số dư],"&lt;"&amp;'Tong_hop'!$F$4)))</x:f>
      </x:c>
      <x:c r="AA83" s="27" t="str">
        <x:f>IF(P83="","",IF(AC83&gt;0,"n.a.",SUMIFS(T_Chuyen[Còn đang chuyển],T_Chuyen[Sàn],A83,T_Chuyen[Shop],B83)))</x:f>
      </x:c>
      <x:c r="AB83" s="27" t="str">
        <x:f>IF(P83="","",IF(AC83&gt;0,"n.a.",SUMIFS(T_Chuyen[Tiền trừ số dư],T_Chuyen[Sàn],A83,T_Chuyen[Shop],B83,T_Chuyen[Ngày trừ số dư],"&gt;="&amp;'Tong_hop'!$C$4,T_Chuyen[Ngày trừ số dư],"&lt;"&amp;'Tong_hop'!$F$4)))</x:f>
      </x:c>
      <x:c r="AC83" s="28" t="str">
        <x:f>IF(P83="","",IF(R83="",0,1)+COUNTIFS(T_Don[Sàn],A83,T_Don[Shop],B83,T_Don[Kiểm tra dữ liệu],"?*")+COUNTIFS(T_GD[Sàn],A83,T_GD[Shop],B83,T_GD[Kiểm tra dữ liệu],"?*")+COUNTIFS(T_Chuyen[Sàn],A83,T_Chuyen[Shop],B83,T_Chuyen[Kiểm tra dữ liệu],"?*")+COUNTIFS(T_NH[Sàn],A83,T_NH[Shop],B83,T_NH[Kiểm tra dữ liệu],"?*"))</x:f>
      </x:c>
    </x:row>
    <x:row r="84" ht="22" customHeight="1">
      <x:c r="A84" s="10"/>
      <x:c r="B84" s="10"/>
      <x:c r="C84" s="25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10"/>
      <x:c r="O84" s="10"/>
      <x:c r="P84" s="23" t="str">
        <x:f>IF(AND(A84="",B84=""),"",A84&amp;"|"&amp;B84)</x:f>
      </x:c>
      <x:c r="Q84" s="27" t="str">
        <x:f>IF(P84="","",IF(COUNT(F84:J84)=5,SUM(F84:J84),"n.a."))</x:f>
      </x:c>
      <x:c r="R84" s="23" t="str">
        <x:f>IF(COUNTA(A84:O84)=0,"",IF(OR(NOT(OR(A84="TikTok Shop",A84="Shopee",A84="Lazada")),B84="",NOT(ISNUMBER(C84)),COUNT(D84:M84)&lt;&gt;10),"Thiếu/sai số dư",IF(C84&lt;&gt;'Tong_hop'!$F$4-1,"Sai ngày chốt",IF(COUNTIFS(T_SoDu[Khóa shop],P84)&lt;&gt;1,"Trùng shop",IF(AND(N84&lt;&gt;"Đã đủ",N84&lt;&gt;"Chưa"),"Thiếu xác nhận nguồn","")))))</x:f>
      </x:c>
      <x:c r="S84" s="27" t="str">
        <x:f>IF(P84="","",IF(AC84&gt;0,"n.a.",SUMIFS(T_Don[Phải thu gộp],T_Don[Sàn],A84,T_Don[Shop],B84,T_Don[Ngày ghi nhận bán],"&gt;="&amp;'Tong_hop'!$C$4,T_Don[Ngày ghi nhận bán],"&lt;"&amp;'Tong_hop'!$F$4)))</x:f>
      </x:c>
      <x:c r="T84" s="27" t="str">
        <x:f>IF(P84="","",IF(AC84&gt;0,"n.a.",SUMIFS(T_GD[Hoàn tiền shop chịu],T_GD[Sàn],A84,T_GD[Shop],B84,T_GD[Ngày giao dịch sàn],"&gt;="&amp;'Tong_hop'!$C$4,T_GD[Ngày giao dịch sàn],"&lt;"&amp;'Tong_hop'!$F$4)))</x:f>
      </x:c>
      <x:c r="U84" s="27" t="str">
        <x:f>IF(P84="","",IF(AC84&gt;0,"n.a.",SUMIFS(T_GD[Phí sàn cấn trừ],T_GD[Sàn],A84,T_GD[Shop],B84,T_GD[Ngày giao dịch sàn],"&gt;="&amp;'Tong_hop'!$C$4,T_GD[Ngày giao dịch sàn],"&lt;"&amp;'Tong_hop'!$F$4)+SUMIFS(T_GD[Ship shop chịu],T_GD[Sàn],A84,T_GD[Shop],B84,T_GD[Ngày giao dịch sàn],"&gt;="&amp;'Tong_hop'!$C$4,T_GD[Ngày giao dịch sàn],"&lt;"&amp;'Tong_hop'!$F$4)+SUMIFS(T_Chuyen[Phí chuyển đã xác nhận],T_Chuyen[Sàn],A84,T_Chuyen[Shop],B84,T_Chuyen[Ngày trừ số dư],"&gt;="&amp;'Tong_hop'!$C$4,T_Chuyen[Ngày trừ số dư],"&lt;"&amp;'Tong_hop'!$F$4)))</x:f>
      </x:c>
      <x:c r="V84" s="27" t="str">
        <x:f>IF(P84="","",IF(AC84&gt;0,"n.a.",SUMIFS(T_GD[Điều chỉnh khác +/-],T_GD[Sàn],A84,T_GD[Shop],B84,T_GD[Ngày giao dịch sàn],"&gt;="&amp;'Tong_hop'!$C$4,T_GD[Ngày giao dịch sàn],"&lt;"&amp;'Tong_hop'!$F$4)+SUMIFS(T_GD[Nạp vào số dư],T_GD[Sàn],A84,T_GD[Shop],B84,T_GD[Ngày giao dịch sàn],"&gt;="&amp;'Tong_hop'!$C$4,T_GD[Ngày giao dịch sàn],"&lt;"&amp;'Tong_hop'!$F$4)))</x:f>
      </x:c>
      <x:c r="W84" s="27" t="str">
        <x:f>IF(P84="","",IF(AC84&gt;0,"n.a.",SUMIFS(T_NH[Tiền thực nhận],T_NH[Sàn],A84,T_NH[Shop],B84,T_NH[Ngày báo Có],"&gt;="&amp;'Tong_hop'!$C$4,T_NH[Ngày báo Có],"&lt;"&amp;'Tong_hop'!$F$4)))</x:f>
      </x:c>
      <x:c r="X84" s="27" t="str">
        <x:f>IF(P84="","",IF(AC84&gt;0,"n.a.",D84+S84-T84-U84+V84-W84))</x:f>
      </x:c>
      <x:c r="Y84" s="27" t="str">
        <x:f>IF(P84="","",IF(AC84&gt;0,"n.a.",SUMIFS(T_GD[Thực ghi số dư +/-],T_GD[Sàn],A84,T_GD[Shop],B84,T_GD[Ngày giao dịch sàn],"&gt;="&amp;'Tong_hop'!$C$4,T_GD[Ngày giao dịch sàn],"&lt;"&amp;'Tong_hop'!$F$4,T_GD[Nhóm giao dịch],"Quyết toán")))</x:f>
      </x:c>
      <x:c r="Z84" s="27" t="str">
        <x:f>IF(P84="","",IF(AC84&gt;0,"n.a.",E84+SUMIFS(T_GD[Thực ghi số dư +/-],T_GD[Sàn],A84,T_GD[Shop],B84,T_GD[Ngày giao dịch sàn],"&gt;="&amp;'Tong_hop'!$C$4,T_GD[Ngày giao dịch sàn],"&lt;"&amp;'Tong_hop'!$F$4)-SUMIFS(T_Chuyen[Tiền trừ số dư],T_Chuyen[Sàn],A84,T_Chuyen[Shop],B84,T_Chuyen[Ngày trừ số dư],"&gt;="&amp;'Tong_hop'!$C$4,T_Chuyen[Ngày trừ số dư],"&lt;"&amp;'Tong_hop'!$F$4)))</x:f>
      </x:c>
      <x:c r="AA84" s="27" t="str">
        <x:f>IF(P84="","",IF(AC84&gt;0,"n.a.",SUMIFS(T_Chuyen[Còn đang chuyển],T_Chuyen[Sàn],A84,T_Chuyen[Shop],B84)))</x:f>
      </x:c>
      <x:c r="AB84" s="27" t="str">
        <x:f>IF(P84="","",IF(AC84&gt;0,"n.a.",SUMIFS(T_Chuyen[Tiền trừ số dư],T_Chuyen[Sàn],A84,T_Chuyen[Shop],B84,T_Chuyen[Ngày trừ số dư],"&gt;="&amp;'Tong_hop'!$C$4,T_Chuyen[Ngày trừ số dư],"&lt;"&amp;'Tong_hop'!$F$4)))</x:f>
      </x:c>
      <x:c r="AC84" s="28" t="str">
        <x:f>IF(P84="","",IF(R84="",0,1)+COUNTIFS(T_Don[Sàn],A84,T_Don[Shop],B84,T_Don[Kiểm tra dữ liệu],"?*")+COUNTIFS(T_GD[Sàn],A84,T_GD[Shop],B84,T_GD[Kiểm tra dữ liệu],"?*")+COUNTIFS(T_Chuyen[Sàn],A84,T_Chuyen[Shop],B84,T_Chuyen[Kiểm tra dữ liệu],"?*")+COUNTIFS(T_NH[Sàn],A84,T_NH[Shop],B84,T_NH[Kiểm tra dữ liệu],"?*"))</x:f>
      </x:c>
    </x:row>
    <x:row r="85" ht="22" customHeight="1">
      <x:c r="A85" s="10"/>
      <x:c r="B85" s="10"/>
      <x:c r="C85" s="25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10"/>
      <x:c r="O85" s="10"/>
      <x:c r="P85" s="23" t="str">
        <x:f>IF(AND(A85="",B85=""),"",A85&amp;"|"&amp;B85)</x:f>
      </x:c>
      <x:c r="Q85" s="27" t="str">
        <x:f>IF(P85="","",IF(COUNT(F85:J85)=5,SUM(F85:J85),"n.a."))</x:f>
      </x:c>
      <x:c r="R85" s="23" t="str">
        <x:f>IF(COUNTA(A85:O85)=0,"",IF(OR(NOT(OR(A85="TikTok Shop",A85="Shopee",A85="Lazada")),B85="",NOT(ISNUMBER(C85)),COUNT(D85:M85)&lt;&gt;10),"Thiếu/sai số dư",IF(C85&lt;&gt;'Tong_hop'!$F$4-1,"Sai ngày chốt",IF(COUNTIFS(T_SoDu[Khóa shop],P85)&lt;&gt;1,"Trùng shop",IF(AND(N85&lt;&gt;"Đã đủ",N85&lt;&gt;"Chưa"),"Thiếu xác nhận nguồn","")))))</x:f>
      </x:c>
      <x:c r="S85" s="27" t="str">
        <x:f>IF(P85="","",IF(AC85&gt;0,"n.a.",SUMIFS(T_Don[Phải thu gộp],T_Don[Sàn],A85,T_Don[Shop],B85,T_Don[Ngày ghi nhận bán],"&gt;="&amp;'Tong_hop'!$C$4,T_Don[Ngày ghi nhận bán],"&lt;"&amp;'Tong_hop'!$F$4)))</x:f>
      </x:c>
      <x:c r="T85" s="27" t="str">
        <x:f>IF(P85="","",IF(AC85&gt;0,"n.a.",SUMIFS(T_GD[Hoàn tiền shop chịu],T_GD[Sàn],A85,T_GD[Shop],B85,T_GD[Ngày giao dịch sàn],"&gt;="&amp;'Tong_hop'!$C$4,T_GD[Ngày giao dịch sàn],"&lt;"&amp;'Tong_hop'!$F$4)))</x:f>
      </x:c>
      <x:c r="U85" s="27" t="str">
        <x:f>IF(P85="","",IF(AC85&gt;0,"n.a.",SUMIFS(T_GD[Phí sàn cấn trừ],T_GD[Sàn],A85,T_GD[Shop],B85,T_GD[Ngày giao dịch sàn],"&gt;="&amp;'Tong_hop'!$C$4,T_GD[Ngày giao dịch sàn],"&lt;"&amp;'Tong_hop'!$F$4)+SUMIFS(T_GD[Ship shop chịu],T_GD[Sàn],A85,T_GD[Shop],B85,T_GD[Ngày giao dịch sàn],"&gt;="&amp;'Tong_hop'!$C$4,T_GD[Ngày giao dịch sàn],"&lt;"&amp;'Tong_hop'!$F$4)+SUMIFS(T_Chuyen[Phí chuyển đã xác nhận],T_Chuyen[Sàn],A85,T_Chuyen[Shop],B85,T_Chuyen[Ngày trừ số dư],"&gt;="&amp;'Tong_hop'!$C$4,T_Chuyen[Ngày trừ số dư],"&lt;"&amp;'Tong_hop'!$F$4)))</x:f>
      </x:c>
      <x:c r="V85" s="27" t="str">
        <x:f>IF(P85="","",IF(AC85&gt;0,"n.a.",SUMIFS(T_GD[Điều chỉnh khác +/-],T_GD[Sàn],A85,T_GD[Shop],B85,T_GD[Ngày giao dịch sàn],"&gt;="&amp;'Tong_hop'!$C$4,T_GD[Ngày giao dịch sàn],"&lt;"&amp;'Tong_hop'!$F$4)+SUMIFS(T_GD[Nạp vào số dư],T_GD[Sàn],A85,T_GD[Shop],B85,T_GD[Ngày giao dịch sàn],"&gt;="&amp;'Tong_hop'!$C$4,T_GD[Ngày giao dịch sàn],"&lt;"&amp;'Tong_hop'!$F$4)))</x:f>
      </x:c>
      <x:c r="W85" s="27" t="str">
        <x:f>IF(P85="","",IF(AC85&gt;0,"n.a.",SUMIFS(T_NH[Tiền thực nhận],T_NH[Sàn],A85,T_NH[Shop],B85,T_NH[Ngày báo Có],"&gt;="&amp;'Tong_hop'!$C$4,T_NH[Ngày báo Có],"&lt;"&amp;'Tong_hop'!$F$4)))</x:f>
      </x:c>
      <x:c r="X85" s="27" t="str">
        <x:f>IF(P85="","",IF(AC85&gt;0,"n.a.",D85+S85-T85-U85+V85-W85))</x:f>
      </x:c>
      <x:c r="Y85" s="27" t="str">
        <x:f>IF(P85="","",IF(AC85&gt;0,"n.a.",SUMIFS(T_GD[Thực ghi số dư +/-],T_GD[Sàn],A85,T_GD[Shop],B85,T_GD[Ngày giao dịch sàn],"&gt;="&amp;'Tong_hop'!$C$4,T_GD[Ngày giao dịch sàn],"&lt;"&amp;'Tong_hop'!$F$4,T_GD[Nhóm giao dịch],"Quyết toán")))</x:f>
      </x:c>
      <x:c r="Z85" s="27" t="str">
        <x:f>IF(P85="","",IF(AC85&gt;0,"n.a.",E85+SUMIFS(T_GD[Thực ghi số dư +/-],T_GD[Sàn],A85,T_GD[Shop],B85,T_GD[Ngày giao dịch sàn],"&gt;="&amp;'Tong_hop'!$C$4,T_GD[Ngày giao dịch sàn],"&lt;"&amp;'Tong_hop'!$F$4)-SUMIFS(T_Chuyen[Tiền trừ số dư],T_Chuyen[Sàn],A85,T_Chuyen[Shop],B85,T_Chuyen[Ngày trừ số dư],"&gt;="&amp;'Tong_hop'!$C$4,T_Chuyen[Ngày trừ số dư],"&lt;"&amp;'Tong_hop'!$F$4)))</x:f>
      </x:c>
      <x:c r="AA85" s="27" t="str">
        <x:f>IF(P85="","",IF(AC85&gt;0,"n.a.",SUMIFS(T_Chuyen[Còn đang chuyển],T_Chuyen[Sàn],A85,T_Chuyen[Shop],B85)))</x:f>
      </x:c>
      <x:c r="AB85" s="27" t="str">
        <x:f>IF(P85="","",IF(AC85&gt;0,"n.a.",SUMIFS(T_Chuyen[Tiền trừ số dư],T_Chuyen[Sàn],A85,T_Chuyen[Shop],B85,T_Chuyen[Ngày trừ số dư],"&gt;="&amp;'Tong_hop'!$C$4,T_Chuyen[Ngày trừ số dư],"&lt;"&amp;'Tong_hop'!$F$4)))</x:f>
      </x:c>
      <x:c r="AC85" s="28" t="str">
        <x:f>IF(P85="","",IF(R85="",0,1)+COUNTIFS(T_Don[Sàn],A85,T_Don[Shop],B85,T_Don[Kiểm tra dữ liệu],"?*")+COUNTIFS(T_GD[Sàn],A85,T_GD[Shop],B85,T_GD[Kiểm tra dữ liệu],"?*")+COUNTIFS(T_Chuyen[Sàn],A85,T_Chuyen[Shop],B85,T_Chuyen[Kiểm tra dữ liệu],"?*")+COUNTIFS(T_NH[Sàn],A85,T_NH[Shop],B85,T_NH[Kiểm tra dữ liệu],"?*"))</x:f>
      </x:c>
    </x:row>
    <x:row r="86" ht="22" customHeight="1">
      <x:c r="A86" s="10"/>
      <x:c r="B86" s="10"/>
      <x:c r="C86" s="25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10"/>
      <x:c r="O86" s="10"/>
      <x:c r="P86" s="23" t="str">
        <x:f>IF(AND(A86="",B86=""),"",A86&amp;"|"&amp;B86)</x:f>
      </x:c>
      <x:c r="Q86" s="27" t="str">
        <x:f>IF(P86="","",IF(COUNT(F86:J86)=5,SUM(F86:J86),"n.a."))</x:f>
      </x:c>
      <x:c r="R86" s="23" t="str">
        <x:f>IF(COUNTA(A86:O86)=0,"",IF(OR(NOT(OR(A86="TikTok Shop",A86="Shopee",A86="Lazada")),B86="",NOT(ISNUMBER(C86)),COUNT(D86:M86)&lt;&gt;10),"Thiếu/sai số dư",IF(C86&lt;&gt;'Tong_hop'!$F$4-1,"Sai ngày chốt",IF(COUNTIFS(T_SoDu[Khóa shop],P86)&lt;&gt;1,"Trùng shop",IF(AND(N86&lt;&gt;"Đã đủ",N86&lt;&gt;"Chưa"),"Thiếu xác nhận nguồn","")))))</x:f>
      </x:c>
      <x:c r="S86" s="27" t="str">
        <x:f>IF(P86="","",IF(AC86&gt;0,"n.a.",SUMIFS(T_Don[Phải thu gộp],T_Don[Sàn],A86,T_Don[Shop],B86,T_Don[Ngày ghi nhận bán],"&gt;="&amp;'Tong_hop'!$C$4,T_Don[Ngày ghi nhận bán],"&lt;"&amp;'Tong_hop'!$F$4)))</x:f>
      </x:c>
      <x:c r="T86" s="27" t="str">
        <x:f>IF(P86="","",IF(AC86&gt;0,"n.a.",SUMIFS(T_GD[Hoàn tiền shop chịu],T_GD[Sàn],A86,T_GD[Shop],B86,T_GD[Ngày giao dịch sàn],"&gt;="&amp;'Tong_hop'!$C$4,T_GD[Ngày giao dịch sàn],"&lt;"&amp;'Tong_hop'!$F$4)))</x:f>
      </x:c>
      <x:c r="U86" s="27" t="str">
        <x:f>IF(P86="","",IF(AC86&gt;0,"n.a.",SUMIFS(T_GD[Phí sàn cấn trừ],T_GD[Sàn],A86,T_GD[Shop],B86,T_GD[Ngày giao dịch sàn],"&gt;="&amp;'Tong_hop'!$C$4,T_GD[Ngày giao dịch sàn],"&lt;"&amp;'Tong_hop'!$F$4)+SUMIFS(T_GD[Ship shop chịu],T_GD[Sàn],A86,T_GD[Shop],B86,T_GD[Ngày giao dịch sàn],"&gt;="&amp;'Tong_hop'!$C$4,T_GD[Ngày giao dịch sàn],"&lt;"&amp;'Tong_hop'!$F$4)+SUMIFS(T_Chuyen[Phí chuyển đã xác nhận],T_Chuyen[Sàn],A86,T_Chuyen[Shop],B86,T_Chuyen[Ngày trừ số dư],"&gt;="&amp;'Tong_hop'!$C$4,T_Chuyen[Ngày trừ số dư],"&lt;"&amp;'Tong_hop'!$F$4)))</x:f>
      </x:c>
      <x:c r="V86" s="27" t="str">
        <x:f>IF(P86="","",IF(AC86&gt;0,"n.a.",SUMIFS(T_GD[Điều chỉnh khác +/-],T_GD[Sàn],A86,T_GD[Shop],B86,T_GD[Ngày giao dịch sàn],"&gt;="&amp;'Tong_hop'!$C$4,T_GD[Ngày giao dịch sàn],"&lt;"&amp;'Tong_hop'!$F$4)+SUMIFS(T_GD[Nạp vào số dư],T_GD[Sàn],A86,T_GD[Shop],B86,T_GD[Ngày giao dịch sàn],"&gt;="&amp;'Tong_hop'!$C$4,T_GD[Ngày giao dịch sàn],"&lt;"&amp;'Tong_hop'!$F$4)))</x:f>
      </x:c>
      <x:c r="W86" s="27" t="str">
        <x:f>IF(P86="","",IF(AC86&gt;0,"n.a.",SUMIFS(T_NH[Tiền thực nhận],T_NH[Sàn],A86,T_NH[Shop],B86,T_NH[Ngày báo Có],"&gt;="&amp;'Tong_hop'!$C$4,T_NH[Ngày báo Có],"&lt;"&amp;'Tong_hop'!$F$4)))</x:f>
      </x:c>
      <x:c r="X86" s="27" t="str">
        <x:f>IF(P86="","",IF(AC86&gt;0,"n.a.",D86+S86-T86-U86+V86-W86))</x:f>
      </x:c>
      <x:c r="Y86" s="27" t="str">
        <x:f>IF(P86="","",IF(AC86&gt;0,"n.a.",SUMIFS(T_GD[Thực ghi số dư +/-],T_GD[Sàn],A86,T_GD[Shop],B86,T_GD[Ngày giao dịch sàn],"&gt;="&amp;'Tong_hop'!$C$4,T_GD[Ngày giao dịch sàn],"&lt;"&amp;'Tong_hop'!$F$4,T_GD[Nhóm giao dịch],"Quyết toán")))</x:f>
      </x:c>
      <x:c r="Z86" s="27" t="str">
        <x:f>IF(P86="","",IF(AC86&gt;0,"n.a.",E86+SUMIFS(T_GD[Thực ghi số dư +/-],T_GD[Sàn],A86,T_GD[Shop],B86,T_GD[Ngày giao dịch sàn],"&gt;="&amp;'Tong_hop'!$C$4,T_GD[Ngày giao dịch sàn],"&lt;"&amp;'Tong_hop'!$F$4)-SUMIFS(T_Chuyen[Tiền trừ số dư],T_Chuyen[Sàn],A86,T_Chuyen[Shop],B86,T_Chuyen[Ngày trừ số dư],"&gt;="&amp;'Tong_hop'!$C$4,T_Chuyen[Ngày trừ số dư],"&lt;"&amp;'Tong_hop'!$F$4)))</x:f>
      </x:c>
      <x:c r="AA86" s="27" t="str">
        <x:f>IF(P86="","",IF(AC86&gt;0,"n.a.",SUMIFS(T_Chuyen[Còn đang chuyển],T_Chuyen[Sàn],A86,T_Chuyen[Shop],B86)))</x:f>
      </x:c>
      <x:c r="AB86" s="27" t="str">
        <x:f>IF(P86="","",IF(AC86&gt;0,"n.a.",SUMIFS(T_Chuyen[Tiền trừ số dư],T_Chuyen[Sàn],A86,T_Chuyen[Shop],B86,T_Chuyen[Ngày trừ số dư],"&gt;="&amp;'Tong_hop'!$C$4,T_Chuyen[Ngày trừ số dư],"&lt;"&amp;'Tong_hop'!$F$4)))</x:f>
      </x:c>
      <x:c r="AC86" s="28" t="str">
        <x:f>IF(P86="","",IF(R86="",0,1)+COUNTIFS(T_Don[Sàn],A86,T_Don[Shop],B86,T_Don[Kiểm tra dữ liệu],"?*")+COUNTIFS(T_GD[Sàn],A86,T_GD[Shop],B86,T_GD[Kiểm tra dữ liệu],"?*")+COUNTIFS(T_Chuyen[Sàn],A86,T_Chuyen[Shop],B86,T_Chuyen[Kiểm tra dữ liệu],"?*")+COUNTIFS(T_NH[Sàn],A86,T_NH[Shop],B86,T_NH[Kiểm tra dữ liệu],"?*"))</x:f>
      </x:c>
    </x:row>
    <x:row r="87" ht="22" customHeight="1">
      <x:c r="A87" s="10"/>
      <x:c r="B87" s="10"/>
      <x:c r="C87" s="25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10"/>
      <x:c r="O87" s="10"/>
      <x:c r="P87" s="23" t="str">
        <x:f>IF(AND(A87="",B87=""),"",A87&amp;"|"&amp;B87)</x:f>
      </x:c>
      <x:c r="Q87" s="27" t="str">
        <x:f>IF(P87="","",IF(COUNT(F87:J87)=5,SUM(F87:J87),"n.a."))</x:f>
      </x:c>
      <x:c r="R87" s="23" t="str">
        <x:f>IF(COUNTA(A87:O87)=0,"",IF(OR(NOT(OR(A87="TikTok Shop",A87="Shopee",A87="Lazada")),B87="",NOT(ISNUMBER(C87)),COUNT(D87:M87)&lt;&gt;10),"Thiếu/sai số dư",IF(C87&lt;&gt;'Tong_hop'!$F$4-1,"Sai ngày chốt",IF(COUNTIFS(T_SoDu[Khóa shop],P87)&lt;&gt;1,"Trùng shop",IF(AND(N87&lt;&gt;"Đã đủ",N87&lt;&gt;"Chưa"),"Thiếu xác nhận nguồn","")))))</x:f>
      </x:c>
      <x:c r="S87" s="27" t="str">
        <x:f>IF(P87="","",IF(AC87&gt;0,"n.a.",SUMIFS(T_Don[Phải thu gộp],T_Don[Sàn],A87,T_Don[Shop],B87,T_Don[Ngày ghi nhận bán],"&gt;="&amp;'Tong_hop'!$C$4,T_Don[Ngày ghi nhận bán],"&lt;"&amp;'Tong_hop'!$F$4)))</x:f>
      </x:c>
      <x:c r="T87" s="27" t="str">
        <x:f>IF(P87="","",IF(AC87&gt;0,"n.a.",SUMIFS(T_GD[Hoàn tiền shop chịu],T_GD[Sàn],A87,T_GD[Shop],B87,T_GD[Ngày giao dịch sàn],"&gt;="&amp;'Tong_hop'!$C$4,T_GD[Ngày giao dịch sàn],"&lt;"&amp;'Tong_hop'!$F$4)))</x:f>
      </x:c>
      <x:c r="U87" s="27" t="str">
        <x:f>IF(P87="","",IF(AC87&gt;0,"n.a.",SUMIFS(T_GD[Phí sàn cấn trừ],T_GD[Sàn],A87,T_GD[Shop],B87,T_GD[Ngày giao dịch sàn],"&gt;="&amp;'Tong_hop'!$C$4,T_GD[Ngày giao dịch sàn],"&lt;"&amp;'Tong_hop'!$F$4)+SUMIFS(T_GD[Ship shop chịu],T_GD[Sàn],A87,T_GD[Shop],B87,T_GD[Ngày giao dịch sàn],"&gt;="&amp;'Tong_hop'!$C$4,T_GD[Ngày giao dịch sàn],"&lt;"&amp;'Tong_hop'!$F$4)+SUMIFS(T_Chuyen[Phí chuyển đã xác nhận],T_Chuyen[Sàn],A87,T_Chuyen[Shop],B87,T_Chuyen[Ngày trừ số dư],"&gt;="&amp;'Tong_hop'!$C$4,T_Chuyen[Ngày trừ số dư],"&lt;"&amp;'Tong_hop'!$F$4)))</x:f>
      </x:c>
      <x:c r="V87" s="27" t="str">
        <x:f>IF(P87="","",IF(AC87&gt;0,"n.a.",SUMIFS(T_GD[Điều chỉnh khác +/-],T_GD[Sàn],A87,T_GD[Shop],B87,T_GD[Ngày giao dịch sàn],"&gt;="&amp;'Tong_hop'!$C$4,T_GD[Ngày giao dịch sàn],"&lt;"&amp;'Tong_hop'!$F$4)+SUMIFS(T_GD[Nạp vào số dư],T_GD[Sàn],A87,T_GD[Shop],B87,T_GD[Ngày giao dịch sàn],"&gt;="&amp;'Tong_hop'!$C$4,T_GD[Ngày giao dịch sàn],"&lt;"&amp;'Tong_hop'!$F$4)))</x:f>
      </x:c>
      <x:c r="W87" s="27" t="str">
        <x:f>IF(P87="","",IF(AC87&gt;0,"n.a.",SUMIFS(T_NH[Tiền thực nhận],T_NH[Sàn],A87,T_NH[Shop],B87,T_NH[Ngày báo Có],"&gt;="&amp;'Tong_hop'!$C$4,T_NH[Ngày báo Có],"&lt;"&amp;'Tong_hop'!$F$4)))</x:f>
      </x:c>
      <x:c r="X87" s="27" t="str">
        <x:f>IF(P87="","",IF(AC87&gt;0,"n.a.",D87+S87-T87-U87+V87-W87))</x:f>
      </x:c>
      <x:c r="Y87" s="27" t="str">
        <x:f>IF(P87="","",IF(AC87&gt;0,"n.a.",SUMIFS(T_GD[Thực ghi số dư +/-],T_GD[Sàn],A87,T_GD[Shop],B87,T_GD[Ngày giao dịch sàn],"&gt;="&amp;'Tong_hop'!$C$4,T_GD[Ngày giao dịch sàn],"&lt;"&amp;'Tong_hop'!$F$4,T_GD[Nhóm giao dịch],"Quyết toán")))</x:f>
      </x:c>
      <x:c r="Z87" s="27" t="str">
        <x:f>IF(P87="","",IF(AC87&gt;0,"n.a.",E87+SUMIFS(T_GD[Thực ghi số dư +/-],T_GD[Sàn],A87,T_GD[Shop],B87,T_GD[Ngày giao dịch sàn],"&gt;="&amp;'Tong_hop'!$C$4,T_GD[Ngày giao dịch sàn],"&lt;"&amp;'Tong_hop'!$F$4)-SUMIFS(T_Chuyen[Tiền trừ số dư],T_Chuyen[Sàn],A87,T_Chuyen[Shop],B87,T_Chuyen[Ngày trừ số dư],"&gt;="&amp;'Tong_hop'!$C$4,T_Chuyen[Ngày trừ số dư],"&lt;"&amp;'Tong_hop'!$F$4)))</x:f>
      </x:c>
      <x:c r="AA87" s="27" t="str">
        <x:f>IF(P87="","",IF(AC87&gt;0,"n.a.",SUMIFS(T_Chuyen[Còn đang chuyển],T_Chuyen[Sàn],A87,T_Chuyen[Shop],B87)))</x:f>
      </x:c>
      <x:c r="AB87" s="27" t="str">
        <x:f>IF(P87="","",IF(AC87&gt;0,"n.a.",SUMIFS(T_Chuyen[Tiền trừ số dư],T_Chuyen[Sàn],A87,T_Chuyen[Shop],B87,T_Chuyen[Ngày trừ số dư],"&gt;="&amp;'Tong_hop'!$C$4,T_Chuyen[Ngày trừ số dư],"&lt;"&amp;'Tong_hop'!$F$4)))</x:f>
      </x:c>
      <x:c r="AC87" s="28" t="str">
        <x:f>IF(P87="","",IF(R87="",0,1)+COUNTIFS(T_Don[Sàn],A87,T_Don[Shop],B87,T_Don[Kiểm tra dữ liệu],"?*")+COUNTIFS(T_GD[Sàn],A87,T_GD[Shop],B87,T_GD[Kiểm tra dữ liệu],"?*")+COUNTIFS(T_Chuyen[Sàn],A87,T_Chuyen[Shop],B87,T_Chuyen[Kiểm tra dữ liệu],"?*")+COUNTIFS(T_NH[Sàn],A87,T_NH[Shop],B87,T_NH[Kiểm tra dữ liệu],"?*"))</x:f>
      </x:c>
    </x:row>
    <x:row r="88" ht="22" customHeight="1">
      <x:c r="A88" s="10"/>
      <x:c r="B88" s="10"/>
      <x:c r="C88" s="25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10"/>
      <x:c r="O88" s="10"/>
      <x:c r="P88" s="23" t="str">
        <x:f>IF(AND(A88="",B88=""),"",A88&amp;"|"&amp;B88)</x:f>
      </x:c>
      <x:c r="Q88" s="27" t="str">
        <x:f>IF(P88="","",IF(COUNT(F88:J88)=5,SUM(F88:J88),"n.a."))</x:f>
      </x:c>
      <x:c r="R88" s="23" t="str">
        <x:f>IF(COUNTA(A88:O88)=0,"",IF(OR(NOT(OR(A88="TikTok Shop",A88="Shopee",A88="Lazada")),B88="",NOT(ISNUMBER(C88)),COUNT(D88:M88)&lt;&gt;10),"Thiếu/sai số dư",IF(C88&lt;&gt;'Tong_hop'!$F$4-1,"Sai ngày chốt",IF(COUNTIFS(T_SoDu[Khóa shop],P88)&lt;&gt;1,"Trùng shop",IF(AND(N88&lt;&gt;"Đã đủ",N88&lt;&gt;"Chưa"),"Thiếu xác nhận nguồn","")))))</x:f>
      </x:c>
      <x:c r="S88" s="27" t="str">
        <x:f>IF(P88="","",IF(AC88&gt;0,"n.a.",SUMIFS(T_Don[Phải thu gộp],T_Don[Sàn],A88,T_Don[Shop],B88,T_Don[Ngày ghi nhận bán],"&gt;="&amp;'Tong_hop'!$C$4,T_Don[Ngày ghi nhận bán],"&lt;"&amp;'Tong_hop'!$F$4)))</x:f>
      </x:c>
      <x:c r="T88" s="27" t="str">
        <x:f>IF(P88="","",IF(AC88&gt;0,"n.a.",SUMIFS(T_GD[Hoàn tiền shop chịu],T_GD[Sàn],A88,T_GD[Shop],B88,T_GD[Ngày giao dịch sàn],"&gt;="&amp;'Tong_hop'!$C$4,T_GD[Ngày giao dịch sàn],"&lt;"&amp;'Tong_hop'!$F$4)))</x:f>
      </x:c>
      <x:c r="U88" s="27" t="str">
        <x:f>IF(P88="","",IF(AC88&gt;0,"n.a.",SUMIFS(T_GD[Phí sàn cấn trừ],T_GD[Sàn],A88,T_GD[Shop],B88,T_GD[Ngày giao dịch sàn],"&gt;="&amp;'Tong_hop'!$C$4,T_GD[Ngày giao dịch sàn],"&lt;"&amp;'Tong_hop'!$F$4)+SUMIFS(T_GD[Ship shop chịu],T_GD[Sàn],A88,T_GD[Shop],B88,T_GD[Ngày giao dịch sàn],"&gt;="&amp;'Tong_hop'!$C$4,T_GD[Ngày giao dịch sàn],"&lt;"&amp;'Tong_hop'!$F$4)+SUMIFS(T_Chuyen[Phí chuyển đã xác nhận],T_Chuyen[Sàn],A88,T_Chuyen[Shop],B88,T_Chuyen[Ngày trừ số dư],"&gt;="&amp;'Tong_hop'!$C$4,T_Chuyen[Ngày trừ số dư],"&lt;"&amp;'Tong_hop'!$F$4)))</x:f>
      </x:c>
      <x:c r="V88" s="27" t="str">
        <x:f>IF(P88="","",IF(AC88&gt;0,"n.a.",SUMIFS(T_GD[Điều chỉnh khác +/-],T_GD[Sàn],A88,T_GD[Shop],B88,T_GD[Ngày giao dịch sàn],"&gt;="&amp;'Tong_hop'!$C$4,T_GD[Ngày giao dịch sàn],"&lt;"&amp;'Tong_hop'!$F$4)+SUMIFS(T_GD[Nạp vào số dư],T_GD[Sàn],A88,T_GD[Shop],B88,T_GD[Ngày giao dịch sàn],"&gt;="&amp;'Tong_hop'!$C$4,T_GD[Ngày giao dịch sàn],"&lt;"&amp;'Tong_hop'!$F$4)))</x:f>
      </x:c>
      <x:c r="W88" s="27" t="str">
        <x:f>IF(P88="","",IF(AC88&gt;0,"n.a.",SUMIFS(T_NH[Tiền thực nhận],T_NH[Sàn],A88,T_NH[Shop],B88,T_NH[Ngày báo Có],"&gt;="&amp;'Tong_hop'!$C$4,T_NH[Ngày báo Có],"&lt;"&amp;'Tong_hop'!$F$4)))</x:f>
      </x:c>
      <x:c r="X88" s="27" t="str">
        <x:f>IF(P88="","",IF(AC88&gt;0,"n.a.",D88+S88-T88-U88+V88-W88))</x:f>
      </x:c>
      <x:c r="Y88" s="27" t="str">
        <x:f>IF(P88="","",IF(AC88&gt;0,"n.a.",SUMIFS(T_GD[Thực ghi số dư +/-],T_GD[Sàn],A88,T_GD[Shop],B88,T_GD[Ngày giao dịch sàn],"&gt;="&amp;'Tong_hop'!$C$4,T_GD[Ngày giao dịch sàn],"&lt;"&amp;'Tong_hop'!$F$4,T_GD[Nhóm giao dịch],"Quyết toán")))</x:f>
      </x:c>
      <x:c r="Z88" s="27" t="str">
        <x:f>IF(P88="","",IF(AC88&gt;0,"n.a.",E88+SUMIFS(T_GD[Thực ghi số dư +/-],T_GD[Sàn],A88,T_GD[Shop],B88,T_GD[Ngày giao dịch sàn],"&gt;="&amp;'Tong_hop'!$C$4,T_GD[Ngày giao dịch sàn],"&lt;"&amp;'Tong_hop'!$F$4)-SUMIFS(T_Chuyen[Tiền trừ số dư],T_Chuyen[Sàn],A88,T_Chuyen[Shop],B88,T_Chuyen[Ngày trừ số dư],"&gt;="&amp;'Tong_hop'!$C$4,T_Chuyen[Ngày trừ số dư],"&lt;"&amp;'Tong_hop'!$F$4)))</x:f>
      </x:c>
      <x:c r="AA88" s="27" t="str">
        <x:f>IF(P88="","",IF(AC88&gt;0,"n.a.",SUMIFS(T_Chuyen[Còn đang chuyển],T_Chuyen[Sàn],A88,T_Chuyen[Shop],B88)))</x:f>
      </x:c>
      <x:c r="AB88" s="27" t="str">
        <x:f>IF(P88="","",IF(AC88&gt;0,"n.a.",SUMIFS(T_Chuyen[Tiền trừ số dư],T_Chuyen[Sàn],A88,T_Chuyen[Shop],B88,T_Chuyen[Ngày trừ số dư],"&gt;="&amp;'Tong_hop'!$C$4,T_Chuyen[Ngày trừ số dư],"&lt;"&amp;'Tong_hop'!$F$4)))</x:f>
      </x:c>
      <x:c r="AC88" s="28" t="str">
        <x:f>IF(P88="","",IF(R88="",0,1)+COUNTIFS(T_Don[Sàn],A88,T_Don[Shop],B88,T_Don[Kiểm tra dữ liệu],"?*")+COUNTIFS(T_GD[Sàn],A88,T_GD[Shop],B88,T_GD[Kiểm tra dữ liệu],"?*")+COUNTIFS(T_Chuyen[Sàn],A88,T_Chuyen[Shop],B88,T_Chuyen[Kiểm tra dữ liệu],"?*")+COUNTIFS(T_NH[Sàn],A88,T_NH[Shop],B88,T_NH[Kiểm tra dữ liệu],"?*"))</x:f>
      </x:c>
    </x:row>
    <x:row r="89" ht="22" customHeight="1">
      <x:c r="A89" s="10"/>
      <x:c r="B89" s="10"/>
      <x:c r="C89" s="25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10"/>
      <x:c r="O89" s="10"/>
      <x:c r="P89" s="23" t="str">
        <x:f>IF(AND(A89="",B89=""),"",A89&amp;"|"&amp;B89)</x:f>
      </x:c>
      <x:c r="Q89" s="27" t="str">
        <x:f>IF(P89="","",IF(COUNT(F89:J89)=5,SUM(F89:J89),"n.a."))</x:f>
      </x:c>
      <x:c r="R89" s="23" t="str">
        <x:f>IF(COUNTA(A89:O89)=0,"",IF(OR(NOT(OR(A89="TikTok Shop",A89="Shopee",A89="Lazada")),B89="",NOT(ISNUMBER(C89)),COUNT(D89:M89)&lt;&gt;10),"Thiếu/sai số dư",IF(C89&lt;&gt;'Tong_hop'!$F$4-1,"Sai ngày chốt",IF(COUNTIFS(T_SoDu[Khóa shop],P89)&lt;&gt;1,"Trùng shop",IF(AND(N89&lt;&gt;"Đã đủ",N89&lt;&gt;"Chưa"),"Thiếu xác nhận nguồn","")))))</x:f>
      </x:c>
      <x:c r="S89" s="27" t="str">
        <x:f>IF(P89="","",IF(AC89&gt;0,"n.a.",SUMIFS(T_Don[Phải thu gộp],T_Don[Sàn],A89,T_Don[Shop],B89,T_Don[Ngày ghi nhận bán],"&gt;="&amp;'Tong_hop'!$C$4,T_Don[Ngày ghi nhận bán],"&lt;"&amp;'Tong_hop'!$F$4)))</x:f>
      </x:c>
      <x:c r="T89" s="27" t="str">
        <x:f>IF(P89="","",IF(AC89&gt;0,"n.a.",SUMIFS(T_GD[Hoàn tiền shop chịu],T_GD[Sàn],A89,T_GD[Shop],B89,T_GD[Ngày giao dịch sàn],"&gt;="&amp;'Tong_hop'!$C$4,T_GD[Ngày giao dịch sàn],"&lt;"&amp;'Tong_hop'!$F$4)))</x:f>
      </x:c>
      <x:c r="U89" s="27" t="str">
        <x:f>IF(P89="","",IF(AC89&gt;0,"n.a.",SUMIFS(T_GD[Phí sàn cấn trừ],T_GD[Sàn],A89,T_GD[Shop],B89,T_GD[Ngày giao dịch sàn],"&gt;="&amp;'Tong_hop'!$C$4,T_GD[Ngày giao dịch sàn],"&lt;"&amp;'Tong_hop'!$F$4)+SUMIFS(T_GD[Ship shop chịu],T_GD[Sàn],A89,T_GD[Shop],B89,T_GD[Ngày giao dịch sàn],"&gt;="&amp;'Tong_hop'!$C$4,T_GD[Ngày giao dịch sàn],"&lt;"&amp;'Tong_hop'!$F$4)+SUMIFS(T_Chuyen[Phí chuyển đã xác nhận],T_Chuyen[Sàn],A89,T_Chuyen[Shop],B89,T_Chuyen[Ngày trừ số dư],"&gt;="&amp;'Tong_hop'!$C$4,T_Chuyen[Ngày trừ số dư],"&lt;"&amp;'Tong_hop'!$F$4)))</x:f>
      </x:c>
      <x:c r="V89" s="27" t="str">
        <x:f>IF(P89="","",IF(AC89&gt;0,"n.a.",SUMIFS(T_GD[Điều chỉnh khác +/-],T_GD[Sàn],A89,T_GD[Shop],B89,T_GD[Ngày giao dịch sàn],"&gt;="&amp;'Tong_hop'!$C$4,T_GD[Ngày giao dịch sàn],"&lt;"&amp;'Tong_hop'!$F$4)+SUMIFS(T_GD[Nạp vào số dư],T_GD[Sàn],A89,T_GD[Shop],B89,T_GD[Ngày giao dịch sàn],"&gt;="&amp;'Tong_hop'!$C$4,T_GD[Ngày giao dịch sàn],"&lt;"&amp;'Tong_hop'!$F$4)))</x:f>
      </x:c>
      <x:c r="W89" s="27" t="str">
        <x:f>IF(P89="","",IF(AC89&gt;0,"n.a.",SUMIFS(T_NH[Tiền thực nhận],T_NH[Sàn],A89,T_NH[Shop],B89,T_NH[Ngày báo Có],"&gt;="&amp;'Tong_hop'!$C$4,T_NH[Ngày báo Có],"&lt;"&amp;'Tong_hop'!$F$4)))</x:f>
      </x:c>
      <x:c r="X89" s="27" t="str">
        <x:f>IF(P89="","",IF(AC89&gt;0,"n.a.",D89+S89-T89-U89+V89-W89))</x:f>
      </x:c>
      <x:c r="Y89" s="27" t="str">
        <x:f>IF(P89="","",IF(AC89&gt;0,"n.a.",SUMIFS(T_GD[Thực ghi số dư +/-],T_GD[Sàn],A89,T_GD[Shop],B89,T_GD[Ngày giao dịch sàn],"&gt;="&amp;'Tong_hop'!$C$4,T_GD[Ngày giao dịch sàn],"&lt;"&amp;'Tong_hop'!$F$4,T_GD[Nhóm giao dịch],"Quyết toán")))</x:f>
      </x:c>
      <x:c r="Z89" s="27" t="str">
        <x:f>IF(P89="","",IF(AC89&gt;0,"n.a.",E89+SUMIFS(T_GD[Thực ghi số dư +/-],T_GD[Sàn],A89,T_GD[Shop],B89,T_GD[Ngày giao dịch sàn],"&gt;="&amp;'Tong_hop'!$C$4,T_GD[Ngày giao dịch sàn],"&lt;"&amp;'Tong_hop'!$F$4)-SUMIFS(T_Chuyen[Tiền trừ số dư],T_Chuyen[Sàn],A89,T_Chuyen[Shop],B89,T_Chuyen[Ngày trừ số dư],"&gt;="&amp;'Tong_hop'!$C$4,T_Chuyen[Ngày trừ số dư],"&lt;"&amp;'Tong_hop'!$F$4)))</x:f>
      </x:c>
      <x:c r="AA89" s="27" t="str">
        <x:f>IF(P89="","",IF(AC89&gt;0,"n.a.",SUMIFS(T_Chuyen[Còn đang chuyển],T_Chuyen[Sàn],A89,T_Chuyen[Shop],B89)))</x:f>
      </x:c>
      <x:c r="AB89" s="27" t="str">
        <x:f>IF(P89="","",IF(AC89&gt;0,"n.a.",SUMIFS(T_Chuyen[Tiền trừ số dư],T_Chuyen[Sàn],A89,T_Chuyen[Shop],B89,T_Chuyen[Ngày trừ số dư],"&gt;="&amp;'Tong_hop'!$C$4,T_Chuyen[Ngày trừ số dư],"&lt;"&amp;'Tong_hop'!$F$4)))</x:f>
      </x:c>
      <x:c r="AC89" s="28" t="str">
        <x:f>IF(P89="","",IF(R89="",0,1)+COUNTIFS(T_Don[Sàn],A89,T_Don[Shop],B89,T_Don[Kiểm tra dữ liệu],"?*")+COUNTIFS(T_GD[Sàn],A89,T_GD[Shop],B89,T_GD[Kiểm tra dữ liệu],"?*")+COUNTIFS(T_Chuyen[Sàn],A89,T_Chuyen[Shop],B89,T_Chuyen[Kiểm tra dữ liệu],"?*")+COUNTIFS(T_NH[Sàn],A89,T_NH[Shop],B89,T_NH[Kiểm tra dữ liệu],"?*"))</x:f>
      </x:c>
    </x:row>
    <x:row r="90" ht="22" customHeight="1">
      <x:c r="A90" s="10"/>
      <x:c r="B90" s="10"/>
      <x:c r="C90" s="25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10"/>
      <x:c r="O90" s="10"/>
      <x:c r="P90" s="23" t="str">
        <x:f>IF(AND(A90="",B90=""),"",A90&amp;"|"&amp;B90)</x:f>
      </x:c>
      <x:c r="Q90" s="27" t="str">
        <x:f>IF(P90="","",IF(COUNT(F90:J90)=5,SUM(F90:J90),"n.a."))</x:f>
      </x:c>
      <x:c r="R90" s="23" t="str">
        <x:f>IF(COUNTA(A90:O90)=0,"",IF(OR(NOT(OR(A90="TikTok Shop",A90="Shopee",A90="Lazada")),B90="",NOT(ISNUMBER(C90)),COUNT(D90:M90)&lt;&gt;10),"Thiếu/sai số dư",IF(C90&lt;&gt;'Tong_hop'!$F$4-1,"Sai ngày chốt",IF(COUNTIFS(T_SoDu[Khóa shop],P90)&lt;&gt;1,"Trùng shop",IF(AND(N90&lt;&gt;"Đã đủ",N90&lt;&gt;"Chưa"),"Thiếu xác nhận nguồn","")))))</x:f>
      </x:c>
      <x:c r="S90" s="27" t="str">
        <x:f>IF(P90="","",IF(AC90&gt;0,"n.a.",SUMIFS(T_Don[Phải thu gộp],T_Don[Sàn],A90,T_Don[Shop],B90,T_Don[Ngày ghi nhận bán],"&gt;="&amp;'Tong_hop'!$C$4,T_Don[Ngày ghi nhận bán],"&lt;"&amp;'Tong_hop'!$F$4)))</x:f>
      </x:c>
      <x:c r="T90" s="27" t="str">
        <x:f>IF(P90="","",IF(AC90&gt;0,"n.a.",SUMIFS(T_GD[Hoàn tiền shop chịu],T_GD[Sàn],A90,T_GD[Shop],B90,T_GD[Ngày giao dịch sàn],"&gt;="&amp;'Tong_hop'!$C$4,T_GD[Ngày giao dịch sàn],"&lt;"&amp;'Tong_hop'!$F$4)))</x:f>
      </x:c>
      <x:c r="U90" s="27" t="str">
        <x:f>IF(P90="","",IF(AC90&gt;0,"n.a.",SUMIFS(T_GD[Phí sàn cấn trừ],T_GD[Sàn],A90,T_GD[Shop],B90,T_GD[Ngày giao dịch sàn],"&gt;="&amp;'Tong_hop'!$C$4,T_GD[Ngày giao dịch sàn],"&lt;"&amp;'Tong_hop'!$F$4)+SUMIFS(T_GD[Ship shop chịu],T_GD[Sàn],A90,T_GD[Shop],B90,T_GD[Ngày giao dịch sàn],"&gt;="&amp;'Tong_hop'!$C$4,T_GD[Ngày giao dịch sàn],"&lt;"&amp;'Tong_hop'!$F$4)+SUMIFS(T_Chuyen[Phí chuyển đã xác nhận],T_Chuyen[Sàn],A90,T_Chuyen[Shop],B90,T_Chuyen[Ngày trừ số dư],"&gt;="&amp;'Tong_hop'!$C$4,T_Chuyen[Ngày trừ số dư],"&lt;"&amp;'Tong_hop'!$F$4)))</x:f>
      </x:c>
      <x:c r="V90" s="27" t="str">
        <x:f>IF(P90="","",IF(AC90&gt;0,"n.a.",SUMIFS(T_GD[Điều chỉnh khác +/-],T_GD[Sàn],A90,T_GD[Shop],B90,T_GD[Ngày giao dịch sàn],"&gt;="&amp;'Tong_hop'!$C$4,T_GD[Ngày giao dịch sàn],"&lt;"&amp;'Tong_hop'!$F$4)+SUMIFS(T_GD[Nạp vào số dư],T_GD[Sàn],A90,T_GD[Shop],B90,T_GD[Ngày giao dịch sàn],"&gt;="&amp;'Tong_hop'!$C$4,T_GD[Ngày giao dịch sàn],"&lt;"&amp;'Tong_hop'!$F$4)))</x:f>
      </x:c>
      <x:c r="W90" s="27" t="str">
        <x:f>IF(P90="","",IF(AC90&gt;0,"n.a.",SUMIFS(T_NH[Tiền thực nhận],T_NH[Sàn],A90,T_NH[Shop],B90,T_NH[Ngày báo Có],"&gt;="&amp;'Tong_hop'!$C$4,T_NH[Ngày báo Có],"&lt;"&amp;'Tong_hop'!$F$4)))</x:f>
      </x:c>
      <x:c r="X90" s="27" t="str">
        <x:f>IF(P90="","",IF(AC90&gt;0,"n.a.",D90+S90-T90-U90+V90-W90))</x:f>
      </x:c>
      <x:c r="Y90" s="27" t="str">
        <x:f>IF(P90="","",IF(AC90&gt;0,"n.a.",SUMIFS(T_GD[Thực ghi số dư +/-],T_GD[Sàn],A90,T_GD[Shop],B90,T_GD[Ngày giao dịch sàn],"&gt;="&amp;'Tong_hop'!$C$4,T_GD[Ngày giao dịch sàn],"&lt;"&amp;'Tong_hop'!$F$4,T_GD[Nhóm giao dịch],"Quyết toán")))</x:f>
      </x:c>
      <x:c r="Z90" s="27" t="str">
        <x:f>IF(P90="","",IF(AC90&gt;0,"n.a.",E90+SUMIFS(T_GD[Thực ghi số dư +/-],T_GD[Sàn],A90,T_GD[Shop],B90,T_GD[Ngày giao dịch sàn],"&gt;="&amp;'Tong_hop'!$C$4,T_GD[Ngày giao dịch sàn],"&lt;"&amp;'Tong_hop'!$F$4)-SUMIFS(T_Chuyen[Tiền trừ số dư],T_Chuyen[Sàn],A90,T_Chuyen[Shop],B90,T_Chuyen[Ngày trừ số dư],"&gt;="&amp;'Tong_hop'!$C$4,T_Chuyen[Ngày trừ số dư],"&lt;"&amp;'Tong_hop'!$F$4)))</x:f>
      </x:c>
      <x:c r="AA90" s="27" t="str">
        <x:f>IF(P90="","",IF(AC90&gt;0,"n.a.",SUMIFS(T_Chuyen[Còn đang chuyển],T_Chuyen[Sàn],A90,T_Chuyen[Shop],B90)))</x:f>
      </x:c>
      <x:c r="AB90" s="27" t="str">
        <x:f>IF(P90="","",IF(AC90&gt;0,"n.a.",SUMIFS(T_Chuyen[Tiền trừ số dư],T_Chuyen[Sàn],A90,T_Chuyen[Shop],B90,T_Chuyen[Ngày trừ số dư],"&gt;="&amp;'Tong_hop'!$C$4,T_Chuyen[Ngày trừ số dư],"&lt;"&amp;'Tong_hop'!$F$4)))</x:f>
      </x:c>
      <x:c r="AC90" s="28" t="str">
        <x:f>IF(P90="","",IF(R90="",0,1)+COUNTIFS(T_Don[Sàn],A90,T_Don[Shop],B90,T_Don[Kiểm tra dữ liệu],"?*")+COUNTIFS(T_GD[Sàn],A90,T_GD[Shop],B90,T_GD[Kiểm tra dữ liệu],"?*")+COUNTIFS(T_Chuyen[Sàn],A90,T_Chuyen[Shop],B90,T_Chuyen[Kiểm tra dữ liệu],"?*")+COUNTIFS(T_NH[Sàn],A90,T_NH[Shop],B90,T_NH[Kiểm tra dữ liệu],"?*"))</x:f>
      </x:c>
    </x:row>
    <x:row r="91" ht="22" customHeight="1">
      <x:c r="A91" s="10"/>
      <x:c r="B91" s="10"/>
      <x:c r="C91" s="25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10"/>
      <x:c r="O91" s="10"/>
      <x:c r="P91" s="23" t="str">
        <x:f>IF(AND(A91="",B91=""),"",A91&amp;"|"&amp;B91)</x:f>
      </x:c>
      <x:c r="Q91" s="27" t="str">
        <x:f>IF(P91="","",IF(COUNT(F91:J91)=5,SUM(F91:J91),"n.a."))</x:f>
      </x:c>
      <x:c r="R91" s="23" t="str">
        <x:f>IF(COUNTA(A91:O91)=0,"",IF(OR(NOT(OR(A91="TikTok Shop",A91="Shopee",A91="Lazada")),B91="",NOT(ISNUMBER(C91)),COUNT(D91:M91)&lt;&gt;10),"Thiếu/sai số dư",IF(C91&lt;&gt;'Tong_hop'!$F$4-1,"Sai ngày chốt",IF(COUNTIFS(T_SoDu[Khóa shop],P91)&lt;&gt;1,"Trùng shop",IF(AND(N91&lt;&gt;"Đã đủ",N91&lt;&gt;"Chưa"),"Thiếu xác nhận nguồn","")))))</x:f>
      </x:c>
      <x:c r="S91" s="27" t="str">
        <x:f>IF(P91="","",IF(AC91&gt;0,"n.a.",SUMIFS(T_Don[Phải thu gộp],T_Don[Sàn],A91,T_Don[Shop],B91,T_Don[Ngày ghi nhận bán],"&gt;="&amp;'Tong_hop'!$C$4,T_Don[Ngày ghi nhận bán],"&lt;"&amp;'Tong_hop'!$F$4)))</x:f>
      </x:c>
      <x:c r="T91" s="27" t="str">
        <x:f>IF(P91="","",IF(AC91&gt;0,"n.a.",SUMIFS(T_GD[Hoàn tiền shop chịu],T_GD[Sàn],A91,T_GD[Shop],B91,T_GD[Ngày giao dịch sàn],"&gt;="&amp;'Tong_hop'!$C$4,T_GD[Ngày giao dịch sàn],"&lt;"&amp;'Tong_hop'!$F$4)))</x:f>
      </x:c>
      <x:c r="U91" s="27" t="str">
        <x:f>IF(P91="","",IF(AC91&gt;0,"n.a.",SUMIFS(T_GD[Phí sàn cấn trừ],T_GD[Sàn],A91,T_GD[Shop],B91,T_GD[Ngày giao dịch sàn],"&gt;="&amp;'Tong_hop'!$C$4,T_GD[Ngày giao dịch sàn],"&lt;"&amp;'Tong_hop'!$F$4)+SUMIFS(T_GD[Ship shop chịu],T_GD[Sàn],A91,T_GD[Shop],B91,T_GD[Ngày giao dịch sàn],"&gt;="&amp;'Tong_hop'!$C$4,T_GD[Ngày giao dịch sàn],"&lt;"&amp;'Tong_hop'!$F$4)+SUMIFS(T_Chuyen[Phí chuyển đã xác nhận],T_Chuyen[Sàn],A91,T_Chuyen[Shop],B91,T_Chuyen[Ngày trừ số dư],"&gt;="&amp;'Tong_hop'!$C$4,T_Chuyen[Ngày trừ số dư],"&lt;"&amp;'Tong_hop'!$F$4)))</x:f>
      </x:c>
      <x:c r="V91" s="27" t="str">
        <x:f>IF(P91="","",IF(AC91&gt;0,"n.a.",SUMIFS(T_GD[Điều chỉnh khác +/-],T_GD[Sàn],A91,T_GD[Shop],B91,T_GD[Ngày giao dịch sàn],"&gt;="&amp;'Tong_hop'!$C$4,T_GD[Ngày giao dịch sàn],"&lt;"&amp;'Tong_hop'!$F$4)+SUMIFS(T_GD[Nạp vào số dư],T_GD[Sàn],A91,T_GD[Shop],B91,T_GD[Ngày giao dịch sàn],"&gt;="&amp;'Tong_hop'!$C$4,T_GD[Ngày giao dịch sàn],"&lt;"&amp;'Tong_hop'!$F$4)))</x:f>
      </x:c>
      <x:c r="W91" s="27" t="str">
        <x:f>IF(P91="","",IF(AC91&gt;0,"n.a.",SUMIFS(T_NH[Tiền thực nhận],T_NH[Sàn],A91,T_NH[Shop],B91,T_NH[Ngày báo Có],"&gt;="&amp;'Tong_hop'!$C$4,T_NH[Ngày báo Có],"&lt;"&amp;'Tong_hop'!$F$4)))</x:f>
      </x:c>
      <x:c r="X91" s="27" t="str">
        <x:f>IF(P91="","",IF(AC91&gt;0,"n.a.",D91+S91-T91-U91+V91-W91))</x:f>
      </x:c>
      <x:c r="Y91" s="27" t="str">
        <x:f>IF(P91="","",IF(AC91&gt;0,"n.a.",SUMIFS(T_GD[Thực ghi số dư +/-],T_GD[Sàn],A91,T_GD[Shop],B91,T_GD[Ngày giao dịch sàn],"&gt;="&amp;'Tong_hop'!$C$4,T_GD[Ngày giao dịch sàn],"&lt;"&amp;'Tong_hop'!$F$4,T_GD[Nhóm giao dịch],"Quyết toán")))</x:f>
      </x:c>
      <x:c r="Z91" s="27" t="str">
        <x:f>IF(P91="","",IF(AC91&gt;0,"n.a.",E91+SUMIFS(T_GD[Thực ghi số dư +/-],T_GD[Sàn],A91,T_GD[Shop],B91,T_GD[Ngày giao dịch sàn],"&gt;="&amp;'Tong_hop'!$C$4,T_GD[Ngày giao dịch sàn],"&lt;"&amp;'Tong_hop'!$F$4)-SUMIFS(T_Chuyen[Tiền trừ số dư],T_Chuyen[Sàn],A91,T_Chuyen[Shop],B91,T_Chuyen[Ngày trừ số dư],"&gt;="&amp;'Tong_hop'!$C$4,T_Chuyen[Ngày trừ số dư],"&lt;"&amp;'Tong_hop'!$F$4)))</x:f>
      </x:c>
      <x:c r="AA91" s="27" t="str">
        <x:f>IF(P91="","",IF(AC91&gt;0,"n.a.",SUMIFS(T_Chuyen[Còn đang chuyển],T_Chuyen[Sàn],A91,T_Chuyen[Shop],B91)))</x:f>
      </x:c>
      <x:c r="AB91" s="27" t="str">
        <x:f>IF(P91="","",IF(AC91&gt;0,"n.a.",SUMIFS(T_Chuyen[Tiền trừ số dư],T_Chuyen[Sàn],A91,T_Chuyen[Shop],B91,T_Chuyen[Ngày trừ số dư],"&gt;="&amp;'Tong_hop'!$C$4,T_Chuyen[Ngày trừ số dư],"&lt;"&amp;'Tong_hop'!$F$4)))</x:f>
      </x:c>
      <x:c r="AC91" s="28" t="str">
        <x:f>IF(P91="","",IF(R91="",0,1)+COUNTIFS(T_Don[Sàn],A91,T_Don[Shop],B91,T_Don[Kiểm tra dữ liệu],"?*")+COUNTIFS(T_GD[Sàn],A91,T_GD[Shop],B91,T_GD[Kiểm tra dữ liệu],"?*")+COUNTIFS(T_Chuyen[Sàn],A91,T_Chuyen[Shop],B91,T_Chuyen[Kiểm tra dữ liệu],"?*")+COUNTIFS(T_NH[Sàn],A91,T_NH[Shop],B91,T_NH[Kiểm tra dữ liệu],"?*"))</x:f>
      </x:c>
    </x:row>
    <x:row r="92" ht="22" customHeight="1">
      <x:c r="A92" s="10"/>
      <x:c r="B92" s="10"/>
      <x:c r="C92" s="25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10"/>
      <x:c r="O92" s="10"/>
      <x:c r="P92" s="23" t="str">
        <x:f>IF(AND(A92="",B92=""),"",A92&amp;"|"&amp;B92)</x:f>
      </x:c>
      <x:c r="Q92" s="27" t="str">
        <x:f>IF(P92="","",IF(COUNT(F92:J92)=5,SUM(F92:J92),"n.a."))</x:f>
      </x:c>
      <x:c r="R92" s="23" t="str">
        <x:f>IF(COUNTA(A92:O92)=0,"",IF(OR(NOT(OR(A92="TikTok Shop",A92="Shopee",A92="Lazada")),B92="",NOT(ISNUMBER(C92)),COUNT(D92:M92)&lt;&gt;10),"Thiếu/sai số dư",IF(C92&lt;&gt;'Tong_hop'!$F$4-1,"Sai ngày chốt",IF(COUNTIFS(T_SoDu[Khóa shop],P92)&lt;&gt;1,"Trùng shop",IF(AND(N92&lt;&gt;"Đã đủ",N92&lt;&gt;"Chưa"),"Thiếu xác nhận nguồn","")))))</x:f>
      </x:c>
      <x:c r="S92" s="27" t="str">
        <x:f>IF(P92="","",IF(AC92&gt;0,"n.a.",SUMIFS(T_Don[Phải thu gộp],T_Don[Sàn],A92,T_Don[Shop],B92,T_Don[Ngày ghi nhận bán],"&gt;="&amp;'Tong_hop'!$C$4,T_Don[Ngày ghi nhận bán],"&lt;"&amp;'Tong_hop'!$F$4)))</x:f>
      </x:c>
      <x:c r="T92" s="27" t="str">
        <x:f>IF(P92="","",IF(AC92&gt;0,"n.a.",SUMIFS(T_GD[Hoàn tiền shop chịu],T_GD[Sàn],A92,T_GD[Shop],B92,T_GD[Ngày giao dịch sàn],"&gt;="&amp;'Tong_hop'!$C$4,T_GD[Ngày giao dịch sàn],"&lt;"&amp;'Tong_hop'!$F$4)))</x:f>
      </x:c>
      <x:c r="U92" s="27" t="str">
        <x:f>IF(P92="","",IF(AC92&gt;0,"n.a.",SUMIFS(T_GD[Phí sàn cấn trừ],T_GD[Sàn],A92,T_GD[Shop],B92,T_GD[Ngày giao dịch sàn],"&gt;="&amp;'Tong_hop'!$C$4,T_GD[Ngày giao dịch sàn],"&lt;"&amp;'Tong_hop'!$F$4)+SUMIFS(T_GD[Ship shop chịu],T_GD[Sàn],A92,T_GD[Shop],B92,T_GD[Ngày giao dịch sàn],"&gt;="&amp;'Tong_hop'!$C$4,T_GD[Ngày giao dịch sàn],"&lt;"&amp;'Tong_hop'!$F$4)+SUMIFS(T_Chuyen[Phí chuyển đã xác nhận],T_Chuyen[Sàn],A92,T_Chuyen[Shop],B92,T_Chuyen[Ngày trừ số dư],"&gt;="&amp;'Tong_hop'!$C$4,T_Chuyen[Ngày trừ số dư],"&lt;"&amp;'Tong_hop'!$F$4)))</x:f>
      </x:c>
      <x:c r="V92" s="27" t="str">
        <x:f>IF(P92="","",IF(AC92&gt;0,"n.a.",SUMIFS(T_GD[Điều chỉnh khác +/-],T_GD[Sàn],A92,T_GD[Shop],B92,T_GD[Ngày giao dịch sàn],"&gt;="&amp;'Tong_hop'!$C$4,T_GD[Ngày giao dịch sàn],"&lt;"&amp;'Tong_hop'!$F$4)+SUMIFS(T_GD[Nạp vào số dư],T_GD[Sàn],A92,T_GD[Shop],B92,T_GD[Ngày giao dịch sàn],"&gt;="&amp;'Tong_hop'!$C$4,T_GD[Ngày giao dịch sàn],"&lt;"&amp;'Tong_hop'!$F$4)))</x:f>
      </x:c>
      <x:c r="W92" s="27" t="str">
        <x:f>IF(P92="","",IF(AC92&gt;0,"n.a.",SUMIFS(T_NH[Tiền thực nhận],T_NH[Sàn],A92,T_NH[Shop],B92,T_NH[Ngày báo Có],"&gt;="&amp;'Tong_hop'!$C$4,T_NH[Ngày báo Có],"&lt;"&amp;'Tong_hop'!$F$4)))</x:f>
      </x:c>
      <x:c r="X92" s="27" t="str">
        <x:f>IF(P92="","",IF(AC92&gt;0,"n.a.",D92+S92-T92-U92+V92-W92))</x:f>
      </x:c>
      <x:c r="Y92" s="27" t="str">
        <x:f>IF(P92="","",IF(AC92&gt;0,"n.a.",SUMIFS(T_GD[Thực ghi số dư +/-],T_GD[Sàn],A92,T_GD[Shop],B92,T_GD[Ngày giao dịch sàn],"&gt;="&amp;'Tong_hop'!$C$4,T_GD[Ngày giao dịch sàn],"&lt;"&amp;'Tong_hop'!$F$4,T_GD[Nhóm giao dịch],"Quyết toán")))</x:f>
      </x:c>
      <x:c r="Z92" s="27" t="str">
        <x:f>IF(P92="","",IF(AC92&gt;0,"n.a.",E92+SUMIFS(T_GD[Thực ghi số dư +/-],T_GD[Sàn],A92,T_GD[Shop],B92,T_GD[Ngày giao dịch sàn],"&gt;="&amp;'Tong_hop'!$C$4,T_GD[Ngày giao dịch sàn],"&lt;"&amp;'Tong_hop'!$F$4)-SUMIFS(T_Chuyen[Tiền trừ số dư],T_Chuyen[Sàn],A92,T_Chuyen[Shop],B92,T_Chuyen[Ngày trừ số dư],"&gt;="&amp;'Tong_hop'!$C$4,T_Chuyen[Ngày trừ số dư],"&lt;"&amp;'Tong_hop'!$F$4)))</x:f>
      </x:c>
      <x:c r="AA92" s="27" t="str">
        <x:f>IF(P92="","",IF(AC92&gt;0,"n.a.",SUMIFS(T_Chuyen[Còn đang chuyển],T_Chuyen[Sàn],A92,T_Chuyen[Shop],B92)))</x:f>
      </x:c>
      <x:c r="AB92" s="27" t="str">
        <x:f>IF(P92="","",IF(AC92&gt;0,"n.a.",SUMIFS(T_Chuyen[Tiền trừ số dư],T_Chuyen[Sàn],A92,T_Chuyen[Shop],B92,T_Chuyen[Ngày trừ số dư],"&gt;="&amp;'Tong_hop'!$C$4,T_Chuyen[Ngày trừ số dư],"&lt;"&amp;'Tong_hop'!$F$4)))</x:f>
      </x:c>
      <x:c r="AC92" s="28" t="str">
        <x:f>IF(P92="","",IF(R92="",0,1)+COUNTIFS(T_Don[Sàn],A92,T_Don[Shop],B92,T_Don[Kiểm tra dữ liệu],"?*")+COUNTIFS(T_GD[Sàn],A92,T_GD[Shop],B92,T_GD[Kiểm tra dữ liệu],"?*")+COUNTIFS(T_Chuyen[Sàn],A92,T_Chuyen[Shop],B92,T_Chuyen[Kiểm tra dữ liệu],"?*")+COUNTIFS(T_NH[Sàn],A92,T_NH[Shop],B92,T_NH[Kiểm tra dữ liệu],"?*"))</x:f>
      </x:c>
    </x:row>
    <x:row r="93" ht="22" customHeight="1">
      <x:c r="A93" s="10"/>
      <x:c r="B93" s="10"/>
      <x:c r="C93" s="25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10"/>
      <x:c r="O93" s="10"/>
      <x:c r="P93" s="23" t="str">
        <x:f>IF(AND(A93="",B93=""),"",A93&amp;"|"&amp;B93)</x:f>
      </x:c>
      <x:c r="Q93" s="27" t="str">
        <x:f>IF(P93="","",IF(COUNT(F93:J93)=5,SUM(F93:J93),"n.a."))</x:f>
      </x:c>
      <x:c r="R93" s="23" t="str">
        <x:f>IF(COUNTA(A93:O93)=0,"",IF(OR(NOT(OR(A93="TikTok Shop",A93="Shopee",A93="Lazada")),B93="",NOT(ISNUMBER(C93)),COUNT(D93:M93)&lt;&gt;10),"Thiếu/sai số dư",IF(C93&lt;&gt;'Tong_hop'!$F$4-1,"Sai ngày chốt",IF(COUNTIFS(T_SoDu[Khóa shop],P93)&lt;&gt;1,"Trùng shop",IF(AND(N93&lt;&gt;"Đã đủ",N93&lt;&gt;"Chưa"),"Thiếu xác nhận nguồn","")))))</x:f>
      </x:c>
      <x:c r="S93" s="27" t="str">
        <x:f>IF(P93="","",IF(AC93&gt;0,"n.a.",SUMIFS(T_Don[Phải thu gộp],T_Don[Sàn],A93,T_Don[Shop],B93,T_Don[Ngày ghi nhận bán],"&gt;="&amp;'Tong_hop'!$C$4,T_Don[Ngày ghi nhận bán],"&lt;"&amp;'Tong_hop'!$F$4)))</x:f>
      </x:c>
      <x:c r="T93" s="27" t="str">
        <x:f>IF(P93="","",IF(AC93&gt;0,"n.a.",SUMIFS(T_GD[Hoàn tiền shop chịu],T_GD[Sàn],A93,T_GD[Shop],B93,T_GD[Ngày giao dịch sàn],"&gt;="&amp;'Tong_hop'!$C$4,T_GD[Ngày giao dịch sàn],"&lt;"&amp;'Tong_hop'!$F$4)))</x:f>
      </x:c>
      <x:c r="U93" s="27" t="str">
        <x:f>IF(P93="","",IF(AC93&gt;0,"n.a.",SUMIFS(T_GD[Phí sàn cấn trừ],T_GD[Sàn],A93,T_GD[Shop],B93,T_GD[Ngày giao dịch sàn],"&gt;="&amp;'Tong_hop'!$C$4,T_GD[Ngày giao dịch sàn],"&lt;"&amp;'Tong_hop'!$F$4)+SUMIFS(T_GD[Ship shop chịu],T_GD[Sàn],A93,T_GD[Shop],B93,T_GD[Ngày giao dịch sàn],"&gt;="&amp;'Tong_hop'!$C$4,T_GD[Ngày giao dịch sàn],"&lt;"&amp;'Tong_hop'!$F$4)+SUMIFS(T_Chuyen[Phí chuyển đã xác nhận],T_Chuyen[Sàn],A93,T_Chuyen[Shop],B93,T_Chuyen[Ngày trừ số dư],"&gt;="&amp;'Tong_hop'!$C$4,T_Chuyen[Ngày trừ số dư],"&lt;"&amp;'Tong_hop'!$F$4)))</x:f>
      </x:c>
      <x:c r="V93" s="27" t="str">
        <x:f>IF(P93="","",IF(AC93&gt;0,"n.a.",SUMIFS(T_GD[Điều chỉnh khác +/-],T_GD[Sàn],A93,T_GD[Shop],B93,T_GD[Ngày giao dịch sàn],"&gt;="&amp;'Tong_hop'!$C$4,T_GD[Ngày giao dịch sàn],"&lt;"&amp;'Tong_hop'!$F$4)+SUMIFS(T_GD[Nạp vào số dư],T_GD[Sàn],A93,T_GD[Shop],B93,T_GD[Ngày giao dịch sàn],"&gt;="&amp;'Tong_hop'!$C$4,T_GD[Ngày giao dịch sàn],"&lt;"&amp;'Tong_hop'!$F$4)))</x:f>
      </x:c>
      <x:c r="W93" s="27" t="str">
        <x:f>IF(P93="","",IF(AC93&gt;0,"n.a.",SUMIFS(T_NH[Tiền thực nhận],T_NH[Sàn],A93,T_NH[Shop],B93,T_NH[Ngày báo Có],"&gt;="&amp;'Tong_hop'!$C$4,T_NH[Ngày báo Có],"&lt;"&amp;'Tong_hop'!$F$4)))</x:f>
      </x:c>
      <x:c r="X93" s="27" t="str">
        <x:f>IF(P93="","",IF(AC93&gt;0,"n.a.",D93+S93-T93-U93+V93-W93))</x:f>
      </x:c>
      <x:c r="Y93" s="27" t="str">
        <x:f>IF(P93="","",IF(AC93&gt;0,"n.a.",SUMIFS(T_GD[Thực ghi số dư +/-],T_GD[Sàn],A93,T_GD[Shop],B93,T_GD[Ngày giao dịch sàn],"&gt;="&amp;'Tong_hop'!$C$4,T_GD[Ngày giao dịch sàn],"&lt;"&amp;'Tong_hop'!$F$4,T_GD[Nhóm giao dịch],"Quyết toán")))</x:f>
      </x:c>
      <x:c r="Z93" s="27" t="str">
        <x:f>IF(P93="","",IF(AC93&gt;0,"n.a.",E93+SUMIFS(T_GD[Thực ghi số dư +/-],T_GD[Sàn],A93,T_GD[Shop],B93,T_GD[Ngày giao dịch sàn],"&gt;="&amp;'Tong_hop'!$C$4,T_GD[Ngày giao dịch sàn],"&lt;"&amp;'Tong_hop'!$F$4)-SUMIFS(T_Chuyen[Tiền trừ số dư],T_Chuyen[Sàn],A93,T_Chuyen[Shop],B93,T_Chuyen[Ngày trừ số dư],"&gt;="&amp;'Tong_hop'!$C$4,T_Chuyen[Ngày trừ số dư],"&lt;"&amp;'Tong_hop'!$F$4)))</x:f>
      </x:c>
      <x:c r="AA93" s="27" t="str">
        <x:f>IF(P93="","",IF(AC93&gt;0,"n.a.",SUMIFS(T_Chuyen[Còn đang chuyển],T_Chuyen[Sàn],A93,T_Chuyen[Shop],B93)))</x:f>
      </x:c>
      <x:c r="AB93" s="27" t="str">
        <x:f>IF(P93="","",IF(AC93&gt;0,"n.a.",SUMIFS(T_Chuyen[Tiền trừ số dư],T_Chuyen[Sàn],A93,T_Chuyen[Shop],B93,T_Chuyen[Ngày trừ số dư],"&gt;="&amp;'Tong_hop'!$C$4,T_Chuyen[Ngày trừ số dư],"&lt;"&amp;'Tong_hop'!$F$4)))</x:f>
      </x:c>
      <x:c r="AC93" s="28" t="str">
        <x:f>IF(P93="","",IF(R93="",0,1)+COUNTIFS(T_Don[Sàn],A93,T_Don[Shop],B93,T_Don[Kiểm tra dữ liệu],"?*")+COUNTIFS(T_GD[Sàn],A93,T_GD[Shop],B93,T_GD[Kiểm tra dữ liệu],"?*")+COUNTIFS(T_Chuyen[Sàn],A93,T_Chuyen[Shop],B93,T_Chuyen[Kiểm tra dữ liệu],"?*")+COUNTIFS(T_NH[Sàn],A93,T_NH[Shop],B93,T_NH[Kiểm tra dữ liệu],"?*"))</x:f>
      </x:c>
    </x:row>
    <x:row r="94" ht="22" customHeight="1">
      <x:c r="A94" s="10"/>
      <x:c r="B94" s="10"/>
      <x:c r="C94" s="25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10"/>
      <x:c r="O94" s="10"/>
      <x:c r="P94" s="23" t="str">
        <x:f>IF(AND(A94="",B94=""),"",A94&amp;"|"&amp;B94)</x:f>
      </x:c>
      <x:c r="Q94" s="27" t="str">
        <x:f>IF(P94="","",IF(COUNT(F94:J94)=5,SUM(F94:J94),"n.a."))</x:f>
      </x:c>
      <x:c r="R94" s="23" t="str">
        <x:f>IF(COUNTA(A94:O94)=0,"",IF(OR(NOT(OR(A94="TikTok Shop",A94="Shopee",A94="Lazada")),B94="",NOT(ISNUMBER(C94)),COUNT(D94:M94)&lt;&gt;10),"Thiếu/sai số dư",IF(C94&lt;&gt;'Tong_hop'!$F$4-1,"Sai ngày chốt",IF(COUNTIFS(T_SoDu[Khóa shop],P94)&lt;&gt;1,"Trùng shop",IF(AND(N94&lt;&gt;"Đã đủ",N94&lt;&gt;"Chưa"),"Thiếu xác nhận nguồn","")))))</x:f>
      </x:c>
      <x:c r="S94" s="27" t="str">
        <x:f>IF(P94="","",IF(AC94&gt;0,"n.a.",SUMIFS(T_Don[Phải thu gộp],T_Don[Sàn],A94,T_Don[Shop],B94,T_Don[Ngày ghi nhận bán],"&gt;="&amp;'Tong_hop'!$C$4,T_Don[Ngày ghi nhận bán],"&lt;"&amp;'Tong_hop'!$F$4)))</x:f>
      </x:c>
      <x:c r="T94" s="27" t="str">
        <x:f>IF(P94="","",IF(AC94&gt;0,"n.a.",SUMIFS(T_GD[Hoàn tiền shop chịu],T_GD[Sàn],A94,T_GD[Shop],B94,T_GD[Ngày giao dịch sàn],"&gt;="&amp;'Tong_hop'!$C$4,T_GD[Ngày giao dịch sàn],"&lt;"&amp;'Tong_hop'!$F$4)))</x:f>
      </x:c>
      <x:c r="U94" s="27" t="str">
        <x:f>IF(P94="","",IF(AC94&gt;0,"n.a.",SUMIFS(T_GD[Phí sàn cấn trừ],T_GD[Sàn],A94,T_GD[Shop],B94,T_GD[Ngày giao dịch sàn],"&gt;="&amp;'Tong_hop'!$C$4,T_GD[Ngày giao dịch sàn],"&lt;"&amp;'Tong_hop'!$F$4)+SUMIFS(T_GD[Ship shop chịu],T_GD[Sàn],A94,T_GD[Shop],B94,T_GD[Ngày giao dịch sàn],"&gt;="&amp;'Tong_hop'!$C$4,T_GD[Ngày giao dịch sàn],"&lt;"&amp;'Tong_hop'!$F$4)+SUMIFS(T_Chuyen[Phí chuyển đã xác nhận],T_Chuyen[Sàn],A94,T_Chuyen[Shop],B94,T_Chuyen[Ngày trừ số dư],"&gt;="&amp;'Tong_hop'!$C$4,T_Chuyen[Ngày trừ số dư],"&lt;"&amp;'Tong_hop'!$F$4)))</x:f>
      </x:c>
      <x:c r="V94" s="27" t="str">
        <x:f>IF(P94="","",IF(AC94&gt;0,"n.a.",SUMIFS(T_GD[Điều chỉnh khác +/-],T_GD[Sàn],A94,T_GD[Shop],B94,T_GD[Ngày giao dịch sàn],"&gt;="&amp;'Tong_hop'!$C$4,T_GD[Ngày giao dịch sàn],"&lt;"&amp;'Tong_hop'!$F$4)+SUMIFS(T_GD[Nạp vào số dư],T_GD[Sàn],A94,T_GD[Shop],B94,T_GD[Ngày giao dịch sàn],"&gt;="&amp;'Tong_hop'!$C$4,T_GD[Ngày giao dịch sàn],"&lt;"&amp;'Tong_hop'!$F$4)))</x:f>
      </x:c>
      <x:c r="W94" s="27" t="str">
        <x:f>IF(P94="","",IF(AC94&gt;0,"n.a.",SUMIFS(T_NH[Tiền thực nhận],T_NH[Sàn],A94,T_NH[Shop],B94,T_NH[Ngày báo Có],"&gt;="&amp;'Tong_hop'!$C$4,T_NH[Ngày báo Có],"&lt;"&amp;'Tong_hop'!$F$4)))</x:f>
      </x:c>
      <x:c r="X94" s="27" t="str">
        <x:f>IF(P94="","",IF(AC94&gt;0,"n.a.",D94+S94-T94-U94+V94-W94))</x:f>
      </x:c>
      <x:c r="Y94" s="27" t="str">
        <x:f>IF(P94="","",IF(AC94&gt;0,"n.a.",SUMIFS(T_GD[Thực ghi số dư +/-],T_GD[Sàn],A94,T_GD[Shop],B94,T_GD[Ngày giao dịch sàn],"&gt;="&amp;'Tong_hop'!$C$4,T_GD[Ngày giao dịch sàn],"&lt;"&amp;'Tong_hop'!$F$4,T_GD[Nhóm giao dịch],"Quyết toán")))</x:f>
      </x:c>
      <x:c r="Z94" s="27" t="str">
        <x:f>IF(P94="","",IF(AC94&gt;0,"n.a.",E94+SUMIFS(T_GD[Thực ghi số dư +/-],T_GD[Sàn],A94,T_GD[Shop],B94,T_GD[Ngày giao dịch sàn],"&gt;="&amp;'Tong_hop'!$C$4,T_GD[Ngày giao dịch sàn],"&lt;"&amp;'Tong_hop'!$F$4)-SUMIFS(T_Chuyen[Tiền trừ số dư],T_Chuyen[Sàn],A94,T_Chuyen[Shop],B94,T_Chuyen[Ngày trừ số dư],"&gt;="&amp;'Tong_hop'!$C$4,T_Chuyen[Ngày trừ số dư],"&lt;"&amp;'Tong_hop'!$F$4)))</x:f>
      </x:c>
      <x:c r="AA94" s="27" t="str">
        <x:f>IF(P94="","",IF(AC94&gt;0,"n.a.",SUMIFS(T_Chuyen[Còn đang chuyển],T_Chuyen[Sàn],A94,T_Chuyen[Shop],B94)))</x:f>
      </x:c>
      <x:c r="AB94" s="27" t="str">
        <x:f>IF(P94="","",IF(AC94&gt;0,"n.a.",SUMIFS(T_Chuyen[Tiền trừ số dư],T_Chuyen[Sàn],A94,T_Chuyen[Shop],B94,T_Chuyen[Ngày trừ số dư],"&gt;="&amp;'Tong_hop'!$C$4,T_Chuyen[Ngày trừ số dư],"&lt;"&amp;'Tong_hop'!$F$4)))</x:f>
      </x:c>
      <x:c r="AC94" s="28" t="str">
        <x:f>IF(P94="","",IF(R94="",0,1)+COUNTIFS(T_Don[Sàn],A94,T_Don[Shop],B94,T_Don[Kiểm tra dữ liệu],"?*")+COUNTIFS(T_GD[Sàn],A94,T_GD[Shop],B94,T_GD[Kiểm tra dữ liệu],"?*")+COUNTIFS(T_Chuyen[Sàn],A94,T_Chuyen[Shop],B94,T_Chuyen[Kiểm tra dữ liệu],"?*")+COUNTIFS(T_NH[Sàn],A94,T_NH[Shop],B94,T_NH[Kiểm tra dữ liệu],"?*"))</x:f>
      </x:c>
    </x:row>
    <x:row r="95" ht="22" customHeight="1">
      <x:c r="A95" s="10"/>
      <x:c r="B95" s="10"/>
      <x:c r="C95" s="25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10"/>
      <x:c r="O95" s="10"/>
      <x:c r="P95" s="23" t="str">
        <x:f>IF(AND(A95="",B95=""),"",A95&amp;"|"&amp;B95)</x:f>
      </x:c>
      <x:c r="Q95" s="27" t="str">
        <x:f>IF(P95="","",IF(COUNT(F95:J95)=5,SUM(F95:J95),"n.a."))</x:f>
      </x:c>
      <x:c r="R95" s="23" t="str">
        <x:f>IF(COUNTA(A95:O95)=0,"",IF(OR(NOT(OR(A95="TikTok Shop",A95="Shopee",A95="Lazada")),B95="",NOT(ISNUMBER(C95)),COUNT(D95:M95)&lt;&gt;10),"Thiếu/sai số dư",IF(C95&lt;&gt;'Tong_hop'!$F$4-1,"Sai ngày chốt",IF(COUNTIFS(T_SoDu[Khóa shop],P95)&lt;&gt;1,"Trùng shop",IF(AND(N95&lt;&gt;"Đã đủ",N95&lt;&gt;"Chưa"),"Thiếu xác nhận nguồn","")))))</x:f>
      </x:c>
      <x:c r="S95" s="27" t="str">
        <x:f>IF(P95="","",IF(AC95&gt;0,"n.a.",SUMIFS(T_Don[Phải thu gộp],T_Don[Sàn],A95,T_Don[Shop],B95,T_Don[Ngày ghi nhận bán],"&gt;="&amp;'Tong_hop'!$C$4,T_Don[Ngày ghi nhận bán],"&lt;"&amp;'Tong_hop'!$F$4)))</x:f>
      </x:c>
      <x:c r="T95" s="27" t="str">
        <x:f>IF(P95="","",IF(AC95&gt;0,"n.a.",SUMIFS(T_GD[Hoàn tiền shop chịu],T_GD[Sàn],A95,T_GD[Shop],B95,T_GD[Ngày giao dịch sàn],"&gt;="&amp;'Tong_hop'!$C$4,T_GD[Ngày giao dịch sàn],"&lt;"&amp;'Tong_hop'!$F$4)))</x:f>
      </x:c>
      <x:c r="U95" s="27" t="str">
        <x:f>IF(P95="","",IF(AC95&gt;0,"n.a.",SUMIFS(T_GD[Phí sàn cấn trừ],T_GD[Sàn],A95,T_GD[Shop],B95,T_GD[Ngày giao dịch sàn],"&gt;="&amp;'Tong_hop'!$C$4,T_GD[Ngày giao dịch sàn],"&lt;"&amp;'Tong_hop'!$F$4)+SUMIFS(T_GD[Ship shop chịu],T_GD[Sàn],A95,T_GD[Shop],B95,T_GD[Ngày giao dịch sàn],"&gt;="&amp;'Tong_hop'!$C$4,T_GD[Ngày giao dịch sàn],"&lt;"&amp;'Tong_hop'!$F$4)+SUMIFS(T_Chuyen[Phí chuyển đã xác nhận],T_Chuyen[Sàn],A95,T_Chuyen[Shop],B95,T_Chuyen[Ngày trừ số dư],"&gt;="&amp;'Tong_hop'!$C$4,T_Chuyen[Ngày trừ số dư],"&lt;"&amp;'Tong_hop'!$F$4)))</x:f>
      </x:c>
      <x:c r="V95" s="27" t="str">
        <x:f>IF(P95="","",IF(AC95&gt;0,"n.a.",SUMIFS(T_GD[Điều chỉnh khác +/-],T_GD[Sàn],A95,T_GD[Shop],B95,T_GD[Ngày giao dịch sàn],"&gt;="&amp;'Tong_hop'!$C$4,T_GD[Ngày giao dịch sàn],"&lt;"&amp;'Tong_hop'!$F$4)+SUMIFS(T_GD[Nạp vào số dư],T_GD[Sàn],A95,T_GD[Shop],B95,T_GD[Ngày giao dịch sàn],"&gt;="&amp;'Tong_hop'!$C$4,T_GD[Ngày giao dịch sàn],"&lt;"&amp;'Tong_hop'!$F$4)))</x:f>
      </x:c>
      <x:c r="W95" s="27" t="str">
        <x:f>IF(P95="","",IF(AC95&gt;0,"n.a.",SUMIFS(T_NH[Tiền thực nhận],T_NH[Sàn],A95,T_NH[Shop],B95,T_NH[Ngày báo Có],"&gt;="&amp;'Tong_hop'!$C$4,T_NH[Ngày báo Có],"&lt;"&amp;'Tong_hop'!$F$4)))</x:f>
      </x:c>
      <x:c r="X95" s="27" t="str">
        <x:f>IF(P95="","",IF(AC95&gt;0,"n.a.",D95+S95-T95-U95+V95-W95))</x:f>
      </x:c>
      <x:c r="Y95" s="27" t="str">
        <x:f>IF(P95="","",IF(AC95&gt;0,"n.a.",SUMIFS(T_GD[Thực ghi số dư +/-],T_GD[Sàn],A95,T_GD[Shop],B95,T_GD[Ngày giao dịch sàn],"&gt;="&amp;'Tong_hop'!$C$4,T_GD[Ngày giao dịch sàn],"&lt;"&amp;'Tong_hop'!$F$4,T_GD[Nhóm giao dịch],"Quyết toán")))</x:f>
      </x:c>
      <x:c r="Z95" s="27" t="str">
        <x:f>IF(P95="","",IF(AC95&gt;0,"n.a.",E95+SUMIFS(T_GD[Thực ghi số dư +/-],T_GD[Sàn],A95,T_GD[Shop],B95,T_GD[Ngày giao dịch sàn],"&gt;="&amp;'Tong_hop'!$C$4,T_GD[Ngày giao dịch sàn],"&lt;"&amp;'Tong_hop'!$F$4)-SUMIFS(T_Chuyen[Tiền trừ số dư],T_Chuyen[Sàn],A95,T_Chuyen[Shop],B95,T_Chuyen[Ngày trừ số dư],"&gt;="&amp;'Tong_hop'!$C$4,T_Chuyen[Ngày trừ số dư],"&lt;"&amp;'Tong_hop'!$F$4)))</x:f>
      </x:c>
      <x:c r="AA95" s="27" t="str">
        <x:f>IF(P95="","",IF(AC95&gt;0,"n.a.",SUMIFS(T_Chuyen[Còn đang chuyển],T_Chuyen[Sàn],A95,T_Chuyen[Shop],B95)))</x:f>
      </x:c>
      <x:c r="AB95" s="27" t="str">
        <x:f>IF(P95="","",IF(AC95&gt;0,"n.a.",SUMIFS(T_Chuyen[Tiền trừ số dư],T_Chuyen[Sàn],A95,T_Chuyen[Shop],B95,T_Chuyen[Ngày trừ số dư],"&gt;="&amp;'Tong_hop'!$C$4,T_Chuyen[Ngày trừ số dư],"&lt;"&amp;'Tong_hop'!$F$4)))</x:f>
      </x:c>
      <x:c r="AC95" s="28" t="str">
        <x:f>IF(P95="","",IF(R95="",0,1)+COUNTIFS(T_Don[Sàn],A95,T_Don[Shop],B95,T_Don[Kiểm tra dữ liệu],"?*")+COUNTIFS(T_GD[Sàn],A95,T_GD[Shop],B95,T_GD[Kiểm tra dữ liệu],"?*")+COUNTIFS(T_Chuyen[Sàn],A95,T_Chuyen[Shop],B95,T_Chuyen[Kiểm tra dữ liệu],"?*")+COUNTIFS(T_NH[Sàn],A95,T_NH[Shop],B95,T_NH[Kiểm tra dữ liệu],"?*"))</x:f>
      </x:c>
    </x:row>
    <x:row r="96" ht="22" customHeight="1">
      <x:c r="A96" s="10"/>
      <x:c r="B96" s="10"/>
      <x:c r="C96" s="25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10"/>
      <x:c r="O96" s="10"/>
      <x:c r="P96" s="23" t="str">
        <x:f>IF(AND(A96="",B96=""),"",A96&amp;"|"&amp;B96)</x:f>
      </x:c>
      <x:c r="Q96" s="27" t="str">
        <x:f>IF(P96="","",IF(COUNT(F96:J96)=5,SUM(F96:J96),"n.a."))</x:f>
      </x:c>
      <x:c r="R96" s="23" t="str">
        <x:f>IF(COUNTA(A96:O96)=0,"",IF(OR(NOT(OR(A96="TikTok Shop",A96="Shopee",A96="Lazada")),B96="",NOT(ISNUMBER(C96)),COUNT(D96:M96)&lt;&gt;10),"Thiếu/sai số dư",IF(C96&lt;&gt;'Tong_hop'!$F$4-1,"Sai ngày chốt",IF(COUNTIFS(T_SoDu[Khóa shop],P96)&lt;&gt;1,"Trùng shop",IF(AND(N96&lt;&gt;"Đã đủ",N96&lt;&gt;"Chưa"),"Thiếu xác nhận nguồn","")))))</x:f>
      </x:c>
      <x:c r="S96" s="27" t="str">
        <x:f>IF(P96="","",IF(AC96&gt;0,"n.a.",SUMIFS(T_Don[Phải thu gộp],T_Don[Sàn],A96,T_Don[Shop],B96,T_Don[Ngày ghi nhận bán],"&gt;="&amp;'Tong_hop'!$C$4,T_Don[Ngày ghi nhận bán],"&lt;"&amp;'Tong_hop'!$F$4)))</x:f>
      </x:c>
      <x:c r="T96" s="27" t="str">
        <x:f>IF(P96="","",IF(AC96&gt;0,"n.a.",SUMIFS(T_GD[Hoàn tiền shop chịu],T_GD[Sàn],A96,T_GD[Shop],B96,T_GD[Ngày giao dịch sàn],"&gt;="&amp;'Tong_hop'!$C$4,T_GD[Ngày giao dịch sàn],"&lt;"&amp;'Tong_hop'!$F$4)))</x:f>
      </x:c>
      <x:c r="U96" s="27" t="str">
        <x:f>IF(P96="","",IF(AC96&gt;0,"n.a.",SUMIFS(T_GD[Phí sàn cấn trừ],T_GD[Sàn],A96,T_GD[Shop],B96,T_GD[Ngày giao dịch sàn],"&gt;="&amp;'Tong_hop'!$C$4,T_GD[Ngày giao dịch sàn],"&lt;"&amp;'Tong_hop'!$F$4)+SUMIFS(T_GD[Ship shop chịu],T_GD[Sàn],A96,T_GD[Shop],B96,T_GD[Ngày giao dịch sàn],"&gt;="&amp;'Tong_hop'!$C$4,T_GD[Ngày giao dịch sàn],"&lt;"&amp;'Tong_hop'!$F$4)+SUMIFS(T_Chuyen[Phí chuyển đã xác nhận],T_Chuyen[Sàn],A96,T_Chuyen[Shop],B96,T_Chuyen[Ngày trừ số dư],"&gt;="&amp;'Tong_hop'!$C$4,T_Chuyen[Ngày trừ số dư],"&lt;"&amp;'Tong_hop'!$F$4)))</x:f>
      </x:c>
      <x:c r="V96" s="27" t="str">
        <x:f>IF(P96="","",IF(AC96&gt;0,"n.a.",SUMIFS(T_GD[Điều chỉnh khác +/-],T_GD[Sàn],A96,T_GD[Shop],B96,T_GD[Ngày giao dịch sàn],"&gt;="&amp;'Tong_hop'!$C$4,T_GD[Ngày giao dịch sàn],"&lt;"&amp;'Tong_hop'!$F$4)+SUMIFS(T_GD[Nạp vào số dư],T_GD[Sàn],A96,T_GD[Shop],B96,T_GD[Ngày giao dịch sàn],"&gt;="&amp;'Tong_hop'!$C$4,T_GD[Ngày giao dịch sàn],"&lt;"&amp;'Tong_hop'!$F$4)))</x:f>
      </x:c>
      <x:c r="W96" s="27" t="str">
        <x:f>IF(P96="","",IF(AC96&gt;0,"n.a.",SUMIFS(T_NH[Tiền thực nhận],T_NH[Sàn],A96,T_NH[Shop],B96,T_NH[Ngày báo Có],"&gt;="&amp;'Tong_hop'!$C$4,T_NH[Ngày báo Có],"&lt;"&amp;'Tong_hop'!$F$4)))</x:f>
      </x:c>
      <x:c r="X96" s="27" t="str">
        <x:f>IF(P96="","",IF(AC96&gt;0,"n.a.",D96+S96-T96-U96+V96-W96))</x:f>
      </x:c>
      <x:c r="Y96" s="27" t="str">
        <x:f>IF(P96="","",IF(AC96&gt;0,"n.a.",SUMIFS(T_GD[Thực ghi số dư +/-],T_GD[Sàn],A96,T_GD[Shop],B96,T_GD[Ngày giao dịch sàn],"&gt;="&amp;'Tong_hop'!$C$4,T_GD[Ngày giao dịch sàn],"&lt;"&amp;'Tong_hop'!$F$4,T_GD[Nhóm giao dịch],"Quyết toán")))</x:f>
      </x:c>
      <x:c r="Z96" s="27" t="str">
        <x:f>IF(P96="","",IF(AC96&gt;0,"n.a.",E96+SUMIFS(T_GD[Thực ghi số dư +/-],T_GD[Sàn],A96,T_GD[Shop],B96,T_GD[Ngày giao dịch sàn],"&gt;="&amp;'Tong_hop'!$C$4,T_GD[Ngày giao dịch sàn],"&lt;"&amp;'Tong_hop'!$F$4)-SUMIFS(T_Chuyen[Tiền trừ số dư],T_Chuyen[Sàn],A96,T_Chuyen[Shop],B96,T_Chuyen[Ngày trừ số dư],"&gt;="&amp;'Tong_hop'!$C$4,T_Chuyen[Ngày trừ số dư],"&lt;"&amp;'Tong_hop'!$F$4)))</x:f>
      </x:c>
      <x:c r="AA96" s="27" t="str">
        <x:f>IF(P96="","",IF(AC96&gt;0,"n.a.",SUMIFS(T_Chuyen[Còn đang chuyển],T_Chuyen[Sàn],A96,T_Chuyen[Shop],B96)))</x:f>
      </x:c>
      <x:c r="AB96" s="27" t="str">
        <x:f>IF(P96="","",IF(AC96&gt;0,"n.a.",SUMIFS(T_Chuyen[Tiền trừ số dư],T_Chuyen[Sàn],A96,T_Chuyen[Shop],B96,T_Chuyen[Ngày trừ số dư],"&gt;="&amp;'Tong_hop'!$C$4,T_Chuyen[Ngày trừ số dư],"&lt;"&amp;'Tong_hop'!$F$4)))</x:f>
      </x:c>
      <x:c r="AC96" s="28" t="str">
        <x:f>IF(P96="","",IF(R96="",0,1)+COUNTIFS(T_Don[Sàn],A96,T_Don[Shop],B96,T_Don[Kiểm tra dữ liệu],"?*")+COUNTIFS(T_GD[Sàn],A96,T_GD[Shop],B96,T_GD[Kiểm tra dữ liệu],"?*")+COUNTIFS(T_Chuyen[Sàn],A96,T_Chuyen[Shop],B96,T_Chuyen[Kiểm tra dữ liệu],"?*")+COUNTIFS(T_NH[Sàn],A96,T_NH[Shop],B96,T_NH[Kiểm tra dữ liệu],"?*"))</x:f>
      </x:c>
    </x:row>
    <x:row r="97" ht="22" customHeight="1">
      <x:c r="A97" s="10"/>
      <x:c r="B97" s="10"/>
      <x:c r="C97" s="25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10"/>
      <x:c r="O97" s="10"/>
      <x:c r="P97" s="23" t="str">
        <x:f>IF(AND(A97="",B97=""),"",A97&amp;"|"&amp;B97)</x:f>
      </x:c>
      <x:c r="Q97" s="27" t="str">
        <x:f>IF(P97="","",IF(COUNT(F97:J97)=5,SUM(F97:J97),"n.a."))</x:f>
      </x:c>
      <x:c r="R97" s="23" t="str">
        <x:f>IF(COUNTA(A97:O97)=0,"",IF(OR(NOT(OR(A97="TikTok Shop",A97="Shopee",A97="Lazada")),B97="",NOT(ISNUMBER(C97)),COUNT(D97:M97)&lt;&gt;10),"Thiếu/sai số dư",IF(C97&lt;&gt;'Tong_hop'!$F$4-1,"Sai ngày chốt",IF(COUNTIFS(T_SoDu[Khóa shop],P97)&lt;&gt;1,"Trùng shop",IF(AND(N97&lt;&gt;"Đã đủ",N97&lt;&gt;"Chưa"),"Thiếu xác nhận nguồn","")))))</x:f>
      </x:c>
      <x:c r="S97" s="27" t="str">
        <x:f>IF(P97="","",IF(AC97&gt;0,"n.a.",SUMIFS(T_Don[Phải thu gộp],T_Don[Sàn],A97,T_Don[Shop],B97,T_Don[Ngày ghi nhận bán],"&gt;="&amp;'Tong_hop'!$C$4,T_Don[Ngày ghi nhận bán],"&lt;"&amp;'Tong_hop'!$F$4)))</x:f>
      </x:c>
      <x:c r="T97" s="27" t="str">
        <x:f>IF(P97="","",IF(AC97&gt;0,"n.a.",SUMIFS(T_GD[Hoàn tiền shop chịu],T_GD[Sàn],A97,T_GD[Shop],B97,T_GD[Ngày giao dịch sàn],"&gt;="&amp;'Tong_hop'!$C$4,T_GD[Ngày giao dịch sàn],"&lt;"&amp;'Tong_hop'!$F$4)))</x:f>
      </x:c>
      <x:c r="U97" s="27" t="str">
        <x:f>IF(P97="","",IF(AC97&gt;0,"n.a.",SUMIFS(T_GD[Phí sàn cấn trừ],T_GD[Sàn],A97,T_GD[Shop],B97,T_GD[Ngày giao dịch sàn],"&gt;="&amp;'Tong_hop'!$C$4,T_GD[Ngày giao dịch sàn],"&lt;"&amp;'Tong_hop'!$F$4)+SUMIFS(T_GD[Ship shop chịu],T_GD[Sàn],A97,T_GD[Shop],B97,T_GD[Ngày giao dịch sàn],"&gt;="&amp;'Tong_hop'!$C$4,T_GD[Ngày giao dịch sàn],"&lt;"&amp;'Tong_hop'!$F$4)+SUMIFS(T_Chuyen[Phí chuyển đã xác nhận],T_Chuyen[Sàn],A97,T_Chuyen[Shop],B97,T_Chuyen[Ngày trừ số dư],"&gt;="&amp;'Tong_hop'!$C$4,T_Chuyen[Ngày trừ số dư],"&lt;"&amp;'Tong_hop'!$F$4)))</x:f>
      </x:c>
      <x:c r="V97" s="27" t="str">
        <x:f>IF(P97="","",IF(AC97&gt;0,"n.a.",SUMIFS(T_GD[Điều chỉnh khác +/-],T_GD[Sàn],A97,T_GD[Shop],B97,T_GD[Ngày giao dịch sàn],"&gt;="&amp;'Tong_hop'!$C$4,T_GD[Ngày giao dịch sàn],"&lt;"&amp;'Tong_hop'!$F$4)+SUMIFS(T_GD[Nạp vào số dư],T_GD[Sàn],A97,T_GD[Shop],B97,T_GD[Ngày giao dịch sàn],"&gt;="&amp;'Tong_hop'!$C$4,T_GD[Ngày giao dịch sàn],"&lt;"&amp;'Tong_hop'!$F$4)))</x:f>
      </x:c>
      <x:c r="W97" s="27" t="str">
        <x:f>IF(P97="","",IF(AC97&gt;0,"n.a.",SUMIFS(T_NH[Tiền thực nhận],T_NH[Sàn],A97,T_NH[Shop],B97,T_NH[Ngày báo Có],"&gt;="&amp;'Tong_hop'!$C$4,T_NH[Ngày báo Có],"&lt;"&amp;'Tong_hop'!$F$4)))</x:f>
      </x:c>
      <x:c r="X97" s="27" t="str">
        <x:f>IF(P97="","",IF(AC97&gt;0,"n.a.",D97+S97-T97-U97+V97-W97))</x:f>
      </x:c>
      <x:c r="Y97" s="27" t="str">
        <x:f>IF(P97="","",IF(AC97&gt;0,"n.a.",SUMIFS(T_GD[Thực ghi số dư +/-],T_GD[Sàn],A97,T_GD[Shop],B97,T_GD[Ngày giao dịch sàn],"&gt;="&amp;'Tong_hop'!$C$4,T_GD[Ngày giao dịch sàn],"&lt;"&amp;'Tong_hop'!$F$4,T_GD[Nhóm giao dịch],"Quyết toán")))</x:f>
      </x:c>
      <x:c r="Z97" s="27" t="str">
        <x:f>IF(P97="","",IF(AC97&gt;0,"n.a.",E97+SUMIFS(T_GD[Thực ghi số dư +/-],T_GD[Sàn],A97,T_GD[Shop],B97,T_GD[Ngày giao dịch sàn],"&gt;="&amp;'Tong_hop'!$C$4,T_GD[Ngày giao dịch sàn],"&lt;"&amp;'Tong_hop'!$F$4)-SUMIFS(T_Chuyen[Tiền trừ số dư],T_Chuyen[Sàn],A97,T_Chuyen[Shop],B97,T_Chuyen[Ngày trừ số dư],"&gt;="&amp;'Tong_hop'!$C$4,T_Chuyen[Ngày trừ số dư],"&lt;"&amp;'Tong_hop'!$F$4)))</x:f>
      </x:c>
      <x:c r="AA97" s="27" t="str">
        <x:f>IF(P97="","",IF(AC97&gt;0,"n.a.",SUMIFS(T_Chuyen[Còn đang chuyển],T_Chuyen[Sàn],A97,T_Chuyen[Shop],B97)))</x:f>
      </x:c>
      <x:c r="AB97" s="27" t="str">
        <x:f>IF(P97="","",IF(AC97&gt;0,"n.a.",SUMIFS(T_Chuyen[Tiền trừ số dư],T_Chuyen[Sàn],A97,T_Chuyen[Shop],B97,T_Chuyen[Ngày trừ số dư],"&gt;="&amp;'Tong_hop'!$C$4,T_Chuyen[Ngày trừ số dư],"&lt;"&amp;'Tong_hop'!$F$4)))</x:f>
      </x:c>
      <x:c r="AC97" s="28" t="str">
        <x:f>IF(P97="","",IF(R97="",0,1)+COUNTIFS(T_Don[Sàn],A97,T_Don[Shop],B97,T_Don[Kiểm tra dữ liệu],"?*")+COUNTIFS(T_GD[Sàn],A97,T_GD[Shop],B97,T_GD[Kiểm tra dữ liệu],"?*")+COUNTIFS(T_Chuyen[Sàn],A97,T_Chuyen[Shop],B97,T_Chuyen[Kiểm tra dữ liệu],"?*")+COUNTIFS(T_NH[Sàn],A97,T_NH[Shop],B97,T_NH[Kiểm tra dữ liệu],"?*"))</x:f>
      </x:c>
    </x:row>
    <x:row r="98" ht="22" customHeight="1">
      <x:c r="A98" s="10"/>
      <x:c r="B98" s="10"/>
      <x:c r="C98" s="25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10"/>
      <x:c r="O98" s="10"/>
      <x:c r="P98" s="23" t="str">
        <x:f>IF(AND(A98="",B98=""),"",A98&amp;"|"&amp;B98)</x:f>
      </x:c>
      <x:c r="Q98" s="27" t="str">
        <x:f>IF(P98="","",IF(COUNT(F98:J98)=5,SUM(F98:J98),"n.a."))</x:f>
      </x:c>
      <x:c r="R98" s="23" t="str">
        <x:f>IF(COUNTA(A98:O98)=0,"",IF(OR(NOT(OR(A98="TikTok Shop",A98="Shopee",A98="Lazada")),B98="",NOT(ISNUMBER(C98)),COUNT(D98:M98)&lt;&gt;10),"Thiếu/sai số dư",IF(C98&lt;&gt;'Tong_hop'!$F$4-1,"Sai ngày chốt",IF(COUNTIFS(T_SoDu[Khóa shop],P98)&lt;&gt;1,"Trùng shop",IF(AND(N98&lt;&gt;"Đã đủ",N98&lt;&gt;"Chưa"),"Thiếu xác nhận nguồn","")))))</x:f>
      </x:c>
      <x:c r="S98" s="27" t="str">
        <x:f>IF(P98="","",IF(AC98&gt;0,"n.a.",SUMIFS(T_Don[Phải thu gộp],T_Don[Sàn],A98,T_Don[Shop],B98,T_Don[Ngày ghi nhận bán],"&gt;="&amp;'Tong_hop'!$C$4,T_Don[Ngày ghi nhận bán],"&lt;"&amp;'Tong_hop'!$F$4)))</x:f>
      </x:c>
      <x:c r="T98" s="27" t="str">
        <x:f>IF(P98="","",IF(AC98&gt;0,"n.a.",SUMIFS(T_GD[Hoàn tiền shop chịu],T_GD[Sàn],A98,T_GD[Shop],B98,T_GD[Ngày giao dịch sàn],"&gt;="&amp;'Tong_hop'!$C$4,T_GD[Ngày giao dịch sàn],"&lt;"&amp;'Tong_hop'!$F$4)))</x:f>
      </x:c>
      <x:c r="U98" s="27" t="str">
        <x:f>IF(P98="","",IF(AC98&gt;0,"n.a.",SUMIFS(T_GD[Phí sàn cấn trừ],T_GD[Sàn],A98,T_GD[Shop],B98,T_GD[Ngày giao dịch sàn],"&gt;="&amp;'Tong_hop'!$C$4,T_GD[Ngày giao dịch sàn],"&lt;"&amp;'Tong_hop'!$F$4)+SUMIFS(T_GD[Ship shop chịu],T_GD[Sàn],A98,T_GD[Shop],B98,T_GD[Ngày giao dịch sàn],"&gt;="&amp;'Tong_hop'!$C$4,T_GD[Ngày giao dịch sàn],"&lt;"&amp;'Tong_hop'!$F$4)+SUMIFS(T_Chuyen[Phí chuyển đã xác nhận],T_Chuyen[Sàn],A98,T_Chuyen[Shop],B98,T_Chuyen[Ngày trừ số dư],"&gt;="&amp;'Tong_hop'!$C$4,T_Chuyen[Ngày trừ số dư],"&lt;"&amp;'Tong_hop'!$F$4)))</x:f>
      </x:c>
      <x:c r="V98" s="27" t="str">
        <x:f>IF(P98="","",IF(AC98&gt;0,"n.a.",SUMIFS(T_GD[Điều chỉnh khác +/-],T_GD[Sàn],A98,T_GD[Shop],B98,T_GD[Ngày giao dịch sàn],"&gt;="&amp;'Tong_hop'!$C$4,T_GD[Ngày giao dịch sàn],"&lt;"&amp;'Tong_hop'!$F$4)+SUMIFS(T_GD[Nạp vào số dư],T_GD[Sàn],A98,T_GD[Shop],B98,T_GD[Ngày giao dịch sàn],"&gt;="&amp;'Tong_hop'!$C$4,T_GD[Ngày giao dịch sàn],"&lt;"&amp;'Tong_hop'!$F$4)))</x:f>
      </x:c>
      <x:c r="W98" s="27" t="str">
        <x:f>IF(P98="","",IF(AC98&gt;0,"n.a.",SUMIFS(T_NH[Tiền thực nhận],T_NH[Sàn],A98,T_NH[Shop],B98,T_NH[Ngày báo Có],"&gt;="&amp;'Tong_hop'!$C$4,T_NH[Ngày báo Có],"&lt;"&amp;'Tong_hop'!$F$4)))</x:f>
      </x:c>
      <x:c r="X98" s="27" t="str">
        <x:f>IF(P98="","",IF(AC98&gt;0,"n.a.",D98+S98-T98-U98+V98-W98))</x:f>
      </x:c>
      <x:c r="Y98" s="27" t="str">
        <x:f>IF(P98="","",IF(AC98&gt;0,"n.a.",SUMIFS(T_GD[Thực ghi số dư +/-],T_GD[Sàn],A98,T_GD[Shop],B98,T_GD[Ngày giao dịch sàn],"&gt;="&amp;'Tong_hop'!$C$4,T_GD[Ngày giao dịch sàn],"&lt;"&amp;'Tong_hop'!$F$4,T_GD[Nhóm giao dịch],"Quyết toán")))</x:f>
      </x:c>
      <x:c r="Z98" s="27" t="str">
        <x:f>IF(P98="","",IF(AC98&gt;0,"n.a.",E98+SUMIFS(T_GD[Thực ghi số dư +/-],T_GD[Sàn],A98,T_GD[Shop],B98,T_GD[Ngày giao dịch sàn],"&gt;="&amp;'Tong_hop'!$C$4,T_GD[Ngày giao dịch sàn],"&lt;"&amp;'Tong_hop'!$F$4)-SUMIFS(T_Chuyen[Tiền trừ số dư],T_Chuyen[Sàn],A98,T_Chuyen[Shop],B98,T_Chuyen[Ngày trừ số dư],"&gt;="&amp;'Tong_hop'!$C$4,T_Chuyen[Ngày trừ số dư],"&lt;"&amp;'Tong_hop'!$F$4)))</x:f>
      </x:c>
      <x:c r="AA98" s="27" t="str">
        <x:f>IF(P98="","",IF(AC98&gt;0,"n.a.",SUMIFS(T_Chuyen[Còn đang chuyển],T_Chuyen[Sàn],A98,T_Chuyen[Shop],B98)))</x:f>
      </x:c>
      <x:c r="AB98" s="27" t="str">
        <x:f>IF(P98="","",IF(AC98&gt;0,"n.a.",SUMIFS(T_Chuyen[Tiền trừ số dư],T_Chuyen[Sàn],A98,T_Chuyen[Shop],B98,T_Chuyen[Ngày trừ số dư],"&gt;="&amp;'Tong_hop'!$C$4,T_Chuyen[Ngày trừ số dư],"&lt;"&amp;'Tong_hop'!$F$4)))</x:f>
      </x:c>
      <x:c r="AC98" s="28" t="str">
        <x:f>IF(P98="","",IF(R98="",0,1)+COUNTIFS(T_Don[Sàn],A98,T_Don[Shop],B98,T_Don[Kiểm tra dữ liệu],"?*")+COUNTIFS(T_GD[Sàn],A98,T_GD[Shop],B98,T_GD[Kiểm tra dữ liệu],"?*")+COUNTIFS(T_Chuyen[Sàn],A98,T_Chuyen[Shop],B98,T_Chuyen[Kiểm tra dữ liệu],"?*")+COUNTIFS(T_NH[Sàn],A98,T_NH[Shop],B98,T_NH[Kiểm tra dữ liệu],"?*"))</x:f>
      </x:c>
    </x:row>
    <x:row r="99" ht="22" customHeight="1">
      <x:c r="A99" s="10"/>
      <x:c r="B99" s="10"/>
      <x:c r="C99" s="25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10"/>
      <x:c r="O99" s="10"/>
      <x:c r="P99" s="23" t="str">
        <x:f>IF(AND(A99="",B99=""),"",A99&amp;"|"&amp;B99)</x:f>
      </x:c>
      <x:c r="Q99" s="27" t="str">
        <x:f>IF(P99="","",IF(COUNT(F99:J99)=5,SUM(F99:J99),"n.a."))</x:f>
      </x:c>
      <x:c r="R99" s="23" t="str">
        <x:f>IF(COUNTA(A99:O99)=0,"",IF(OR(NOT(OR(A99="TikTok Shop",A99="Shopee",A99="Lazada")),B99="",NOT(ISNUMBER(C99)),COUNT(D99:M99)&lt;&gt;10),"Thiếu/sai số dư",IF(C99&lt;&gt;'Tong_hop'!$F$4-1,"Sai ngày chốt",IF(COUNTIFS(T_SoDu[Khóa shop],P99)&lt;&gt;1,"Trùng shop",IF(AND(N99&lt;&gt;"Đã đủ",N99&lt;&gt;"Chưa"),"Thiếu xác nhận nguồn","")))))</x:f>
      </x:c>
      <x:c r="S99" s="27" t="str">
        <x:f>IF(P99="","",IF(AC99&gt;0,"n.a.",SUMIFS(T_Don[Phải thu gộp],T_Don[Sàn],A99,T_Don[Shop],B99,T_Don[Ngày ghi nhận bán],"&gt;="&amp;'Tong_hop'!$C$4,T_Don[Ngày ghi nhận bán],"&lt;"&amp;'Tong_hop'!$F$4)))</x:f>
      </x:c>
      <x:c r="T99" s="27" t="str">
        <x:f>IF(P99="","",IF(AC99&gt;0,"n.a.",SUMIFS(T_GD[Hoàn tiền shop chịu],T_GD[Sàn],A99,T_GD[Shop],B99,T_GD[Ngày giao dịch sàn],"&gt;="&amp;'Tong_hop'!$C$4,T_GD[Ngày giao dịch sàn],"&lt;"&amp;'Tong_hop'!$F$4)))</x:f>
      </x:c>
      <x:c r="U99" s="27" t="str">
        <x:f>IF(P99="","",IF(AC99&gt;0,"n.a.",SUMIFS(T_GD[Phí sàn cấn trừ],T_GD[Sàn],A99,T_GD[Shop],B99,T_GD[Ngày giao dịch sàn],"&gt;="&amp;'Tong_hop'!$C$4,T_GD[Ngày giao dịch sàn],"&lt;"&amp;'Tong_hop'!$F$4)+SUMIFS(T_GD[Ship shop chịu],T_GD[Sàn],A99,T_GD[Shop],B99,T_GD[Ngày giao dịch sàn],"&gt;="&amp;'Tong_hop'!$C$4,T_GD[Ngày giao dịch sàn],"&lt;"&amp;'Tong_hop'!$F$4)+SUMIFS(T_Chuyen[Phí chuyển đã xác nhận],T_Chuyen[Sàn],A99,T_Chuyen[Shop],B99,T_Chuyen[Ngày trừ số dư],"&gt;="&amp;'Tong_hop'!$C$4,T_Chuyen[Ngày trừ số dư],"&lt;"&amp;'Tong_hop'!$F$4)))</x:f>
      </x:c>
      <x:c r="V99" s="27" t="str">
        <x:f>IF(P99="","",IF(AC99&gt;0,"n.a.",SUMIFS(T_GD[Điều chỉnh khác +/-],T_GD[Sàn],A99,T_GD[Shop],B99,T_GD[Ngày giao dịch sàn],"&gt;="&amp;'Tong_hop'!$C$4,T_GD[Ngày giao dịch sàn],"&lt;"&amp;'Tong_hop'!$F$4)+SUMIFS(T_GD[Nạp vào số dư],T_GD[Sàn],A99,T_GD[Shop],B99,T_GD[Ngày giao dịch sàn],"&gt;="&amp;'Tong_hop'!$C$4,T_GD[Ngày giao dịch sàn],"&lt;"&amp;'Tong_hop'!$F$4)))</x:f>
      </x:c>
      <x:c r="W99" s="27" t="str">
        <x:f>IF(P99="","",IF(AC99&gt;0,"n.a.",SUMIFS(T_NH[Tiền thực nhận],T_NH[Sàn],A99,T_NH[Shop],B99,T_NH[Ngày báo Có],"&gt;="&amp;'Tong_hop'!$C$4,T_NH[Ngày báo Có],"&lt;"&amp;'Tong_hop'!$F$4)))</x:f>
      </x:c>
      <x:c r="X99" s="27" t="str">
        <x:f>IF(P99="","",IF(AC99&gt;0,"n.a.",D99+S99-T99-U99+V99-W99))</x:f>
      </x:c>
      <x:c r="Y99" s="27" t="str">
        <x:f>IF(P99="","",IF(AC99&gt;0,"n.a.",SUMIFS(T_GD[Thực ghi số dư +/-],T_GD[Sàn],A99,T_GD[Shop],B99,T_GD[Ngày giao dịch sàn],"&gt;="&amp;'Tong_hop'!$C$4,T_GD[Ngày giao dịch sàn],"&lt;"&amp;'Tong_hop'!$F$4,T_GD[Nhóm giao dịch],"Quyết toán")))</x:f>
      </x:c>
      <x:c r="Z99" s="27" t="str">
        <x:f>IF(P99="","",IF(AC99&gt;0,"n.a.",E99+SUMIFS(T_GD[Thực ghi số dư +/-],T_GD[Sàn],A99,T_GD[Shop],B99,T_GD[Ngày giao dịch sàn],"&gt;="&amp;'Tong_hop'!$C$4,T_GD[Ngày giao dịch sàn],"&lt;"&amp;'Tong_hop'!$F$4)-SUMIFS(T_Chuyen[Tiền trừ số dư],T_Chuyen[Sàn],A99,T_Chuyen[Shop],B99,T_Chuyen[Ngày trừ số dư],"&gt;="&amp;'Tong_hop'!$C$4,T_Chuyen[Ngày trừ số dư],"&lt;"&amp;'Tong_hop'!$F$4)))</x:f>
      </x:c>
      <x:c r="AA99" s="27" t="str">
        <x:f>IF(P99="","",IF(AC99&gt;0,"n.a.",SUMIFS(T_Chuyen[Còn đang chuyển],T_Chuyen[Sàn],A99,T_Chuyen[Shop],B99)))</x:f>
      </x:c>
      <x:c r="AB99" s="27" t="str">
        <x:f>IF(P99="","",IF(AC99&gt;0,"n.a.",SUMIFS(T_Chuyen[Tiền trừ số dư],T_Chuyen[Sàn],A99,T_Chuyen[Shop],B99,T_Chuyen[Ngày trừ số dư],"&gt;="&amp;'Tong_hop'!$C$4,T_Chuyen[Ngày trừ số dư],"&lt;"&amp;'Tong_hop'!$F$4)))</x:f>
      </x:c>
      <x:c r="AC99" s="28" t="str">
        <x:f>IF(P99="","",IF(R99="",0,1)+COUNTIFS(T_Don[Sàn],A99,T_Don[Shop],B99,T_Don[Kiểm tra dữ liệu],"?*")+COUNTIFS(T_GD[Sàn],A99,T_GD[Shop],B99,T_GD[Kiểm tra dữ liệu],"?*")+COUNTIFS(T_Chuyen[Sàn],A99,T_Chuyen[Shop],B99,T_Chuyen[Kiểm tra dữ liệu],"?*")+COUNTIFS(T_NH[Sàn],A99,T_NH[Shop],B99,T_NH[Kiểm tra dữ liệu],"?*"))</x:f>
      </x:c>
    </x:row>
    <x:row r="100" ht="22" customHeight="1">
      <x:c r="A100" s="10"/>
      <x:c r="B100" s="10"/>
      <x:c r="C100" s="25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10"/>
      <x:c r="O100" s="10"/>
      <x:c r="P100" s="23" t="str">
        <x:f>IF(AND(A100="",B100=""),"",A100&amp;"|"&amp;B100)</x:f>
      </x:c>
      <x:c r="Q100" s="27" t="str">
        <x:f>IF(P100="","",IF(COUNT(F100:J100)=5,SUM(F100:J100),"n.a."))</x:f>
      </x:c>
      <x:c r="R100" s="23" t="str">
        <x:f>IF(COUNTA(A100:O100)=0,"",IF(OR(NOT(OR(A100="TikTok Shop",A100="Shopee",A100="Lazada")),B100="",NOT(ISNUMBER(C100)),COUNT(D100:M100)&lt;&gt;10),"Thiếu/sai số dư",IF(C100&lt;&gt;'Tong_hop'!$F$4-1,"Sai ngày chốt",IF(COUNTIFS(T_SoDu[Khóa shop],P100)&lt;&gt;1,"Trùng shop",IF(AND(N100&lt;&gt;"Đã đủ",N100&lt;&gt;"Chưa"),"Thiếu xác nhận nguồn","")))))</x:f>
      </x:c>
      <x:c r="S100" s="27" t="str">
        <x:f>IF(P100="","",IF(AC100&gt;0,"n.a.",SUMIFS(T_Don[Phải thu gộp],T_Don[Sàn],A100,T_Don[Shop],B100,T_Don[Ngày ghi nhận bán],"&gt;="&amp;'Tong_hop'!$C$4,T_Don[Ngày ghi nhận bán],"&lt;"&amp;'Tong_hop'!$F$4)))</x:f>
      </x:c>
      <x:c r="T100" s="27" t="str">
        <x:f>IF(P100="","",IF(AC100&gt;0,"n.a.",SUMIFS(T_GD[Hoàn tiền shop chịu],T_GD[Sàn],A100,T_GD[Shop],B100,T_GD[Ngày giao dịch sàn],"&gt;="&amp;'Tong_hop'!$C$4,T_GD[Ngày giao dịch sàn],"&lt;"&amp;'Tong_hop'!$F$4)))</x:f>
      </x:c>
      <x:c r="U100" s="27" t="str">
        <x:f>IF(P100="","",IF(AC100&gt;0,"n.a.",SUMIFS(T_GD[Phí sàn cấn trừ],T_GD[Sàn],A100,T_GD[Shop],B100,T_GD[Ngày giao dịch sàn],"&gt;="&amp;'Tong_hop'!$C$4,T_GD[Ngày giao dịch sàn],"&lt;"&amp;'Tong_hop'!$F$4)+SUMIFS(T_GD[Ship shop chịu],T_GD[Sàn],A100,T_GD[Shop],B100,T_GD[Ngày giao dịch sàn],"&gt;="&amp;'Tong_hop'!$C$4,T_GD[Ngày giao dịch sàn],"&lt;"&amp;'Tong_hop'!$F$4)+SUMIFS(T_Chuyen[Phí chuyển đã xác nhận],T_Chuyen[Sàn],A100,T_Chuyen[Shop],B100,T_Chuyen[Ngày trừ số dư],"&gt;="&amp;'Tong_hop'!$C$4,T_Chuyen[Ngày trừ số dư],"&lt;"&amp;'Tong_hop'!$F$4)))</x:f>
      </x:c>
      <x:c r="V100" s="27" t="str">
        <x:f>IF(P100="","",IF(AC100&gt;0,"n.a.",SUMIFS(T_GD[Điều chỉnh khác +/-],T_GD[Sàn],A100,T_GD[Shop],B100,T_GD[Ngày giao dịch sàn],"&gt;="&amp;'Tong_hop'!$C$4,T_GD[Ngày giao dịch sàn],"&lt;"&amp;'Tong_hop'!$F$4)+SUMIFS(T_GD[Nạp vào số dư],T_GD[Sàn],A100,T_GD[Shop],B100,T_GD[Ngày giao dịch sàn],"&gt;="&amp;'Tong_hop'!$C$4,T_GD[Ngày giao dịch sàn],"&lt;"&amp;'Tong_hop'!$F$4)))</x:f>
      </x:c>
      <x:c r="W100" s="27" t="str">
        <x:f>IF(P100="","",IF(AC100&gt;0,"n.a.",SUMIFS(T_NH[Tiền thực nhận],T_NH[Sàn],A100,T_NH[Shop],B100,T_NH[Ngày báo Có],"&gt;="&amp;'Tong_hop'!$C$4,T_NH[Ngày báo Có],"&lt;"&amp;'Tong_hop'!$F$4)))</x:f>
      </x:c>
      <x:c r="X100" s="27" t="str">
        <x:f>IF(P100="","",IF(AC100&gt;0,"n.a.",D100+S100-T100-U100+V100-W100))</x:f>
      </x:c>
      <x:c r="Y100" s="27" t="str">
        <x:f>IF(P100="","",IF(AC100&gt;0,"n.a.",SUMIFS(T_GD[Thực ghi số dư +/-],T_GD[Sàn],A100,T_GD[Shop],B100,T_GD[Ngày giao dịch sàn],"&gt;="&amp;'Tong_hop'!$C$4,T_GD[Ngày giao dịch sàn],"&lt;"&amp;'Tong_hop'!$F$4,T_GD[Nhóm giao dịch],"Quyết toán")))</x:f>
      </x:c>
      <x:c r="Z100" s="27" t="str">
        <x:f>IF(P100="","",IF(AC100&gt;0,"n.a.",E100+SUMIFS(T_GD[Thực ghi số dư +/-],T_GD[Sàn],A100,T_GD[Shop],B100,T_GD[Ngày giao dịch sàn],"&gt;="&amp;'Tong_hop'!$C$4,T_GD[Ngày giao dịch sàn],"&lt;"&amp;'Tong_hop'!$F$4)-SUMIFS(T_Chuyen[Tiền trừ số dư],T_Chuyen[Sàn],A100,T_Chuyen[Shop],B100,T_Chuyen[Ngày trừ số dư],"&gt;="&amp;'Tong_hop'!$C$4,T_Chuyen[Ngày trừ số dư],"&lt;"&amp;'Tong_hop'!$F$4)))</x:f>
      </x:c>
      <x:c r="AA100" s="27" t="str">
        <x:f>IF(P100="","",IF(AC100&gt;0,"n.a.",SUMIFS(T_Chuyen[Còn đang chuyển],T_Chuyen[Sàn],A100,T_Chuyen[Shop],B100)))</x:f>
      </x:c>
      <x:c r="AB100" s="27" t="str">
        <x:f>IF(P100="","",IF(AC100&gt;0,"n.a.",SUMIFS(T_Chuyen[Tiền trừ số dư],T_Chuyen[Sàn],A100,T_Chuyen[Shop],B100,T_Chuyen[Ngày trừ số dư],"&gt;="&amp;'Tong_hop'!$C$4,T_Chuyen[Ngày trừ số dư],"&lt;"&amp;'Tong_hop'!$F$4)))</x:f>
      </x:c>
      <x:c r="AC100" s="28" t="str">
        <x:f>IF(P100="","",IF(R100="",0,1)+COUNTIFS(T_Don[Sàn],A100,T_Don[Shop],B100,T_Don[Kiểm tra dữ liệu],"?*")+COUNTIFS(T_GD[Sàn],A100,T_GD[Shop],B100,T_GD[Kiểm tra dữ liệu],"?*")+COUNTIFS(T_Chuyen[Sàn],A100,T_Chuyen[Shop],B100,T_Chuyen[Kiểm tra dữ liệu],"?*")+COUNTIFS(T_NH[Sàn],A100,T_NH[Shop],B100,T_NH[Kiểm tra dữ liệu],"?*"))</x:f>
      </x:c>
    </x:row>
    <x:row r="101" ht="22" customHeight="1">
      <x:c r="A101" s="10"/>
      <x:c r="B101" s="10"/>
      <x:c r="C101" s="25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10"/>
      <x:c r="O101" s="10"/>
      <x:c r="P101" s="23" t="str">
        <x:f>IF(AND(A101="",B101=""),"",A101&amp;"|"&amp;B101)</x:f>
      </x:c>
      <x:c r="Q101" s="27" t="str">
        <x:f>IF(P101="","",IF(COUNT(F101:J101)=5,SUM(F101:J101),"n.a."))</x:f>
      </x:c>
      <x:c r="R101" s="23" t="str">
        <x:f>IF(COUNTA(A101:O101)=0,"",IF(OR(NOT(OR(A101="TikTok Shop",A101="Shopee",A101="Lazada")),B101="",NOT(ISNUMBER(C101)),COUNT(D101:M101)&lt;&gt;10),"Thiếu/sai số dư",IF(C101&lt;&gt;'Tong_hop'!$F$4-1,"Sai ngày chốt",IF(COUNTIFS(T_SoDu[Khóa shop],P101)&lt;&gt;1,"Trùng shop",IF(AND(N101&lt;&gt;"Đã đủ",N101&lt;&gt;"Chưa"),"Thiếu xác nhận nguồn","")))))</x:f>
      </x:c>
      <x:c r="S101" s="27" t="str">
        <x:f>IF(P101="","",IF(AC101&gt;0,"n.a.",SUMIFS(T_Don[Phải thu gộp],T_Don[Sàn],A101,T_Don[Shop],B101,T_Don[Ngày ghi nhận bán],"&gt;="&amp;'Tong_hop'!$C$4,T_Don[Ngày ghi nhận bán],"&lt;"&amp;'Tong_hop'!$F$4)))</x:f>
      </x:c>
      <x:c r="T101" s="27" t="str">
        <x:f>IF(P101="","",IF(AC101&gt;0,"n.a.",SUMIFS(T_GD[Hoàn tiền shop chịu],T_GD[Sàn],A101,T_GD[Shop],B101,T_GD[Ngày giao dịch sàn],"&gt;="&amp;'Tong_hop'!$C$4,T_GD[Ngày giao dịch sàn],"&lt;"&amp;'Tong_hop'!$F$4)))</x:f>
      </x:c>
      <x:c r="U101" s="27" t="str">
        <x:f>IF(P101="","",IF(AC101&gt;0,"n.a.",SUMIFS(T_GD[Phí sàn cấn trừ],T_GD[Sàn],A101,T_GD[Shop],B101,T_GD[Ngày giao dịch sàn],"&gt;="&amp;'Tong_hop'!$C$4,T_GD[Ngày giao dịch sàn],"&lt;"&amp;'Tong_hop'!$F$4)+SUMIFS(T_GD[Ship shop chịu],T_GD[Sàn],A101,T_GD[Shop],B101,T_GD[Ngày giao dịch sàn],"&gt;="&amp;'Tong_hop'!$C$4,T_GD[Ngày giao dịch sàn],"&lt;"&amp;'Tong_hop'!$F$4)+SUMIFS(T_Chuyen[Phí chuyển đã xác nhận],T_Chuyen[Sàn],A101,T_Chuyen[Shop],B101,T_Chuyen[Ngày trừ số dư],"&gt;="&amp;'Tong_hop'!$C$4,T_Chuyen[Ngày trừ số dư],"&lt;"&amp;'Tong_hop'!$F$4)))</x:f>
      </x:c>
      <x:c r="V101" s="27" t="str">
        <x:f>IF(P101="","",IF(AC101&gt;0,"n.a.",SUMIFS(T_GD[Điều chỉnh khác +/-],T_GD[Sàn],A101,T_GD[Shop],B101,T_GD[Ngày giao dịch sàn],"&gt;="&amp;'Tong_hop'!$C$4,T_GD[Ngày giao dịch sàn],"&lt;"&amp;'Tong_hop'!$F$4)+SUMIFS(T_GD[Nạp vào số dư],T_GD[Sàn],A101,T_GD[Shop],B101,T_GD[Ngày giao dịch sàn],"&gt;="&amp;'Tong_hop'!$C$4,T_GD[Ngày giao dịch sàn],"&lt;"&amp;'Tong_hop'!$F$4)))</x:f>
      </x:c>
      <x:c r="W101" s="27" t="str">
        <x:f>IF(P101="","",IF(AC101&gt;0,"n.a.",SUMIFS(T_NH[Tiền thực nhận],T_NH[Sàn],A101,T_NH[Shop],B101,T_NH[Ngày báo Có],"&gt;="&amp;'Tong_hop'!$C$4,T_NH[Ngày báo Có],"&lt;"&amp;'Tong_hop'!$F$4)))</x:f>
      </x:c>
      <x:c r="X101" s="27" t="str">
        <x:f>IF(P101="","",IF(AC101&gt;0,"n.a.",D101+S101-T101-U101+V101-W101))</x:f>
      </x:c>
      <x:c r="Y101" s="27" t="str">
        <x:f>IF(P101="","",IF(AC101&gt;0,"n.a.",SUMIFS(T_GD[Thực ghi số dư +/-],T_GD[Sàn],A101,T_GD[Shop],B101,T_GD[Ngày giao dịch sàn],"&gt;="&amp;'Tong_hop'!$C$4,T_GD[Ngày giao dịch sàn],"&lt;"&amp;'Tong_hop'!$F$4,T_GD[Nhóm giao dịch],"Quyết toán")))</x:f>
      </x:c>
      <x:c r="Z101" s="27" t="str">
        <x:f>IF(P101="","",IF(AC101&gt;0,"n.a.",E101+SUMIFS(T_GD[Thực ghi số dư +/-],T_GD[Sàn],A101,T_GD[Shop],B101,T_GD[Ngày giao dịch sàn],"&gt;="&amp;'Tong_hop'!$C$4,T_GD[Ngày giao dịch sàn],"&lt;"&amp;'Tong_hop'!$F$4)-SUMIFS(T_Chuyen[Tiền trừ số dư],T_Chuyen[Sàn],A101,T_Chuyen[Shop],B101,T_Chuyen[Ngày trừ số dư],"&gt;="&amp;'Tong_hop'!$C$4,T_Chuyen[Ngày trừ số dư],"&lt;"&amp;'Tong_hop'!$F$4)))</x:f>
      </x:c>
      <x:c r="AA101" s="27" t="str">
        <x:f>IF(P101="","",IF(AC101&gt;0,"n.a.",SUMIFS(T_Chuyen[Còn đang chuyển],T_Chuyen[Sàn],A101,T_Chuyen[Shop],B101)))</x:f>
      </x:c>
      <x:c r="AB101" s="27" t="str">
        <x:f>IF(P101="","",IF(AC101&gt;0,"n.a.",SUMIFS(T_Chuyen[Tiền trừ số dư],T_Chuyen[Sàn],A101,T_Chuyen[Shop],B101,T_Chuyen[Ngày trừ số dư],"&gt;="&amp;'Tong_hop'!$C$4,T_Chuyen[Ngày trừ số dư],"&lt;"&amp;'Tong_hop'!$F$4)))</x:f>
      </x:c>
      <x:c r="AC101" s="28" t="str">
        <x:f>IF(P101="","",IF(R101="",0,1)+COUNTIFS(T_Don[Sàn],A101,T_Don[Shop],B101,T_Don[Kiểm tra dữ liệu],"?*")+COUNTIFS(T_GD[Sàn],A101,T_GD[Shop],B101,T_GD[Kiểm tra dữ liệu],"?*")+COUNTIFS(T_Chuyen[Sàn],A101,T_Chuyen[Shop],B101,T_Chuyen[Kiểm tra dữ liệu],"?*")+COUNTIFS(T_NH[Sàn],A101,T_NH[Shop],B101,T_NH[Kiểm tra dữ liệu],"?*"))</x:f>
      </x:c>
    </x:row>
    <x:row r="102" ht="22" customHeight="1">
      <x:c r="A102" s="10"/>
      <x:c r="B102" s="10"/>
      <x:c r="C102" s="25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10"/>
      <x:c r="O102" s="10"/>
      <x:c r="P102" s="23" t="str">
        <x:f>IF(AND(A102="",B102=""),"",A102&amp;"|"&amp;B102)</x:f>
      </x:c>
      <x:c r="Q102" s="27" t="str">
        <x:f>IF(P102="","",IF(COUNT(F102:J102)=5,SUM(F102:J102),"n.a."))</x:f>
      </x:c>
      <x:c r="R102" s="23" t="str">
        <x:f>IF(COUNTA(A102:O102)=0,"",IF(OR(NOT(OR(A102="TikTok Shop",A102="Shopee",A102="Lazada")),B102="",NOT(ISNUMBER(C102)),COUNT(D102:M102)&lt;&gt;10),"Thiếu/sai số dư",IF(C102&lt;&gt;'Tong_hop'!$F$4-1,"Sai ngày chốt",IF(COUNTIFS(T_SoDu[Khóa shop],P102)&lt;&gt;1,"Trùng shop",IF(AND(N102&lt;&gt;"Đã đủ",N102&lt;&gt;"Chưa"),"Thiếu xác nhận nguồn","")))))</x:f>
      </x:c>
      <x:c r="S102" s="27" t="str">
        <x:f>IF(P102="","",IF(AC102&gt;0,"n.a.",SUMIFS(T_Don[Phải thu gộp],T_Don[Sàn],A102,T_Don[Shop],B102,T_Don[Ngày ghi nhận bán],"&gt;="&amp;'Tong_hop'!$C$4,T_Don[Ngày ghi nhận bán],"&lt;"&amp;'Tong_hop'!$F$4)))</x:f>
      </x:c>
      <x:c r="T102" s="27" t="str">
        <x:f>IF(P102="","",IF(AC102&gt;0,"n.a.",SUMIFS(T_GD[Hoàn tiền shop chịu],T_GD[Sàn],A102,T_GD[Shop],B102,T_GD[Ngày giao dịch sàn],"&gt;="&amp;'Tong_hop'!$C$4,T_GD[Ngày giao dịch sàn],"&lt;"&amp;'Tong_hop'!$F$4)))</x:f>
      </x:c>
      <x:c r="U102" s="27" t="str">
        <x:f>IF(P102="","",IF(AC102&gt;0,"n.a.",SUMIFS(T_GD[Phí sàn cấn trừ],T_GD[Sàn],A102,T_GD[Shop],B102,T_GD[Ngày giao dịch sàn],"&gt;="&amp;'Tong_hop'!$C$4,T_GD[Ngày giao dịch sàn],"&lt;"&amp;'Tong_hop'!$F$4)+SUMIFS(T_GD[Ship shop chịu],T_GD[Sàn],A102,T_GD[Shop],B102,T_GD[Ngày giao dịch sàn],"&gt;="&amp;'Tong_hop'!$C$4,T_GD[Ngày giao dịch sàn],"&lt;"&amp;'Tong_hop'!$F$4)+SUMIFS(T_Chuyen[Phí chuyển đã xác nhận],T_Chuyen[Sàn],A102,T_Chuyen[Shop],B102,T_Chuyen[Ngày trừ số dư],"&gt;="&amp;'Tong_hop'!$C$4,T_Chuyen[Ngày trừ số dư],"&lt;"&amp;'Tong_hop'!$F$4)))</x:f>
      </x:c>
      <x:c r="V102" s="27" t="str">
        <x:f>IF(P102="","",IF(AC102&gt;0,"n.a.",SUMIFS(T_GD[Điều chỉnh khác +/-],T_GD[Sàn],A102,T_GD[Shop],B102,T_GD[Ngày giao dịch sàn],"&gt;="&amp;'Tong_hop'!$C$4,T_GD[Ngày giao dịch sàn],"&lt;"&amp;'Tong_hop'!$F$4)+SUMIFS(T_GD[Nạp vào số dư],T_GD[Sàn],A102,T_GD[Shop],B102,T_GD[Ngày giao dịch sàn],"&gt;="&amp;'Tong_hop'!$C$4,T_GD[Ngày giao dịch sàn],"&lt;"&amp;'Tong_hop'!$F$4)))</x:f>
      </x:c>
      <x:c r="W102" s="27" t="str">
        <x:f>IF(P102="","",IF(AC102&gt;0,"n.a.",SUMIFS(T_NH[Tiền thực nhận],T_NH[Sàn],A102,T_NH[Shop],B102,T_NH[Ngày báo Có],"&gt;="&amp;'Tong_hop'!$C$4,T_NH[Ngày báo Có],"&lt;"&amp;'Tong_hop'!$F$4)))</x:f>
      </x:c>
      <x:c r="X102" s="27" t="str">
        <x:f>IF(P102="","",IF(AC102&gt;0,"n.a.",D102+S102-T102-U102+V102-W102))</x:f>
      </x:c>
      <x:c r="Y102" s="27" t="str">
        <x:f>IF(P102="","",IF(AC102&gt;0,"n.a.",SUMIFS(T_GD[Thực ghi số dư +/-],T_GD[Sàn],A102,T_GD[Shop],B102,T_GD[Ngày giao dịch sàn],"&gt;="&amp;'Tong_hop'!$C$4,T_GD[Ngày giao dịch sàn],"&lt;"&amp;'Tong_hop'!$F$4,T_GD[Nhóm giao dịch],"Quyết toán")))</x:f>
      </x:c>
      <x:c r="Z102" s="27" t="str">
        <x:f>IF(P102="","",IF(AC102&gt;0,"n.a.",E102+SUMIFS(T_GD[Thực ghi số dư +/-],T_GD[Sàn],A102,T_GD[Shop],B102,T_GD[Ngày giao dịch sàn],"&gt;="&amp;'Tong_hop'!$C$4,T_GD[Ngày giao dịch sàn],"&lt;"&amp;'Tong_hop'!$F$4)-SUMIFS(T_Chuyen[Tiền trừ số dư],T_Chuyen[Sàn],A102,T_Chuyen[Shop],B102,T_Chuyen[Ngày trừ số dư],"&gt;="&amp;'Tong_hop'!$C$4,T_Chuyen[Ngày trừ số dư],"&lt;"&amp;'Tong_hop'!$F$4)))</x:f>
      </x:c>
      <x:c r="AA102" s="27" t="str">
        <x:f>IF(P102="","",IF(AC102&gt;0,"n.a.",SUMIFS(T_Chuyen[Còn đang chuyển],T_Chuyen[Sàn],A102,T_Chuyen[Shop],B102)))</x:f>
      </x:c>
      <x:c r="AB102" s="27" t="str">
        <x:f>IF(P102="","",IF(AC102&gt;0,"n.a.",SUMIFS(T_Chuyen[Tiền trừ số dư],T_Chuyen[Sàn],A102,T_Chuyen[Shop],B102,T_Chuyen[Ngày trừ số dư],"&gt;="&amp;'Tong_hop'!$C$4,T_Chuyen[Ngày trừ số dư],"&lt;"&amp;'Tong_hop'!$F$4)))</x:f>
      </x:c>
      <x:c r="AC102" s="28" t="str">
        <x:f>IF(P102="","",IF(R102="",0,1)+COUNTIFS(T_Don[Sàn],A102,T_Don[Shop],B102,T_Don[Kiểm tra dữ liệu],"?*")+COUNTIFS(T_GD[Sàn],A102,T_GD[Shop],B102,T_GD[Kiểm tra dữ liệu],"?*")+COUNTIFS(T_Chuyen[Sàn],A102,T_Chuyen[Shop],B102,T_Chuyen[Kiểm tra dữ liệu],"?*")+COUNTIFS(T_NH[Sàn],A102,T_NH[Shop],B102,T_NH[Kiểm tra dữ liệu],"?*"))</x:f>
      </x:c>
    </x:row>
    <x:row r="103" ht="22" customHeight="1">
      <x:c r="A103" s="10"/>
      <x:c r="B103" s="10"/>
      <x:c r="C103" s="25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10"/>
      <x:c r="O103" s="10"/>
      <x:c r="P103" s="23" t="str">
        <x:f>IF(AND(A103="",B103=""),"",A103&amp;"|"&amp;B103)</x:f>
      </x:c>
      <x:c r="Q103" s="27" t="str">
        <x:f>IF(P103="","",IF(COUNT(F103:J103)=5,SUM(F103:J103),"n.a."))</x:f>
      </x:c>
      <x:c r="R103" s="23" t="str">
        <x:f>IF(COUNTA(A103:O103)=0,"",IF(OR(NOT(OR(A103="TikTok Shop",A103="Shopee",A103="Lazada")),B103="",NOT(ISNUMBER(C103)),COUNT(D103:M103)&lt;&gt;10),"Thiếu/sai số dư",IF(C103&lt;&gt;'Tong_hop'!$F$4-1,"Sai ngày chốt",IF(COUNTIFS(T_SoDu[Khóa shop],P103)&lt;&gt;1,"Trùng shop",IF(AND(N103&lt;&gt;"Đã đủ",N103&lt;&gt;"Chưa"),"Thiếu xác nhận nguồn","")))))</x:f>
      </x:c>
      <x:c r="S103" s="27" t="str">
        <x:f>IF(P103="","",IF(AC103&gt;0,"n.a.",SUMIFS(T_Don[Phải thu gộp],T_Don[Sàn],A103,T_Don[Shop],B103,T_Don[Ngày ghi nhận bán],"&gt;="&amp;'Tong_hop'!$C$4,T_Don[Ngày ghi nhận bán],"&lt;"&amp;'Tong_hop'!$F$4)))</x:f>
      </x:c>
      <x:c r="T103" s="27" t="str">
        <x:f>IF(P103="","",IF(AC103&gt;0,"n.a.",SUMIFS(T_GD[Hoàn tiền shop chịu],T_GD[Sàn],A103,T_GD[Shop],B103,T_GD[Ngày giao dịch sàn],"&gt;="&amp;'Tong_hop'!$C$4,T_GD[Ngày giao dịch sàn],"&lt;"&amp;'Tong_hop'!$F$4)))</x:f>
      </x:c>
      <x:c r="U103" s="27" t="str">
        <x:f>IF(P103="","",IF(AC103&gt;0,"n.a.",SUMIFS(T_GD[Phí sàn cấn trừ],T_GD[Sàn],A103,T_GD[Shop],B103,T_GD[Ngày giao dịch sàn],"&gt;="&amp;'Tong_hop'!$C$4,T_GD[Ngày giao dịch sàn],"&lt;"&amp;'Tong_hop'!$F$4)+SUMIFS(T_GD[Ship shop chịu],T_GD[Sàn],A103,T_GD[Shop],B103,T_GD[Ngày giao dịch sàn],"&gt;="&amp;'Tong_hop'!$C$4,T_GD[Ngày giao dịch sàn],"&lt;"&amp;'Tong_hop'!$F$4)+SUMIFS(T_Chuyen[Phí chuyển đã xác nhận],T_Chuyen[Sàn],A103,T_Chuyen[Shop],B103,T_Chuyen[Ngày trừ số dư],"&gt;="&amp;'Tong_hop'!$C$4,T_Chuyen[Ngày trừ số dư],"&lt;"&amp;'Tong_hop'!$F$4)))</x:f>
      </x:c>
      <x:c r="V103" s="27" t="str">
        <x:f>IF(P103="","",IF(AC103&gt;0,"n.a.",SUMIFS(T_GD[Điều chỉnh khác +/-],T_GD[Sàn],A103,T_GD[Shop],B103,T_GD[Ngày giao dịch sàn],"&gt;="&amp;'Tong_hop'!$C$4,T_GD[Ngày giao dịch sàn],"&lt;"&amp;'Tong_hop'!$F$4)+SUMIFS(T_GD[Nạp vào số dư],T_GD[Sàn],A103,T_GD[Shop],B103,T_GD[Ngày giao dịch sàn],"&gt;="&amp;'Tong_hop'!$C$4,T_GD[Ngày giao dịch sàn],"&lt;"&amp;'Tong_hop'!$F$4)))</x:f>
      </x:c>
      <x:c r="W103" s="27" t="str">
        <x:f>IF(P103="","",IF(AC103&gt;0,"n.a.",SUMIFS(T_NH[Tiền thực nhận],T_NH[Sàn],A103,T_NH[Shop],B103,T_NH[Ngày báo Có],"&gt;="&amp;'Tong_hop'!$C$4,T_NH[Ngày báo Có],"&lt;"&amp;'Tong_hop'!$F$4)))</x:f>
      </x:c>
      <x:c r="X103" s="27" t="str">
        <x:f>IF(P103="","",IF(AC103&gt;0,"n.a.",D103+S103-T103-U103+V103-W103))</x:f>
      </x:c>
      <x:c r="Y103" s="27" t="str">
        <x:f>IF(P103="","",IF(AC103&gt;0,"n.a.",SUMIFS(T_GD[Thực ghi số dư +/-],T_GD[Sàn],A103,T_GD[Shop],B103,T_GD[Ngày giao dịch sàn],"&gt;="&amp;'Tong_hop'!$C$4,T_GD[Ngày giao dịch sàn],"&lt;"&amp;'Tong_hop'!$F$4,T_GD[Nhóm giao dịch],"Quyết toán")))</x:f>
      </x:c>
      <x:c r="Z103" s="27" t="str">
        <x:f>IF(P103="","",IF(AC103&gt;0,"n.a.",E103+SUMIFS(T_GD[Thực ghi số dư +/-],T_GD[Sàn],A103,T_GD[Shop],B103,T_GD[Ngày giao dịch sàn],"&gt;="&amp;'Tong_hop'!$C$4,T_GD[Ngày giao dịch sàn],"&lt;"&amp;'Tong_hop'!$F$4)-SUMIFS(T_Chuyen[Tiền trừ số dư],T_Chuyen[Sàn],A103,T_Chuyen[Shop],B103,T_Chuyen[Ngày trừ số dư],"&gt;="&amp;'Tong_hop'!$C$4,T_Chuyen[Ngày trừ số dư],"&lt;"&amp;'Tong_hop'!$F$4)))</x:f>
      </x:c>
      <x:c r="AA103" s="27" t="str">
        <x:f>IF(P103="","",IF(AC103&gt;0,"n.a.",SUMIFS(T_Chuyen[Còn đang chuyển],T_Chuyen[Sàn],A103,T_Chuyen[Shop],B103)))</x:f>
      </x:c>
      <x:c r="AB103" s="27" t="str">
        <x:f>IF(P103="","",IF(AC103&gt;0,"n.a.",SUMIFS(T_Chuyen[Tiền trừ số dư],T_Chuyen[Sàn],A103,T_Chuyen[Shop],B103,T_Chuyen[Ngày trừ số dư],"&gt;="&amp;'Tong_hop'!$C$4,T_Chuyen[Ngày trừ số dư],"&lt;"&amp;'Tong_hop'!$F$4)))</x:f>
      </x:c>
      <x:c r="AC103" s="28" t="str">
        <x:f>IF(P103="","",IF(R103="",0,1)+COUNTIFS(T_Don[Sàn],A103,T_Don[Shop],B103,T_Don[Kiểm tra dữ liệu],"?*")+COUNTIFS(T_GD[Sàn],A103,T_GD[Shop],B103,T_GD[Kiểm tra dữ liệu],"?*")+COUNTIFS(T_Chuyen[Sàn],A103,T_Chuyen[Shop],B103,T_Chuyen[Kiểm tra dữ liệu],"?*")+COUNTIFS(T_NH[Sàn],A103,T_NH[Shop],B103,T_NH[Kiểm tra dữ liệu],"?*"))</x:f>
      </x:c>
    </x:row>
    <x:row r="104" ht="22" customHeight="1">
      <x:c r="A104" s="10"/>
      <x:c r="B104" s="10"/>
      <x:c r="C104" s="25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10"/>
      <x:c r="O104" s="10"/>
      <x:c r="P104" s="23" t="str">
        <x:f>IF(AND(A104="",B104=""),"",A104&amp;"|"&amp;B104)</x:f>
      </x:c>
      <x:c r="Q104" s="27" t="str">
        <x:f>IF(P104="","",IF(COUNT(F104:J104)=5,SUM(F104:J104),"n.a."))</x:f>
      </x:c>
      <x:c r="R104" s="23" t="str">
        <x:f>IF(COUNTA(A104:O104)=0,"",IF(OR(NOT(OR(A104="TikTok Shop",A104="Shopee",A104="Lazada")),B104="",NOT(ISNUMBER(C104)),COUNT(D104:M104)&lt;&gt;10),"Thiếu/sai số dư",IF(C104&lt;&gt;'Tong_hop'!$F$4-1,"Sai ngày chốt",IF(COUNTIFS(T_SoDu[Khóa shop],P104)&lt;&gt;1,"Trùng shop",IF(AND(N104&lt;&gt;"Đã đủ",N104&lt;&gt;"Chưa"),"Thiếu xác nhận nguồn","")))))</x:f>
      </x:c>
      <x:c r="S104" s="27" t="str">
        <x:f>IF(P104="","",IF(AC104&gt;0,"n.a.",SUMIFS(T_Don[Phải thu gộp],T_Don[Sàn],A104,T_Don[Shop],B104,T_Don[Ngày ghi nhận bán],"&gt;="&amp;'Tong_hop'!$C$4,T_Don[Ngày ghi nhận bán],"&lt;"&amp;'Tong_hop'!$F$4)))</x:f>
      </x:c>
      <x:c r="T104" s="27" t="str">
        <x:f>IF(P104="","",IF(AC104&gt;0,"n.a.",SUMIFS(T_GD[Hoàn tiền shop chịu],T_GD[Sàn],A104,T_GD[Shop],B104,T_GD[Ngày giao dịch sàn],"&gt;="&amp;'Tong_hop'!$C$4,T_GD[Ngày giao dịch sàn],"&lt;"&amp;'Tong_hop'!$F$4)))</x:f>
      </x:c>
      <x:c r="U104" s="27" t="str">
        <x:f>IF(P104="","",IF(AC104&gt;0,"n.a.",SUMIFS(T_GD[Phí sàn cấn trừ],T_GD[Sàn],A104,T_GD[Shop],B104,T_GD[Ngày giao dịch sàn],"&gt;="&amp;'Tong_hop'!$C$4,T_GD[Ngày giao dịch sàn],"&lt;"&amp;'Tong_hop'!$F$4)+SUMIFS(T_GD[Ship shop chịu],T_GD[Sàn],A104,T_GD[Shop],B104,T_GD[Ngày giao dịch sàn],"&gt;="&amp;'Tong_hop'!$C$4,T_GD[Ngày giao dịch sàn],"&lt;"&amp;'Tong_hop'!$F$4)+SUMIFS(T_Chuyen[Phí chuyển đã xác nhận],T_Chuyen[Sàn],A104,T_Chuyen[Shop],B104,T_Chuyen[Ngày trừ số dư],"&gt;="&amp;'Tong_hop'!$C$4,T_Chuyen[Ngày trừ số dư],"&lt;"&amp;'Tong_hop'!$F$4)))</x:f>
      </x:c>
      <x:c r="V104" s="27" t="str">
        <x:f>IF(P104="","",IF(AC104&gt;0,"n.a.",SUMIFS(T_GD[Điều chỉnh khác +/-],T_GD[Sàn],A104,T_GD[Shop],B104,T_GD[Ngày giao dịch sàn],"&gt;="&amp;'Tong_hop'!$C$4,T_GD[Ngày giao dịch sàn],"&lt;"&amp;'Tong_hop'!$F$4)+SUMIFS(T_GD[Nạp vào số dư],T_GD[Sàn],A104,T_GD[Shop],B104,T_GD[Ngày giao dịch sàn],"&gt;="&amp;'Tong_hop'!$C$4,T_GD[Ngày giao dịch sàn],"&lt;"&amp;'Tong_hop'!$F$4)))</x:f>
      </x:c>
      <x:c r="W104" s="27" t="str">
        <x:f>IF(P104="","",IF(AC104&gt;0,"n.a.",SUMIFS(T_NH[Tiền thực nhận],T_NH[Sàn],A104,T_NH[Shop],B104,T_NH[Ngày báo Có],"&gt;="&amp;'Tong_hop'!$C$4,T_NH[Ngày báo Có],"&lt;"&amp;'Tong_hop'!$F$4)))</x:f>
      </x:c>
      <x:c r="X104" s="27" t="str">
        <x:f>IF(P104="","",IF(AC104&gt;0,"n.a.",D104+S104-T104-U104+V104-W104))</x:f>
      </x:c>
      <x:c r="Y104" s="27" t="str">
        <x:f>IF(P104="","",IF(AC104&gt;0,"n.a.",SUMIFS(T_GD[Thực ghi số dư +/-],T_GD[Sàn],A104,T_GD[Shop],B104,T_GD[Ngày giao dịch sàn],"&gt;="&amp;'Tong_hop'!$C$4,T_GD[Ngày giao dịch sàn],"&lt;"&amp;'Tong_hop'!$F$4,T_GD[Nhóm giao dịch],"Quyết toán")))</x:f>
      </x:c>
      <x:c r="Z104" s="27" t="str">
        <x:f>IF(P104="","",IF(AC104&gt;0,"n.a.",E104+SUMIFS(T_GD[Thực ghi số dư +/-],T_GD[Sàn],A104,T_GD[Shop],B104,T_GD[Ngày giao dịch sàn],"&gt;="&amp;'Tong_hop'!$C$4,T_GD[Ngày giao dịch sàn],"&lt;"&amp;'Tong_hop'!$F$4)-SUMIFS(T_Chuyen[Tiền trừ số dư],T_Chuyen[Sàn],A104,T_Chuyen[Shop],B104,T_Chuyen[Ngày trừ số dư],"&gt;="&amp;'Tong_hop'!$C$4,T_Chuyen[Ngày trừ số dư],"&lt;"&amp;'Tong_hop'!$F$4)))</x:f>
      </x:c>
      <x:c r="AA104" s="27" t="str">
        <x:f>IF(P104="","",IF(AC104&gt;0,"n.a.",SUMIFS(T_Chuyen[Còn đang chuyển],T_Chuyen[Sàn],A104,T_Chuyen[Shop],B104)))</x:f>
      </x:c>
      <x:c r="AB104" s="27" t="str">
        <x:f>IF(P104="","",IF(AC104&gt;0,"n.a.",SUMIFS(T_Chuyen[Tiền trừ số dư],T_Chuyen[Sàn],A104,T_Chuyen[Shop],B104,T_Chuyen[Ngày trừ số dư],"&gt;="&amp;'Tong_hop'!$C$4,T_Chuyen[Ngày trừ số dư],"&lt;"&amp;'Tong_hop'!$F$4)))</x:f>
      </x:c>
      <x:c r="AC104" s="28" t="str">
        <x:f>IF(P104="","",IF(R104="",0,1)+COUNTIFS(T_Don[Sàn],A104,T_Don[Shop],B104,T_Don[Kiểm tra dữ liệu],"?*")+COUNTIFS(T_GD[Sàn],A104,T_GD[Shop],B104,T_GD[Kiểm tra dữ liệu],"?*")+COUNTIFS(T_Chuyen[Sàn],A104,T_Chuyen[Shop],B104,T_Chuyen[Kiểm tra dữ liệu],"?*")+COUNTIFS(T_NH[Sàn],A104,T_NH[Shop],B104,T_NH[Kiểm tra dữ liệu],"?*"))</x:f>
      </x:c>
    </x:row>
    <x:row r="105" ht="22" customHeight="1">
      <x:c r="A105" s="10"/>
      <x:c r="B105" s="10"/>
      <x:c r="C105" s="25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10"/>
      <x:c r="O105" s="10"/>
      <x:c r="P105" s="23" t="str">
        <x:f>IF(AND(A105="",B105=""),"",A105&amp;"|"&amp;B105)</x:f>
      </x:c>
      <x:c r="Q105" s="27" t="str">
        <x:f>IF(P105="","",IF(COUNT(F105:J105)=5,SUM(F105:J105),"n.a."))</x:f>
      </x:c>
      <x:c r="R105" s="23" t="str">
        <x:f>IF(COUNTA(A105:O105)=0,"",IF(OR(NOT(OR(A105="TikTok Shop",A105="Shopee",A105="Lazada")),B105="",NOT(ISNUMBER(C105)),COUNT(D105:M105)&lt;&gt;10),"Thiếu/sai số dư",IF(C105&lt;&gt;'Tong_hop'!$F$4-1,"Sai ngày chốt",IF(COUNTIFS(T_SoDu[Khóa shop],P105)&lt;&gt;1,"Trùng shop",IF(AND(N105&lt;&gt;"Đã đủ",N105&lt;&gt;"Chưa"),"Thiếu xác nhận nguồn","")))))</x:f>
      </x:c>
      <x:c r="S105" s="27" t="str">
        <x:f>IF(P105="","",IF(AC105&gt;0,"n.a.",SUMIFS(T_Don[Phải thu gộp],T_Don[Sàn],A105,T_Don[Shop],B105,T_Don[Ngày ghi nhận bán],"&gt;="&amp;'Tong_hop'!$C$4,T_Don[Ngày ghi nhận bán],"&lt;"&amp;'Tong_hop'!$F$4)))</x:f>
      </x:c>
      <x:c r="T105" s="27" t="str">
        <x:f>IF(P105="","",IF(AC105&gt;0,"n.a.",SUMIFS(T_GD[Hoàn tiền shop chịu],T_GD[Sàn],A105,T_GD[Shop],B105,T_GD[Ngày giao dịch sàn],"&gt;="&amp;'Tong_hop'!$C$4,T_GD[Ngày giao dịch sàn],"&lt;"&amp;'Tong_hop'!$F$4)))</x:f>
      </x:c>
      <x:c r="U105" s="27" t="str">
        <x:f>IF(P105="","",IF(AC105&gt;0,"n.a.",SUMIFS(T_GD[Phí sàn cấn trừ],T_GD[Sàn],A105,T_GD[Shop],B105,T_GD[Ngày giao dịch sàn],"&gt;="&amp;'Tong_hop'!$C$4,T_GD[Ngày giao dịch sàn],"&lt;"&amp;'Tong_hop'!$F$4)+SUMIFS(T_GD[Ship shop chịu],T_GD[Sàn],A105,T_GD[Shop],B105,T_GD[Ngày giao dịch sàn],"&gt;="&amp;'Tong_hop'!$C$4,T_GD[Ngày giao dịch sàn],"&lt;"&amp;'Tong_hop'!$F$4)+SUMIFS(T_Chuyen[Phí chuyển đã xác nhận],T_Chuyen[Sàn],A105,T_Chuyen[Shop],B105,T_Chuyen[Ngày trừ số dư],"&gt;="&amp;'Tong_hop'!$C$4,T_Chuyen[Ngày trừ số dư],"&lt;"&amp;'Tong_hop'!$F$4)))</x:f>
      </x:c>
      <x:c r="V105" s="27" t="str">
        <x:f>IF(P105="","",IF(AC105&gt;0,"n.a.",SUMIFS(T_GD[Điều chỉnh khác +/-],T_GD[Sàn],A105,T_GD[Shop],B105,T_GD[Ngày giao dịch sàn],"&gt;="&amp;'Tong_hop'!$C$4,T_GD[Ngày giao dịch sàn],"&lt;"&amp;'Tong_hop'!$F$4)+SUMIFS(T_GD[Nạp vào số dư],T_GD[Sàn],A105,T_GD[Shop],B105,T_GD[Ngày giao dịch sàn],"&gt;="&amp;'Tong_hop'!$C$4,T_GD[Ngày giao dịch sàn],"&lt;"&amp;'Tong_hop'!$F$4)))</x:f>
      </x:c>
      <x:c r="W105" s="27" t="str">
        <x:f>IF(P105="","",IF(AC105&gt;0,"n.a.",SUMIFS(T_NH[Tiền thực nhận],T_NH[Sàn],A105,T_NH[Shop],B105,T_NH[Ngày báo Có],"&gt;="&amp;'Tong_hop'!$C$4,T_NH[Ngày báo Có],"&lt;"&amp;'Tong_hop'!$F$4)))</x:f>
      </x:c>
      <x:c r="X105" s="27" t="str">
        <x:f>IF(P105="","",IF(AC105&gt;0,"n.a.",D105+S105-T105-U105+V105-W105))</x:f>
      </x:c>
      <x:c r="Y105" s="27" t="str">
        <x:f>IF(P105="","",IF(AC105&gt;0,"n.a.",SUMIFS(T_GD[Thực ghi số dư +/-],T_GD[Sàn],A105,T_GD[Shop],B105,T_GD[Ngày giao dịch sàn],"&gt;="&amp;'Tong_hop'!$C$4,T_GD[Ngày giao dịch sàn],"&lt;"&amp;'Tong_hop'!$F$4,T_GD[Nhóm giao dịch],"Quyết toán")))</x:f>
      </x:c>
      <x:c r="Z105" s="27" t="str">
        <x:f>IF(P105="","",IF(AC105&gt;0,"n.a.",E105+SUMIFS(T_GD[Thực ghi số dư +/-],T_GD[Sàn],A105,T_GD[Shop],B105,T_GD[Ngày giao dịch sàn],"&gt;="&amp;'Tong_hop'!$C$4,T_GD[Ngày giao dịch sàn],"&lt;"&amp;'Tong_hop'!$F$4)-SUMIFS(T_Chuyen[Tiền trừ số dư],T_Chuyen[Sàn],A105,T_Chuyen[Shop],B105,T_Chuyen[Ngày trừ số dư],"&gt;="&amp;'Tong_hop'!$C$4,T_Chuyen[Ngày trừ số dư],"&lt;"&amp;'Tong_hop'!$F$4)))</x:f>
      </x:c>
      <x:c r="AA105" s="27" t="str">
        <x:f>IF(P105="","",IF(AC105&gt;0,"n.a.",SUMIFS(T_Chuyen[Còn đang chuyển],T_Chuyen[Sàn],A105,T_Chuyen[Shop],B105)))</x:f>
      </x:c>
      <x:c r="AB105" s="27" t="str">
        <x:f>IF(P105="","",IF(AC105&gt;0,"n.a.",SUMIFS(T_Chuyen[Tiền trừ số dư],T_Chuyen[Sàn],A105,T_Chuyen[Shop],B105,T_Chuyen[Ngày trừ số dư],"&gt;="&amp;'Tong_hop'!$C$4,T_Chuyen[Ngày trừ số dư],"&lt;"&amp;'Tong_hop'!$F$4)))</x:f>
      </x:c>
      <x:c r="AC105" s="28" t="str">
        <x:f>IF(P105="","",IF(R105="",0,1)+COUNTIFS(T_Don[Sàn],A105,T_Don[Shop],B105,T_Don[Kiểm tra dữ liệu],"?*")+COUNTIFS(T_GD[Sàn],A105,T_GD[Shop],B105,T_GD[Kiểm tra dữ liệu],"?*")+COUNTIFS(T_Chuyen[Sàn],A105,T_Chuyen[Shop],B105,T_Chuyen[Kiểm tra dữ liệu],"?*")+COUNTIFS(T_NH[Sàn],A105,T_NH[Shop],B105,T_NH[Kiểm tra dữ liệu],"?*"))</x:f>
      </x:c>
    </x:row>
    <x:row r="106" ht="22" customHeight="1">
      <x:c r="A106" s="10"/>
      <x:c r="B106" s="10"/>
      <x:c r="C106" s="25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10"/>
      <x:c r="O106" s="10"/>
      <x:c r="P106" s="23" t="str">
        <x:f>IF(AND(A106="",B106=""),"",A106&amp;"|"&amp;B106)</x:f>
      </x:c>
      <x:c r="Q106" s="27" t="str">
        <x:f>IF(P106="","",IF(COUNT(F106:J106)=5,SUM(F106:J106),"n.a."))</x:f>
      </x:c>
      <x:c r="R106" s="23" t="str">
        <x:f>IF(COUNTA(A106:O106)=0,"",IF(OR(NOT(OR(A106="TikTok Shop",A106="Shopee",A106="Lazada")),B106="",NOT(ISNUMBER(C106)),COUNT(D106:M106)&lt;&gt;10),"Thiếu/sai số dư",IF(C106&lt;&gt;'Tong_hop'!$F$4-1,"Sai ngày chốt",IF(COUNTIFS(T_SoDu[Khóa shop],P106)&lt;&gt;1,"Trùng shop",IF(AND(N106&lt;&gt;"Đã đủ",N106&lt;&gt;"Chưa"),"Thiếu xác nhận nguồn","")))))</x:f>
      </x:c>
      <x:c r="S106" s="27" t="str">
        <x:f>IF(P106="","",IF(AC106&gt;0,"n.a.",SUMIFS(T_Don[Phải thu gộp],T_Don[Sàn],A106,T_Don[Shop],B106,T_Don[Ngày ghi nhận bán],"&gt;="&amp;'Tong_hop'!$C$4,T_Don[Ngày ghi nhận bán],"&lt;"&amp;'Tong_hop'!$F$4)))</x:f>
      </x:c>
      <x:c r="T106" s="27" t="str">
        <x:f>IF(P106="","",IF(AC106&gt;0,"n.a.",SUMIFS(T_GD[Hoàn tiền shop chịu],T_GD[Sàn],A106,T_GD[Shop],B106,T_GD[Ngày giao dịch sàn],"&gt;="&amp;'Tong_hop'!$C$4,T_GD[Ngày giao dịch sàn],"&lt;"&amp;'Tong_hop'!$F$4)))</x:f>
      </x:c>
      <x:c r="U106" s="27" t="str">
        <x:f>IF(P106="","",IF(AC106&gt;0,"n.a.",SUMIFS(T_GD[Phí sàn cấn trừ],T_GD[Sàn],A106,T_GD[Shop],B106,T_GD[Ngày giao dịch sàn],"&gt;="&amp;'Tong_hop'!$C$4,T_GD[Ngày giao dịch sàn],"&lt;"&amp;'Tong_hop'!$F$4)+SUMIFS(T_GD[Ship shop chịu],T_GD[Sàn],A106,T_GD[Shop],B106,T_GD[Ngày giao dịch sàn],"&gt;="&amp;'Tong_hop'!$C$4,T_GD[Ngày giao dịch sàn],"&lt;"&amp;'Tong_hop'!$F$4)+SUMIFS(T_Chuyen[Phí chuyển đã xác nhận],T_Chuyen[Sàn],A106,T_Chuyen[Shop],B106,T_Chuyen[Ngày trừ số dư],"&gt;="&amp;'Tong_hop'!$C$4,T_Chuyen[Ngày trừ số dư],"&lt;"&amp;'Tong_hop'!$F$4)))</x:f>
      </x:c>
      <x:c r="V106" s="27" t="str">
        <x:f>IF(P106="","",IF(AC106&gt;0,"n.a.",SUMIFS(T_GD[Điều chỉnh khác +/-],T_GD[Sàn],A106,T_GD[Shop],B106,T_GD[Ngày giao dịch sàn],"&gt;="&amp;'Tong_hop'!$C$4,T_GD[Ngày giao dịch sàn],"&lt;"&amp;'Tong_hop'!$F$4)+SUMIFS(T_GD[Nạp vào số dư],T_GD[Sàn],A106,T_GD[Shop],B106,T_GD[Ngày giao dịch sàn],"&gt;="&amp;'Tong_hop'!$C$4,T_GD[Ngày giao dịch sàn],"&lt;"&amp;'Tong_hop'!$F$4)))</x:f>
      </x:c>
      <x:c r="W106" s="27" t="str">
        <x:f>IF(P106="","",IF(AC106&gt;0,"n.a.",SUMIFS(T_NH[Tiền thực nhận],T_NH[Sàn],A106,T_NH[Shop],B106,T_NH[Ngày báo Có],"&gt;="&amp;'Tong_hop'!$C$4,T_NH[Ngày báo Có],"&lt;"&amp;'Tong_hop'!$F$4)))</x:f>
      </x:c>
      <x:c r="X106" s="27" t="str">
        <x:f>IF(P106="","",IF(AC106&gt;0,"n.a.",D106+S106-T106-U106+V106-W106))</x:f>
      </x:c>
      <x:c r="Y106" s="27" t="str">
        <x:f>IF(P106="","",IF(AC106&gt;0,"n.a.",SUMIFS(T_GD[Thực ghi số dư +/-],T_GD[Sàn],A106,T_GD[Shop],B106,T_GD[Ngày giao dịch sàn],"&gt;="&amp;'Tong_hop'!$C$4,T_GD[Ngày giao dịch sàn],"&lt;"&amp;'Tong_hop'!$F$4,T_GD[Nhóm giao dịch],"Quyết toán")))</x:f>
      </x:c>
      <x:c r="Z106" s="27" t="str">
        <x:f>IF(P106="","",IF(AC106&gt;0,"n.a.",E106+SUMIFS(T_GD[Thực ghi số dư +/-],T_GD[Sàn],A106,T_GD[Shop],B106,T_GD[Ngày giao dịch sàn],"&gt;="&amp;'Tong_hop'!$C$4,T_GD[Ngày giao dịch sàn],"&lt;"&amp;'Tong_hop'!$F$4)-SUMIFS(T_Chuyen[Tiền trừ số dư],T_Chuyen[Sàn],A106,T_Chuyen[Shop],B106,T_Chuyen[Ngày trừ số dư],"&gt;="&amp;'Tong_hop'!$C$4,T_Chuyen[Ngày trừ số dư],"&lt;"&amp;'Tong_hop'!$F$4)))</x:f>
      </x:c>
      <x:c r="AA106" s="27" t="str">
        <x:f>IF(P106="","",IF(AC106&gt;0,"n.a.",SUMIFS(T_Chuyen[Còn đang chuyển],T_Chuyen[Sàn],A106,T_Chuyen[Shop],B106)))</x:f>
      </x:c>
      <x:c r="AB106" s="27" t="str">
        <x:f>IF(P106="","",IF(AC106&gt;0,"n.a.",SUMIFS(T_Chuyen[Tiền trừ số dư],T_Chuyen[Sàn],A106,T_Chuyen[Shop],B106,T_Chuyen[Ngày trừ số dư],"&gt;="&amp;'Tong_hop'!$C$4,T_Chuyen[Ngày trừ số dư],"&lt;"&amp;'Tong_hop'!$F$4)))</x:f>
      </x:c>
      <x:c r="AC106" s="28" t="str">
        <x:f>IF(P106="","",IF(R106="",0,1)+COUNTIFS(T_Don[Sàn],A106,T_Don[Shop],B106,T_Don[Kiểm tra dữ liệu],"?*")+COUNTIFS(T_GD[Sàn],A106,T_GD[Shop],B106,T_GD[Kiểm tra dữ liệu],"?*")+COUNTIFS(T_Chuyen[Sàn],A106,T_Chuyen[Shop],B106,T_Chuyen[Kiểm tra dữ liệu],"?*")+COUNTIFS(T_NH[Sàn],A106,T_NH[Shop],B106,T_NH[Kiểm tra dữ liệu],"?*"))</x:f>
      </x:c>
    </x:row>
  </x:sheetData>
  <x:conditionalFormatting sqref="R7:R106">
    <x:cfRule type="expression" dxfId="11" priority="1">
      <x:formula>R7&lt;&gt;""</x:formula>
    </x:cfRule>
  </x:conditionalFormatting>
  <x:dataValidations count="2">
    <x:dataValidation type="list" sqref="A7:A106">
      <x:formula1>"TikTok Shop,Shopee,Lazada"</x:formula1>
    </x:dataValidation>
    <x:dataValidation type="list" sqref="N7:N106">
      <x:formula1>"Chưa,Đã đủ"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e21ee6d35c463b"/>
  </x:tableParts>
</x:worksheet>
</file>

<file path=xl/worksheets/sheet7.xml><?xml version="1.0" encoding="utf-8"?>
<x:worksheet xmlns:x="http://schemas.openxmlformats.org/spreadsheetml/2006/main">
  <x:sheetPr>
    <x:tabColor rgb="FF8293A6"/>
  </x:sheetPr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  <x:col min="3" max="3" width="4" hidden="0" customWidth="1"/>
    <x:col min="4" max="4" width="30" hidden="0" customWidth="1"/>
    <x:col min="5" max="5" width="80" hidden="0" customWidth="1"/>
  </x:cols>
  <x:sheetData>
    <x:row r="1" ht="22" customHeight="1">
      <x:c r="A1" s="2"/>
      <x:c r="B1" s="2"/>
      <x:c r="C1" s="2"/>
      <x:c r="D1" s="2"/>
      <x:c r="E1" s="2"/>
    </x:row>
    <x:row r="2" ht="22" customHeight="1">
      <x:c r="A2" s="3" t="str">
        <x:v>CÁCH DÙNG MẪU ĐỐI SOÁT THÁNG</x:v>
      </x:c>
      <x:c r="B2" s="2"/>
      <x:c r="C2" s="2"/>
      <x:c r="D2" s="2"/>
      <x:c r="E2" s="2"/>
    </x:row>
    <x:row r="3" ht="22" customHeight="1">
      <x:c r="A3" s="4"/>
      <x:c r="B3" s="4"/>
      <x:c r="C3" s="4"/>
      <x:c r="D3" s="4"/>
      <x:c r="E3" s="4"/>
    </x:row>
    <x:row r="4" ht="22" customHeight="1">
      <x:c r="A4" s="2"/>
      <x:c r="B4" s="2"/>
      <x:c r="C4" s="2"/>
      <x:c r="D4" s="2"/>
      <x:c r="E4" s="2"/>
    </x:row>
    <x:row r="5" ht="36" customHeight="1">
      <x:c r="A5" s="43" t="str">
        <x:v>Phạm vi</x:v>
      </x:c>
      <x:c r="B5" s="42" t="str">
        <x:v>Một file cho một kỳ chốt. Có thể nhập nhiều shop thuộc TikTok Shop, Shopee, Lazada. Đồng tiền VND.</x:v>
      </x:c>
      <x:c r="C5" s="2"/>
      <x:c r="D5" s="2" t="str">
        <x:v>Nguồn tham khảo</x:v>
      </x:c>
      <x:c r="E5" s="2"/>
    </x:row>
    <x:row r="6" ht="46" customHeight="1">
      <x:c r="A6" s="43" t="str">
        <x:v>Dữ liệu đang có</x:v>
      </x:c>
      <x:c r="B6" s="42" t="str">
        <x:v>Toàn bộ số liệu DEMO là giả lập, không phải số liệu UVGREEN. Mẫu cố ý để 2 chênh lệch chưa xử lý.</x:v>
      </x:c>
      <x:c r="C6" s="2"/>
      <x:c r="D6" s="2" t="str">
        <x:v>TikTok: giao dịch đã QT</x:v>
      </x:c>
      <x:c r="E6" s="42" t="str">
        <x:v>https://seller-vn.tiktok.com/university/essay?knowledge_id=2824323762210561&amp;lang=vi-VN</x:v>
      </x:c>
    </x:row>
    <x:row r="7" ht="46" customHeight="1">
      <x:c r="A7" s="43" t="str">
        <x:v>Màu ô</x:v>
      </x:c>
      <x:c r="B7" s="42" t="str">
        <x:v>Vàng: nhập hoặc dán giá trị. Xám: công thức. Ô đỏ: lỗi/chênh cần kiểm tra. Không dán đè công thức.</x:v>
      </x:c>
      <x:c r="C7" s="2"/>
      <x:c r="D7" s="2" t="str">
        <x:v>TikTok: giao dịch chờ QT</x:v>
      </x:c>
      <x:c r="E7" s="42" t="str">
        <x:v>https://seller-vn.tiktok.com/university/essay?knowledge_id=2844649149974273&amp;lang=vi-VN</x:v>
      </x:c>
    </x:row>
    <x:row r="8" ht="46" customHeight="1">
      <x:c r="A8" s="43" t="str">
        <x:v>Bước 1</x:v>
      </x:c>
      <x:c r="B8" s="42" t="str">
        <x:v>Lưu bản riêng theo tháng. Đặt Tong_hop!C4 là ngày 01 của tháng chốt; I4 là dung sai theo chứng cứ làm tròn, mặc định 0.</x:v>
      </x:c>
      <x:c r="C8" s="2"/>
      <x:c r="D8" s="2" t="str">
        <x:v>Shopee: báo cáo thu nhập</x:v>
      </x:c>
      <x:c r="E8" s="42" t="str">
        <x:v>https://banhang.shopee.vn/edu/article/2072</x:v>
      </x:c>
    </x:row>
    <x:row r="9" ht="46" customHeight="1">
      <x:c r="A9" s="43" t="str">
        <x:v>Bước 2</x:v>
      </x:c>
      <x:c r="B9" s="42" t="str">
        <x:v>Xóa dữ liệu DEMO ở các cột nhập liệu của 5 bảng. Giao_dich_san còn có cột S nhập nguồn; không xóa cột công thức.</x:v>
      </x:c>
      <x:c r="C9" s="2"/>
      <x:c r="D9" s="2" t="str">
        <x:v>Shopee: báo cáo doanh thu</x:v>
      </x:c>
      <x:c r="E9" s="42" t="str">
        <x:v>https://banhang.shopee.vn/edu/article/2066</x:v>
      </x:c>
    </x:row>
    <x:row r="10" ht="46" customHeight="1">
      <x:c r="A10" s="43" t="str">
        <x:v>Bước 3</x:v>
      </x:c>
      <x:c r="B10" s="42" t="str">
        <x:v>Khai báo So_du cho từng shop. Chụp/xuất số dư đúng cuối kỳ; nhập công nợ đầu kỳ đã đối chiếu kỳ trước.</x:v>
      </x:c>
      <x:c r="C10" s="2"/>
      <x:c r="D10" s="2" t="str">
        <x:v>Lazada: dữ liệu tài chính</x:v>
      </x:c>
      <x:c r="E10" s="42" t="str">
        <x:v>https://open.lazada.com/apps/doc/doc?docId=108249&amp;nodeId=10556</x:v>
      </x:c>
    </x:row>
    <x:row r="11" ht="36" customHeight="1">
      <x:c r="A11" s="43" t="str">
        <x:v>Bước 4</x:v>
      </x:c>
      <x:c r="B11" s="42" t="str">
        <x:v>Chuẩn hóa các file đơn hàng: một dòng / mã đơn. Gộp SKU trước. Mã đơn phải là Text; không làm tròn mã dài.</x:v>
      </x:c>
      <x:c r="C11" s="2"/>
      <x:c r="D11" s="2"/>
      <x:c r="E11" s="2"/>
    </x:row>
    <x:row r="12" ht="36" customHeight="1">
      <x:c r="A12" s="43" t="str">
        <x:v>Bước 5</x:v>
      </x:c>
      <x:c r="B12" s="42" t="str">
        <x:v>Chuẩn hóa giao dịch tài chính: một dòng / mã giao dịch duy nhất. Một đơn có thể có nhiều dòng và nhiều ngày.</x:v>
      </x:c>
      <x:c r="C12" s="2"/>
      <x:c r="D12" s="2" t="str">
        <x:v>Nguồn số liệu mẫu</x:v>
      </x:c>
      <x:c r="E12" s="42" t="str">
        <x:v>Số giả lập do người lập mẫu tạo, không sử dụng dữ liệu thực tế của doanh nghiệp.</x:v>
      </x:c>
    </x:row>
    <x:row r="13" ht="36" customHeight="1">
      <x:c r="A13" s="43" t="str">
        <x:v>Bước 6</x:v>
      </x:c>
      <x:c r="B13" s="42" t="str">
        <x:v>Dán đợt rút tiền và báo Có ngân hàng. Giữ mã đợt chuyển để nối nhiều đơn với một đợt và nhiều báo Có.</x:v>
      </x:c>
      <x:c r="C13" s="2"/>
      <x:c r="D13" s="2"/>
      <x:c r="E13" s="2"/>
    </x:row>
    <x:row r="14" ht="36" customHeight="1">
      <x:c r="A14" s="43" t="str">
        <x:v>Bước 7</x:v>
      </x:c>
      <x:c r="B14" s="42" t="str">
        <x:v>Kiểm tra Tong_hop: số công nợ, các chênh lệch độc lập và danh sách vấn đề. Lọc cột trạng thái ở bảng chi tiết.</x:v>
      </x:c>
      <x:c r="C14" s="2"/>
      <x:c r="D14" s="2" t="str">
        <x:v>Tên cột dữ liệu gốc</x:v>
      </x:c>
      <x:c r="E14" s="42" t="str">
        <x:v>Có thể khác theo phiên bản báo cáo của từng sàn. Ánh xạ theo ý nghĩa khoản tiền, ngày, shop và mã giao dịch.</x:v>
      </x:c>
    </x:row>
    <x:row r="15" ht="36" customHeight="1">
      <x:c r="A15" s="43" t="str">
        <x:v>Bước 8</x:v>
      </x:c>
      <x:c r="B15" s="42" t="str">
        <x:v>Sau khi đủ phạm vi, đánh dấu So_du cột N = Đã đủ. Không xác nhận chỉ vì các ô chênh tổng đang bằng 0.</x:v>
      </x:c>
      <x:c r="C15" s="2"/>
      <x:c r="D15" s="2"/>
      <x:c r="E15" s="2"/>
    </x:row>
    <x:row r="16" ht="36" customHeight="1">
      <x:c r="A16" s="43" t="str">
        <x:v>Sang tháng sau</x:v>
      </x:c>
      <x:c r="B16" s="42" t="str">
        <x:v>Tạo bản sao file; cập nhật toàn bộ ảnh chụp số dư và dữ liệu của tháng mới, không chỉ thay ô tháng.</x:v>
      </x:c>
      <x:c r="C16" s="2"/>
      <x:c r="D16" s="2"/>
      <x:c r="E16" s="2"/>
    </x:row>
    <x:row r="17" ht="54" customHeight="1">
      <x:c r="A17" s="43" t="str">
        <x:v>QT trước kỳ</x:v>
      </x:c>
      <x:c r="B17" s="42" t="str">
        <x:v>Don_hang cột K và Chuyen_tien cột G là lũy kế TRƯỚC tháng đang chốt. Không nhập lại vào giao dịch của tháng.</x:v>
      </x:c>
      <x:c r="C17" s="2"/>
      <x:c r="D17" s="43" t="str">
        <x:v>Hồ sơ cần lấy</x:v>
      </x:c>
      <x:c r="E17" s="42" t="str">
        <x:v>Tải file gốc, lưu kỳ/ngày tải/shop. Giữ báo cáo đơn hàng, giao dịch tài chính, rút tiền, sao kê NH, số dư cuối kỳ và sổ chi tiết.</x:v>
      </x:c>
    </x:row>
    <x:row r="18" ht="54" customHeight="1">
      <x:c r="A18" s="43" t="str">
        <x:v>Phạm vi đơn cũ</x:v>
      </x:c>
      <x:c r="B18" s="42" t="str">
        <x:v>Bao gồm tất cả đơn còn treo đầu kỳ và đơn cũ có hoàn tiền/điều chỉnh trong tháng; loại đơn cũ đã đóng không còn biến động.</x:v>
      </x:c>
      <x:c r="C18" s="2"/>
      <x:c r="D18" s="43" t="str">
        <x:v>TikTok Shop</x:v>
      </x:c>
      <x:c r="E18" s="42" t="str">
        <x:v>Lấy đơn hàng; tài chính đã quyết toán và chưa quyết toán; đợt rút tiền. Tách giao dịch vào số dư khỏi báo Có ngân hàng.</x:v>
      </x:c>
    </x:row>
    <x:row r="19" ht="54" customHeight="1">
      <x:c r="A19" s="43" t="str">
        <x:v>Phạm vi giao dịch</x:v>
      </x:c>
      <x:c r="B19" s="42" t="str">
        <x:v>Lấy theo ngày ghi số dư/giao dịch tài chính, không theo ngày đặt đơn. Có thể giữ dữ liệu tháng sau để kiểm tra thu tiếp.</x:v>
      </x:c>
      <x:c r="C19" s="2"/>
      <x:c r="D19" s="43" t="str">
        <x:v>Shopee</x:v>
      </x:c>
      <x:c r="E19" s="42" t="str">
        <x:v>Lấy báo cáo đơn hàng, thu nhập/chi tiết quyết toán, giao dịch số dư và rút tiền. Theo dõi hoàn tiền/điều chỉnh cả đơn kỳ trước.</x:v>
      </x:c>
    </x:row>
    <x:row r="20" ht="54" customHeight="1">
      <x:c r="A20" s="43" t="str">
        <x:v>Ngày bán hàng</x:v>
      </x:c>
      <x:c r="B20" s="42" t="str">
        <x:v>Nhập ngày đủ điều kiện ghi nhận theo hồ sơ kế toán. Mẫu không tự suy ra ngày này từ trạng thái Đã hoàn thành của sàn.</x:v>
      </x:c>
      <x:c r="C20" s="2"/>
      <x:c r="D20" s="43" t="str">
        <x:v>Lazada</x:v>
      </x:c>
      <x:c r="E20" s="42" t="str">
        <x:v>Lấy báo cáo đơn hàng, sao kê tài chính/chi tiết giao dịch và lịch sử chi trả. Giữ mã đơn, giao dịch và đợt chi trả để nối dữ liệu.</x:v>
      </x:c>
    </x:row>
    <x:row r="21" ht="54" customHeight="1">
      <x:c r="A21" s="43" t="str">
        <x:v>Tiền hàng và VAT</x:v>
      </x:c>
      <x:c r="B21" s="42" t="str">
        <x:v>Don_hang E là sau giảm giá do shop chịu, gồm VAT. F chỉ là bù giá chưa nằm trong E. Doanh thu 511 phải tách VAT khi hạch toán.</x:v>
      </x:c>
      <x:c r="C21" s="2"/>
      <x:c r="D21" s="43" t="str">
        <x:v>Ngân hàng / kế toán</x:v>
      </x:c>
      <x:c r="E21" s="42" t="str">
        <x:v>Sao kê báo Có tháng chốt, báo Có kỳ sau cho khoản treo; sổ chi tiết khoản phải thu/số dư sàn và tiền đang chuyển cùng phạm vi.</x:v>
      </x:c>
    </x:row>
    <x:row r="22" ht="54" customHeight="1">
      <x:c r="A22" s="43" t="str">
        <x:v>Phí dự kiến</x:v>
      </x:c>
      <x:c r="B22" s="42" t="str">
        <x:v>Don_hang H:I là lũy kế dự kiến đến cuối kỳ, dùng để so với tiền QT. Không trực tiếp giảm công nợ tính lại.</x:v>
      </x:c>
      <x:c r="C22" s="2"/>
      <x:c r="D22" s="43" t="str">
        <x:v>Kiểm tra đủ dữ liệu</x:v>
      </x:c>
      <x:c r="E22" s="42" t="str">
        <x:v>Đối chiếu tổng theo file gốc và từng shop: quyết toán, rút tiền, báo Có và số dư. Kiểm tra đủ ngày, không trùng lần tải, không sót hoàn tiền.</x:v>
      </x:c>
    </x:row>
    <x:row r="23" ht="36" customHeight="1">
      <x:c r="A23" s="43" t="str">
        <x:v>Hoàn tiền</x:v>
      </x:c>
      <x:c r="B23" s="42" t="str">
        <x:v>Don_hang G là lũy kế để tính dự kiến; Giao_dich_san I là khoản thực tế shop chịu phát sinh trong kỳ, dùng giảm công nợ.</x:v>
      </x:c>
      <x:c r="C23" s="2"/>
      <x:c r="D23" s="2"/>
      <x:c r="E23" s="2"/>
    </x:row>
    <x:row r="24" ht="36" customHeight="1">
      <x:c r="A24" s="43" t="str">
        <x:v>Quyết toán và số dư</x:v>
      </x:c>
      <x:c r="B24" s="42" t="str">
        <x:v>Giao_dich_san nhóm Quyết toán gắn với khoản sàn QT; nhóm Số dư là biến động riêng như nạp tiền, quảng cáo, bồi thường.</x:v>
      </x:c>
      <x:c r="C24" s="2"/>
      <x:c r="D24" s="2"/>
      <x:c r="E24" s="2"/>
    </x:row>
    <x:row r="25" ht="48" customHeight="1">
      <x:c r="A25" s="43" t="str">
        <x:v>Nạp thêm tiền</x:v>
      </x:c>
      <x:c r="B25" s="42" t="str">
        <x:v>Nạp từ công ty không phải doanh thu. Mẫu cộng vào tài sản còn tại sàn; cần theo dõi đúng tài khoản trên sổ để đối chiếu cùng cơ sở.</x:v>
      </x:c>
      <x:c r="C25" s="2"/>
      <x:c r="D25" s="2"/>
      <x:c r="E25" s="2"/>
    </x:row>
    <x:row r="26" ht="36" customHeight="1">
      <x:c r="A26" s="43" t="str">
        <x:v>Phí chuyển tiền</x:v>
      </x:c>
      <x:c r="B26" s="42" t="str">
        <x:v>Chuyen_tien F chỉ là phí trừ thẳng từ khoản rút, đã xác nhận và chưa ghi tại Giao_dich_san. Không ghi phí hai lần.</x:v>
      </x:c>
      <x:c r="C26" s="2"/>
      <x:c r="D26" s="2"/>
      <x:c r="E26" s="2"/>
    </x:row>
    <x:row r="27" ht="36" customHeight="1">
      <x:c r="A27" s="43" t="str">
        <x:v>Số dư độc lập</x:v>
      </x:c>
      <x:c r="B27" s="42" t="str">
        <x:v>So_du F:J lấy từ báo cáo/số dư nguồn, không sao chép số tính lại. Khả dụng, giữ lại, đang chuyển phải loại trừ trùng.</x:v>
      </x:c>
      <x:c r="C27" s="2"/>
      <x:c r="D27" s="2"/>
      <x:c r="E27" s="2"/>
    </x:row>
    <x:row r="28" ht="36" customHeight="1">
      <x:c r="A28" s="43" t="str">
        <x:v>Net và gross</x:v>
      </x:c>
      <x:c r="B28" s="42" t="str">
        <x:v>So_du F là đơn đã ghi nhận nhưng chưa QT, có thể net phí ước tính. G chỉ cộng lại phần phí dự kiến chưa thực sự cấn trừ.</x:v>
      </x:c>
      <x:c r="C28" s="2"/>
      <x:c r="D28" s="2"/>
      <x:c r="E28" s="2"/>
    </x:row>
    <x:row r="29" ht="48" customHeight="1">
      <x:c r="A29" s="43" t="str">
        <x:v>Sổ kế toán</x:v>
      </x:c>
      <x:c r="B29" s="42" t="str">
        <x:v>K là tổng tài sản/công nợ tương ứng với cùng phạm vi, gồm tiền đang chuyển nếu sổ đã tách 113. Không đối chiếu một TK thiếu phạm vi.</x:v>
      </x:c>
      <x:c r="C29" s="2"/>
      <x:c r="D29" s="2"/>
      <x:c r="E29" s="2"/>
    </x:row>
    <x:row r="30" ht="36" customHeight="1">
      <x:c r="A30" s="43" t="str">
        <x:v>Tài khoản phí phải trả</x:v>
      </x:c>
      <x:c r="B30" s="42" t="str">
        <x:v>Phí đã trích trước nhưng chưa cấn trừ không tự giảm khoản phải thu. Đối chiếu khoản phải trả riêng, tránh trừ hai lần.</x:v>
      </x:c>
      <x:c r="C30" s="2"/>
      <x:c r="D30" s="2"/>
      <x:c r="E30" s="2"/>
    </x:row>
    <x:row r="31" ht="36" customHeight="1">
      <x:c r="A31" s="43" t="str">
        <x:v>Thời điểm khóa sổ</x:v>
      </x:c>
      <x:c r="B31" s="42" t="str">
        <x:v>Lọc thời gian theo &gt;= đầu tháng và &lt; đầu tháng sau; giao dịch báo Có tháng sau chưa làm giảm công nợ tháng này.</x:v>
      </x:c>
      <x:c r="C31" s="2"/>
      <x:c r="D31" s="2"/>
      <x:c r="E31" s="2"/>
    </x:row>
    <x:row r="32" ht="36" customHeight="1">
      <x:c r="A32" s="43" t="str">
        <x:v>Dòng vượt 100</x:v>
      </x:c>
      <x:c r="B32" s="42" t="str">
        <x:v>Mỗi bảng có sẵn 100 dòng. Thêm dòng TRONG Excel Table, mở rộng bảng đúng toàn bộ dữ liệu, sao chép cột công thức từ dòng trên.</x:v>
      </x:c>
      <x:c r="C32" s="2"/>
      <x:c r="D32" s="2"/>
      <x:c r="E32" s="2"/>
    </x:row>
    <x:row r="33" ht="48" customHeight="1">
      <x:c r="A33" s="43" t="str">
        <x:v>Sau khi thêm dòng</x:v>
      </x:c>
      <x:c r="B33" s="42" t="str">
        <x:v>Công thức SUMIFS dùng tên bảng nên theo phạm vi bảng mở rộng. Kiểm tra công thức, định dạng và validation ở dòng mới trước khi chốt.</x:v>
      </x:c>
      <x:c r="C33" s="2"/>
      <x:c r="D33" s="2"/>
      <x:c r="E33" s="2"/>
    </x:row>
    <x:row r="34" ht="36" customHeight="1">
      <x:c r="A34" s="43" t="str">
        <x:v>Dữ liệu trống</x:v>
      </x:c>
      <x:c r="B34" s="42" t="str">
        <x:v>Các số tiền bắt buộc phải nhập số, kể cả 0. Mẫu cảnh báo dữ liệu thiếu; n.a. là chưa tính được, không phải không phát sinh.</x:v>
      </x:c>
      <x:c r="C34" s="2"/>
      <x:c r="D34" s="2"/>
      <x:c r="E34" s="2"/>
    </x:row>
    <x:row r="35" ht="36" customHeight="1">
      <x:c r="A35" s="43" t="str">
        <x:v>Giới hạn tự động</x:v>
      </x:c>
      <x:c r="B35" s="42" t="str">
        <x:v>Không có macro, kết nối API hay tự nhận diện cột file sàn. Đầu vào là dữ liệu đã chuẩn hóa; giữ file gốc để truy vết.</x:v>
      </x:c>
      <x:c r="C35" s="2"/>
      <x:c r="D35" s="2"/>
      <x:c r="E35" s="2"/>
    </x:row>
    <x:row r="36" ht="36" customHeight="1">
      <x:c r="A36" s="43" t="str">
        <x:v>Các khoản chưa hỗ trợ</x:v>
      </x:c>
      <x:c r="B36" s="42" t="str">
        <x:v>Trường hợp sàn ứng trước, cho vay, thu hộ ngoài mẫu hoặc nhiều đồng tiền cần bổ sung lịch đối chiếu riêng trước khi dùng kết quả.</x:v>
      </x:c>
      <x:c r="C36" s="2"/>
      <x:c r="D36" s="2"/>
      <x:c r="E36" s="2"/>
    </x:row>
    <x:row r="37" ht="48" customHeight="1">
      <x:c r="A37" s="43" t="str">
        <x:v>Báo Có gộp nhiều đợt</x:v>
      </x:c>
      <x:c r="B37" s="42" t="str">
        <x:v>Phân bổ báo Có theo đợt, đặt mã dòng NH riêng; lưu mã báo Có gốc tại H. Kiểm tra tổng phân bổ bằng sao kê, không nhập toàn bộ tiền cho từng đợt.</x:v>
      </x:c>
      <x:c r="C37" s="2"/>
      <x:c r="D37" s="2"/>
      <x:c r="E37" s="2"/>
    </x:row>
    <x:row r="38" ht="36" customHeight="1">
      <x:c r="A38" s="43" t="str">
        <x:v>Mã giao dịch tài chính</x:v>
      </x:c>
      <x:c r="B38" s="42" t="str">
        <x:v>Nếu sàn không có mã duy nhất từng dòng, tạo mã ổn định từ mã báo cáo + số dòng gốc. Không xóa dòng hoàn tiền chỉ vì trùng mã đơn.</x:v>
      </x:c>
      <x:c r="C38" s="2"/>
      <x:c r="D38" s="2"/>
      <x:c r="E38" s="2"/>
    </x:row>
    <x:row r="39" ht="36" customHeight="1">
      <x:c r="A39" s="43" t="str">
        <x:v>Ví dụ TikTok</x:v>
      </x:c>
      <x:c r="B39" s="42" t="str">
        <x:v>Cuối kỳ 1.160.000. Các đối chiếu tổng khớp; TT-002 chờ QT đúng hạn, P2 đang chuyển 400.000.</x:v>
      </x:c>
      <x:c r="C39" s="2"/>
      <x:c r="D39" s="2"/>
      <x:c r="E39" s="2"/>
    </x:row>
    <x:row r="40" ht="36" customHeight="1">
      <x:c r="A40" s="43" t="str">
        <x:v>Ví dụ Shopee</x:v>
      </x:c>
      <x:c r="B40" s="42" t="str">
        <x:v>Cuối kỳ 1.408.000, tổng vẫn khớp. SP-001 thiếu 2.000 so dự kiến do phí ship 22.000 thay vì 20.000.</x:v>
      </x:c>
      <x:c r="C40" s="2"/>
      <x:c r="D40" s="2"/>
      <x:c r="E40" s="2"/>
    </x:row>
    <x:row r="41" ht="36" customHeight="1">
      <x:c r="A41" s="43" t="str">
        <x:v>Ví dụ Lazada</x:v>
      </x:c>
      <x:c r="B41" s="42" t="str">
        <x:v>Cuối kỳ tính lại 1.406.000, nguồn 1.405.000. LZ-P1 mới nhận 999.000 trên số phải nhận 1.000.000.</x:v>
      </x:c>
      <x:c r="C41" s="2"/>
      <x:c r="D41" s="2"/>
      <x:c r="E41" s="2"/>
    </x:row>
    <x:row r="42" ht="36" customHeight="1">
      <x:c r="A42" s="43" t="str">
        <x:v>Tiêu chí hoàn tất</x:v>
      </x:c>
      <x:c r="B42" s="42" t="str">
        <x:v>Đủ nguồn, hết lỗi dữ liệu, mọi chênh đã có chứng cứ xử lý và từng khoản treo xác định được. Không dùng điều chỉnh để ép khớp.</x:v>
      </x:c>
      <x:c r="C42" s="2"/>
      <x:c r="D42" s="2"/>
      <x:c r="E42" s="2"/>
    </x:row>
    <x:row r="43" ht="22" customHeight="1">
      <x:c r="A43" s="2"/>
      <x:c r="B43" s="2"/>
      <x:c r="C43" s="2"/>
      <x:c r="D43" s="2"/>
      <x:c r="E43" s="2"/>
    </x:row>
    <x:row r="44" ht="22" customHeight="1">
      <x:c r="A44" s="2"/>
      <x:c r="B44" s="2"/>
      <x:c r="C44" s="2"/>
      <x:c r="D44" s="2"/>
      <x:c r="E44" s="2"/>
    </x:row>
    <x:row r="45" ht="22" customHeight="1">
      <x:c r="A45" s="2"/>
      <x:c r="B45" s="2"/>
      <x:c r="C45" s="2"/>
      <x:c r="D45" s="2"/>
      <x:c r="E45" s="2"/>
    </x:row>
    <x:row r="46" ht="22" customHeight="1">
      <x:c r="A46" s="2"/>
      <x:c r="B46" s="2"/>
      <x:c r="C46" s="2"/>
      <x:c r="D46" s="2"/>
      <x:c r="E46" s="2"/>
    </x:row>
    <x:row r="47" ht="22" customHeight="1">
      <x:c r="A47" s="2"/>
      <x:c r="B47" s="2"/>
      <x:c r="C47" s="2"/>
      <x:c r="D47" s="2"/>
      <x:c r="E47" s="2"/>
    </x:row>
    <x:row r="48" ht="22" customHeight="1">
      <x:c r="A48" s="2"/>
      <x:c r="B48" s="2"/>
      <x:c r="C48" s="2"/>
      <x:c r="D48" s="2"/>
      <x:c r="E48" s="2"/>
    </x:row>
    <x:row r="49" ht="22" customHeight="1">
      <x:c r="A49" s="2"/>
      <x:c r="B49" s="2"/>
      <x:c r="C49" s="2"/>
      <x:c r="D49" s="2"/>
      <x:c r="E49" s="2"/>
    </x:row>
    <x:row r="50" ht="22" customHeight="1">
      <x:c r="A50" s="2"/>
      <x:c r="B50" s="2"/>
      <x:c r="C50" s="2"/>
      <x:c r="D50" s="2"/>
      <x:c r="E50" s="2"/>
    </x:row>
    <x:row r="51" ht="22" customHeight="1">
      <x:c r="A51" s="2"/>
      <x:c r="B51" s="2"/>
      <x:c r="C51" s="2"/>
      <x:c r="D51" s="2"/>
      <x:c r="E51" s="2"/>
    </x:row>
    <x:row r="52" ht="22" customHeight="1">
      <x:c r="A52" s="2"/>
      <x:c r="B52" s="2"/>
      <x:c r="C52" s="2"/>
      <x:c r="D52" s="2"/>
      <x:c r="E52" s="2"/>
    </x:row>
    <x:row r="53" ht="22" customHeight="1">
      <x:c r="A53" s="2"/>
      <x:c r="B53" s="2"/>
      <x:c r="C53" s="2"/>
      <x:c r="D53" s="2"/>
      <x:c r="E53" s="2"/>
    </x:row>
    <x:row r="54" ht="22" customHeight="1">
      <x:c r="A54" s="2"/>
      <x:c r="B54" s="2"/>
      <x:c r="C54" s="2"/>
      <x:c r="D54" s="2"/>
      <x:c r="E54" s="2"/>
    </x:row>
    <x:row r="55" ht="22" customHeight="1">
      <x:c r="A55" s="2"/>
      <x:c r="B55" s="2"/>
      <x:c r="C55" s="2"/>
      <x:c r="D55" s="2"/>
      <x:c r="E55" s="2"/>
    </x:row>
  </x:sheetData>
  <x:pageMargins left="0.7" right="0.7" top="0.75" bottom="0.75" header="0.3" footer="0.3"/>
</x:worksheet>
</file>