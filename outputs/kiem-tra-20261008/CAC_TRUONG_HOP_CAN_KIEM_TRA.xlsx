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UVG\outputs\kiem-tra-20261008\"/>
    </mc:Choice>
  </mc:AlternateContent>
  <xr:revisionPtr revIDLastSave="0" documentId="13_ncr:1_{6E20B3ED-BE31-4329-9F9B-4E7D3BE5DDF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an kiem tra" sheetId="1" r:id="rId1"/>
    <sheet name="So lieu doi chieu" sheetId="2" r:id="rId2"/>
  </sheets>
  <calcPr calcId="191029"/>
</workbook>
</file>

<file path=xl/calcChain.xml><?xml version="1.0" encoding="utf-8"?>
<calcChain xmlns="http://schemas.openxmlformats.org/spreadsheetml/2006/main">
  <c r="H25" i="2" l="1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</calcChain>
</file>

<file path=xl/sharedStrings.xml><?xml version="1.0" encoding="utf-8"?>
<sst xmlns="http://schemas.openxmlformats.org/spreadsheetml/2006/main" count="278" uniqueCount="148">
  <si>
    <t>UVG — Các trường hợp cần kiểm tra</t>
  </si>
  <si>
    <t>19 chuỗi: 17 ngoài ngoại lệ, 2 ngoại lệ. Kiểm tra các điểm đã ghi nhận; chưa phải rà toàn bộ hóa đơn.</t>
  </si>
  <si>
    <t>Điền các cột H–J. Chỉ chọn Đã xác minh khi đã ghi kết quả và bằng chứng; không thay số liệu nguồn ở tab đối chiếu.</t>
  </si>
  <si>
    <t>Phạm vi F0 01/01/2024–30/06/2025, liên quan đến 31/12/2025. Số tiền bằng đồng; ô trống được giữ nguyên.</t>
  </si>
  <si>
    <t>STT</t>
  </si>
  <si>
    <t>Nhóm xử lý</t>
  </si>
  <si>
    <t>Hóa đơn gốc F0</t>
  </si>
  <si>
    <t>Hóa đơn cần kiểm tra</t>
  </si>
  <si>
    <t>Vấn đề</t>
  </si>
  <si>
    <t>Nội dung đã ghi nhận</t>
  </si>
  <si>
    <t>Cần kiểm tra / xác nhận</t>
  </si>
  <si>
    <t>Trạng thái</t>
  </si>
  <si>
    <t>Kết quả kiểm tra của bạn</t>
  </si>
  <si>
    <t>File / căn cứ bổ sung</t>
  </si>
  <si>
    <t>Nguồn đã dùng</t>
  </si>
  <si>
    <t>Đã điều chỉnh ngoài ngoại lệ</t>
  </si>
  <si>
    <t>1C24TUV/00000003</t>
  </si>
  <si>
    <t>1C25TUV/00000508</t>
  </si>
  <si>
    <t>Bảng tổng khác bảng chi tiết</t>
  </si>
  <si>
    <t>508: bảng tổng tiền hàng -356.085, thuế -28.487, thanh toán -384.572; chi tiết tiền hàng 0, thuế -28.487, thanh toán -28.487.</t>
  </si>
  <si>
    <t>Lấy XML/bản hóa đơn 508 để chốt số đúng trước khi đảo dấu. Chênh thanh toán giữa hai bảng 356.085 đồng; chưa kết luận lỗi nằm ở hóa đơn hay bảng kê.</t>
  </si>
  <si>
    <t>Chờ kiểm tra</t>
  </si>
  <si>
    <t>HOA_DON_DA_DIEU_CHINH_F0_2024_T6_2025.xlsx | Dieu chinh | dòng 3; bảng kê tổng phần 1 | dòng 1299; bảng kê chi tiết 2025 | dòng 16434</t>
  </si>
  <si>
    <t>1C25TUV/00000159</t>
  </si>
  <si>
    <t>1C25TUV/00000649</t>
  </si>
  <si>
    <t>Lệch số học</t>
  </si>
  <si>
    <t>Thanh toán − (tiền hàng + thuế) = +823,998 đồng.</t>
  </si>
  <si>
    <t>Đối chiếu bản hóa đơn/XML để chốt tiền hàng, thuế và thanh toán đúng. Không tự coi lệch 1 đồng là do làm tròn.</t>
  </si>
  <si>
    <t>HOA_DON_DA_DIEU_CHINH_F0_2024_T6_2025.xlsx | Dieu chinh | dòng 698; data/Du lieu Meinvoice/Bang_ke_hoa_don_da_su_dung_2024_2025/Bang_ke_hoa_don_da_su_dung_1791380301707_1.xlsx | dòng 1440; data/Du lieu Meinvoice/Bang_ke_hoa_don_dieu_chinh_xuat_theo_HD_dieu_chinh_2024.xls | dòng 136; data/Du lieu Meinvoice/Bang_ke_hoa_don_dieu_chinh_xuat_theo_HD_dieu_chinh_2025.xls | dòng 136</t>
  </si>
  <si>
    <t>1C25TUV/00000056</t>
  </si>
  <si>
    <t>1C25TUV/00000561</t>
  </si>
  <si>
    <t>Thanh toán − (tiền hàng + thuế) = -136,000 đồng.</t>
  </si>
  <si>
    <t>HOA_DON_DA_DIEU_CHINH_F0_2024_T6_2025.xlsx | Dieu chinh | dòng 623; data/Du lieu Meinvoice/Bang_ke_hoa_don_da_su_dung_2024_2025/Bang_ke_hoa_don_da_su_dung_1791380301707_1.xlsx | dòng 1352; data/Du lieu Meinvoice/Bang_ke_hoa_don_dieu_chinh_xuat_theo_HD_dieu_chinh_2024.xls | dòng 39; data/Du lieu Meinvoice/Bang_ke_hoa_don_dieu_chinh_xuat_theo_HD_dieu_chinh_2025.xls | dòng 39</t>
  </si>
  <si>
    <t>1C24TUV/00000283</t>
  </si>
  <si>
    <t>1C25TUV/00001819</t>
  </si>
  <si>
    <t>Thanh toán − (tiền hàng + thuế) = -2,000 đồng.</t>
  </si>
  <si>
    <t>HOA_DON_DA_DIEU_CHINH_F0_2024_T6_2025.xlsx | Dieu chinh | dòng 227; data/Du lieu Meinvoice/Bang_ke_hoa_don_da_su_dung_2024_2025/Bang_ke_hoa_don_da_su_dung_1791380301707_1.xlsx | dòng 2610; data/Du lieu Meinvoice/Bang_ke_hoa_don_dieu_chinh_xuat_theo_HD_dieu_chinh_2024.xls | dòng 366; data/Du lieu Meinvoice/Bang_ke_hoa_don_dieu_chinh_xuat_theo_HD_dieu_chinh_2025.xls | dòng 366</t>
  </si>
  <si>
    <t>1C24TUV/00000093</t>
  </si>
  <si>
    <t>1C25TUV/00001167</t>
  </si>
  <si>
    <t>Thanh toán − (tiền hàng + thuế) = -1,000 đồng.</t>
  </si>
  <si>
    <t>HOA_DON_DA_DIEU_CHINH_F0_2024_T6_2025.xlsx | Dieu chinh | dòng 80; data/Du lieu Meinvoice/Bang_ke_hoa_don_da_su_dung_2024_2025/Bang_ke_hoa_don_da_su_dung_1791380301707_1.xlsx | dòng 1958; data/Du lieu Meinvoice/Bang_ke_hoa_don_dieu_chinh_xuat_theo_HD_dieu_chinh_2024.xls | dòng 234; data/Du lieu Meinvoice/Bang_ke_hoa_don_dieu_chinh_xuat_theo_HD_dieu_chinh_2025.xls | dòng 234</t>
  </si>
  <si>
    <t>1C24TUV/00000535</t>
  </si>
  <si>
    <t>1C25TUV/00002145</t>
  </si>
  <si>
    <t>Thanh toán − (tiền hàng + thuế) = -900 đồng.</t>
  </si>
  <si>
    <t>HOA_DON_DA_DIEU_CHINH_F0_2024_T6_2025.xlsx | Dieu chinh | dòng 422; data/Du lieu Meinvoice/Bang_ke_hoa_don_da_su_dung_2024_2025/Bang_ke_hoa_don_da_su_dung_1791380301707_1.xlsx | dòng 2936; data/Du lieu Meinvoice/Bang_ke_hoa_don_dieu_chinh_xuat_theo_HD_dieu_chinh_2024.xls | dòng 534; data/Du lieu Meinvoice/Bang_ke_hoa_don_dieu_chinh_xuat_theo_HD_dieu_chinh_2025.xls | dòng 534</t>
  </si>
  <si>
    <t>1C24TUV/00000228</t>
  </si>
  <si>
    <t>1C25TUV/00002619</t>
  </si>
  <si>
    <t>Thanh toán − (tiền hàng + thuế) = -1 đồng.</t>
  </si>
  <si>
    <t>HOA_DON_DA_DIEU_CHINH_F0_2024_T6_2025.xlsx | Dieu chinh | dòng 180; data/Du lieu Meinvoice/Bang_ke_hoa_don_da_su_dung_2024_2025/Bang_ke_hoa_don_da_su_dung_1791380301707_1.xlsx | dòng 3410; data/Du lieu Meinvoice/Bang_ke_hoa_don_dieu_chinh_xuat_theo_HD_dieu_chinh_2024.xls | dòng 770; data/Du lieu Meinvoice/Bang_ke_hoa_don_dieu_chinh_xuat_theo_HD_dieu_chinh_2025.xls | dòng 770</t>
  </si>
  <si>
    <t>1C24TUV/00000285</t>
  </si>
  <si>
    <t>1C25TUV/00001821</t>
  </si>
  <si>
    <t>Thanh toán − (tiền hàng + thuế) = +1 đồng.</t>
  </si>
  <si>
    <t>HOA_DON_DA_DIEU_CHINH_F0_2024_T6_2025.xlsx | Dieu chinh | dòng 229; data/Du lieu Meinvoice/Bang_ke_hoa_don_da_su_dung_2024_2025/Bang_ke_hoa_don_da_su_dung_1791380301707_1.xlsx | dòng 2612; data/Du lieu Meinvoice/Bang_ke_hoa_don_dieu_chinh_xuat_theo_HD_dieu_chinh_2024.xls | dòng 368; data/Du lieu Meinvoice/Bang_ke_hoa_don_dieu_chinh_xuat_theo_HD_dieu_chinh_2025.xls | dòng 368</t>
  </si>
  <si>
    <t>1C25TUV/00000102</t>
  </si>
  <si>
    <t>1C25TUV/00000626</t>
  </si>
  <si>
    <t>HOA_DON_DA_DIEU_CHINH_F0_2024_T6_2025.xlsx | Dieu chinh | dòng 656; data/Du lieu Meinvoice/Bang_ke_hoa_don_da_su_dung_2024_2025/Bang_ke_hoa_don_da_su_dung_1791380301707_1.xlsx | dòng 1417; data/Du lieu Meinvoice/Bang_ke_hoa_don_dieu_chinh_xuat_theo_HD_dieu_chinh_2024.xls | dòng 76; data/Du lieu Meinvoice/Bang_ke_hoa_don_dieu_chinh_xuat_theo_HD_dieu_chinh_2025.xls | dòng 76</t>
  </si>
  <si>
    <t>Ngoại lệ giữ nguyên</t>
  </si>
  <si>
    <t>1C24TUV/00000063</t>
  </si>
  <si>
    <t>Bảng tổng trống, chi tiết có 0</t>
  </si>
  <si>
    <t>Bảng tổng trống thanh toán; đã kiểm lại 1 dòng chi tiết, cột U đều ghi số 0. Cộng dồn thanh toán trong report vẫn trống.</t>
  </si>
  <si>
    <t>Đối chiếu bản hóa đơn/XML; xác nhận dùng thanh toán 0 từ chi tiết cho hóa đơn này, rồi mới cập nhật cộng dồn. Số 0 này không chứng minh cả chuỗi bằng 0.</t>
  </si>
  <si>
    <t>Có căn cứ 0 ở chi tiết - chờ chốt</t>
  </si>
  <si>
    <t>NGOAI_LE_F0_2024_T6_2025.xlsx | Ngoai le | dòng 11; data/Du lieu Meinvoice/Bang_ke_hoa_don_da_su_dung_2024_2025/Bang_ke_hoa_don_da_su_dung_1791380301707_1.xlsx | dòng 68; bảng kê chi tiết 2024 | dòng 32683 | cột U</t>
  </si>
  <si>
    <t>1C25TUV/00000006</t>
  </si>
  <si>
    <t>Bảng tổng trống thanh toán; đã kiểm lại 5 dòng chi tiết, cột U đều ghi số 0. Cộng dồn thanh toán trong report vẫn trống.</t>
  </si>
  <si>
    <t>HOA_DON_DA_DIEU_CHINH_F0_2024_T6_2025.xlsx | Dieu chinh | dòng 597; data/Du lieu Meinvoice/Bang_ke_hoa_don_da_su_dung_2024_2025/Bang_ke_hoa_don_da_su_dung_1791380301707_1.xlsx | dòng 797; bảng kê chi tiết 2025 | dòng 27173, 27174, 27175, 27176, 27177 | cột U</t>
  </si>
  <si>
    <t>1C25TUV/00000016</t>
  </si>
  <si>
    <t>Bảng tổng trống thanh toán; đã kiểm lại 3 dòng chi tiết, cột U đều ghi số 0. Cộng dồn thanh toán trong report vẫn trống.</t>
  </si>
  <si>
    <t>HOA_DON_DA_DIEU_CHINH_F0_2024_T6_2025.xlsx | Dieu chinh | dòng 600; data/Du lieu Meinvoice/Bang_ke_hoa_don_da_su_dung_2024_2025/Bang_ke_hoa_don_da_su_dung_1791380301707_1.xlsx | dòng 807; bảng kê chi tiết 2025 | dòng 27156, 27157, 27158 | cột U</t>
  </si>
  <si>
    <t>1C25TUV/00001348</t>
  </si>
  <si>
    <t>1C25TUV/00006108</t>
  </si>
  <si>
    <t>HOA_DON_DA_DIEU_CHINH_F0_2024_T6_2025.xlsx | Dieu chinh | dòng 917; data/Du lieu Meinvoice/Bang_ke_hoa_don_da_su_dung_2024_2025/Bang_ke_hoa_don_da_su_dung_1791380301707_2.xlsx | dòng 1911; data/Du lieu Meinvoice/Bang_ke_hoa_don_dieu_chinh_xuat_theo_HD_dieu_chinh_2024.xls | dòng 905; data/Du lieu Meinvoice/Bang_ke_hoa_don_dieu_chinh_xuat_theo_HD_dieu_chinh_2025.xls | dòng 905; bảng kê chi tiết 2025 | dòng 8166 | cột U</t>
  </si>
  <si>
    <t>1C25TUV/00002377</t>
  </si>
  <si>
    <t>1C25TUV/00004203</t>
  </si>
  <si>
    <t>HOA_DON_DA_DIEU_CHINH_F0_2024_T6_2025.xlsx | Dieu chinh | dòng 938; data/Du lieu Meinvoice/Bang_ke_hoa_don_da_su_dung_2024_2025/Bang_ke_hoa_don_da_su_dung_1791380301707_2.xlsx | dòng 6; data/Du lieu Meinvoice/Bang_ke_hoa_don_dieu_chinh_xuat_theo_HD_dieu_chinh_2024.xls | dòng 855; data/Du lieu Meinvoice/Bang_ke_hoa_don_dieu_chinh_xuat_theo_HD_dieu_chinh_2025.xls | dòng 855; bảng kê chi tiết 2025 | dòng 10307 | cột U</t>
  </si>
  <si>
    <t>1C25TUV/00002378</t>
  </si>
  <si>
    <t>1C25TUV/00004204</t>
  </si>
  <si>
    <t>HOA_DON_DA_DIEU_CHINH_F0_2024_T6_2025.xlsx | Dieu chinh | dòng 939; data/Du lieu Meinvoice/Bang_ke_hoa_don_da_su_dung_2024_2025/Bang_ke_hoa_don_da_su_dung_1791380301707_2.xlsx | dòng 7; data/Du lieu Meinvoice/Bang_ke_hoa_don_dieu_chinh_xuat_theo_HD_dieu_chinh_2024.xls | dòng 856; data/Du lieu Meinvoice/Bang_ke_hoa_don_dieu_chinh_xuat_theo_HD_dieu_chinh_2025.xls | dòng 856; bảng kê chi tiết 2025 | dòng 10306 | cột U</t>
  </si>
  <si>
    <t>1C25TUV/00009072</t>
  </si>
  <si>
    <t>1C25TUV/00009186</t>
  </si>
  <si>
    <t>Bảng tổng trống thanh toán; đã kiểm lại 2 dòng chi tiết, cột U đều ghi số 0. Cộng dồn thanh toán trong report vẫn trống.</t>
  </si>
  <si>
    <t>HOA_DON_DA_DIEU_CHINH_F0_2024_T6_2025.xlsx | Dieu chinh | dòng 1046; data/Du lieu Meinvoice/Bang_ke_hoa_don_da_su_dung_2024_2025/Bang_ke_hoa_don_da_su_dung_1791380301707_3.xlsx | dòng 6; data/Du lieu Meinvoice/Bang_ke_hoa_don_dieu_chinh_xuat_theo_HD_dieu_chinh_2024.xls | dòng 1056; data/Du lieu Meinvoice/Bang_ke_hoa_don_dieu_chinh_xuat_theo_HD_dieu_chinh_2025.xls | dòng 1056; bảng kê chi tiết 2025 | dòng 4824, 4825 | cột U</t>
  </si>
  <si>
    <t>1C25TUV/00001314</t>
  </si>
  <si>
    <t>1C25TUV/00012885</t>
  </si>
  <si>
    <t>Ngày giữa nguồn khác nhau</t>
  </si>
  <si>
    <t>12885: chi tiết và ảnh danh sách ghi 05/07/2025; bảng tổng/liên kết ghi 18/08/2025. Report dùng 05/07/2025 theo xác nhận. Chuỗi cộng dồn 0.</t>
  </si>
  <si>
    <t>Lấy XML/bản hóa đơn 12885 để đối chiếu ngày độc lập; giữ cả hai ngày nguồn và xác nhận đã có.</t>
  </si>
  <si>
    <t>Đã xác nhận ngày - chờ XML</t>
  </si>
  <si>
    <t>HOA_DON_DA_DIEU_CHINH_F0_2024_T6_2025.xlsx | Dieu chinh | dòng 903; data/Du lieu Meinvoice/Bang_ke_hoa_don_da_su_dung_2024_2025/Bang_ke_hoa_don_da_su_dung_1791380301707_5.xlsx | dòng 1628; data/Du lieu Meinvoice/Bang_ke_hoa_don_dieu_chinh_xuat_theo_HD_dieu_chinh_2024.xls | dòng 1238; data/Du lieu Meinvoice/Bang_ke_hoa_don_dieu_chinh_xuat_theo_HD_dieu_chinh_2025.xls | dòng 1238; data/Du lieu Meinvoice/Bang_ke_chi_tiet_HD_da_su_dung_2025.xls | dòng 2445 (ngày 05/07/2025); data/Du lieu Meinvoice/Bang_ke_hoa_don_da_su_dung_2024_2025/Bang_ke_hoa_don_da_su_dung_1791380301707_5.xlsx | dòng 1628 (ngày 18/08/2025); Ngày bảng chính 05/07/2025: Người dùng xác nhận và gửi ảnh danh sách Hóa đơn bán hàng có mã CQT trên meInvoice; chưa đối chiếu XML độc lập (07/10/2026)</t>
  </si>
  <si>
    <t>1C24TUV/00000574</t>
  </si>
  <si>
    <t>Quy ước riêng hóa đơn 574</t>
  </si>
  <si>
    <t>Thanh toán gốc trống; tạm tính 0 theo xác nhận trước. Cộng dồn chuỗi 1.839.000 đồng.</t>
  </si>
  <si>
    <t>Đối chiếu bản hóa đơn/XML để xác nhận thanh toán gốc. Quy ước riêng đã có, không áp dụng sang hóa đơn khác.</t>
  </si>
  <si>
    <t>Đã chốt tạm - chờ căn cứ gốc</t>
  </si>
  <si>
    <t>HOA_DON_DA_DIEU_CHINH_F0_2024_T6_2025.xlsx | Dieu chinh | dòng 446; data/Du lieu Meinvoice/Bang_ke_hoa_don_da_su_dung_2024_2025/Bang_ke_hoa_don_da_su_dung_1791380301707_1.xlsx | dòng 579</t>
  </si>
  <si>
    <t>1C24TUV/00000060</t>
  </si>
  <si>
    <t>Chuỗi thay thế trong ngoại lệ</t>
  </si>
  <si>
    <t>Chuỗi 60 → 61 → 1C25TUV/00002605; không cộng các bản bị thay thế. Cộng dồn thanh toán 2.739.000 đồng.</t>
  </si>
  <si>
    <t>Kiểm tra tham chiếu và bản hiện hành bằng XML. Thuộc ngoại lệ giữ nguyên, không đưa vào lô điều chỉnh ngoài ngoại lệ.</t>
  </si>
  <si>
    <t>NGOAI_LE_F0_2024_T6_2025.xlsx | Ngoai le | dòng 9; data/Du lieu Meinvoice/Bang_ke_hoa_don_da_su_dung_2024_2025/Bang_ke_hoa_don_da_su_dung_1791380301707_1.xlsx | dòng 65</t>
  </si>
  <si>
    <t>UVG — Số liệu để đối chiếu</t>
  </si>
  <si>
    <t>E–G: số của hóa đơn cần kiểm tra trong bảng tổng; I: cộng dồn cả chuỗi theo report hiện có.</t>
  </si>
  <si>
    <t>H = thanh toán − (tiền hàng + thuế), chỉ tính khi đủ 3 số. Ô trống không đổi thành 0.</t>
  </si>
  <si>
    <t>Các nguồn và ghi chú gốc ở K–L; kết quả kiểm tra nhập tại tab Can kiem tra.</t>
  </si>
  <si>
    <t>Ngày theo report</t>
  </si>
  <si>
    <t>Tiền hàng bảng tổng</t>
  </si>
  <si>
    <t>Thuế bảng tổng</t>
  </si>
  <si>
    <t>Thanh toán bảng tổng</t>
  </si>
  <si>
    <t>Cộng dồn thanh toán chuỗi</t>
  </si>
  <si>
    <t>Chuỗi hiện có</t>
  </si>
  <si>
    <t>Ghi chú report gốc</t>
  </si>
  <si>
    <t>1C24TUV/00000003; 1C25TUV/00000508</t>
  </si>
  <si>
    <t>Bất nhất bảng tổng và bảng chi tiết vừa phát hiện.</t>
  </si>
  <si>
    <t>1C25TUV/00000159; 1C25TUV/00000649</t>
  </si>
  <si>
    <t>1C25TUV/00000649 tiền hàng + thuế lệch thanh toán</t>
  </si>
  <si>
    <t>1C25TUV/00000056; 1C25TUV/00000561</t>
  </si>
  <si>
    <t>1C25TUV/00000561 tiền hàng + thuế lệch thanh toán</t>
  </si>
  <si>
    <t>1C24TUV/00000283; 1C25TUV/00001819</t>
  </si>
  <si>
    <t>1C25TUV/00001819 tiền hàng + thuế lệch thanh toán</t>
  </si>
  <si>
    <t>1C24TUV/00000093; 1C25TUV/00001167</t>
  </si>
  <si>
    <t>1C25TUV/00001167 tiền hàng + thuế lệch thanh toán</t>
  </si>
  <si>
    <t>1C24TUV/00000535; 1C25TUV/00002145</t>
  </si>
  <si>
    <t>1C25TUV/00002145 tiền hàng + thuế lệch thanh toán</t>
  </si>
  <si>
    <t>1C24TUV/00000228; 1C25TUV/00002619; 1C25TUV/00002646</t>
  </si>
  <si>
    <t>1C25TUV/00002619 tiền hàng + thuế lệch thanh toán</t>
  </si>
  <si>
    <t>1C24TUV/00000285; 1C25TUV/00001821</t>
  </si>
  <si>
    <t>1C25TUV/00001821 tiền hàng + thuế lệch thanh toán</t>
  </si>
  <si>
    <t>1C25TUV/00000102; 1C25TUV/00000626</t>
  </si>
  <si>
    <t>1C25TUV/00000626 tiền hàng + thuế lệch thanh toán</t>
  </si>
  <si>
    <t>1C24TUV/00000063 có ô tiền bảng tổng trống; không tự điền 0</t>
  </si>
  <si>
    <t>1C25TUV/00000006; 1C25TUV/00000655</t>
  </si>
  <si>
    <t>1C25TUV/00000006 có ô tiền bảng tổng trống; không tự điền 0</t>
  </si>
  <si>
    <t>1C25TUV/00000016; 1C25TUV/00000657</t>
  </si>
  <si>
    <t>1C25TUV/00000016 có ô tiền bảng tổng trống; không tự điền 0</t>
  </si>
  <si>
    <t>1C25TUV/00001348; 1C25TUV/00006108</t>
  </si>
  <si>
    <t>1C25TUV/00006108 có ô tiền bảng tổng trống; không tự điền 0</t>
  </si>
  <si>
    <t>1C25TUV/00002377; 1C25TUV/00004203</t>
  </si>
  <si>
    <t>1C25TUV/00004203 có ô tiền bảng tổng trống; không tự điền 0</t>
  </si>
  <si>
    <t>1C25TUV/00002378; 1C25TUV/00004204</t>
  </si>
  <si>
    <t>1C25TUV/00004204 có ô tiền bảng tổng trống; không tự điền 0</t>
  </si>
  <si>
    <t>1C25TUV/00009072; 1C25TUV/00009186</t>
  </si>
  <si>
    <t>1C25TUV/00009186 có ô tiền bảng tổng trống; không tự điền 0</t>
  </si>
  <si>
    <t>1C25TUV/00001314; 1C25TUV/00012885</t>
  </si>
  <si>
    <t>1C25TUV/00012885 ngày giữa nguồn khác nhau (05/07/2025, 18/08/2025); bảng chính dùng 05/07/2025 theo xác nhận và ảnh danh sách meInvoice ngày 07/10/2026; chưa đối chiếu XML</t>
  </si>
  <si>
    <t>1C24TUV/00000574; 1C25TUV/00002189</t>
  </si>
  <si>
    <t>Riêng 1C24TUV/00000574: tạm tính thanh toán gốc = 0 theo xác nhận; ô nguồn giữ trống</t>
  </si>
  <si>
    <t>1C24TUV/00000060; 1C24TUV/00000061; 1C25TUV/00002605</t>
  </si>
  <si>
    <t>1C24TUV/00000060 có bản thay thế trong kỳ; không cộng bản bị thay thế; 1C24TUV/00000061 có bản thay thế trong kỳ; không cộng bản bị thay thế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</si>
</sst>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;[Red]\(#,##0\);0"/>
  </numFmts>
  <fonts count="5">
    <font>
      <sz val="11"/>
      <name val="Carlito"/>
    </font>
    <font>
      <sz val="10"/>
      <name val="Arial"/>
    </font>
    <font>
      <b/>
      <sz val="15"/>
      <name val="Arial"/>
    </font>
    <font>
      <b/>
      <sz val="10"/>
      <color rgb="FFFFFFFF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4CF"/>
      </patternFill>
    </fill>
    <fill>
      <patternFill patternType="solid">
        <fgColor rgb="FF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3">
    <dxf>
      <font>
        <b/>
        <color rgb="FF9C3025"/>
      </font>
      <fill>
        <patternFill patternType="solid">
          <bgColor rgb="FFFCE1DE"/>
        </patternFill>
      </fill>
    </dxf>
    <dxf>
      <font>
        <color rgb="FF9C3025"/>
      </font>
      <fill>
        <patternFill patternType="solid">
          <bgColor rgb="FFFCE1DE"/>
        </patternFill>
      </fill>
    </dxf>
    <dxf>
      <font>
        <color rgb="FF245733"/>
      </font>
      <fill>
        <patternFill patternType="solid">
          <bgColor rgb="FFDCF0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nhSachKiemTra" displayName="DanhSachKiemTra" ref="A6:K25" totalsRowShown="0">
  <tableColumns count="11">
    <tableColumn id="1" xr3:uid="{00000000-0010-0000-0000-000001000000}" name="STT"/>
    <tableColumn id="2" xr3:uid="{00000000-0010-0000-0000-000002000000}" name="Nhóm xử lý"/>
    <tableColumn id="3" xr3:uid="{00000000-0010-0000-0000-000003000000}" name="Hóa đơn gốc F0"/>
    <tableColumn id="4" xr3:uid="{00000000-0010-0000-0000-000004000000}" name="Hóa đơn cần kiểm tra"/>
    <tableColumn id="5" xr3:uid="{00000000-0010-0000-0000-000005000000}" name="Vấn đề"/>
    <tableColumn id="6" xr3:uid="{00000000-0010-0000-0000-000006000000}" name="Nội dung đã ghi nhận"/>
    <tableColumn id="7" xr3:uid="{00000000-0010-0000-0000-000007000000}" name="Cần kiểm tra / xác nhận"/>
    <tableColumn id="8" xr3:uid="{00000000-0010-0000-0000-000008000000}" name="Trạng thái"/>
    <tableColumn id="9" xr3:uid="{00000000-0010-0000-0000-000009000000}" name="Kết quả kiểm tra của bạn"/>
    <tableColumn id="10" xr3:uid="{00000000-0010-0000-0000-00000A000000}" name="File / căn cứ bổ sung"/>
    <tableColumn id="11" xr3:uid="{00000000-0010-0000-0000-00000B000000}" name="Nguồn đã dù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LieuDoiChieu" displayName="SoLieuDoiChieu" ref="A6:L25" totalsRowShown="0">
  <tableColumns count="12">
    <tableColumn id="1" xr3:uid="{00000000-0010-0000-0100-000001000000}" name="STT"/>
    <tableColumn id="2" xr3:uid="{00000000-0010-0000-0100-000002000000}" name="Hóa đơn gốc F0"/>
    <tableColumn id="3" xr3:uid="{00000000-0010-0000-0100-000003000000}" name="Hóa đơn cần kiểm tra"/>
    <tableColumn id="4" xr3:uid="{00000000-0010-0000-0100-000004000000}" name="Ngày theo report"/>
    <tableColumn id="5" xr3:uid="{00000000-0010-0000-0100-000005000000}" name="Tiền hàng bảng tổng"/>
    <tableColumn id="6" xr3:uid="{00000000-0010-0000-0100-000006000000}" name="Thuế bảng tổng"/>
    <tableColumn id="7" xr3:uid="{00000000-0010-0000-0100-000007000000}" name="Thanh toán bảng tổng"/>
    <tableColumn id="8" xr3:uid="{00000000-0010-0000-0100-000008000000}" name="Lệch số học"/>
    <tableColumn id="9" xr3:uid="{00000000-0010-0000-0100-000009000000}" name="Cộng dồn thanh toán chuỗi"/>
    <tableColumn id="10" xr3:uid="{00000000-0010-0000-0100-00000A000000}" name="Chuỗi hiện có"/>
    <tableColumn id="11" xr3:uid="{00000000-0010-0000-0100-00000B000000}" name="Ghi chú report gốc"/>
    <tableColumn id="12" xr3:uid="{00000000-0010-0000-0100-00000C000000}" name="Nguồn đã dù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showGridLines="0" workbookViewId="0">
      <pane xSplit="4" ySplit="6" topLeftCell="E10" activePane="bottomRight" state="frozen"/>
      <selection pane="topRight"/>
      <selection pane="bottomLeft"/>
      <selection pane="bottomRight" activeCell="E7" sqref="E7"/>
    </sheetView>
  </sheetViews>
  <sheetFormatPr defaultRowHeight="14.25"/>
  <cols>
    <col min="1" max="1" width="6" customWidth="1"/>
    <col min="2" max="2" width="27" customWidth="1"/>
    <col min="3" max="4" width="24" customWidth="1"/>
    <col min="5" max="5" width="29" customWidth="1"/>
    <col min="6" max="6" width="65" customWidth="1"/>
    <col min="7" max="7" width="69" customWidth="1"/>
    <col min="8" max="8" width="32" customWidth="1"/>
    <col min="9" max="9" width="46" customWidth="1"/>
    <col min="10" max="10" width="40" customWidth="1"/>
    <col min="11" max="11" width="8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6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6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6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42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1" ht="99.95" customHeight="1">
      <c r="A7" s="4">
        <v>1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5" t="s">
        <v>21</v>
      </c>
      <c r="I7" s="5"/>
      <c r="J7" s="5"/>
      <c r="K7" s="4" t="s">
        <v>22</v>
      </c>
    </row>
    <row r="8" spans="1:11" ht="99.95" customHeight="1">
      <c r="A8" s="4">
        <v>2</v>
      </c>
      <c r="B8" s="4" t="s">
        <v>15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5" t="s">
        <v>21</v>
      </c>
      <c r="I8" s="5"/>
      <c r="J8" s="5"/>
      <c r="K8" s="4" t="s">
        <v>28</v>
      </c>
    </row>
    <row r="9" spans="1:11" ht="99.95" customHeight="1">
      <c r="A9" s="4">
        <v>3</v>
      </c>
      <c r="B9" s="4" t="s">
        <v>15</v>
      </c>
      <c r="C9" s="4" t="s">
        <v>29</v>
      </c>
      <c r="D9" s="4" t="s">
        <v>30</v>
      </c>
      <c r="E9" s="4" t="s">
        <v>25</v>
      </c>
      <c r="F9" s="4" t="s">
        <v>31</v>
      </c>
      <c r="G9" s="4" t="s">
        <v>27</v>
      </c>
      <c r="H9" s="5" t="s">
        <v>21</v>
      </c>
      <c r="I9" s="5"/>
      <c r="J9" s="5"/>
      <c r="K9" s="4" t="s">
        <v>32</v>
      </c>
    </row>
    <row r="10" spans="1:11" ht="99.95" customHeight="1">
      <c r="A10" s="4">
        <v>4</v>
      </c>
      <c r="B10" s="4" t="s">
        <v>15</v>
      </c>
      <c r="C10" s="4" t="s">
        <v>33</v>
      </c>
      <c r="D10" s="4" t="s">
        <v>34</v>
      </c>
      <c r="E10" s="4" t="s">
        <v>25</v>
      </c>
      <c r="F10" s="4" t="s">
        <v>35</v>
      </c>
      <c r="G10" s="4" t="s">
        <v>27</v>
      </c>
      <c r="H10" s="5" t="s">
        <v>21</v>
      </c>
      <c r="I10" s="5"/>
      <c r="J10" s="5"/>
      <c r="K10" s="4" t="s">
        <v>36</v>
      </c>
    </row>
    <row r="11" spans="1:11" ht="99.95" customHeight="1">
      <c r="A11" s="4">
        <v>5</v>
      </c>
      <c r="B11" s="4" t="s">
        <v>15</v>
      </c>
      <c r="C11" s="4" t="s">
        <v>37</v>
      </c>
      <c r="D11" s="4" t="s">
        <v>38</v>
      </c>
      <c r="E11" s="4" t="s">
        <v>25</v>
      </c>
      <c r="F11" s="4" t="s">
        <v>39</v>
      </c>
      <c r="G11" s="4" t="s">
        <v>27</v>
      </c>
      <c r="H11" s="5" t="s">
        <v>21</v>
      </c>
      <c r="I11" s="5"/>
      <c r="J11" s="5"/>
      <c r="K11" s="4" t="s">
        <v>40</v>
      </c>
    </row>
    <row r="12" spans="1:11" ht="99.95" customHeight="1">
      <c r="A12" s="4">
        <v>6</v>
      </c>
      <c r="B12" s="4" t="s">
        <v>15</v>
      </c>
      <c r="C12" s="4" t="s">
        <v>41</v>
      </c>
      <c r="D12" s="4" t="s">
        <v>42</v>
      </c>
      <c r="E12" s="4" t="s">
        <v>25</v>
      </c>
      <c r="F12" s="4" t="s">
        <v>43</v>
      </c>
      <c r="G12" s="4" t="s">
        <v>27</v>
      </c>
      <c r="H12" s="5" t="s">
        <v>21</v>
      </c>
      <c r="I12" s="5"/>
      <c r="J12" s="5"/>
      <c r="K12" s="4" t="s">
        <v>44</v>
      </c>
    </row>
    <row r="13" spans="1:11" ht="99.95" customHeight="1">
      <c r="A13" s="4">
        <v>7</v>
      </c>
      <c r="B13" s="4" t="s">
        <v>15</v>
      </c>
      <c r="C13" s="4" t="s">
        <v>45</v>
      </c>
      <c r="D13" s="4" t="s">
        <v>46</v>
      </c>
      <c r="E13" s="4" t="s">
        <v>25</v>
      </c>
      <c r="F13" s="4" t="s">
        <v>47</v>
      </c>
      <c r="G13" s="4" t="s">
        <v>27</v>
      </c>
      <c r="H13" s="5" t="s">
        <v>21</v>
      </c>
      <c r="I13" s="5"/>
      <c r="J13" s="5"/>
      <c r="K13" s="4" t="s">
        <v>48</v>
      </c>
    </row>
    <row r="14" spans="1:11" ht="99.95" customHeight="1">
      <c r="A14" s="4">
        <v>8</v>
      </c>
      <c r="B14" s="4" t="s">
        <v>15</v>
      </c>
      <c r="C14" s="4" t="s">
        <v>49</v>
      </c>
      <c r="D14" s="4" t="s">
        <v>50</v>
      </c>
      <c r="E14" s="4" t="s">
        <v>25</v>
      </c>
      <c r="F14" s="4" t="s">
        <v>51</v>
      </c>
      <c r="G14" s="4" t="s">
        <v>27</v>
      </c>
      <c r="H14" s="5" t="s">
        <v>21</v>
      </c>
      <c r="I14" s="5"/>
      <c r="J14" s="5"/>
      <c r="K14" s="4" t="s">
        <v>52</v>
      </c>
    </row>
    <row r="15" spans="1:11" ht="99.95" customHeight="1">
      <c r="A15" s="4">
        <v>9</v>
      </c>
      <c r="B15" s="4" t="s">
        <v>15</v>
      </c>
      <c r="C15" s="4" t="s">
        <v>53</v>
      </c>
      <c r="D15" s="4" t="s">
        <v>54</v>
      </c>
      <c r="E15" s="4" t="s">
        <v>25</v>
      </c>
      <c r="F15" s="4" t="s">
        <v>47</v>
      </c>
      <c r="G15" s="4" t="s">
        <v>27</v>
      </c>
      <c r="H15" s="5" t="s">
        <v>21</v>
      </c>
      <c r="I15" s="5"/>
      <c r="J15" s="5"/>
      <c r="K15" s="4" t="s">
        <v>55</v>
      </c>
    </row>
    <row r="16" spans="1:11" ht="99.95" customHeight="1">
      <c r="A16" s="4">
        <v>10</v>
      </c>
      <c r="B16" s="4" t="s">
        <v>56</v>
      </c>
      <c r="C16" s="4" t="s">
        <v>57</v>
      </c>
      <c r="D16" s="4" t="s">
        <v>57</v>
      </c>
      <c r="E16" s="4" t="s">
        <v>58</v>
      </c>
      <c r="F16" s="4" t="s">
        <v>59</v>
      </c>
      <c r="G16" s="4" t="s">
        <v>60</v>
      </c>
      <c r="H16" s="5" t="s">
        <v>61</v>
      </c>
      <c r="I16" s="5"/>
      <c r="J16" s="5"/>
      <c r="K16" s="4" t="s">
        <v>62</v>
      </c>
    </row>
    <row r="17" spans="1:11" ht="99.95" customHeight="1">
      <c r="A17" s="4">
        <v>11</v>
      </c>
      <c r="B17" s="4" t="s">
        <v>15</v>
      </c>
      <c r="C17" s="4" t="s">
        <v>63</v>
      </c>
      <c r="D17" s="4" t="s">
        <v>63</v>
      </c>
      <c r="E17" s="4" t="s">
        <v>58</v>
      </c>
      <c r="F17" s="4" t="s">
        <v>64</v>
      </c>
      <c r="G17" s="4" t="s">
        <v>60</v>
      </c>
      <c r="H17" s="5" t="s">
        <v>61</v>
      </c>
      <c r="I17" s="5"/>
      <c r="J17" s="5"/>
      <c r="K17" s="4" t="s">
        <v>65</v>
      </c>
    </row>
    <row r="18" spans="1:11" ht="99.95" customHeight="1">
      <c r="A18" s="4">
        <v>12</v>
      </c>
      <c r="B18" s="4" t="s">
        <v>15</v>
      </c>
      <c r="C18" s="4" t="s">
        <v>66</v>
      </c>
      <c r="D18" s="4" t="s">
        <v>66</v>
      </c>
      <c r="E18" s="4" t="s">
        <v>58</v>
      </c>
      <c r="F18" s="4" t="s">
        <v>67</v>
      </c>
      <c r="G18" s="4" t="s">
        <v>60</v>
      </c>
      <c r="H18" s="5" t="s">
        <v>61</v>
      </c>
      <c r="I18" s="5"/>
      <c r="J18" s="5"/>
      <c r="K18" s="4" t="s">
        <v>68</v>
      </c>
    </row>
    <row r="19" spans="1:11" ht="99.95" customHeight="1">
      <c r="A19" s="4">
        <v>13</v>
      </c>
      <c r="B19" s="4" t="s">
        <v>15</v>
      </c>
      <c r="C19" s="4" t="s">
        <v>69</v>
      </c>
      <c r="D19" s="4" t="s">
        <v>70</v>
      </c>
      <c r="E19" s="4" t="s">
        <v>58</v>
      </c>
      <c r="F19" s="4" t="s">
        <v>59</v>
      </c>
      <c r="G19" s="4" t="s">
        <v>60</v>
      </c>
      <c r="H19" s="5" t="s">
        <v>61</v>
      </c>
      <c r="I19" s="5"/>
      <c r="J19" s="5"/>
      <c r="K19" s="4" t="s">
        <v>71</v>
      </c>
    </row>
    <row r="20" spans="1:11" ht="99.95" customHeight="1">
      <c r="A20" s="4">
        <v>14</v>
      </c>
      <c r="B20" s="4" t="s">
        <v>15</v>
      </c>
      <c r="C20" s="4" t="s">
        <v>72</v>
      </c>
      <c r="D20" s="4" t="s">
        <v>73</v>
      </c>
      <c r="E20" s="4" t="s">
        <v>58</v>
      </c>
      <c r="F20" s="4" t="s">
        <v>59</v>
      </c>
      <c r="G20" s="4" t="s">
        <v>60</v>
      </c>
      <c r="H20" s="5" t="s">
        <v>61</v>
      </c>
      <c r="I20" s="5"/>
      <c r="J20" s="5"/>
      <c r="K20" s="4" t="s">
        <v>74</v>
      </c>
    </row>
    <row r="21" spans="1:11" ht="99.95" customHeight="1">
      <c r="A21" s="4">
        <v>15</v>
      </c>
      <c r="B21" s="4" t="s">
        <v>15</v>
      </c>
      <c r="C21" s="4" t="s">
        <v>75</v>
      </c>
      <c r="D21" s="4" t="s">
        <v>76</v>
      </c>
      <c r="E21" s="4" t="s">
        <v>58</v>
      </c>
      <c r="F21" s="4" t="s">
        <v>59</v>
      </c>
      <c r="G21" s="4" t="s">
        <v>60</v>
      </c>
      <c r="H21" s="5" t="s">
        <v>61</v>
      </c>
      <c r="I21" s="5"/>
      <c r="J21" s="5"/>
      <c r="K21" s="4" t="s">
        <v>77</v>
      </c>
    </row>
    <row r="22" spans="1:11" ht="99.95" customHeight="1">
      <c r="A22" s="4">
        <v>16</v>
      </c>
      <c r="B22" s="4" t="s">
        <v>15</v>
      </c>
      <c r="C22" s="4" t="s">
        <v>78</v>
      </c>
      <c r="D22" s="4" t="s">
        <v>79</v>
      </c>
      <c r="E22" s="4" t="s">
        <v>58</v>
      </c>
      <c r="F22" s="4" t="s">
        <v>80</v>
      </c>
      <c r="G22" s="4" t="s">
        <v>60</v>
      </c>
      <c r="H22" s="5" t="s">
        <v>61</v>
      </c>
      <c r="I22" s="5"/>
      <c r="J22" s="5"/>
      <c r="K22" s="4" t="s">
        <v>81</v>
      </c>
    </row>
    <row r="23" spans="1:11" ht="99.95" customHeight="1">
      <c r="A23" s="4">
        <v>17</v>
      </c>
      <c r="B23" s="4" t="s">
        <v>15</v>
      </c>
      <c r="C23" s="4" t="s">
        <v>82</v>
      </c>
      <c r="D23" s="4" t="s">
        <v>83</v>
      </c>
      <c r="E23" s="4" t="s">
        <v>84</v>
      </c>
      <c r="F23" s="4" t="s">
        <v>85</v>
      </c>
      <c r="G23" s="4" t="s">
        <v>86</v>
      </c>
      <c r="H23" s="5" t="s">
        <v>87</v>
      </c>
      <c r="I23" s="5"/>
      <c r="J23" s="5"/>
      <c r="K23" s="4" t="s">
        <v>88</v>
      </c>
    </row>
    <row r="24" spans="1:11" ht="99.95" customHeight="1">
      <c r="A24" s="4">
        <v>18</v>
      </c>
      <c r="B24" s="4" t="s">
        <v>15</v>
      </c>
      <c r="C24" s="4" t="s">
        <v>89</v>
      </c>
      <c r="D24" s="4" t="s">
        <v>89</v>
      </c>
      <c r="E24" s="4" t="s">
        <v>90</v>
      </c>
      <c r="F24" s="4" t="s">
        <v>91</v>
      </c>
      <c r="G24" s="4" t="s">
        <v>92</v>
      </c>
      <c r="H24" s="5" t="s">
        <v>93</v>
      </c>
      <c r="I24" s="5"/>
      <c r="J24" s="5"/>
      <c r="K24" s="4" t="s">
        <v>94</v>
      </c>
    </row>
    <row r="25" spans="1:11" ht="99.95" customHeight="1">
      <c r="A25" s="4">
        <v>19</v>
      </c>
      <c r="B25" s="4" t="s">
        <v>56</v>
      </c>
      <c r="C25" s="4" t="s">
        <v>95</v>
      </c>
      <c r="D25" s="4" t="s">
        <v>95</v>
      </c>
      <c r="E25" s="4" t="s">
        <v>96</v>
      </c>
      <c r="F25" s="4" t="s">
        <v>97</v>
      </c>
      <c r="G25" s="4" t="s">
        <v>98</v>
      </c>
      <c r="H25" s="5" t="s">
        <v>21</v>
      </c>
      <c r="I25" s="5"/>
      <c r="J25" s="5"/>
      <c r="K25" s="4" t="s">
        <v>99</v>
      </c>
    </row>
  </sheetData>
  <conditionalFormatting sqref="H7:H25">
    <cfRule type="containsText" dxfId="2" priority="1" operator="containsText" text="Đã xác minh"/>
    <cfRule type="containsText" dxfId="1" priority="2" operator="containsText" text="Chưa đủ căn cứ"/>
  </conditionalFormatting>
  <dataValidations count="1">
    <dataValidation type="list" sqref="H7:H25" xr:uid="{00000000-0002-0000-0000-000000000000}">
      <formula1>"Chờ kiểm tra,Có căn cứ 0 ở chi tiết - chờ chốt,Đã chốt tạm - chờ căn cứ gốc,Đã xác nhận ngày - chờ XML,Đang kiểm tra,Đã xác minh,Chưa đủ căn cứ"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showGridLines="0" tabSelected="1" workbookViewId="0">
      <pane xSplit="4" ySplit="6" topLeftCell="E7" activePane="bottomRight" state="frozen"/>
      <selection pane="topRight"/>
      <selection pane="bottomLeft"/>
      <selection pane="bottomRight" activeCell="E7" sqref="E7"/>
    </sheetView>
  </sheetViews>
  <sheetFormatPr defaultRowHeight="14.25"/>
  <cols>
    <col min="1" max="1" width="6" customWidth="1"/>
    <col min="2" max="3" width="24" customWidth="1"/>
    <col min="4" max="4" width="18" customWidth="1"/>
    <col min="5" max="5" width="23" customWidth="1"/>
    <col min="6" max="6" width="20" customWidth="1"/>
    <col min="7" max="7" width="25" customWidth="1"/>
    <col min="8" max="8" width="19" customWidth="1"/>
    <col min="9" max="9" width="27" customWidth="1"/>
    <col min="10" max="10" width="58" customWidth="1"/>
    <col min="11" max="11" width="65" customWidth="1"/>
    <col min="12" max="12" width="8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9.5">
      <c r="A2" s="2" t="s">
        <v>100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6" t="s">
        <v>101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6" t="s">
        <v>102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6" t="s">
        <v>103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2" customHeight="1">
      <c r="A6" s="3" t="s">
        <v>4</v>
      </c>
      <c r="B6" s="3" t="s">
        <v>6</v>
      </c>
      <c r="C6" s="3" t="s">
        <v>7</v>
      </c>
      <c r="D6" s="3" t="s">
        <v>104</v>
      </c>
      <c r="E6" s="3" t="s">
        <v>105</v>
      </c>
      <c r="F6" s="3" t="s">
        <v>106</v>
      </c>
      <c r="G6" s="3" t="s">
        <v>107</v>
      </c>
      <c r="H6" s="3" t="s">
        <v>25</v>
      </c>
      <c r="I6" s="3" t="s">
        <v>108</v>
      </c>
      <c r="J6" s="3" t="s">
        <v>109</v>
      </c>
      <c r="K6" s="3" t="s">
        <v>110</v>
      </c>
      <c r="L6" s="3" t="s">
        <v>14</v>
      </c>
    </row>
    <row r="7" spans="1:12" ht="99.95" customHeight="1">
      <c r="A7" s="4">
        <v>1</v>
      </c>
      <c r="B7" s="4" t="s">
        <v>16</v>
      </c>
      <c r="C7" s="4" t="s">
        <v>17</v>
      </c>
      <c r="D7" s="7">
        <v>45773</v>
      </c>
      <c r="E7" s="8">
        <v>-356085</v>
      </c>
      <c r="F7" s="8">
        <v>-28487</v>
      </c>
      <c r="G7" s="8">
        <v>-384572</v>
      </c>
      <c r="H7" s="8">
        <f t="shared" ref="H7:H25" si="0">IF(COUNT(E7:G7)=3,G7-SUM(E7:F7),"")</f>
        <v>0</v>
      </c>
      <c r="I7" s="8">
        <v>11856288</v>
      </c>
      <c r="J7" s="4" t="s">
        <v>111</v>
      </c>
      <c r="K7" s="4" t="s">
        <v>112</v>
      </c>
      <c r="L7" s="4" t="s">
        <v>22</v>
      </c>
    </row>
    <row r="8" spans="1:12" ht="99.95" customHeight="1">
      <c r="A8" s="4">
        <v>2</v>
      </c>
      <c r="B8" s="4" t="s">
        <v>23</v>
      </c>
      <c r="C8" s="4" t="s">
        <v>24</v>
      </c>
      <c r="D8" s="7">
        <v>45782</v>
      </c>
      <c r="E8" s="8">
        <v>-381481</v>
      </c>
      <c r="F8" s="8">
        <v>-30518</v>
      </c>
      <c r="G8" s="8">
        <v>411999</v>
      </c>
      <c r="H8" s="8">
        <f t="shared" si="0"/>
        <v>823998</v>
      </c>
      <c r="I8" s="8">
        <v>856999</v>
      </c>
      <c r="J8" s="4" t="s">
        <v>113</v>
      </c>
      <c r="K8" s="4" t="s">
        <v>114</v>
      </c>
      <c r="L8" s="4" t="s">
        <v>28</v>
      </c>
    </row>
    <row r="9" spans="1:12" ht="99.95" customHeight="1">
      <c r="A9" s="4">
        <v>3</v>
      </c>
      <c r="B9" s="4" t="s">
        <v>29</v>
      </c>
      <c r="C9" s="4" t="s">
        <v>30</v>
      </c>
      <c r="D9" s="7">
        <v>45781</v>
      </c>
      <c r="E9" s="8">
        <v>196889</v>
      </c>
      <c r="F9" s="8">
        <v>151751</v>
      </c>
      <c r="G9" s="8">
        <v>212640</v>
      </c>
      <c r="H9" s="8">
        <f t="shared" si="0"/>
        <v>-136000</v>
      </c>
      <c r="I9" s="8">
        <v>2658000</v>
      </c>
      <c r="J9" s="4" t="s">
        <v>115</v>
      </c>
      <c r="K9" s="4" t="s">
        <v>116</v>
      </c>
      <c r="L9" s="4" t="s">
        <v>32</v>
      </c>
    </row>
    <row r="10" spans="1:12" ht="99.95" customHeight="1">
      <c r="A10" s="4">
        <v>4</v>
      </c>
      <c r="B10" s="4" t="s">
        <v>33</v>
      </c>
      <c r="C10" s="4" t="s">
        <v>34</v>
      </c>
      <c r="D10" s="7">
        <v>45806</v>
      </c>
      <c r="E10" s="8">
        <v>7599678</v>
      </c>
      <c r="F10" s="8">
        <v>609974</v>
      </c>
      <c r="G10" s="8">
        <v>8207652</v>
      </c>
      <c r="H10" s="8">
        <f t="shared" si="0"/>
        <v>-2000</v>
      </c>
      <c r="I10" s="8">
        <v>105562000</v>
      </c>
      <c r="J10" s="4" t="s">
        <v>117</v>
      </c>
      <c r="K10" s="4" t="s">
        <v>118</v>
      </c>
      <c r="L10" s="4" t="s">
        <v>36</v>
      </c>
    </row>
    <row r="11" spans="1:12" ht="99.95" customHeight="1">
      <c r="A11" s="4">
        <v>5</v>
      </c>
      <c r="B11" s="4" t="s">
        <v>37</v>
      </c>
      <c r="C11" s="4" t="s">
        <v>38</v>
      </c>
      <c r="D11" s="7">
        <v>45803</v>
      </c>
      <c r="E11" s="8">
        <v>621945</v>
      </c>
      <c r="F11" s="8">
        <v>49756</v>
      </c>
      <c r="G11" s="8">
        <v>670701</v>
      </c>
      <c r="H11" s="8">
        <f t="shared" si="0"/>
        <v>-1000</v>
      </c>
      <c r="I11" s="8">
        <v>22511000</v>
      </c>
      <c r="J11" s="4" t="s">
        <v>119</v>
      </c>
      <c r="K11" s="4" t="s">
        <v>120</v>
      </c>
      <c r="L11" s="4" t="s">
        <v>40</v>
      </c>
    </row>
    <row r="12" spans="1:12" ht="99.95" customHeight="1">
      <c r="A12" s="4">
        <v>6</v>
      </c>
      <c r="B12" s="4" t="s">
        <v>41</v>
      </c>
      <c r="C12" s="4" t="s">
        <v>42</v>
      </c>
      <c r="D12" s="7">
        <v>45807</v>
      </c>
      <c r="E12" s="8">
        <v>39194352</v>
      </c>
      <c r="F12" s="8">
        <v>3135548</v>
      </c>
      <c r="G12" s="8">
        <v>42329000</v>
      </c>
      <c r="H12" s="8">
        <f t="shared" si="0"/>
        <v>-900</v>
      </c>
      <c r="I12" s="8">
        <v>237027099</v>
      </c>
      <c r="J12" s="4" t="s">
        <v>121</v>
      </c>
      <c r="K12" s="4" t="s">
        <v>122</v>
      </c>
      <c r="L12" s="4" t="s">
        <v>44</v>
      </c>
    </row>
    <row r="13" spans="1:12" ht="99.95" customHeight="1">
      <c r="A13" s="4">
        <v>7</v>
      </c>
      <c r="B13" s="4" t="s">
        <v>45</v>
      </c>
      <c r="C13" s="4" t="s">
        <v>46</v>
      </c>
      <c r="D13" s="7">
        <v>45808</v>
      </c>
      <c r="E13" s="8">
        <v>-589554</v>
      </c>
      <c r="F13" s="8">
        <v>-47164</v>
      </c>
      <c r="G13" s="8">
        <v>-636719</v>
      </c>
      <c r="H13" s="8">
        <f t="shared" si="0"/>
        <v>-1</v>
      </c>
      <c r="I13" s="8">
        <v>12161499</v>
      </c>
      <c r="J13" s="4" t="s">
        <v>123</v>
      </c>
      <c r="K13" s="4" t="s">
        <v>124</v>
      </c>
      <c r="L13" s="4" t="s">
        <v>48</v>
      </c>
    </row>
    <row r="14" spans="1:12" ht="99.95" customHeight="1">
      <c r="A14" s="4">
        <v>8</v>
      </c>
      <c r="B14" s="4" t="s">
        <v>49</v>
      </c>
      <c r="C14" s="4" t="s">
        <v>50</v>
      </c>
      <c r="D14" s="7">
        <v>45806</v>
      </c>
      <c r="E14" s="8">
        <v>5701066</v>
      </c>
      <c r="F14" s="8">
        <v>456085</v>
      </c>
      <c r="G14" s="8">
        <v>6157152</v>
      </c>
      <c r="H14" s="8">
        <f t="shared" si="0"/>
        <v>1</v>
      </c>
      <c r="I14" s="8">
        <v>100612000</v>
      </c>
      <c r="J14" s="4" t="s">
        <v>125</v>
      </c>
      <c r="K14" s="4" t="s">
        <v>126</v>
      </c>
      <c r="L14" s="4" t="s">
        <v>52</v>
      </c>
    </row>
    <row r="15" spans="1:12" ht="99.95" customHeight="1">
      <c r="A15" s="4">
        <v>9</v>
      </c>
      <c r="B15" s="4" t="s">
        <v>53</v>
      </c>
      <c r="C15" s="4" t="s">
        <v>54</v>
      </c>
      <c r="D15" s="7">
        <v>45781</v>
      </c>
      <c r="E15" s="8">
        <v>4347265</v>
      </c>
      <c r="F15" s="8">
        <v>347781</v>
      </c>
      <c r="G15" s="8">
        <v>4695045</v>
      </c>
      <c r="H15" s="8">
        <f t="shared" si="0"/>
        <v>-1</v>
      </c>
      <c r="I15" s="8">
        <v>80206747</v>
      </c>
      <c r="J15" s="4" t="s">
        <v>127</v>
      </c>
      <c r="K15" s="4" t="s">
        <v>128</v>
      </c>
      <c r="L15" s="4" t="s">
        <v>55</v>
      </c>
    </row>
    <row r="16" spans="1:12" ht="99.95" customHeight="1">
      <c r="A16" s="4">
        <v>10</v>
      </c>
      <c r="B16" s="4" t="s">
        <v>57</v>
      </c>
      <c r="C16" s="4" t="s">
        <v>57</v>
      </c>
      <c r="D16" s="7">
        <v>45342</v>
      </c>
      <c r="E16" s="8">
        <v>0</v>
      </c>
      <c r="F16" s="8">
        <v>0</v>
      </c>
      <c r="G16" s="8"/>
      <c r="H16" s="8" t="str">
        <f t="shared" si="0"/>
        <v/>
      </c>
      <c r="I16" s="8"/>
      <c r="J16" s="4" t="s">
        <v>57</v>
      </c>
      <c r="K16" s="4" t="s">
        <v>129</v>
      </c>
      <c r="L16" s="4" t="s">
        <v>62</v>
      </c>
    </row>
    <row r="17" spans="1:12" ht="99.95" customHeight="1">
      <c r="A17" s="4">
        <v>11</v>
      </c>
      <c r="B17" s="4" t="s">
        <v>63</v>
      </c>
      <c r="C17" s="4" t="s">
        <v>63</v>
      </c>
      <c r="D17" s="7">
        <v>45664</v>
      </c>
      <c r="E17" s="8">
        <v>0</v>
      </c>
      <c r="F17" s="8">
        <v>0</v>
      </c>
      <c r="G17" s="8"/>
      <c r="H17" s="8" t="str">
        <f t="shared" si="0"/>
        <v/>
      </c>
      <c r="I17" s="8"/>
      <c r="J17" s="4" t="s">
        <v>130</v>
      </c>
      <c r="K17" s="4" t="s">
        <v>131</v>
      </c>
      <c r="L17" s="4" t="s">
        <v>65</v>
      </c>
    </row>
    <row r="18" spans="1:12" ht="99.95" customHeight="1">
      <c r="A18" s="4">
        <v>12</v>
      </c>
      <c r="B18" s="4" t="s">
        <v>66</v>
      </c>
      <c r="C18" s="4" t="s">
        <v>66</v>
      </c>
      <c r="D18" s="7">
        <v>45671</v>
      </c>
      <c r="E18" s="8">
        <v>0</v>
      </c>
      <c r="F18" s="8">
        <v>0</v>
      </c>
      <c r="G18" s="8"/>
      <c r="H18" s="8" t="str">
        <f t="shared" si="0"/>
        <v/>
      </c>
      <c r="I18" s="8"/>
      <c r="J18" s="4" t="s">
        <v>132</v>
      </c>
      <c r="K18" s="4" t="s">
        <v>133</v>
      </c>
      <c r="L18" s="4" t="s">
        <v>68</v>
      </c>
    </row>
    <row r="19" spans="1:12" ht="99.95" customHeight="1">
      <c r="A19" s="4">
        <v>13</v>
      </c>
      <c r="B19" s="4" t="s">
        <v>69</v>
      </c>
      <c r="C19" s="4" t="s">
        <v>70</v>
      </c>
      <c r="D19" s="7">
        <v>45825</v>
      </c>
      <c r="E19" s="8">
        <v>0</v>
      </c>
      <c r="F19" s="8">
        <v>0</v>
      </c>
      <c r="G19" s="8"/>
      <c r="H19" s="8" t="str">
        <f t="shared" si="0"/>
        <v/>
      </c>
      <c r="I19" s="8"/>
      <c r="J19" s="4" t="s">
        <v>134</v>
      </c>
      <c r="K19" s="4" t="s">
        <v>135</v>
      </c>
      <c r="L19" s="4" t="s">
        <v>71</v>
      </c>
    </row>
    <row r="20" spans="1:12" ht="99.95" customHeight="1">
      <c r="A20" s="4">
        <v>14</v>
      </c>
      <c r="B20" s="4" t="s">
        <v>72</v>
      </c>
      <c r="C20" s="4" t="s">
        <v>73</v>
      </c>
      <c r="D20" s="7">
        <v>45817</v>
      </c>
      <c r="E20" s="8">
        <v>0</v>
      </c>
      <c r="F20" s="8">
        <v>0</v>
      </c>
      <c r="G20" s="8"/>
      <c r="H20" s="8" t="str">
        <f t="shared" si="0"/>
        <v/>
      </c>
      <c r="I20" s="8"/>
      <c r="J20" s="4" t="s">
        <v>136</v>
      </c>
      <c r="K20" s="4" t="s">
        <v>137</v>
      </c>
      <c r="L20" s="4" t="s">
        <v>74</v>
      </c>
    </row>
    <row r="21" spans="1:12" ht="99.95" customHeight="1">
      <c r="A21" s="4">
        <v>15</v>
      </c>
      <c r="B21" s="4" t="s">
        <v>75</v>
      </c>
      <c r="C21" s="4" t="s">
        <v>76</v>
      </c>
      <c r="D21" s="7">
        <v>45817</v>
      </c>
      <c r="E21" s="8">
        <v>0</v>
      </c>
      <c r="F21" s="8">
        <v>0</v>
      </c>
      <c r="G21" s="8"/>
      <c r="H21" s="8" t="str">
        <f t="shared" si="0"/>
        <v/>
      </c>
      <c r="I21" s="8"/>
      <c r="J21" s="4" t="s">
        <v>138</v>
      </c>
      <c r="K21" s="4" t="s">
        <v>139</v>
      </c>
      <c r="L21" s="4" t="s">
        <v>77</v>
      </c>
    </row>
    <row r="22" spans="1:12" ht="99.95" customHeight="1">
      <c r="A22" s="4">
        <v>16</v>
      </c>
      <c r="B22" s="4" t="s">
        <v>78</v>
      </c>
      <c r="C22" s="4" t="s">
        <v>79</v>
      </c>
      <c r="D22" s="7">
        <v>45837</v>
      </c>
      <c r="E22" s="8">
        <v>0</v>
      </c>
      <c r="F22" s="8">
        <v>0</v>
      </c>
      <c r="G22" s="8"/>
      <c r="H22" s="8" t="str">
        <f t="shared" si="0"/>
        <v/>
      </c>
      <c r="I22" s="8"/>
      <c r="J22" s="4" t="s">
        <v>140</v>
      </c>
      <c r="K22" s="4" t="s">
        <v>141</v>
      </c>
      <c r="L22" s="4" t="s">
        <v>81</v>
      </c>
    </row>
    <row r="23" spans="1:12" ht="99.95" customHeight="1">
      <c r="A23" s="4">
        <v>17</v>
      </c>
      <c r="B23" s="4" t="s">
        <v>82</v>
      </c>
      <c r="C23" s="4" t="s">
        <v>83</v>
      </c>
      <c r="D23" s="7">
        <v>45887</v>
      </c>
      <c r="E23" s="8">
        <v>-2573148</v>
      </c>
      <c r="F23" s="8">
        <v>-205852</v>
      </c>
      <c r="G23" s="8">
        <v>-2779000</v>
      </c>
      <c r="H23" s="8">
        <f t="shared" si="0"/>
        <v>0</v>
      </c>
      <c r="I23" s="8">
        <v>0</v>
      </c>
      <c r="J23" s="4" t="s">
        <v>142</v>
      </c>
      <c r="K23" s="4" t="s">
        <v>143</v>
      </c>
      <c r="L23" s="4" t="s">
        <v>88</v>
      </c>
    </row>
    <row r="24" spans="1:12" ht="99.95" customHeight="1">
      <c r="A24" s="4">
        <v>18</v>
      </c>
      <c r="B24" s="4" t="s">
        <v>89</v>
      </c>
      <c r="C24" s="4" t="s">
        <v>89</v>
      </c>
      <c r="D24" s="7">
        <v>45611</v>
      </c>
      <c r="E24" s="8">
        <v>0</v>
      </c>
      <c r="F24" s="8">
        <v>0</v>
      </c>
      <c r="G24" s="8"/>
      <c r="H24" s="8" t="str">
        <f t="shared" si="0"/>
        <v/>
      </c>
      <c r="I24" s="8">
        <v>1839000</v>
      </c>
      <c r="J24" s="4" t="s">
        <v>144</v>
      </c>
      <c r="K24" s="4" t="s">
        <v>145</v>
      </c>
      <c r="L24" s="4" t="s">
        <v>94</v>
      </c>
    </row>
    <row r="25" spans="1:12" ht="99.95" customHeight="1">
      <c r="A25" s="4">
        <v>19</v>
      </c>
      <c r="B25" s="4" t="s">
        <v>95</v>
      </c>
      <c r="C25" s="4" t="s">
        <v>95</v>
      </c>
      <c r="D25" s="7">
        <v>45328</v>
      </c>
      <c r="E25" s="8">
        <v>2320785</v>
      </c>
      <c r="F25" s="8">
        <v>185663</v>
      </c>
      <c r="G25" s="8">
        <v>2506448</v>
      </c>
      <c r="H25" s="8">
        <f t="shared" si="0"/>
        <v>0</v>
      </c>
      <c r="I25" s="8">
        <v>2739000</v>
      </c>
      <c r="J25" s="4" t="s">
        <v>146</v>
      </c>
      <c r="K25" s="4" t="s">
        <v>147</v>
      </c>
      <c r="L25" s="4" t="s">
        <v>99</v>
      </c>
    </row>
  </sheetData>
  <conditionalFormatting sqref="H7:H25">
    <cfRule type="cellIs" dxfId="0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 kiem tra</vt:lpstr>
      <vt:lpstr>So lieu doi chieu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2026-10-08T02:54:42Z</dcterms:modified>
</cp:coreProperties>
</file>