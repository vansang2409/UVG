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c97a81820c4174" /></Relationships>
</file>

<file path=xl/workbook.xml><?xml version="1.0" encoding="utf-8"?>
<x:workbook xmlns:x="http://schemas.openxmlformats.org/spreadsheetml/2006/main">
  <x:sheets>
    <x:sheet xmlns:r="http://schemas.openxmlformats.org/officeDocument/2006/relationships" name="Tong hop" sheetId="1" r:id="R951e11c51df847e1"/>
    <x:sheet xmlns:r="http://schemas.openxmlformats.org/officeDocument/2006/relationships" name="Lech tien" sheetId="2" r:id="Rd7b44b09fa744270"/>
    <x:sheet xmlns:r="http://schemas.openxmlformats.org/officeDocument/2006/relationships" name="So luong can kiem" sheetId="3" r:id="Rf323641d845f4b14"/>
    <x:sheet xmlns:r="http://schemas.openxmlformats.org/officeDocument/2006/relationships" name="Thanh toan trong" sheetId="4" r:id="Rf5fda9c6ff9e4de3"/>
    <x:sheet xmlns:r="http://schemas.openxmlformats.org/officeDocument/2006/relationships" name="Hang va mo ta" sheetId="5" r:id="R03be1187a31c4b46"/>
    <x:sheet xmlns:r="http://schemas.openxmlformats.org/officeDocument/2006/relationships" name="Cach ghi dieu chinh" sheetId="6" r:id="R0bdf3d7893314359"/>
    <x:sheet xmlns:r="http://schemas.openxmlformats.org/officeDocument/2006/relationships" name="Da co can cu" sheetId="7" r:id="Reefc8517670c41e2"/>
    <x:sheet xmlns:r="http://schemas.openxmlformats.org/officeDocument/2006/relationships" name="Hoa don lien quan" sheetId="8" r:id="Rff023d1ad7ff4b92"/>
    <x:sheet xmlns:r="http://schemas.openxmlformats.org/officeDocument/2006/relationships" name="Phuong an phat sinh" sheetId="9" r:id="R7966db32397b4e39"/>
    <x:sheet xmlns:r="http://schemas.openxmlformats.org/officeDocument/2006/relationships" name="Giu nguyen ca chuoi" sheetId="10" r:id="R8a660c9c53854766"/>
  </x:sheets>
</x:workbook>
</file>

<file path=xl/sharedStrings.xml><?xml version="1.0" encoding="utf-8"?>
<x:sst xmlns:x="http://schemas.openxmlformats.org/spreadsheetml/2006/main">
  <x:si>
    <x:t xml:space="preserve">Cập nhật</x:t>
  </x:si>
  <x:si>
    <x:t xml:space="preserve">Nhóm vấn đề</x:t>
  </x:si>
  <x:si>
    <x:t xml:space="preserve">Sheet chi tiết</x:t>
  </x:si>
  <x:si>
    <x:t xml:space="preserve">Hồ sơ</x:t>
  </x:si>
  <x:si>
    <x:t xml:space="preserve">Lệch tiền hàng, thuế và thanh toán</x:t>
  </x:si>
  <x:si>
    <x:t xml:space="preserve">Lech tien</x:t>
  </x:si>
  <x:si>
    <x:t xml:space="preserve">Số lượng bằng 0 hoặc để trống</x:t>
  </x:si>
  <x:si>
    <x:t xml:space="preserve">So luong can kiem</x:t>
  </x:si>
  <x:si>
    <x:t xml:space="preserve">Thanh toán gốc để trống</x:t>
  </x:si>
  <x:si>
    <x:t xml:space="preserve">Thanh toan trong</x:t>
  </x:si>
  <x:si>
    <x:t xml:space="preserve">Khác loại hàng hoặc mô tả</x:t>
  </x:si>
  <x:si>
    <x:t xml:space="preserve">Hang va mo ta</x:t>
  </x:si>
  <x:si>
    <x:t xml:space="preserve">Cách ghi số lượng và giá trị điều chỉnh</x:t>
  </x:si>
  <x:si>
    <x:t xml:space="preserve">Cach ghi dieu chinh</x:t>
  </x:si>
  <x:si>
    <x:t xml:space="preserve">Mã hồ sơ</x:t>
  </x:si>
  <x:si>
    <x:t xml:space="preserve">Hóa đơn gốc</x:t>
  </x:si>
  <x:si>
    <x:t xml:space="preserve">Ngày gốc</x:t>
  </x:si>
  <x:si>
    <x:t xml:space="preserve">HĐ điều chỉnh liên quan</x:t>
  </x:si>
  <x:si>
    <x:t xml:space="preserve">Ngày điều chỉnh</x:t>
  </x:si>
  <x:si>
    <x:t xml:space="preserve">Tiền hàng XML (đ)</x:t>
  </x:si>
  <x:si>
    <x:t xml:space="preserve">Thuế XML (đ)</x:t>
  </x:si>
  <x:si>
    <x:t xml:space="preserve">Thanh toán XML (đ)</x:t>
  </x:si>
  <x:si>
    <x:t xml:space="preserve">Hàng + thuế − thanh toán (đ)</x:t>
  </x:si>
  <x:si>
    <x:t xml:space="preserve">Ghi nhận cần kiểm tra</x:t>
  </x:si>
  <x:si>
    <x:t xml:space="preserve">Câu hỏi cần kế toán kết luận</x:t>
  </x:si>
  <x:si>
    <x:t xml:space="preserve">Nguyên nhân (KT điền)</x:t>
  </x:si>
  <x:si>
    <x:t xml:space="preserve">Hướng xử lý (KT điền)</x:t>
  </x:si>
  <x:si>
    <x:t xml:space="preserve">Số liệu/nội dung đúng (KT điền)</x:t>
  </x:si>
  <x:si>
    <x:t xml:space="preserve">Căn cứ/chứng từ (KT điền)</x:t>
  </x:si>
  <x:si>
    <x:t xml:space="preserve">Người phản hồi</x:t>
  </x:si>
  <x:si>
    <x:t xml:space="preserve">Ngày phản hồi</x:t>
  </x:si>
  <x:si>
    <x:t xml:space="preserve">LT01</x:t>
  </x:si>
  <x:si>
    <x:t xml:space="preserve">1C25TUV/00000159</x:t>
  </x:si>
  <x:si>
    <x:t xml:space="preserve">1C25TUV/00000649</x:t>
  </x:si>
  <x:si>
    <x:t xml:space="preserve">Tổng tiền trong XML khớp bảng kê nhưng tiền hàng + thuế khác thanh toán. Tiền hàng và thuế âm, thanh toán dương. Thành tiền dòng XML bằng 0 trong khi tổng tiền hàng khác 0.</x:t>
  </x:si>
  <x:si>
    <x:t xml:space="preserve">Xác định tiền hàng, thuế và thanh toán đúng, nguyên nhân chênh, căn cứ và hướng xử lý. Kiểm cả phần dòng và phần tổng. Nếu đã có chứng từ xử lý tiếp, ghi số/ngày.</x:t>
  </x:si>
  <x:si>
    <x:t xml:space="preserve">Do kế toán xuất sai</x:t>
  </x:si>
  <x:si>
    <x:t xml:space="preserve">Xuất trái dấu ở tất cả các chỉ tiêu</x:t>
  </x:si>
  <x:si>
    <x:t xml:space="preserve">- Tiền hàng: -381,481
- Tiền thuế: -30,518
- Thanh toán: -411,999</x:t>
  </x:si>
  <x:si>
    <x:t xml:space="preserve">Không có, tính lại cho đúng logic số liệu</x:t>
  </x:si>
  <x:si>
    <x:t xml:space="preserve">Kế toán</x:t>
  </x:si>
  <x:si>
    <x:t xml:space="preserve">LT02</x:t>
  </x:si>
  <x:si>
    <x:t xml:space="preserve">1C25TUV/00000056</x:t>
  </x:si>
  <x:si>
    <x:t xml:space="preserve">1C25TUV/00000561</x:t>
  </x:si>
  <x:si>
    <x:t xml:space="preserve">Tổng tiền trong XML khớp bảng kê nhưng tiền hàng + thuế khác thanh toán. Thành tiền dòng XML bằng 0 trong khi tổng tiền hàng khác 0.</x:t>
  </x:si>
  <x:si>
    <x:t xml:space="preserve">- Tiền hàng: 196,889
- Tiền thuế: 15,751
- Thanh toán: 212,640</x:t>
  </x:si>
  <x:si>
    <x:t xml:space="preserve">LT03</x:t>
  </x:si>
  <x:si>
    <x:t xml:space="preserve">1C24TUV/00000283</x:t>
  </x:si>
  <x:si>
    <x:t xml:space="preserve">1C25TUV/00001819</x:t>
  </x:si>
  <x:si>
    <x:t xml:space="preserve">- Tiền hàng: 7,599,678
- Tiền thuế: 609,974
- Thanh toán: 8,209,652</x:t>
  </x:si>
  <x:si>
    <x:t xml:space="preserve">LT04</x:t>
  </x:si>
  <x:si>
    <x:t xml:space="preserve">1C24TUV/00000093</x:t>
  </x:si>
  <x:si>
    <x:t xml:space="preserve">1C25TUV/00001167</x:t>
  </x:si>
  <x:si>
    <x:t xml:space="preserve">- Tiền hàng: 621,945
- Tiền thuế: 49,756
- Thanh toán: 671,701</x:t>
  </x:si>
  <x:si>
    <x:t xml:space="preserve">LT05</x:t>
  </x:si>
  <x:si>
    <x:t xml:space="preserve">1C24TUV/00000535</x:t>
  </x:si>
  <x:si>
    <x:t xml:space="preserve">1C25TUV/00002145</x:t>
  </x:si>
  <x:si>
    <x:t xml:space="preserve">- Tiền hàng: 39,194,352
- Tiền thuế: 3,135,548
- Thanh toán: 42,329,900</x:t>
  </x:si>
  <x:si>
    <x:t xml:space="preserve">LT06</x:t>
  </x:si>
  <x:si>
    <x:t xml:space="preserve">1C24TUV/00000228</x:t>
  </x:si>
  <x:si>
    <x:t xml:space="preserve">1C25TUV/00002619</x:t>
  </x:si>
  <x:si>
    <x:t xml:space="preserve">Tổng tiền trong XML khớp bảng kê nhưng tiền hàng + thuế khác thanh toán. Thành tiền dòng XML bằng 0 trong khi tổng tiền hàng khác 0. Chuỗi còn điều chỉnh 1C25TUV/00002646 ngày 31/05/2025; xem Hoa don lien quan.</x:t>
  </x:si>
  <x:si>
    <x:t xml:space="preserve">- Tiền hàng: -589,554
- Tiền thuế: -47,164
- Thanh toán: -636,718</x:t>
  </x:si>
  <x:si>
    <x:t xml:space="preserve">LT07</x:t>
  </x:si>
  <x:si>
    <x:t xml:space="preserve">1C24TUV/00000285</x:t>
  </x:si>
  <x:si>
    <x:t xml:space="preserve">1C25TUV/00001821</x:t>
  </x:si>
  <x:si>
    <x:t xml:space="preserve">- Tiền hàng: 5,701,066
- Tiền thuế: 456,085
- Thanh toán: 6,157,151</x:t>
  </x:si>
  <x:si>
    <x:t xml:space="preserve">LT08</x:t>
  </x:si>
  <x:si>
    <x:t xml:space="preserve">1C25TUV/00000102</x:t>
  </x:si>
  <x:si>
    <x:t xml:space="preserve">1C25TUV/00000626</x:t>
  </x:si>
  <x:si>
    <x:t xml:space="preserve">- Tiền hàng: 4,347,265
- Tiền thuế: 347,781
- Thanh toán: 4,695,046</x:t>
  </x:si>
  <x:si>
    <x:t xml:space="preserve">SL01</x:t>
  </x:si>
  <x:si>
    <x:t xml:space="preserve">1C24TUV/00000555</x:t>
  </x:si>
  <x:si>
    <x:t xml:space="preserve">1C25TUV/00002632</x:t>
  </x:si>
  <x:si>
    <x:t xml:space="preserve">Dòng màng lọc HEPA H13 KA350 FT (BS HĐ 547): số lượng và đơn giá trống. Tiền hàng 46.296, thuế 3.705, thanh toán dòng 50.001. Hóa đơn gốc có 6 dòng.</x:t>
  </x:si>
  <x:si>
    <x:t xml:space="preserve">Đối chiếu đúng dòng hàng trên XML gốc/bản hiển thị hoặc chứng từ bán. Chốt số lượng, đơn giá, tiền dòng và đây là hàng bán, khuyến mãi hay diễn giải. Ghi nguyên nhân thiếu số liệu và hướng chuẩn bị phần giảm chi tiết.</x:t>
  </x:si>
  <x:si>
    <x:t xml:space="preserve">Kế toán xuất sai</x:t>
  </x:si>
  <x:si>
    <x:t xml:space="preserve">Giữ nguyên dòng số 6 "Màng Lọc HEPA H13 Diệt Khuẩn Cho Máy Lọc Không Khí UVGREEN KA350 FT ( BS HĐ 547)" diễn giải, xuất điều chỉnh âm số lượng dòng đó</x:t>
  </x:si>
  <x:si>
    <x:t xml:space="preserve">Dòng 6 "Màng Lọc HEPA H13 Diệt Khuẩn Cho Máy Lọc Không Khí UVGREEN KA350 FT ( BS HĐ 547)" điều chỉnh giảm Thành tiền chưa có thuế GTGT: -46,296</x:t>
  </x:si>
  <x:si>
    <x:t xml:space="preserve">SL02</x:t>
  </x:si>
  <x:si>
    <x:t xml:space="preserve">1C25TUV/00000113</x:t>
  </x:si>
  <x:si>
    <x:t xml:space="preserve">1C25TUV/00000635</x:t>
  </x:si>
  <x:si>
    <x:t xml:space="preserve">Dòng màng/lõi lọc HEPA H13 KA600 FT: số lượng, đơn giá và tiền dòng trống trong bảng xuất mới. Hóa đơn gốc có 48 dòng. Không tự coi các ô trống là 0.</x:t>
  </x:si>
  <x:si>
    <x:t xml:space="preserve">Bỏ dòng số 45 "Màng Lọc (Lõi Lọc) HEPA H13 Diệt Khuẩn Cho Máy Lọc Không Khí UVGREEN KA600 FT" đi do số lượng, đơn giá, thành tiền bằng 0.</x:t>
  </x:si>
  <x:si>
    <x:t xml:space="preserve">SL03</x:t>
  </x:si>
  <x:si>
    <x:t xml:space="preserve">1C24TUV/00000774</x:t>
  </x:si>
  <x:si>
    <x:t xml:space="preserve">Nhóm chưa điều chỉnh. Toàn bộ 2 dòng đã được giữ ngoài import vì dòng “( Hàng biếu, tặng không thu tiền)” lưu SL/đơn giá/thành tiền = 0 ở bảng kiểm. Bảng xuất mới: SL trống, đơn giá trống, thành tiền trống.</x:t>
  </x:si>
  <x:si>
    <x:t xml:space="preserve">Xác nhận dòng này là chú thích hàng tặng hay một mặt hàng có số lượng thực tế. Chốt tính chất và số lượng cần thể hiện khi chuẩn bị điều chỉnh toàn bộ hóa đơn. Không tự bỏ dòng hoặc đưa lại vào import.</x:t>
  </x:si>
  <x:si>
    <x:t xml:space="preserve">Đây là dòng có tính chất là "Ghi chú, diễn giải" để diễn giải nội dung là "Hàng biếu, tặng không thu tiền" =&gt; đúng rồi.</x:t>
  </x:si>
  <x:si>
    <x:t xml:space="preserve">Đây là dòng chú thích hàng tặng, giữ nguyên, không được bỏ dòng này. Vẫn giữ lại khi xuất hóa đơn điều chỉnh.</x:t>
  </x:si>
  <x:si>
    <x:t xml:space="preserve">SL04</x:t>
  </x:si>
  <x:si>
    <x:t xml:space="preserve">1C24TUV/00000783</x:t>
  </x:si>
  <x:si>
    <x:t xml:space="preserve">Nhóm chưa điều chỉnh. Toàn bộ 3 dòng đã được giữ ngoài import vì dòng “( Hàng tặng không thu tiền)” lưu SL/đơn giá/thành tiền = 0 ở bảng kiểm. Bảng xuất mới: SL trống, đơn giá trống, thành tiền trống.</x:t>
  </x:si>
  <x:si>
    <x:t xml:space="preserve">SL05</x:t>
  </x:si>
  <x:si>
    <x:t xml:space="preserve">1C24TUV/00000784</x:t>
  </x:si>
  <x:si>
    <x:t xml:space="preserve">SL06</x:t>
  </x:si>
  <x:si>
    <x:t xml:space="preserve">1C24TUV/00000786</x:t>
  </x:si>
  <x:si>
    <x:t xml:space="preserve">Nhóm chưa điều chỉnh. Toàn bộ 15 dòng đã được giữ ngoài import vì dòng “( hàng tặng không thu tiền)” lưu SL/đơn giá/thành tiền = 0 ở bảng kiểm. Bảng xuất mới: SL trống, đơn giá trống, thành tiền trống.</x:t>
  </x:si>
  <x:si>
    <x:t xml:space="preserve">SL07</x:t>
  </x:si>
  <x:si>
    <x:t xml:space="preserve">1C25TUV/00002796</x:t>
  </x:si>
  <x:si>
    <x:t xml:space="preserve">Nhóm chưa điều chỉnh. Toàn bộ 2 dòng đã được giữ ngoài import vì dòng “Vợt bắt muỗi tự động 2 trong 1 thu hút các loại côn trùng KM002” lưu SL/đơn giá/thành tiền = 0 ở bảng kiểm. Bảng xuất mới: SL trống, đơn giá trống, thành tiền trống.</x:t>
  </x:si>
  <x:si>
    <x:t xml:space="preserve">Đối chiếu mặt hàng tặng KM002/KM003 với chứng từ bán hoặc XML gốc. Chốt số lượng thực tế và tính chất dòng, giải thích vì sao SL/đơn giá/thành tiền bằng 0. Xác định cách thể hiện khi chuẩn bị điều chỉnh.</x:t>
  </x:si>
  <x:si>
    <x:t xml:space="preserve">Bỏ dòng số 2 "Vợt bắt muỗi tự động 2 trong 1 thu hút các loại côn trùng KM002" đi do số lượng, đơn giá, thành tiền bằng 0.</x:t>
  </x:si>
  <x:si>
    <x:t xml:space="preserve">SL08</x:t>
  </x:si>
  <x:si>
    <x:t xml:space="preserve">1C25TUV/00002797</x:t>
  </x:si>
  <x:si>
    <x:t xml:space="preserve">Nhóm chưa điều chỉnh. Toàn bộ 2 dòng đã được giữ ngoài import vì dòng “Vợt bắt muỗi tự động 2 trong 1 thu hút các loại côn trùng KM003” lưu SL/đơn giá/thành tiền = 0 ở bảng kiểm. Bảng xuất mới: SL trống, đơn giá trống, thành tiền trống.</x:t>
  </x:si>
  <x:si>
    <x:t xml:space="preserve">Bỏ dòng số 2 "Vợt bắt muỗi tự động 2 trong 1 thu hút các loại côn trùng KM003" đi do số lượng, đơn giá, thành tiền bằng 0.</x:t>
  </x:si>
  <x:si>
    <x:t xml:space="preserve">TT01</x:t>
  </x:si>
  <x:si>
    <x:t xml:space="preserve">1C25TUV/00000006</x:t>
  </x:si>
  <x:si>
    <x:t xml:space="preserve">1C25TUV/00000655</x:t>
  </x:si>
  <x:si>
    <x:t xml:space="preserve">Bảng tổng của hóa đơn gốc ghi tiền hàng = 0, thuế = 0 nhưng thanh toán để trống. Chưa có XML gốc trong phần nguồn đã lưu hiện tại để xác nhận giá trị thanh toán. Điều chỉnh liên quan đã có XML.</x:t>
  </x:si>
  <x:si>
    <x:t xml:space="preserve">Thanh toán gốc đúng là 0 hay bảng xuất đang thiếu? Nếu thiếu, chốt giá trị đúng và căn cứ. Nếu đúng 0, xác nhận rõ cho riêng hóa đơn này. Không áp dụng quy ước của gốc 1C24TUV/00000574 sang đây.</x:t>
  </x:si>
  <x:si>
    <x:t xml:space="preserve">Xuất âm số lượng các dòng hàng hóa trên hóa đơn</x:t>
  </x:si>
  <x:si>
    <x:t xml:space="preserve">- Với hóa đơn điều chỉnh cho hóa đơn 6:
Dòng 1 "Máy Lọc Không Khí Diệt Khuẩn UVGREEN KA350 UVC PRO 40m2": Số lượng: -1
Dòng 2 "Màng Lọc HEPA H13 Diệt Khuẩn Cho Máy Lọc Không Khí UVGREEN KA350 FT": số lượng -1
Dòng 3 "Máy Lọc Không Khí Diệt Khuẩn UVGREEN KA150S-UVC LED": số lượng: -1
Dòng 4 "Máy Lọc Không Khí Diệt Khuẩn UVGREEN KA150P-UVC LED": số lượng: -1
Dòng 5 "Máy Lọc Không Khí Diệt Khuẩn UVGREEN KA150S-UVC LED": số lượng: -1
- Với hóa đơn điều chỉnh cho hóa đơn 655:
Điều chỉnh giảm giá trị hóa đơn số 00000006: tổng tiền chưa thuế: -3,478,704; thuế -278,296; thành tiền: -3,757,000</x:t>
  </x:si>
  <x:si>
    <x:t xml:space="preserve">TT02</x:t>
  </x:si>
  <x:si>
    <x:t xml:space="preserve">1C25TUV/00000016</x:t>
  </x:si>
  <x:si>
    <x:t xml:space="preserve">1C25TUV/00000657</x:t>
  </x:si>
  <x:si>
    <x:t xml:space="preserve">- Với hóa đơn điều chỉnh cho hóa đơn 16:
Dòng 1 "Máy Lọc Không Khí Diệt Khuẩn UVGREEN KA150-UVC LED": số lượng: -1
Dòng 2 "Máy Lọc Không Khí Diệt Khuẩn UVGREEN KA150-UVC LED": số lượng: -1
Dòng 3 "Máy Lọc Không Khí Diệt Khuẩn UVC LED UVGREEN KA600 60m2": số lượng: -1
- Với hóa đơn điều chỉnh cho hóa đơn 657: 
Điều chỉnh giảm giá trị hóa đơn số 00000016: tổng tiền chưa thuế: -5,275,000; thuế -422,000; thành tiền: -5,697,000</x:t>
  </x:si>
  <x:si>
    <x:t xml:space="preserve">HH01</x:t>
  </x:si>
  <x:si>
    <x:t xml:space="preserve">1C25TUV/00003548</x:t>
  </x:si>
  <x:si>
    <x:t xml:space="preserve">1C25TUV/00013072</x:t>
  </x:si>
  <x:si>
    <x:t xml:space="preserve">Khác loại hàng. Gốc: Máy lọc không khí diệt khuẩn bằng tia UVC KA150S. Điều chỉnh: Lõi lọc diệt khuẩn - Filter - KA150S. Cộng dồn tiền hàng, thuế, thanh toán đã bằng 0.</x:t>
  </x:si>
  <x:si>
    <x:t xml:space="preserve">Xác định hàng thực tế bán/trả, tên và mã hàng đúng. Bên nào ghi sai giữa gốc và điều chỉnh? Chốt hướng xử lý lần điều chỉnh cũ và dữ liệu cần chuẩn bị tiếp.</x:t>
  </x:si>
  <x:si>
    <x:t xml:space="preserve">Hóa đơn Điều chỉnh cho hóa đơn 13072 tăng số lượng của "Lõi lọc diệt khuẩn - Filter - KA150S"
Hóa đơn Điều chỉnh cho hóa đơn 3548 giảm số lượng của "Máy lọc không khí diệt khuẩn bằng tia UVC KA150S"</x:t>
  </x:si>
  <x:si>
    <x:t xml:space="preserve">Hóa đơn Điều chỉnh cho hóa đơn 13072 tăng số lượng của "Lõi lọc diệt khuẩn - Filter - KA150S": 1
Hóa đơn Điều chỉnh cho hóa đơn 3548 giảm số lượng của "Máy lọc không khí diệt khuẩn bằng tia UVC KA150S": -1</x:t>
  </x:si>
  <x:si>
    <x:t xml:space="preserve">HH02</x:t>
  </x:si>
  <x:si>
    <x:t xml:space="preserve">1C25TUV/00004026</x:t>
  </x:si>
  <x:si>
    <x:t xml:space="preserve">1C25TUV/00013079</x:t>
  </x:si>
  <x:si>
    <x:t xml:space="preserve">Khác mô tả. Gốc: Máy phun sương tạo độ ẩm không khí diệt khuẩn bằng tia UVC KH100. Điều chỉnh: Máy phun sương tạo độ ẩm không khí diệt khuẩn bằng tia UVC với màn hình LCD - KH100. Cộng dồn tiền hàng, thuế, thanh toán đã bằng 0.</x:t>
  </x:si>
  <x:si>
    <x:t xml:space="preserve">Hai mô tả có cùng mã hàng/sản phẩm thực tế không? Xác nhận rõ cùng hàng hoặc chỉ ra khác biệt. Chốt mô tả đúng và hướng xử lý nội dung điều chỉnh.</x:t>
  </x:si>
  <x:si>
    <x:t xml:space="preserve">2 máy đó thực tế là 1 sản phẩm.</x:t>
  </x:si>
  <x:si>
    <x:t xml:space="preserve">Không cần xử lý xuất lại hóa đơn điều chỉnh nữa</x:t>
  </x:si>
  <x:si>
    <x:t xml:space="preserve">HH03</x:t>
  </x:si>
  <x:si>
    <x:t xml:space="preserve">1C25TUV/00004953</x:t>
  </x:si>
  <x:si>
    <x:t xml:space="preserve">1C25TUV/00013089</x:t>
  </x:si>
  <x:si>
    <x:t xml:space="preserve">Khác mô tả. Gốc: Máy lọc không khí diệt khuẩn bằng tia UVC KA350 ProUpgrade. Điều chỉnh: Máy lọc không khí diệt khuẩn bằng tia UVC - KA350 Pro-Upgrade. Cộng dồn tiền hàng, thuế, thanh toán đã bằng 0.</x:t>
  </x:si>
  <x:si>
    <x:t xml:space="preserve">HH04</x:t>
  </x:si>
  <x:si>
    <x:t xml:space="preserve">1C25TUV/00005905</x:t>
  </x:si>
  <x:si>
    <x:t xml:space="preserve">1C25TUV/00013095</x:t>
  </x:si>
  <x:si>
    <x:t xml:space="preserve">Khác loại hàng. Gốc: Lõi lọc diệt khuẩn  Filter KA600. Điều chỉnh: Máy lọc không khí diệt khuẩn bằng tia UVC - KA600. Cộng dồn tiền hàng, thuế, thanh toán đã bằng 0.</x:t>
  </x:si>
  <x:si>
    <x:t xml:space="preserve">Hóa đơn Điều chỉnh cho hóa đơn 5905 giảm số lượng của "Lõi lọc diệt khuẩn Filter KA600"
Hóa đơn Điều chỉnh cho hóa đơn 13095 tăng số lượng của "Máy lọc không khí diệt khuẩn bằng tia UVC - KA600"</x:t>
  </x:si>
  <x:si>
    <x:t xml:space="preserve">Hóa đơn Điều chỉnh cho hóa đơn 5905 giảm số lượng của "Lõi lọc diệt khuẩn Filter KA600": -1
Hóa đơn Điều chỉnh cho hóa đơn 13095 tăng số lượng của "Máy lọc không khí diệt khuẩn bằng tia UVC - KA600": 1</x:t>
  </x:si>
  <x:si>
    <x:t xml:space="preserve">HH05</x:t>
  </x:si>
  <x:si>
    <x:t xml:space="preserve">1C25TUV/00007766</x:t>
  </x:si>
  <x:si>
    <x:t xml:space="preserve">1C25TUV/00013099</x:t>
  </x:si>
  <x:si>
    <x:t xml:space="preserve">DC01</x:t>
  </x:si>
  <x:si>
    <x:t xml:space="preserve">1C25TUV/00001061</x:t>
  </x:si>
  <x:si>
    <x:t xml:space="preserve">1C25TUV/00012835</x:t>
  </x:si>
  <x:si>
    <x:t xml:space="preserve">Gốc có 1 đèn bắt muỗi KM300. Điều chỉnh giảm một khoản tổng: SL/đơn giá = 0, thành tiền dòng -499.074, thuế -39.926, thanh toán -539.000. Tiền dòng khớp phần tổng và chuỗi đã về 0.</x:t>
  </x:si>
  <x:si>
    <x:t xml:space="preserve">Nghiệp vụ thực tế là giảm một khoản tiền hay giảm toàn bộ 1 sản phẩm KM300? Chốt cách thể hiện nội dung/số lượng đúng với mục tiêu xử lý tiếp và căn cứ.</x:t>
  </x:si>
  <x:si>
    <x:t xml:space="preserve">Kế toán xuất sai HD 12835. </x:t>
  </x:si>
  <x:si>
    <x:t xml:space="preserve">Hóa đơn điều chỉnh cho HD 1061: giảm toàn bộ 1 sản phẩm KM300: số lượng: -1, đơn giá: 499,074
Hóa đơn điều chỉnh cho HD 12835: tăng lại thành tiền: 499,074, tiền thuế: 39,926, thanh toán: 539,000</x:t>
  </x:si>
  <x:si>
    <x:t xml:space="preserve">Đèn bắt muỗi, ruồi và các loại côn trùng KM300: số lượng: -1, đơn giá: 499,074, thành tiền: -499,074</x:t>
  </x:si>
  <x:si>
    <x:t xml:space="preserve">DC02</x:t>
  </x:si>
  <x:si>
    <x:t xml:space="preserve">1C25TUV/00001094</x:t>
  </x:si>
  <x:si>
    <x:t xml:space="preserve">1C25TUV/00013038</x:t>
  </x:si>
  <x:si>
    <x:t xml:space="preserve">Lõi lọc diệt khuẩn Filter KA350S. Hóa đơn gốc SL +1; điều chỉnh vẫn SL +1, đơn giá âm. Tổng tiền đã về 0, số lượng hai phía chưa triệt tiêu.</x:t>
  </x:si>
  <x:si>
    <x:t xml:space="preserve">Nghiệp vụ thực tế là giảm giá hay giảm/trả toàn bộ số lượng hàng? Chốt mục tiêu xử lý số lượng và giá trị, căn cứ và hướng xử lý điều chỉnh cũ. Đơn giá âm chưa tự chứng minh nội dung sai.</x:t>
  </x:si>
  <x:si>
    <x:t xml:space="preserve">Kế toán xuất sai HD 13038</x:t>
  </x:si>
  <x:si>
    <x:t xml:space="preserve">Hóa đơn điều chỉnh cho HD 1094: giảm toàn bộ 1 Lõi lọc diệt khuẩn Filter KA350S: số lượng: -1, đơn giá: 509,259
Hóa đơn điều chỉnh cho HD 13038: tăng giảm toàn bộ 1 Lõi lọc diệt khuẩn Filter KA350S: số lượng: -1, đơn giá: 509,259
=&gt; Đảm bảo triệt tiêu số lượng, đơn giá, thành tiền</x:t>
  </x:si>
  <x:si>
    <x:t xml:space="preserve">Lõi lọc diệt khuẩn Filter KA350S: số lượng: -1, đơn giá: 509,259, thành tiền: -509,259</x:t>
  </x:si>
  <x:si>
    <x:t xml:space="preserve">DC03</x:t>
  </x:si>
  <x:si>
    <x:t xml:space="preserve">1C25TUV/00003113</x:t>
  </x:si>
  <x:si>
    <x:t xml:space="preserve">1C25TUV/00013032</x:t>
  </x:si>
  <x:si>
    <x:t xml:space="preserve">Vợt bắt muỗi tự động 2 trong 1 thu hút các loại côn trùng KM002. Hóa đơn gốc SL +1; điều chỉnh vẫn SL +1, đơn giá âm. Tổng tiền đã về 0, số lượng hai phía chưa triệt tiêu.</x:t>
  </x:si>
  <x:si>
    <x:t xml:space="preserve">Kế toán xuất sai HD 13032</x:t>
  </x:si>
  <x:si>
    <x:t xml:space="preserve">Hóa đơn điều chỉnh cho HD 3113: giảm toàn bộ Vợt bắt muỗi tự động 2 trong 1 thu hút các loại côn trùng KM002: số lượng: -1, đơn giá: 163,889
Hóa đơn điều chỉnh cho HD 13032: Vợt bắt muỗi tự động 2 trong 1 thu hút các loại côn trùng KM002: số lượng: -1, đơn giá: 163,889
=&gt; Đảm bảo triệt tiêu số lượng, đơn giá, thành tiền</x:t>
  </x:si>
  <x:si>
    <x:t xml:space="preserve"> Vợt bắt muỗi tự động 2 trong 1 thu hút các loại côn trùng KM002: số lượng: -1, đơn giá: 163,889</x:t>
  </x:si>
  <x:si>
    <x:t xml:space="preserve">DC04</x:t>
  </x:si>
  <x:si>
    <x:t xml:space="preserve">1C25TUV/00004081</x:t>
  </x:si>
  <x:si>
    <x:t xml:space="preserve">1C25TUV/00013033</x:t>
  </x:si>
  <x:si>
    <x:t xml:space="preserve">Kế toán xuất sai HD 13033</x:t>
  </x:si>
  <x:si>
    <x:t xml:space="preserve">Hóa đơn điều chỉnh cho HD 3113: giảm toàn bộ Vợt bắt muỗi tự động 2 trong 1 thu hút các loại côn trùng KM002: số lượng: -1, đơn giá: 165,741
Hóa đơn điều chỉnh cho HD 13033: Vợt bắt muỗi tự động 2 trong 1 thu hút các loại côn trùng KM002: số lượng: -1, đơn giá: 165,741
=&gt; Đảm bảo triệt tiêu số lượng, đơn giá, thành tiền</x:t>
  </x:si>
  <x:si>
    <x:t xml:space="preserve"> Vợt bắt muỗi tự động 2 trong 1 thu hút các loại côn trùng KM002: số lượng: -1, đơn giá: 165,741</x:t>
  </x:si>
  <x:si>
    <x:t xml:space="preserve">DC05</x:t>
  </x:si>
  <x:si>
    <x:t xml:space="preserve">1C25TUV/00005555</x:t>
  </x:si>
  <x:si>
    <x:t xml:space="preserve">1C25TUV/00013034</x:t>
  </x:si>
  <x:si>
    <x:t xml:space="preserve">Kế toán xuất sai HD 13034</x:t>
  </x:si>
  <x:si>
    <x:t xml:space="preserve">Hóa đơn điều chỉnh cho HD 3113: giảm toàn bộ Vợt bắt muỗi tự động 2 trong 1 thu hút các loại côn trùng KM002: số lượng: -1, đơn giá: 165,740
Hóa đơn điều chỉnh cho HD 13034: Vợt bắt muỗi tự động 2 trong 1 thu hút các loại côn trùng KM002: số lượng: -1, đơn giá: 165,740
=&gt; Đảm bảo triệt tiêu số lượng, đơn giá, thành tiền</x:t>
  </x:si>
  <x:si>
    <x:t xml:space="preserve"> Vợt bắt muỗi tự động 2 trong 1 thu hút các loại côn trùng KM002: số lượng: -1, đơn giá: 165,740</x:t>
  </x:si>
  <x:si>
    <x:t xml:space="preserve">DC06</x:t>
  </x:si>
  <x:si>
    <x:t xml:space="preserve">1C25TUV/00005918</x:t>
  </x:si>
  <x:si>
    <x:t xml:space="preserve">1C25TUV/00013035</x:t>
  </x:si>
  <x:si>
    <x:t xml:space="preserve">Kế toán xuất sai HD 13035</x:t>
  </x:si>
  <x:si>
    <x:t xml:space="preserve">Hóa đơn điều chỉnh cho HD 3113: giảm toàn bộ Vợt bắt muỗi tự động 2 trong 1 thu hút các loại côn trùng KM002: số lượng: -1, đơn giá: 165,741
Hóa đơn điều chỉnh cho HD 13035: Vợt bắt muỗi tự động 2 trong 1 thu hút các loại côn trùng KM002: số lượng: -1, đơn giá: 165,741
=&gt; Đảm bảo triệt tiêu số lượng, đơn giá, thành tiền</x:t>
  </x:si>
  <x:si>
    <x:t xml:space="preserve">CC01</x:t>
  </x:si>
  <x:si>
    <x:t xml:space="preserve">1C24TUV/00000003</x:t>
  </x:si>
  <x:si>
    <x:t xml:space="preserve">1C25TUV/00000508</x:t>
  </x:si>
  <x:si>
    <x:t xml:space="preserve">Phương án đảo khoản giảm 00000508 và giảm đầy đủ chi tiết gốc đã được người dùng chốt từ 09/10/2026. XML đã có; phần dòng khác tổng đã được ghi nhận.</x:t>
  </x:si>
  <x:si>
    <x:t xml:space="preserve">Tiếp tục chuẩn bị/cập nhật dữ liệu theo phương án đã chốt. Không yêu cầu chốt lại cùng phương án.</x:t>
  </x:si>
  <x:si>
    <x:t xml:space="preserve">Giữ nguyên, không xử lý điều chỉnh hóa đơn này</x:t>
  </x:si>
  <x:si>
    <x:t xml:space="preserve">CC02</x:t>
  </x:si>
  <x:si>
    <x:t xml:space="preserve">1C24TUV/00000498</x:t>
  </x:si>
  <x:si>
    <x:t xml:space="preserve">1C25TUV/00002140</x:t>
  </x:si>
  <x:si>
    <x:t xml:space="preserve">XML 00002140 có thuế suất tổng hợp 8%. Tiền hàng 17.830.586, thuế 1.426.447, thanh toán 19.257.033. Không có danh sách dòng hàng.</x:t>
  </x:si>
  <x:si>
    <x:t xml:space="preserve">Dùng bằng chứng XML để chuẩn bị dữ liệu tiếp. Không yêu cầu tìm lại thuế suất chỉ vì bảng chi tiết không thể hiện.</x:t>
  </x:si>
  <x:si>
    <x:t xml:space="preserve">CC03</x:t>
  </x:si>
  <x:si>
    <x:t xml:space="preserve">1C24TUV/00000574</x:t>
  </x:si>
  <x:si>
    <x:t xml:space="preserve">1C25TUV/00002189</x:t>
  </x:si>
  <x:si>
    <x:t xml:space="preserve">Người dùng đã chốt tạm tính thanh toán gốc bằng 0. Ô bảng tổng vẫn trống. Quy ước chỉ áp dụng cho hóa đơn này.</x:t>
  </x:si>
  <x:si>
    <x:t xml:space="preserve">Tiếp tục chuẩn bị dữ liệu theo quy ước riêng đã có. Không tự đổi ô nguồn hoặc mở rộng quy ước.</x:t>
  </x:si>
  <x:si>
    <x:t xml:space="preserve">CC04</x:t>
  </x:si>
  <x:si>
    <x:t xml:space="preserve">1C25TUV/00001348</x:t>
  </x:si>
  <x:si>
    <x:t xml:space="preserve">1C25TUV/00006108</x:t>
  </x:si>
  <x:si>
    <x:t xml:space="preserve">XML điều chỉnh thông tin người mua; ba tổng tiền đều 0. Bảng kê để trống thanh toán. Nội dung thông tin người mua nằm trong ghi chú tham chiếu XML.</x:t>
  </x:si>
  <x:si>
    <x:t xml:space="preserve">Giữ nội dung điều chỉnh thông tin và phân biệt 0 trong XML với ô trống bảng kê khi chuẩn bị dữ liệu tiếp.</x:t>
  </x:si>
  <x:si>
    <x:t xml:space="preserve">CC05</x:t>
  </x:si>
  <x:si>
    <x:t xml:space="preserve">1C25TUV/00002377</x:t>
  </x:si>
  <x:si>
    <x:t xml:space="preserve">1C25TUV/00004203</x:t>
  </x:si>
  <x:si>
    <x:t xml:space="preserve">CC06</x:t>
  </x:si>
  <x:si>
    <x:t xml:space="preserve">1C25TUV/00002378</x:t>
  </x:si>
  <x:si>
    <x:t xml:space="preserve">1C25TUV/00004204</x:t>
  </x:si>
  <x:si>
    <x:t xml:space="preserve">CC07</x:t>
  </x:si>
  <x:si>
    <x:t xml:space="preserve">1C25TUV/00009072</x:t>
  </x:si>
  <x:si>
    <x:t xml:space="preserve">1C25TUV/00009186</x:t>
  </x:si>
  <x:si>
    <x:t xml:space="preserve">XML điều chỉnh tên hàng có 2 dòng TChat=4; ba tổng tiền đều 0. Bảng kê để trống thanh toán. Nội dung đổi tên hàng đã có trong XML.</x:t>
  </x:si>
  <x:si>
    <x:t xml:space="preserve">Xuất điều chỉnh số lượng hàng hóa của hóa đơn 9072, còn hóa đơn 9186 thì kệ.</x:t>
  </x:si>
  <x:si>
    <x:t xml:space="preserve">Hóa đơn liên quan và căn cứ đối chiếu</x:t>
  </x:si>
  <x:si>
    <x:t xml:space="preserve">Đơn vị tiền: đồng. Ô trống được giữ trống; số 0 là giá trị có trong nguồn.</x:t>
  </x:si>
  <x:si>
    <x:t xml:space="preserve">Phạm vi công việc</x:t>
  </x:si>
  <x:si>
    <x:t xml:space="preserve">Vai trò</x:t>
  </x:si>
  <x:si>
    <x:t xml:space="preserve">Ký hiệu</x:t>
  </x:si>
  <x:si>
    <x:t xml:space="preserve">Số hóa đơn</x:t>
  </x:si>
  <x:si>
    <x:t xml:space="preserve">Ngày hóa đơn</x:t>
  </x:si>
  <x:si>
    <x:t xml:space="preserve">Tiền hàng bảng kê (đ)</x:t>
  </x:si>
  <x:si>
    <x:t xml:space="preserve">Thuế bảng kê (đ)</x:t>
  </x:si>
  <x:si>
    <x:t xml:space="preserve">Thanh toán bảng kê (đ)</x:t>
  </x:si>
  <x:si>
    <x:t xml:space="preserve">Nội dung dòng/ghi chú cần đối chiếu</x:t>
  </x:si>
  <x:si>
    <x:t xml:space="preserve">Nguồn bảng kê</x:t>
  </x:si>
  <x:si>
    <x:t xml:space="preserve">File XML</x:t>
  </x:si>
  <x:si>
    <x:t xml:space="preserve">Ghi chú độ phủ nguồn</x:t>
  </x:si>
  <x:si>
    <x:t xml:space="preserve">1C25TUV</x:t>
  </x:si>
  <x:si>
    <x:t xml:space="preserve">Bang_ke_hoa_don_da_su_dung_1791532908545_1.xlsx, dòng 164</x:t>
  </x:si>
  <x:si>
    <x:t xml:space="preserve">Chưa có XML trong phần nguồn đã lưu hiện tại.</x:t>
  </x:si>
  <x:si>
    <x:t xml:space="preserve">Điều chỉnh liên quan</x:t>
  </x:si>
  <x:si>
    <x:t xml:space="preserve">Điều chỉnh giảm giá trị hoá đơn số 00000159
Điều chỉnh giảm giá trị hoá đơn số 00000159 (TChat=1, SL=0, đơn giá=0, thành tiền=0)
Thuế suất tổng hợp: 8%</x:t>
  </x:si>
  <x:si>
    <x:t xml:space="preserve">Bang_ke_hoa_don_da_su_dung_1791532908545_1.xlsx, dòng 654</x:t>
  </x:si>
  <x:si>
    <x:t xml:space="preserve">1C25TUV_00000649.xml</x:t>
  </x:si>
  <x:si>
    <x:t xml:space="preserve">Có XML trong bộ nguồn hiện tại.</x:t>
  </x:si>
  <x:si>
    <x:t xml:space="preserve">Bang_ke_hoa_don_da_su_dung_1791532908545_1.xlsx, dòng 61</x:t>
  </x:si>
  <x:si>
    <x:t xml:space="preserve">Điều chỉnh tăng giá trị hóa đơn số 00000056
Điều chỉnh tăng giá trị hóa đơn số 00000056 (TChat=1, SL=0, đơn giá=0, thành tiền=0)
Thuế suất tổng hợp: 8%</x:t>
  </x:si>
  <x:si>
    <x:t xml:space="preserve">Bang_ke_hoa_don_da_su_dung_1791532908545_1.xlsx, dòng 566</x:t>
  </x:si>
  <x:si>
    <x:t xml:space="preserve">1C25TUV_00000561.xml</x:t>
  </x:si>
  <x:si>
    <x:t xml:space="preserve">1C24TUV</x:t>
  </x:si>
  <x:si>
    <x:t xml:space="preserve">Bang_ke_hoa_don_da_su_dung_1791532882546.xlsx, dòng 288</x:t>
  </x:si>
  <x:si>
    <x:t xml:space="preserve">Điều chỉnh  tăng thành tiền hoá đơn số 00000283
Điều chỉnh  tăng thành tiền hoá đơn số 00000283 (TChat=1, SL=0, đơn giá=0, thành tiền=0)
Thuế suất tổng hợp: 8%</x:t>
  </x:si>
  <x:si>
    <x:t xml:space="preserve">Bang_ke_hoa_don_da_su_dung_1791532908545_1.xlsx, dòng 1824</x:t>
  </x:si>
  <x:si>
    <x:t xml:space="preserve">1C25TUV_00001819.xml</x:t>
  </x:si>
  <x:si>
    <x:t xml:space="preserve">Bang_ke_hoa_don_da_su_dung_1791532882546.xlsx, dòng 98</x:t>
  </x:si>
  <x:si>
    <x:t xml:space="preserve">Điều chỉnh tăng thành tiền  hoá đơn số 00000093
Điều chỉnh tăng thành tiền  hoá đơn số 00000093 (TChat=1, SL=0, đơn giá=0, thành tiền=0)
Thuế suất tổng hợp: 8%</x:t>
  </x:si>
  <x:si>
    <x:t xml:space="preserve">Bang_ke_hoa_don_da_su_dung_1791532908545_1.xlsx, dòng 1172</x:t>
  </x:si>
  <x:si>
    <x:t xml:space="preserve">1C25TUV_00001167.xml</x:t>
  </x:si>
  <x:si>
    <x:t xml:space="preserve">Bang_ke_hoa_don_da_su_dung_1791532882546.xlsx, dòng 540</x:t>
  </x:si>
  <x:si>
    <x:t xml:space="preserve">Điều chỉnh tăng giá trị hóa đơn số 00000535
Điều chỉnh tăng giá trị hóa đơn số 00000535 (TChat=1, SL=0, đơn giá=0, thành tiền=0)
Thuế suất tổng hợp: 8%</x:t>
  </x:si>
  <x:si>
    <x:t xml:space="preserve">Bang_ke_hoa_don_da_su_dung_1791532908545_1.xlsx, dòng 2150</x:t>
  </x:si>
  <x:si>
    <x:t xml:space="preserve">1C25TUV_00002145.xml</x:t>
  </x:si>
  <x:si>
    <x:t xml:space="preserve">Bang_ke_hoa_don_da_su_dung_1791532882546.xlsx, dòng 233</x:t>
  </x:si>
  <x:si>
    <x:t xml:space="preserve">Điều chỉnh giảm giá trị hóa đơn số 00000228
Điều chỉnh giảm giá trị hóa đơn số 00000228 (TChat=1, SL=0, đơn giá=0, thành tiền=0)
Thuế suất tổng hợp: 8%</x:t>
  </x:si>
  <x:si>
    <x:t xml:space="preserve">Bang_ke_hoa_don_da_su_dung_1791532908545_1.xlsx, dòng 2624</x:t>
  </x:si>
  <x:si>
    <x:t xml:space="preserve">1C25TUV_00002619.xml</x:t>
  </x:si>
  <x:si>
    <x:t xml:space="preserve">Điều chỉnh tăng giá trị hoá đơn số 00000228
Điều chỉnh tăng giá trị hoá đơn số 00000228 (TChat=1, SL=0, đơn giá=0, thành tiền=0)
Thuế suất tổng hợp: 8%</x:t>
  </x:si>
  <x:si>
    <x:t xml:space="preserve">Bang_ke_hoa_don_da_su_dung_1791532908545_1.xlsx, dòng 2651</x:t>
  </x:si>
  <x:si>
    <x:t xml:space="preserve">1C25TUV_00002646.xml</x:t>
  </x:si>
  <x:si>
    <x:t xml:space="preserve">Bang_ke_hoa_don_da_su_dung_1791532882546.xlsx, dòng 290</x:t>
  </x:si>
  <x:si>
    <x:t xml:space="preserve">Điều chỉnh tăng thành tiền hoá đơn số 00000285
Điều chỉnh tăng thành tiền hoá đơn số 00000285 (TChat=1, SL=0, đơn giá=0, thành tiền=0)
Thuế suất tổng hợp: 8%</x:t>
  </x:si>
  <x:si>
    <x:t xml:space="preserve">Bang_ke_hoa_don_da_su_dung_1791532908545_1.xlsx, dòng 1826</x:t>
  </x:si>
  <x:si>
    <x:t xml:space="preserve">1C25TUV_00001821.xml</x:t>
  </x:si>
  <x:si>
    <x:t xml:space="preserve">Bang_ke_hoa_don_da_su_dung_1791532908545_1.xlsx, dòng 107</x:t>
  </x:si>
  <x:si>
    <x:t xml:space="preserve">Điều chỉnh tăng giá trị hoá đơn số 00000102
Điều chỉnh tăng giá trị hoá đơn số 00000102 (TChat=1, SL=0, đơn giá=0, thành tiền=0)
Thuế suất tổng hợp: 8%</x:t>
  </x:si>
  <x:si>
    <x:t xml:space="preserve">Bang_ke_hoa_don_da_su_dung_1791532908545_1.xlsx, dòng 631</x:t>
  </x:si>
  <x:si>
    <x:t xml:space="preserve">1C25TUV_00000626.xml</x:t>
  </x:si>
  <x:si>
    <x:t xml:space="preserve">Màng Lọc HEPA H13 Diệt Khuẩn Cho Máy Lọc Không Khí UVGREEN KA350 FT ( BS HĐ 547): SL=trống, đơn giá=trống, tiền hàng=46296, thuế=3705, thanh toán=50001</x:t>
  </x:si>
  <x:si>
    <x:t xml:space="preserve">Bang_ke_hoa_don_da_su_dung_1791532882546.xlsx, dòng 560</x:t>
  </x:si>
  <x:si>
    <x:t xml:space="preserve">Điều chỉnh giảm giá trị hoá đơn số 00000555
Điều chỉnh giảm giá trị hoá đơn số 00000555 (TChat=1, SL=0, đơn giá=0, thành tiền=0)
Thuế suất tổng hợp: 8%</x:t>
  </x:si>
  <x:si>
    <x:t xml:space="preserve">Bang_ke_hoa_don_da_su_dung_1791532908545_1.xlsx, dòng 2637</x:t>
  </x:si>
  <x:si>
    <x:t xml:space="preserve">1C25TUV_00002632.xml</x:t>
  </x:si>
  <x:si>
    <x:t xml:space="preserve">Màng Lọc (Lõi Lọc) HEPA H13 Diệt Khuẩn Cho Máy Lọc Không Khí UVGREEN KA600 FT: SL=trống, đơn giá=trống, tiền hàng=trống, thuế=trống, thanh toán=trống</x:t>
  </x:si>
  <x:si>
    <x:t xml:space="preserve">Bang_ke_hoa_don_da_su_dung_1791532908545_1.xlsx, dòng 118</x:t>
  </x:si>
  <x:si>
    <x:t xml:space="preserve">Điều chỉnh tăng giá trị hoá đơn số 00000113
Điều chỉnh tăng giá trị hoá đơn số 00000113 (TChat=1, SL=0, đơn giá=0, thành tiền=0)
Thuế suất tổng hợp: 8%</x:t>
  </x:si>
  <x:si>
    <x:t xml:space="preserve">Bang_ke_hoa_don_da_su_dung_1791532908545_1.xlsx, dòng 640</x:t>
  </x:si>
  <x:si>
    <x:t xml:space="preserve">1C25TUV_00000635.xml</x:t>
  </x:si>
  <x:si>
    <x:t xml:space="preserve">( Hàng biếu, tặng không thu tiền): SL/đơn giá/thành tiền lưu = 0 ở bảng kiểm.</x:t>
  </x:si>
  <x:si>
    <x:t xml:space="preserve">Bang_ke_hoa_don_da_su_dung_1791532882546.xlsx, dòng 779</x:t>
  </x:si>
  <x:si>
    <x:t xml:space="preserve">( Hàng tặng không thu tiền): SL/đơn giá/thành tiền lưu = 0 ở bảng kiểm.</x:t>
  </x:si>
  <x:si>
    <x:t xml:space="preserve">Bang_ke_hoa_don_da_su_dung_1791532882546.xlsx, dòng 788</x:t>
  </x:si>
  <x:si>
    <x:t xml:space="preserve">Bang_ke_hoa_don_da_su_dung_1791532882546.xlsx, dòng 789</x:t>
  </x:si>
  <x:si>
    <x:t xml:space="preserve">( hàng tặng không thu tiền): SL/đơn giá/thành tiền lưu = 0 ở bảng kiểm.</x:t>
  </x:si>
  <x:si>
    <x:t xml:space="preserve">Bang_ke_hoa_don_da_su_dung_1791532882546.xlsx, dòng 791</x:t>
  </x:si>
  <x:si>
    <x:t xml:space="preserve">Vợt bắt muỗi tự động 2 trong 1 thu hút các loại côn trùng KM002: SL/đơn giá/thành tiền lưu = 0 ở bảng kiểm.</x:t>
  </x:si>
  <x:si>
    <x:t xml:space="preserve">Bang_ke_hoa_don_da_su_dung_1791532908545_1.xlsx, dòng 2801</x:t>
  </x:si>
  <x:si>
    <x:t xml:space="preserve">Vợt bắt muỗi tự động 2 trong 1 thu hút các loại côn trùng KM003: SL/đơn giá/thành tiền lưu = 0 ở bảng kiểm.</x:t>
  </x:si>
  <x:si>
    <x:t xml:space="preserve">Bang_ke_hoa_don_da_su_dung_1791532908545_1.xlsx, dòng 2802</x:t>
  </x:si>
  <x:si>
    <x:t xml:space="preserve">Bang_ke_hoa_don_da_su_dung_1791532908545_1.xlsx, dòng 11</x:t>
  </x:si>
  <x:si>
    <x:t xml:space="preserve">Điều chỉnh tăng giá trị hóa đơn số 00000006
Điều chỉnh tăng giá trị hóa đơn số 00000006 (TChat=1, SL=0, đơn giá=0, thành tiền=0)
Thuế suất tổng hợp: 8%</x:t>
  </x:si>
  <x:si>
    <x:t xml:space="preserve">Bang_ke_hoa_don_da_su_dung_1791532908545_1.xlsx, dòng 660</x:t>
  </x:si>
  <x:si>
    <x:t xml:space="preserve">1C25TUV_00000655.xml</x:t>
  </x:si>
  <x:si>
    <x:t xml:space="preserve">Bang_ke_hoa_don_da_su_dung_1791532908545_1.xlsx, dòng 21</x:t>
  </x:si>
  <x:si>
    <x:t xml:space="preserve">Điều chỉnh tăng giá trị hóa đơn số 00000016
Điều chỉnh tăng giá trị hóa đơn số 00000016 (TChat=1, SL=0, đơn giá=0, thành tiền=0)
Thuế suất tổng hợp: 8%</x:t>
  </x:si>
  <x:si>
    <x:t xml:space="preserve">Bang_ke_hoa_don_da_su_dung_1791532908545_1.xlsx, dòng 662</x:t>
  </x:si>
  <x:si>
    <x:t xml:space="preserve">1C25TUV_00000657.xml</x:t>
  </x:si>
  <x:si>
    <x:t xml:space="preserve">Bang_ke_hoa_don_da_su_dung_1791532908545_1.xlsx, dòng 3553</x:t>
  </x:si>
  <x:si>
    <x:t xml:space="preserve">Điều chỉnh giảm do đổi trả hàng hóa theo hóa đơn số :00003548 ngày 06 tháng 06 năm 2025  
Lõi lọc diệt khuẩn - Filter - KA150S (TChat=1, SL=-1, đơn giá=962037, thành tiền=-962037)
Thuế suất tổng hợp: 8%</x:t>
  </x:si>
  <x:si>
    <x:t xml:space="preserve">Bang_ke_hoa_don_da_su_dung_1791532908545_6.xlsx, dòng 3862</x:t>
  </x:si>
  <x:si>
    <x:t xml:space="preserve">1C25TUV_00013072.xml</x:t>
  </x:si>
  <x:si>
    <x:t xml:space="preserve">Bang_ke_hoa_don_da_su_dung_1791532908545_1.xlsx, dòng 4031</x:t>
  </x:si>
  <x:si>
    <x:t xml:space="preserve">Điều chỉnh giảm do đổi trả hàng hóa  theo hóa đơn số :00004026 ngày 08 tháng 06 năm 2025  
Máy phun sương tạo độ ẩm không khí diệt khuẩn bằng tia UVC với màn hình LCD - KH100 (TChat=1, SL=-1, đơn giá=499074, thành tiền=-499074)
Thuế suất tổng hợp: 8%</x:t>
  </x:si>
  <x:si>
    <x:t xml:space="preserve">Bang_ke_hoa_don_da_su_dung_1791532908545_6.xlsx, dòng 3869</x:t>
  </x:si>
  <x:si>
    <x:t xml:space="preserve">1C25TUV_00013079.xml</x:t>
  </x:si>
  <x:si>
    <x:t xml:space="preserve">Bang_ke_hoa_don_da_su_dung_1791532908545_2.xlsx, dòng 45</x:t>
  </x:si>
  <x:si>
    <x:t xml:space="preserve">Điều chỉnh giảm do đổi trả hàng hóa  theo hóa đơn số :00004953 ngày 12 tháng 06 năm 2025  
Máy lọc không khí diệt khuẩn bằng tia UVC - KA350 Pro-Upgrade (TChat=1, SL=-1, đơn giá=2295369, thành tiền=-2295369)
Thuế suất tổng hợp: 8%</x:t>
  </x:si>
  <x:si>
    <x:t xml:space="preserve">Bang_ke_hoa_don_da_su_dung_1791532908545_6.xlsx, dòng 3879</x:t>
  </x:si>
  <x:si>
    <x:t xml:space="preserve">1C25TUV_00013089.xml</x:t>
  </x:si>
  <x:si>
    <x:t xml:space="preserve">Bang_ke_hoa_don_da_su_dung_1791532908545_2.xlsx, dòng 997</x:t>
  </x:si>
  <x:si>
    <x:t xml:space="preserve">Điều chỉnh giảm do đổi trả hàng hóa  theo hóa đơn số :00005905 ngày 16 tháng 06 năm 2025  
Máy lọc không khí diệt khuẩn bằng tia UVC - KA600 (TChat=1, SL=-1, đơn giá=509259, thành tiền=-509259)
Thuế suất tổng hợp: 8%</x:t>
  </x:si>
  <x:si>
    <x:t xml:space="preserve">Bang_ke_hoa_don_da_su_dung_1791532908545_6.xlsx, dòng 3885</x:t>
  </x:si>
  <x:si>
    <x:t xml:space="preserve">1C25TUV_00013095.xml</x:t>
  </x:si>
  <x:si>
    <x:t xml:space="preserve">Bang_ke_hoa_don_da_su_dung_1791532908545_2.xlsx, dòng 2858</x:t>
  </x:si>
  <x:si>
    <x:t xml:space="preserve">Điều chỉnh giảm do đổi trả hàng hóa  theo hóa đơn số :00007766 ngày 22 tháng 06 năm 2025  
Máy phun sương tạo độ ẩm không khí diệt khuẩn bằng tia UVC với màn hình LCD - KH100 (TChat=1, SL=-1, đơn giá=486110, thành tiền=-486110)
Thuế suất tổng hợp: 8%</x:t>
  </x:si>
  <x:si>
    <x:t xml:space="preserve">Bang_ke_hoa_don_da_su_dung_1791532908545_6.xlsx, dòng 3889</x:t>
  </x:si>
  <x:si>
    <x:t xml:space="preserve">1C25TUV_00013099.xml</x:t>
  </x:si>
  <x:si>
    <x:t xml:space="preserve">Bang_ke_hoa_don_da_su_dung_1791532908545_1.xlsx, dòng 1066</x:t>
  </x:si>
  <x:si>
    <x:t xml:space="preserve">Điều chỉnh giảm giá trị hoá đơn số 00001061
Điều chỉnh giảm giá trị hoá đơn số 00001061 (TChat=1, SL=0, đơn giá=0, thành tiền=-499074)
Thuế suất tổng hợp: 8%</x:t>
  </x:si>
  <x:si>
    <x:t xml:space="preserve">Bang_ke_hoa_don_da_su_dung_1791532908545_5.xlsx, dòng 1288</x:t>
  </x:si>
  <x:si>
    <x:t xml:space="preserve">1C25TUV_00012835.xml</x:t>
  </x:si>
  <x:si>
    <x:t xml:space="preserve">Bang_ke_hoa_don_da_su_dung_1791532908545_1.xlsx, dòng 1099</x:t>
  </x:si>
  <x:si>
    <x:t xml:space="preserve">Điều chỉnh giảm do đổi trả hàng hóa  theo hóa đơn số 00001094 ngày 26 tháng 05 năm 2025
Lõi lọc diệt khuẩn Filter KA350S (TChat=1, SL=1, đơn giá=-509259, thành tiền=-509259)
Thuế suất tổng hợp: 8%</x:t>
  </x:si>
  <x:si>
    <x:t xml:space="preserve">Bang_ke_hoa_don_da_su_dung_1791532908545_6.xlsx, dòng 3205</x:t>
  </x:si>
  <x:si>
    <x:t xml:space="preserve">1C25TUV_00013038.xml</x:t>
  </x:si>
  <x:si>
    <x:t xml:space="preserve">Bang_ke_hoa_don_da_su_dung_1791532908545_1.xlsx, dòng 3118</x:t>
  </x:si>
  <x:si>
    <x:t xml:space="preserve">Điều chỉnh giảm do đổi trả hàng hóa theo hóa đơn số 00003113, ngày 04/06/2025
Vợt bắt muỗi tự động 2 trong 1 thu hút các loại côn trùng - KM002 (TChat=1, SL=1, đơn giá=-163889, thành tiền=-163889)
Thuế suất tổng hợp: 8%</x:t>
  </x:si>
  <x:si>
    <x:t xml:space="preserve">Bang_ke_hoa_don_da_su_dung_1791532908545_6.xlsx, dòng 3199</x:t>
  </x:si>
  <x:si>
    <x:t xml:space="preserve">1C25TUV_00013032.xml</x:t>
  </x:si>
  <x:si>
    <x:t xml:space="preserve">Bang_ke_hoa_don_da_su_dung_1791532908545_1.xlsx, dòng 4086</x:t>
  </x:si>
  <x:si>
    <x:t xml:space="preserve">Điều chỉnh giảm do đổi trả hàng hóa  theo hóa đơn số 00004081, ngày 08/06/2025
Vợt bắt muỗi tự động 2 trong 1 thu hút các loại côn trùng - KM002 (TChat=1, SL=1, đơn giá=-165741, thành tiền=-165741)
Thuế suất tổng hợp: 8%</x:t>
  </x:si>
  <x:si>
    <x:t xml:space="preserve">Bang_ke_hoa_don_da_su_dung_1791532908545_6.xlsx, dòng 3200</x:t>
  </x:si>
  <x:si>
    <x:t xml:space="preserve">1C25TUV_00013033.xml</x:t>
  </x:si>
  <x:si>
    <x:t xml:space="preserve">Bang_ke_hoa_don_da_su_dung_1791532908545_2.xlsx, dòng 647</x:t>
  </x:si>
  <x:si>
    <x:t xml:space="preserve">Điều chỉnh giảm do đổi trả hàng hóa  theo hóa đơn số 00005555, ngày 16/06/2025
Vợt bắt muỗi tự động 2 trong 1 thu hút các loại côn trùng - KM002 (TChat=1, SL=1, đơn giá=-165740, thành tiền=-165740)
Thuế suất tổng hợp: 8%</x:t>
  </x:si>
  <x:si>
    <x:t xml:space="preserve">Bang_ke_hoa_don_da_su_dung_1791532908545_6.xlsx, dòng 3201</x:t>
  </x:si>
  <x:si>
    <x:t xml:space="preserve">1C25TUV_00013034.xml</x:t>
  </x:si>
  <x:si>
    <x:t xml:space="preserve">Bang_ke_hoa_don_da_su_dung_1791532908545_2.xlsx, dòng 1010</x:t>
  </x:si>
  <x:si>
    <x:t xml:space="preserve">Điều chỉnh giảm do đổi trả hàng hóa  theo hóa đơn số 00005918,  ngày 16/06/2025
Vợt bắt muỗi tự động 2 trong 1 thu hút các loại côn trùng - KM002 (TChat=1, SL=1, đơn giá=-165741, thành tiền=-165741)
Thuế suất tổng hợp: 8%</x:t>
  </x:si>
  <x:si>
    <x:t xml:space="preserve">Bang_ke_hoa_don_da_su_dung_1791532908545_6.xlsx, dòng 3202</x:t>
  </x:si>
  <x:si>
    <x:t xml:space="preserve">1C25TUV_00013035.xml</x:t>
  </x:si>
  <x:si>
    <x:t xml:space="preserve">Máy Lọc Không Khí Diệt Khuẩn UVGREEN KA600 60m2 - Công Nghệ UVC LED, Ion Âm, HEPA H13 Lọc Sạch Bụi Mịn, Mùi, Khói, Lông Thú Cưng, Bảo Hành 24 Tháng (TChat=1, SL=1, đơn giá=2573148, thành tiền=2573148)
Máy Lọc Không Khí Diệt Khuẩn UVGREEN KA350 40m2 - Công Nghệ UVC LED, Lõi Lọc HEPA H13 Lọc Sạch Bụi Mịn, Mùi, Khói, Lông Thú Cưng, Bảo Hành 24 Tháng (TChat=1, SL=1, đơn giá=1605069, thành tiền=1605069)
Màng Lọc (Lõi Lọc) HEPA H13 Diệt Khuẩn Cho Máy Lọc Không Khí UVGREEN KA350 FT - Bộ Lọc 3 Lớp, Lọc Sạch 99,97% Bụi Mịn (TChat=1, SL=1, đơn giá=267294, thành tiền=267294)
Máy Lọc Không Khí Diệt Khuẩn UVGREEN KA350 40m2 - Công Nghệ UVC LED, Lõi Lọc HEPA H13 Lọc Sạch Bụi Mịn, Mùi, Khói, Lông Thú Cưng, Bảo Hành 24 Tháng (TChat=1, SL=1, đơn giá=1447094, thành tiền=1447094)
Máy Lọc Không Khí Diệt Khuẩn UVGREEN KA600 60m2 - Công Nghệ UVC LED, Ion Âm, HEPA H13 Lọc Sạch Bụi Mịn, Mùi, Khói, Lông Thú Cưng, Bảo Hành 24 Tháng (TChat=1, SL=1, đơn giá=2435193, thành tiền=2435193)
Máy Lọc Không Khí Diệt Khuẩn UVGREEN KA350 40m2 - Công Nghệ UVC LED, Lõi Lọc HEPA H13 Lọc Sạch Bụi Mịn, Mùi, Khói, Lông Thú Cưng, Bảo Hành 24 Tháng (TChat=1, SL=1, đơn giá=1457500, thành tiền=1457500)
Máy Lọc Không Khí Diệt Khuẩn UVGREEN KA350 40m2 - Công Nghệ UVC LED, Lõi Lọc HEPA H13 Lọc Sạch Bụi Mịn, Mùi, Khói, Lông Thú Cưng, Bảo Hành 24 Tháng (TChat=1, SL=1, đơn giá=1548832, thành tiền=1548832)
Thuế suất tổng hợp: 8%</x:t>
  </x:si>
  <x:si>
    <x:t xml:space="preserve">Bang_ke_hoa_don_da_su_dung_1791532882546.xlsx, dòng 8</x:t>
  </x:si>
  <x:si>
    <x:t xml:space="preserve">1C24TUV_00000003.xml</x:t>
  </x:si>
  <x:si>
    <x:t xml:space="preserve">Điều chỉnh giảm thành tiền cho hoá đơn số 00000003
Điều chỉnh giảm thành tiền hoá đơn số 00000003 (TChat=1, SL=0, đơn giá=0, thành tiền=0)
Thuế suất tổng hợp: 8%</x:t>
  </x:si>
  <x:si>
    <x:t xml:space="preserve">Bang_ke_hoa_don_da_su_dung_1791532908545_1.xlsx, dòng 513</x:t>
  </x:si>
  <x:si>
    <x:t xml:space="preserve">1C25TUV_00000508.xml</x:t>
  </x:si>
  <x:si>
    <x:t xml:space="preserve">Bang_ke_hoa_don_da_su_dung_1791532882546.xlsx, dòng 503</x:t>
  </x:si>
  <x:si>
    <x:t xml:space="preserve">Điều chỉnh tăng giá trị hóa đơn số 00000498
XML không có danh sách dòng hàng.
Thuế suất tổng hợp: 8%</x:t>
  </x:si>
  <x:si>
    <x:t xml:space="preserve">Bang_ke_hoa_don_da_su_dung_1791532908545_1.xlsx, dòng 2145</x:t>
  </x:si>
  <x:si>
    <x:t xml:space="preserve">1C25TUV_00002140.xml</x:t>
  </x:si>
  <x:si>
    <x:t xml:space="preserve">Bang_ke_hoa_don_da_su_dung_1791532882546.xlsx, dòng 579</x:t>
  </x:si>
  <x:si>
    <x:t xml:space="preserve">Điều chỉnh tăng giá trị hóa đơn số 00000574
Điều chỉnh tăng giá trị hóa đơn số 00000574 (TChat=1, SL=0, đơn giá=0, thành tiền=0)
Thuế suất tổng hợp: 8%</x:t>
  </x:si>
  <x:si>
    <x:t xml:space="preserve">Bang_ke_hoa_don_da_su_dung_1791532908545_1.xlsx, dòng 2194</x:t>
  </x:si>
  <x:si>
    <x:t xml:space="preserve">1C25TUV_00002189.xml</x:t>
  </x:si>
  <x:si>
    <x:t xml:space="preserve">Bang_ke_hoa_don_da_su_dung_1791532908545_1.xlsx, dòng 1353</x:t>
  </x:si>
  <x:si>
    <x:t xml:space="preserve">Điều chỉnh thông tin người mua hàng. Cụ thể: Tên đơn vị:  Công ty TNHH Thương Mại Dịch Vụ Truyền Thông Giải Trí MMC- Địa chỉ: 204 Đinh Tiên Hoàng, Phường Đa Kao, Quận 1, Tp. HCM- Mã số thuế: 0317749334
XML không có danh sách dòng hàng.</x:t>
  </x:si>
  <x:si>
    <x:t xml:space="preserve">Bang_ke_hoa_don_da_su_dung_1791532908545_2.xlsx, dòng 1200</x:t>
  </x:si>
  <x:si>
    <x:t xml:space="preserve">1C25TUV_00006108.xml</x:t>
  </x:si>
  <x:si>
    <x:t xml:space="preserve">Có XML trong bộ nguồn hiện tại. XML ghi 0 tại ô bảng kê để trống.</x:t>
  </x:si>
  <x:si>
    <x:t xml:space="preserve">Bang_ke_hoa_don_da_su_dung_1791532908545_1.xlsx, dòng 2382</x:t>
  </x:si>
  <x:si>
    <x:t xml:space="preserve">Điều chỉnh thông tin khách hàng: Hộ kinh doanh Châu Mễ- Mã số thuế: 3501911256-001- Địa chỉ: Thôn 3, xã Tân Phúc, huyện Hàm Tân, Bình Thuận
XML không có danh sách dòng hàng.</x:t>
  </x:si>
  <x:si>
    <x:t xml:space="preserve">Bang_ke_hoa_don_da_su_dung_1791532908545_1.xlsx, dòng 4208</x:t>
  </x:si>
  <x:si>
    <x:t xml:space="preserve">1C25TUV_00004203.xml</x:t>
  </x:si>
  <x:si>
    <x:t xml:space="preserve">Bang_ke_hoa_don_da_su_dung_1791532908545_1.xlsx, dòng 2383</x:t>
  </x:si>
  <x:si>
    <x:t xml:space="preserve">Điều chỉnh thông tin khách hàng- Hộ kinh doanh Châu Mễ- Mã số thuế: 3501911256-001- Địa chỉ: Thôn 3, xã Tân Phúc, huyện Hàm Tân, Bình Thuận
XML không có danh sách dòng hàng.</x:t>
  </x:si>
  <x:si>
    <x:t xml:space="preserve">Bang_ke_hoa_don_da_su_dung_1791532908545_1.xlsx, dòng 4209</x:t>
  </x:si>
  <x:si>
    <x:t xml:space="preserve">1C25TUV_00004204.xml</x:t>
  </x:si>
  <x:si>
    <x:t xml:space="preserve">Bang_ke_hoa_don_da_su_dung_1791532908545_2.xlsx, dòng 4164</x:t>
  </x:si>
  <x:si>
    <x:t xml:space="preserve">Điều chỉnh tên hàng hoá
Điều chỉnh tên hàng hoá từ  Máy lọc không khí diệt khuẩn bằng tia UVC KA350 ProUpgrade thành Combo Máy lọc không khí diệt khuẩn bằng tia UVC KA350 ProUpgrade và Máy lọc không khí diệt khuẩn bằng tia UVC KA150P (TChat=4, SL=0, đơn giá=0, thành tiền=0)
Điều chỉnh tên hàng hoá t ừ Lõi lọc diệt khuẩn Filter KA350S thành Combo Lõi lọc diệt khuẩn Filter KA350S và Lõi lọc diệt khuẩn  Filter  KA150S (TChat=4, SL=0, đơn giá=0, thành tiền=0)
Thuế suất tổng hợp: 8%</x:t>
  </x:si>
  <x:si>
    <x:t xml:space="preserve">Bang_ke_hoa_don_da_su_dung_1791532908545_2.xlsx, dòng 4278</x:t>
  </x:si>
  <x:si>
    <x:t xml:space="preserve">1C25TUV_00009186.xml</x:t>
  </x:si>
</x:sst>
</file>

<file path=xl/styles.xml><?xml version="1.0" encoding="utf-8"?>
<x:styleSheet xmlns:x="http://schemas.openxmlformats.org/spreadsheetml/2006/main">
  <x:numFmts count="7">
    <x:numFmt numFmtId="43" formatCode="_(* #,##0.00_);_(* \(#,##0.00\);_(* &quot;-&quot;??_);_(@_)"/>
    <x:numFmt numFmtId="164" formatCode="#,##0;[Red]\(#,##0\);0"/>
    <x:numFmt numFmtId="165" formatCode="_(* #,##0_);_(* \(#,##0\);_(* &quot;-&quot;??_);_(@_)"/>
    <x:numFmt numFmtId="200" formatCode="dd/mm/yyyy"/>
    <x:numFmt numFmtId="201" formatCode="@"/>
    <x:numFmt numFmtId="202" formatCode="#,##0;[Red](#,##0);0"/>
    <x:numFmt numFmtId="203" formatCode="0"/>
  </x:numFmts>
  <x:fonts count="12">
    <x:font>
      <x:sz val="11"/>
      <x:name val="Carlito"/>
    </x:font>
    <x:font>
      <x:sz val="10"/>
      <x:color rgb="FF172B4D"/>
      <x:name val="Arial"/>
      <x:family val="2"/>
    </x:font>
    <x:font>
      <x:b/>
      <x:sz val="14"/>
      <x:color rgb="FF23374D"/>
      <x:name val="Arial"/>
      <x:family val="2"/>
    </x:font>
    <x:font>
      <x:sz val="10"/>
      <x:color rgb="FF52606D"/>
      <x:name val="Arial"/>
      <x:family val="2"/>
    </x:font>
    <x:font>
      <x:b/>
      <x:sz val="10"/>
      <x:color rgb="FFFFFFFF"/>
      <x:name val="Arial"/>
      <x:family val="2"/>
    </x:font>
    <x:font>
      <x:sz val="10"/>
      <x:color rgb="FF1D4ED8"/>
      <x:name val="Arial"/>
      <x:family val="2"/>
    </x:font>
    <x:font>
      <x:b/>
      <x:sz val="10"/>
      <x:color rgb="FF172B4D"/>
      <x:name val="Arial"/>
      <x:family val="2"/>
    </x:font>
    <x:font>
      <x:sz val="11"/>
      <x:name val="Carlito"/>
    </x:font>
    <x:font>
      <x:b/>
      <x:sz val="10"/>
      <x:color rgb="FFFFFFFF"/>
      <x:name val="Arial"/>
    </x:font>
    <x:font>
      <x:sz val="10"/>
      <x:color rgb="FF172B3A"/>
      <x:name val="Arial"/>
    </x:font>
    <x:font>
      <x:sz val="10"/>
      <x:name val="Arial"/>
    </x:font>
    <x:font>
      <x:b/>
      <x:sz val="14"/>
      <x:color rgb="FF203E59"/>
      <x:name val="Arial"/>
    </x:font>
  </x:fonts>
  <x:fills count="12">
    <x:fill>
      <x:patternFill patternType="none"/>
    </x:fill>
    <x:fill>
      <x:patternFill patternType="gray125"/>
    </x:fill>
    <x:fill>
      <x:patternFill patternType="solid">
        <x:fgColor rgb="FF23374D"/>
      </x:patternFill>
    </x:fill>
    <x:fill>
      <x:patternFill patternType="solid">
        <x:fgColor rgb="FFF3F6FA"/>
      </x:patternFill>
    </x:fill>
    <x:fill>
      <x:patternFill patternType="solid">
        <x:fgColor rgb="FF806525"/>
      </x:patternFill>
    </x:fill>
    <x:fill>
      <x:patternFill patternType="solid">
        <x:fgColor rgb="FFFFF4CC"/>
      </x:patternFill>
    </x:fill>
    <x:fill>
      <x:patternFill patternType="solid">
        <x:fgColor rgb="FFE5EDF4"/>
      </x:patternFill>
    </x:fill>
    <x:fill>
      <x:patternFill patternType="solid">
        <x:fgColor rgb="FF375F4D"/>
      </x:patternFill>
    </x:fill>
    <x:fill>
      <x:patternFill patternType="solid">
        <x:fgColor rgb="FFE3F1EA"/>
      </x:patternFill>
    </x:fill>
    <x:fill>
      <x:patternFill patternType="solid">
        <x:fgColor rgb="FF203E59"/>
      </x:patternFill>
    </x:fill>
    <x:fill>
      <x:patternFill patternType="solid">
        <x:fgColor rgb="FFF2F5F8"/>
      </x:patternFill>
    </x:fill>
    <x:fill>
      <x:patternFill patternType="solid">
        <x:fgColor rgb="FFE5EDF4"/>
      </x:patternFill>
    </x:fill>
  </x:fills>
  <x:borders count="5">
    <x:border>
      <x:left/>
      <x:right/>
      <x:top/>
      <x:bottom/>
      <x:diagonal/>
    </x:border>
    <x:border>
      <x:left/>
      <x:right/>
      <x:top/>
      <x:bottom style="thin">
        <x:color rgb="FF23374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2">
    <x:xf numFmtId="0" fontId="0" fillId="0" borderId="0"/>
    <x:xf numFmtId="43" fontId="7" fillId="0" borderId="0" applyFont="0" applyFill="0" applyBorder="0" applyAlignment="0" applyProtection="0"/>
  </x:cellStyleXfs>
  <x:cellXfs count="75">
    <x:xf numFmtId="0" fontId="0" fillId="0" borderId="0" xfId="0"/>
    <x:xf numFmtId="0" fontId="1" fillId="0" borderId="0" xfId="0" applyFont="1" applyAlignment="1">
      <x:alignment vertical="center"/>
    </x:xf>
    <x:xf numFmtId="0" fontId="2" fillId="0" borderId="0" xfId="0" applyFont="1" applyAlignment="1">
      <x:alignment vertical="center"/>
    </x:xf>
    <x:xf numFmtId="14" fontId="1" fillId="0" borderId="0" xfId="0" applyNumberFormat="1" applyFont="1" applyAlignment="1">
      <x:alignment vertical="center"/>
    </x:xf>
    <x:xf numFmtId="0" fontId="1" fillId="0" borderId="1" xfId="0" applyFont="1" applyBorder="1" applyAlignment="1">
      <x:alignment vertical="center"/>
    </x:xf>
    <x:xf numFmtId="0" fontId="3" fillId="0" borderId="0" xfId="0" applyFont="1" applyAlignment="1">
      <x:alignment vertical="center"/>
    </x:xf>
    <x:xf numFmtId="0" fontId="4" fillId="2" borderId="2" xfId="0" applyFont="1" applyFill="1" applyBorder="1" applyAlignment="1">
      <x:alignment horizontal="center" vertical="center" wrapText="1"/>
    </x:xf>
    <x:xf numFmtId="0" fontId="4" fillId="2" borderId="3" xfId="0" applyFont="1" applyFill="1" applyBorder="1" applyAlignment="1">
      <x:alignment horizontal="center" vertical="center" wrapText="1"/>
    </x:xf>
    <x:xf numFmtId="0" fontId="4" fillId="2" borderId="4" xfId="0" applyFont="1" applyFill="1" applyBorder="1" applyAlignment="1">
      <x:alignment horizontal="center" vertical="center" wrapText="1"/>
    </x:xf>
    <x:xf numFmtId="0" fontId="1" fillId="0" borderId="0" xfId="0" applyFont="1" applyAlignment="1">
      <x:alignment vertical="top" wrapText="1"/>
    </x:xf>
    <x:xf numFmtId="0" fontId="1" fillId="3" borderId="0" xfId="0" applyFont="1" applyFill="1" applyAlignment="1">
      <x:alignment vertical="top" wrapText="1"/>
    </x:xf>
    <x:xf numFmtId="14" fontId="1" fillId="0" borderId="0" xfId="0" applyNumberFormat="1" applyFont="1" applyAlignment="1">
      <x:alignment vertical="top" wrapText="1"/>
    </x:xf>
    <x:xf numFmtId="14" fontId="1" fillId="3" borderId="0" xfId="0" applyNumberFormat="1" applyFont="1" applyFill="1" applyAlignment="1">
      <x:alignment vertical="top" wrapText="1"/>
    </x:xf>
    <x:xf numFmtId="49" fontId="1" fillId="0" borderId="0" xfId="0" applyNumberFormat="1" applyFont="1" applyAlignment="1">
      <x:alignment vertical="top" wrapText="1"/>
    </x:xf>
    <x:xf numFmtId="49" fontId="1" fillId="3" borderId="0" xfId="0" applyNumberFormat="1" applyFont="1" applyFill="1" applyAlignment="1">
      <x:alignment vertical="top" wrapText="1"/>
    </x:xf>
    <x:xf numFmtId="164" fontId="1" fillId="0" borderId="0" xfId="0" applyNumberFormat="1" applyFont="1" applyAlignment="1">
      <x:alignment horizontal="right" vertical="top" wrapText="1"/>
    </x:xf>
    <x:xf numFmtId="164" fontId="1" fillId="3" borderId="0" xfId="0" applyNumberFormat="1" applyFont="1" applyFill="1" applyAlignment="1">
      <x:alignment horizontal="right" vertical="top" wrapText="1"/>
    </x:xf>
    <x:xf numFmtId="0" fontId="4" fillId="4" borderId="3" xfId="0" applyFont="1" applyFill="1" applyBorder="1" applyAlignment="1">
      <x:alignment horizontal="center" vertical="center" wrapText="1"/>
    </x:xf>
    <x:xf numFmtId="0" fontId="5" fillId="5" borderId="0" xfId="0" applyFont="1" applyFill="1" applyAlignment="1">
      <x:alignment vertical="top" wrapText="1"/>
    </x:xf>
    <x:xf numFmtId="14" fontId="5" fillId="5" borderId="0" xfId="0" applyNumberFormat="1" applyFont="1" applyFill="1" applyAlignment="1">
      <x:alignment vertical="top" wrapText="1"/>
    </x:xf>
    <x:xf numFmtId="0" fontId="6" fillId="6" borderId="0" xfId="0" applyFont="1" applyFill="1" applyAlignment="1">
      <x:alignment vertical="center"/>
    </x:xf>
    <x:xf numFmtId="1" fontId="1" fillId="0" borderId="0" xfId="0" applyNumberFormat="1" applyFont="1" applyAlignment="1">
      <x:alignment vertical="top" wrapText="1"/>
    </x:xf>
    <x:xf numFmtId="1" fontId="1" fillId="3" borderId="0" xfId="0" applyNumberFormat="1" applyFont="1" applyFill="1" applyAlignment="1">
      <x:alignment vertical="top" wrapText="1"/>
    </x:xf>
    <x:xf numFmtId="1" fontId="1" fillId="0" borderId="0" xfId="0" applyNumberFormat="1" applyFont="1" applyAlignment="1">
      <x:alignment vertical="center"/>
    </x:xf>
    <x:xf numFmtId="1" fontId="6" fillId="6" borderId="0" xfId="0" applyNumberFormat="1" applyFont="1" applyFill="1" applyAlignment="1">
      <x:alignment vertical="center"/>
    </x:xf>
    <x:xf numFmtId="0" fontId="6" fillId="0" borderId="0" xfId="0" applyFont="1" applyAlignment="1">
      <x:alignment vertical="center"/>
    </x:xf>
    <x:xf numFmtId="0" fontId="5" fillId="5" borderId="0" xfId="0" applyFont="1" applyFill="1" applyAlignment="1">
      <x:alignment vertical="top" wrapText="1"/>
    </x:xf>
    <x:xf numFmtId="165" fontId="1" fillId="0" borderId="0" xfId="1" applyNumberFormat="1" applyFont="1" applyAlignment="1">
      <x:alignment vertical="center"/>
    </x:xf>
    <x:xf numFmtId="0" fontId="0" fillId="0" borderId="0" xfId="0" applyAlignment="1">
      <x:alignment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0" fontId="4" fillId="9" borderId="3" xfId="0" applyNumberFormat="1" applyFont="1" applyFill="1" applyBorder="1" applyAlignment="1">
      <x:alignment horizontal="center" vertical="center" wrapText="1"/>
    </x:xf>
    <x:xf numFmtId="0" fontId="10" fillId="0"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9" fillId="0" borderId="0" xfId="0" applyNumberFormat="1" applyFont="1" applyFill="1" applyBorder="1"/>
    <x:xf numFmtId="0" fontId="11" fillId="0" borderId="0" xfId="0" applyNumberFormat="1" applyFont="1" applyFill="1" applyBorder="1"/>
    <x:xf numFmtId="200" fontId="9" fillId="0" borderId="0" xfId="0" applyNumberFormat="1" applyFont="1" applyFill="1" applyBorder="1"/>
    <x:xf numFmtId="0" fontId="9"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horizontal="center" wrapText="1"/>
    </x:xf>
    <x:xf numFmtId="0" fontId="8" fillId="9" borderId="0" xfId="0" applyNumberFormat="1" applyFont="1" applyFill="1" applyBorder="1" applyAlignment="1">
      <x:alignment horizontal="center" vertical="center" wrapText="1"/>
    </x:xf>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0" fontId="9" fillId="10" borderId="0" xfId="0" applyNumberFormat="1" applyFont="1" applyFill="1" applyBorder="1" applyAlignment="1">
      <x:alignment vertical="top" wrapText="1"/>
    </x:xf>
    <x:xf numFmtId="202" fontId="9" fillId="0" borderId="0" xfId="0" applyNumberFormat="1" applyFont="1" applyFill="1" applyBorder="1" applyAlignment="1">
      <x:alignment vertical="top" wrapText="1"/>
    </x:xf>
    <x:xf numFmtId="202" fontId="9" fillId="10" borderId="0" xfId="0" applyNumberFormat="1" applyFont="1" applyFill="1" applyBorder="1" applyAlignment="1">
      <x:alignment vertical="top" wrapText="1"/>
    </x:xf>
    <x:xf numFmtId="202" fontId="9" fillId="0" borderId="0" xfId="0" applyNumberFormat="1" applyFont="1" applyFill="1" applyBorder="1" applyAlignment="1">
      <x:alignment horizontal="right" vertical="top" wrapText="1"/>
    </x:xf>
    <x:xf numFmtId="202" fontId="9" fillId="10" borderId="0" xfId="0" applyNumberFormat="1" applyFont="1" applyFill="1" applyBorder="1" applyAlignment="1">
      <x:alignment horizontal="right" vertical="top" wrapText="1"/>
    </x:xf>
    <x:xf numFmtId="201" fontId="9" fillId="0" borderId="0" xfId="0" applyNumberFormat="1" applyFont="1" applyFill="1" applyBorder="1" applyAlignment="1">
      <x:alignment vertical="top" wrapText="1"/>
    </x:xf>
    <x:xf numFmtId="201" fontId="9" fillId="10" borderId="0" xfId="0" applyNumberFormat="1" applyFont="1" applyFill="1" applyBorder="1" applyAlignment="1">
      <x:alignment vertical="top" wrapText="1"/>
    </x:xf>
    <x:xf numFmtId="0" fontId="1" fillId="11" borderId="0" xfId="0" applyNumberFormat="1" applyFont="1" applyFill="1" applyBorder="1" applyAlignment="1">
      <x:alignment vertical="center"/>
    </x:xf>
    <x:xf numFmtId="0" fontId="6" fillId="11" borderId="0" xfId="0" applyNumberFormat="1" applyFont="1" applyFill="1" applyBorder="1" applyAlignment="1">
      <x:alignment vertical="center"/>
    </x:xf>
    <x:xf numFmtId="203"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0" borderId="0" xfId="0" applyNumberFormat="1" applyFont="1" applyFill="1" applyBorder="1" applyAlignment="1">
      <x:alignment vertical="center"/>
    </x:xf>
    <x:xf numFmtId="203" fontId="6" fillId="6" borderId="0" xfId="0" applyNumberFormat="1" applyFont="1" applyFill="1" applyBorder="1" applyAlignment="1">
      <x:alignment vertical="center"/>
    </x:xf>
    <x:xf numFmtId="203" fontId="6" fillId="11" borderId="0" xfId="0" applyNumberFormat="1" applyFont="1" applyFill="1" applyBorder="1" applyAlignment="1">
      <x:alignment vertical="center"/>
    </x:xf>
    <x:xf numFmtId="200" fontId="1" fillId="0" borderId="0" xfId="0" applyNumberFormat="1" applyFont="1" applyFill="1" applyBorder="1" applyAlignment="1">
      <x:alignment vertical="center"/>
    </x:xf>
  </x:cellXfs>
  <x:cellStyles count="2">
    <x:cellStyle name="Comma" xfId="1"/>
    <x:cellStyle name="Normal" xfId="0"/>
  </x:cellStyles>
  <x:dxfs count="19">
    <x:dxf>
      <x:font>
        <x:color rgb="FF9C2424"/>
      </x:font>
      <x:fill>
        <x:patternFill>
          <x:bgColor rgb="FFFDE7E7"/>
        </x:patternFill>
      </x:fill>
    </x:dxf>
    <x:dxf>
      <x:font>
        <x:color rgb="FF9C2424"/>
      </x:font>
      <x:fill>
        <x:patternFill>
          <x:bgColor rgb="FFFDE7E7"/>
        </x:patternFill>
      </x:fill>
    </x:dxf>
    <x:dxf>
      <x:font>
        <x:color rgb="FF9C2424"/>
      </x:font>
      <x:fill>
        <x:patternFill>
          <x:bgColor rgb="FFFDE7E7"/>
        </x:patternFill>
      </x:fill>
    </x:dxf>
    <x:dxf>
      <x:font>
        <x:color rgb="FF9C2424"/>
      </x:font>
      <x:fill>
        <x:patternFill>
          <x:bgColor rgb="FFFDE7E7"/>
        </x:patternFill>
      </x:fill>
    </x:dxf>
    <x:dxf>
      <x:font>
        <x:color rgb="FF9C2424"/>
      </x:font>
      <x:fill>
        <x:patternFill>
          <x:bgColor rgb="FFFDE7E7"/>
        </x:patternFill>
      </x:fill>
    </x:dxf>
    <x:dxf>
      <x:font>
        <x:b/>
        <x:color rgb="FF9C2424"/>
      </x:font>
      <x:fill>
        <x:patternFill>
          <x:bgColor rgb="FFFDE7E7"/>
        </x:patternFill>
      </x:fill>
    </x:dxf>
    <x:dxf/>
    <x:dxf>
      <x:numFmt numFmtId="19" formatCode="dd/mm/yyyy"/>
    </x:dxf>
    <x:dxf>
      <x:font>
        <x:u val="none"/>
        <x:sz val="10"/>
        <x:color rgb="FF1D4ED8"/>
        <x:name val="Arial"/>
        <x:family val="2"/>
        <x:scheme val="none"/>
      </x:font>
      <x:fill>
        <x:patternFill>
          <x:bgColor indexed="64"/>
        </x:patternFill>
      </x:fill>
    </x:dxf>
    <x:dxf>
      <x:numFmt numFmtId="19" formatCode="dd/mm/yyyy"/>
    </x:dxf>
    <x:dxf>
      <x:numFmt numFmtId="19" formatCode="dd/mm/yyyy"/>
    </x:dxf>
    <x:dxf>
      <x:font>
        <x:u val="none"/>
        <x:sz val="10"/>
        <x:color rgb="FF1D4ED8"/>
        <x:name val="Arial"/>
        <x:family val="2"/>
        <x:scheme val="none"/>
      </x:font>
      <x:fill>
        <x:patternFill>
          <x:bgColor indexed="64"/>
        </x:patternFill>
      </x:fill>
    </x:dxf>
    <x:dxf>
      <x:numFmt numFmtId="19" formatCode="dd/mm/yyyy"/>
    </x:dxf>
    <x:dxf>
      <x:font>
        <x:u val="none"/>
        <x:sz val="10"/>
        <x:color rgb="FF1D4ED8"/>
        <x:name val="Arial"/>
        <x:family val="2"/>
        <x:scheme val="none"/>
      </x:font>
      <x:fill>
        <x:patternFill>
          <x:bgColor indexed="64"/>
        </x:patternFill>
      </x:fill>
    </x:dxf>
    <x:dxf>
      <x:font>
        <x:u val="none"/>
        <x:sz val="10"/>
        <x:color rgb="FF1D4ED8"/>
        <x:name val="Arial"/>
        <x:family val="2"/>
        <x:scheme val="none"/>
      </x:font>
      <x:fill>
        <x:patternFill>
          <x:bgColor indexed="64"/>
        </x:patternFill>
      </x:fill>
    </x:dxf>
    <x:dxf>
      <x:font>
        <x:u val="none"/>
        <x:sz val="10"/>
        <x:color rgb="FF1D4ED8"/>
        <x:name val="Arial"/>
        <x:family val="2"/>
        <x:scheme val="none"/>
      </x:font>
      <x:fill>
        <x:patternFill>
          <x:bgColor indexed="64"/>
        </x:patternFill>
      </x:fill>
    </x:dxf>
    <x:dxf>
      <x:font>
        <x:u val="none"/>
        <x:sz val="10"/>
        <x:color rgb="FF1D4ED8"/>
        <x:name val="Arial"/>
        <x:family val="2"/>
        <x:scheme val="none"/>
      </x:font>
      <x:fill>
        <x:patternFill>
          <x:bgColor indexed="64"/>
        </x:patternFill>
      </x:fill>
    </x:dxf>
    <x:dxf>
      <x:font>
        <x:u val="none"/>
        <x:sz val="10"/>
        <x:color rgb="FF1D4ED8"/>
        <x:name val="Arial"/>
        <x:family val="2"/>
        <x:scheme val="none"/>
      </x:font>
      <x:fill>
        <x:patternFill>
          <x:bgColor indexed="64"/>
        </x:patternFill>
      </x:fill>
    </x:dxf>
    <x:dxf>
      <x:font>
        <x:b/>
        <x:color rgb="FF9C2424"/>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8b1ccc53f44481" /><Relationship Type="http://schemas.openxmlformats.org/officeDocument/2006/relationships/theme" Target="/xl/theme/theme1.xml" Id="R1df7e6178ade49ac" /><Relationship Type="http://schemas.openxmlformats.org/officeDocument/2006/relationships/sharedStrings" Target="/xl/sharedStrings.xml" Id="Rdf79a7e5ed344fd9" /><Relationship Type="http://schemas.openxmlformats.org/officeDocument/2006/relationships/worksheet" Target="/xl/worksheets/sheet1.xml" Id="R951e11c51df847e1" /><Relationship Type="http://schemas.openxmlformats.org/officeDocument/2006/relationships/worksheet" Target="/xl/worksheets/sheet2.xml" Id="Rd7b44b09fa744270" /><Relationship Type="http://schemas.openxmlformats.org/officeDocument/2006/relationships/worksheet" Target="/xl/worksheets/sheet3.xml" Id="Rf323641d845f4b14" /><Relationship Type="http://schemas.openxmlformats.org/officeDocument/2006/relationships/worksheet" Target="/xl/worksheets/sheet4.xml" Id="Rf5fda9c6ff9e4de3" /><Relationship Type="http://schemas.openxmlformats.org/officeDocument/2006/relationships/worksheet" Target="/xl/worksheets/sheet5.xml" Id="R03be1187a31c4b46" /><Relationship Type="http://schemas.openxmlformats.org/officeDocument/2006/relationships/worksheet" Target="/xl/worksheets/sheet6.xml" Id="R0bdf3d7893314359" /><Relationship Type="http://schemas.openxmlformats.org/officeDocument/2006/relationships/worksheet" Target="/xl/worksheets/sheet7.xml" Id="Reefc8517670c41e2" /><Relationship Type="http://schemas.openxmlformats.org/officeDocument/2006/relationships/worksheet" Target="/xl/worksheets/sheet8.xml" Id="Rff023d1ad7ff4b92" /><Relationship Type="http://schemas.openxmlformats.org/officeDocument/2006/relationships/worksheet" Target="/xl/worksheets/sheet9.xml" Id="R7966db32397b4e39" /><Relationship Type="http://schemas.openxmlformats.org/officeDocument/2006/relationships/worksheet" Target="/xl/worksheets/sheet10.xml" Id="R8a660c9c53854766" /></Relationships>
</file>

<file path=xl/tables/table1.xml><?xml version="1.0" encoding="utf-8"?>
<x:table xmlns:x="http://schemas.openxmlformats.org/spreadsheetml/2006/main" id="6" name="ReviewSummary" displayName="ReviewSummary" ref="A7:G12" totalsRowShown="0">
  <x:autoFilter ref="A7:G12"/>
  <x:tableColumns count="7">
    <x:tableColumn id="1" name="Nhóm vấn đề"/>
    <x:tableColumn id="2" name="Sheet chi tiết"/>
    <x:tableColumn id="3" name="Hồ sơ"/>
    <x:tableColumn id="4" name="Chưa phản hồi"/>
    <x:tableColumn id="5" name="Cần bổ sung"/>
    <x:tableColumn id="6" name="Đủ trường phản hồi"/>
    <x:tableColumn id="7" name="Việc cần kế toán chốt"/>
  </x:tableColumns>
  <x:tableStyleInfo name="TableStyleLight1" showFirstColumn="0" showLastColumn="0" showRowStripes="1" showColumnStripes="0"/>
</x:table>
</file>

<file path=xl/tables/table2.xml><?xml version="1.0" encoding="utf-8"?>
<x:table xmlns:x="http://schemas.openxmlformats.org/spreadsheetml/2006/main" id="9" name="ReviewLT" displayName="ReviewLT" ref="A7:T15" headerRowCount="1" totalsRowCount="0" totalsRowShown="0">
  <x:autoFilter ref="A7:T15"/>
  <x:tableColumns count="20">
    <x:tableColumn id="1" name="Mã hồ sơ"/>
    <x:tableColumn id="2" name="Hóa đơn gốc"/>
    <x:tableColumn id="3" name="Ngày gốc"/>
    <x:tableColumn id="4" name="HĐ điều chỉnh liên quan"/>
    <x:tableColumn id="5" name="Ngày điều chỉnh"/>
    <x:tableColumn id="6" name="Tiền hàng XML (đ)"/>
    <x:tableColumn id="7" name="Thuế XML (đ)"/>
    <x:tableColumn id="8" name="Thanh toán XML (đ)"/>
    <x:tableColumn id="9" name="Hàng + thuế − thanh toán (đ)"/>
    <x:tableColumn id="10" name="Ghi nhận cần kiểm tra"/>
    <x:tableColumn id="11" name="Câu hỏi cần kế toán kết luận"/>
    <x:tableColumn id="12" name="Nguyên nhân (KT điền)"/>
    <x:tableColumn id="13" name="Hướng xử lý (KT điền)"/>
    <x:tableColumn id="14" name="Số liệu/nội dung đúng (KT điền)"/>
    <x:tableColumn id="15" name="Căn cứ/chứng từ (KT điền)"/>
    <x:tableColumn id="16" name="Người phản hồi"/>
    <x:tableColumn id="17" name="Ngày phản hồi"/>
    <x:tableColumn id="18" name="Trạng thái chốt"/>
    <x:tableColumn id="19" name="Phương án đã chốt 11/10"/>
    <x:tableColumn id="20" name="Xử lý đợt này"/>
  </x:tableColumns>
  <x:tableStyleInfo name="TableStyleLight1" showFirstColumn="0" showLastColumn="0" showRowStripes="1" showColumnStripes="0"/>
</x:table>
</file>

<file path=xl/tables/table3.xml><?xml version="1.0" encoding="utf-8"?>
<x:table xmlns:x="http://schemas.openxmlformats.org/spreadsheetml/2006/main" id="10" name="ReviewSL" displayName="ReviewSL" ref="A7:P15" headerRowCount="1" totalsRowCount="0" totalsRowShown="0">
  <x:autoFilter ref="A7:P15"/>
  <x:tableColumns count="16">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rạng thái chốt"/>
    <x:tableColumn id="15" name="Phương án đã chốt 11/10"/>
    <x:tableColumn id="16" name="Xử lý đợt này"/>
  </x:tableColumns>
  <x:tableStyleInfo name="TableStyleLight1" showFirstColumn="0" showLastColumn="0" showRowStripes="1" showColumnStripes="0"/>
</x:table>
</file>

<file path=xl/tables/table4.xml><?xml version="1.0" encoding="utf-8"?>
<x:table xmlns:x="http://schemas.openxmlformats.org/spreadsheetml/2006/main" id="11" name="ReviewTT" displayName="ReviewTT" ref="A7:P9" headerRowCount="1" totalsRowCount="0" totalsRowShown="0">
  <x:autoFilter ref="A7:P9"/>
  <x:tableColumns count="16">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rạng thái chốt"/>
    <x:tableColumn id="15" name="Phương án đã chốt 11/10"/>
    <x:tableColumn id="16" name="Xử lý đợt này"/>
  </x:tableColumns>
  <x:tableStyleInfo name="TableStyleLight1" showFirstColumn="0" showLastColumn="0" showRowStripes="1" showColumnStripes="0"/>
</x:table>
</file>

<file path=xl/tables/table5.xml><?xml version="1.0" encoding="utf-8"?>
<x:table xmlns:x="http://schemas.openxmlformats.org/spreadsheetml/2006/main" id="12" name="ReviewHH" displayName="ReviewHH" ref="A7:P12" headerRowCount="1" totalsRowCount="0" totalsRowShown="0">
  <x:autoFilter ref="A7:P12"/>
  <x:tableColumns count="16">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rạng thái chốt"/>
    <x:tableColumn id="15" name="Phương án đã chốt 11/10"/>
    <x:tableColumn id="16" name="Xử lý đợt này"/>
  </x:tableColumns>
  <x:tableStyleInfo name="TableStyleLight1" showFirstColumn="0" showLastColumn="0" showRowStripes="1" showColumnStripes="0"/>
</x:table>
</file>

<file path=xl/tables/table6.xml><?xml version="1.0" encoding="utf-8"?>
<x:table xmlns:x="http://schemas.openxmlformats.org/spreadsheetml/2006/main" id="13" name="ReviewDC" displayName="ReviewDC" ref="A7:P13" headerRowCount="1" totalsRowCount="0" totalsRowShown="0">
  <x:autoFilter ref="A7:P13"/>
  <x:tableColumns count="16">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rạng thái chốt"/>
    <x:tableColumn id="15" name="Phương án đã chốt 11/10"/>
    <x:tableColumn id="16" name="Xử lý đợt này"/>
  </x:tableColumns>
  <x:tableStyleInfo name="TableStyleLight1" showFirstColumn="0" showLastColumn="0" showRowStripes="1" showColumnStripes="0"/>
</x:table>
</file>

<file path=xl/tables/table7.xml><?xml version="1.0" encoding="utf-8"?>
<x:table xmlns:x="http://schemas.openxmlformats.org/spreadsheetml/2006/main" id="14" name="KnownCases" displayName="KnownCases" ref="A7:J14" headerRowCount="1" totalsRowCount="0" totalsRowShown="0">
  <x:autoFilter ref="A7:J14"/>
  <x:tableColumns count="10">
    <x:tableColumn id="1" name="Mã hồ sơ"/>
    <x:tableColumn id="2" name="Hóa đơn gốc"/>
    <x:tableColumn id="3" name="Ngày gốc"/>
    <x:tableColumn id="4" name="HĐ điều chỉnh liên quan"/>
    <x:tableColumn id="5" name="Ngày điều chỉnh"/>
    <x:tableColumn id="6" name="Căn cứ/ghi nhận trước đó"/>
    <x:tableColumn id="7" name="Hướng chuẩn bị trước khi chốt"/>
    <x:tableColumn id="8" name="Hướng xử lý (KT điền)"/>
    <x:tableColumn id="9" name="Phương án đã chốt 11/10"/>
    <x:tableColumn id="10" name="Xử lý đợt này"/>
  </x:tableColumns>
  <x:tableStyleInfo name="TableStyleLight1" showFirstColumn="0" showLastColumn="0" showRowStripes="1" showColumnStripes="0"/>
</x:table>
</file>

<file path=xl/tables/table8.xml><?xml version="1.0" encoding="utf-8"?>
<x:table xmlns:x="http://schemas.openxmlformats.org/spreadsheetml/2006/main" id="8" name="InvoiceEvidence" displayName="InvoiceEvidence" ref="A7:P74" totalsRowShown="0">
  <x:autoFilter ref="A7:P74"/>
  <x:tableColumns count="16">
    <x:tableColumn id="1" name="Mã hồ sơ"/>
    <x:tableColumn id="2" name="Phạm vi công việc"/>
    <x:tableColumn id="3" name="Vai trò"/>
    <x:tableColumn id="4" name="Ký hiệu"/>
    <x:tableColumn id="5" name="Số hóa đơn"/>
    <x:tableColumn id="6" name="Ngày hóa đơn"/>
    <x:tableColumn id="7" name="Tiền hàng bảng kê (đ)"/>
    <x:tableColumn id="8" name="Thuế bảng kê (đ)"/>
    <x:tableColumn id="9" name="Thanh toán bảng kê (đ)"/>
    <x:tableColumn id="10" name="Tiền hàng XML (đ)"/>
    <x:tableColumn id="11" name="Thuế XML (đ)"/>
    <x:tableColumn id="12" name="Thanh toán XML (đ)"/>
    <x:tableColumn id="13" name="Nội dung dòng/ghi chú cần đối chiếu"/>
    <x:tableColumn id="14" name="Nguồn bảng kê"/>
    <x:tableColumn id="15" name="File XML"/>
    <x:tableColumn id="16" name="Ghi chú độ phủ nguồn"/>
  </x:tableColumns>
  <x:tableStyleInfo name="TableStyleLight1" showFirstColumn="0" showLastColumn="0" showRowStripes="1" showColumnStripes="0"/>
</x:table>
</file>

<file path=xl/tables/table9.xml><?xml version="1.0" encoding="utf-8"?>
<x:table xmlns:x="http://schemas.openxmlformats.org/spreadsheetml/2006/main" id="15" name="ConfirmedActions" displayName="ConfirmedActions" ref="A7:P55" headerRowCount="1" totalsRowCount="0" totalsRowShown="0">
  <x:autoFilter ref="A7:P55"/>
  <x:tableColumns count="16">
    <x:tableColumn id="1" name="Mã phương án"/>
    <x:tableColumn id="2" name="Mã hồ sơ"/>
    <x:tableColumn id="3" name="Gốc của chuỗi"/>
    <x:tableColumn id="4" name="Hóa đơn được điều chỉnh"/>
    <x:tableColumn id="5" name="Ngày hóa đơn tham chiếu"/>
    <x:tableColumn id="6" name="Nghiệp vụ đề xuất"/>
    <x:tableColumn id="7" name="Cách thể hiện đã chốt"/>
    <x:tableColumn id="8" name="Tiền hàng đề xuất (đ)"/>
    <x:tableColumn id="9" name="Thuế đề xuất (đ)"/>
    <x:tableColumn id="10" name="Thanh toán đề xuất (đ)"/>
    <x:tableColumn id="11" name="Hàng + thuế − TT (đ)"/>
    <x:tableColumn id="12" name="Tiền hàng nguồn (đ)"/>
    <x:tableColumn id="13" name="Thuế nguồn (đ)"/>
    <x:tableColumn id="14" name="Thanh toán nguồn (đ)"/>
    <x:tableColumn id="15" name="Kiểm phần đảo"/>
    <x:tableColumn id="16" name="Căn cứ tiền"/>
  </x:tableColumns>
  <x:tableStyleInfo name="TableStyleLight1" showFirstColumn="0" showLastColumn="0" showRowStripes="1" showColumnStripes="0"/>
</x:table>
</file>

<file path=xl/tables/table10.xml><?xml version="1.0" encoding="utf-8"?>
<x:table xmlns:x="http://schemas.openxmlformats.org/spreadsheetml/2006/main" id="16" name="ProtectedChains" displayName="ProtectedChains" ref="A7:J251" headerRowCount="1" totalsRowCount="0" totalsRowShown="0">
  <x:autoFilter ref="A7:J251"/>
  <x:tableColumns count="10">
    <x:tableColumn id="1" name="STT"/>
    <x:tableColumn id="2" name="Hóa đơn gốc"/>
    <x:tableColumn id="3" name="Ngày gốc"/>
    <x:tableColumn id="4" name="Nhóm giữ nguyên"/>
    <x:tableColumn id="5" name="Các hóa đơn liên quan và ngày"/>
    <x:tableColumn id="6" name="Căn cứ nhận diện/giữ nguyên"/>
    <x:tableColumn id="7" name="Hóa đơn có căn cứ"/>
    <x:tableColumn id="8" name="MST/định danh nguồn"/>
    <x:tableColumn id="9" name="Nguồn căn cứ"/>
    <x:tableColumn id="10" name="Hướng xử lý"/>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7efbe0d630402e" /></Relationships>
</file>

<file path=xl/worksheets/_rels/sheet2.xml.rels>&#65279;<?xml version="1.0" encoding="utf-8"?><Relationships xmlns="http://schemas.openxmlformats.org/package/2006/relationships"><Relationship Type="http://schemas.openxmlformats.org/officeDocument/2006/relationships/table" Target="/xl/tables/table2.xml" Id="R33b87048c2e447e1" /></Relationships>
</file>

<file path=xl/worksheets/_rels/sheet3.xml.rels>&#65279;<?xml version="1.0" encoding="utf-8"?><Relationships xmlns="http://schemas.openxmlformats.org/package/2006/relationships"><Relationship Type="http://schemas.openxmlformats.org/officeDocument/2006/relationships/table" Target="/xl/tables/table3.xml" Id="R8deaf787f1c44128" /></Relationships>
</file>

<file path=xl/worksheets/_rels/sheet4.xml.rels>&#65279;<?xml version="1.0" encoding="utf-8"?><Relationships xmlns="http://schemas.openxmlformats.org/package/2006/relationships"><Relationship Type="http://schemas.openxmlformats.org/officeDocument/2006/relationships/table" Target="/xl/tables/table4.xml" Id="Rfca02493f2c443ba" /></Relationships>
</file>

<file path=xl/worksheets/_rels/sheet5.xml.rels>&#65279;<?xml version="1.0" encoding="utf-8"?><Relationships xmlns="http://schemas.openxmlformats.org/package/2006/relationships"><Relationship Type="http://schemas.openxmlformats.org/officeDocument/2006/relationships/table" Target="/xl/tables/table5.xml" Id="R3ccf54f8187e4101" /></Relationships>
</file>

<file path=xl/worksheets/_rels/sheet6.xml.rels>&#65279;<?xml version="1.0" encoding="utf-8"?><Relationships xmlns="http://schemas.openxmlformats.org/package/2006/relationships"><Relationship Type="http://schemas.openxmlformats.org/officeDocument/2006/relationships/table" Target="/xl/tables/table6.xml" Id="R52c9bd0af2f74bc9" /></Relationships>
</file>

<file path=xl/worksheets/_rels/sheet7.xml.rels>&#65279;<?xml version="1.0" encoding="utf-8"?><Relationships xmlns="http://schemas.openxmlformats.org/package/2006/relationships"><Relationship Type="http://schemas.openxmlformats.org/officeDocument/2006/relationships/table" Target="/xl/tables/table7.xml" Id="R2cd7aef331614cee" /></Relationships>
</file>

<file path=xl/worksheets/_rels/sheet8.xml.rels>&#65279;<?xml version="1.0" encoding="utf-8"?><Relationships xmlns="http://schemas.openxmlformats.org/package/2006/relationships"><Relationship Type="http://schemas.openxmlformats.org/officeDocument/2006/relationships/table" Target="/xl/tables/table8.xml" Id="R56006730017d4189" /></Relationships>
</file>

<file path=xl/worksheets/_rels/sheet9.xml.rels>&#65279;<?xml version="1.0" encoding="utf-8"?><Relationships xmlns="http://schemas.openxmlformats.org/package/2006/relationships"><Relationship Type="http://schemas.openxmlformats.org/officeDocument/2006/relationships/table" Target="/xl/tables/table9.xml" Id="R4f89f7e58ad54570" /></Relationships>
</file>

<file path=xl/worksheets/_rels/sheet10.xml.rels>&#65279;<?xml version="1.0" encoding="utf-8"?><Relationships xmlns="http://schemas.openxmlformats.org/package/2006/relationships"><Relationship Type="http://schemas.openxmlformats.org/officeDocument/2006/relationships/table" Target="/xl/tables/table10.xml" Id="R7e16b6446bf24834" /></Relationships>
</file>

<file path=xl/worksheets/sheet1.xml><?xml version="1.0" encoding="utf-8"?>
<x:worksheet xmlns:x="http://schemas.openxmlformats.org/spreadsheetml/2006/main">
  <x:sheetPr>
    <x:tabColor rgb="FF23374D"/>
  </x:sheetPr>
  <x:sheetViews>
    <x:sheetView showGridLines="0" workbookViewId="0"/>
  </x:sheetViews>
  <x:sheetFormatPr defaultRowHeight="14"/>
  <x:cols>
    <x:col min="1" max="1" width="43" customWidth="1"/>
    <x:col min="2" max="2" width="26" customWidth="1"/>
    <x:col min="3" max="3" width="12" customWidth="1"/>
    <x:col min="4" max="5" width="19" customWidth="1"/>
    <x:col min="6" max="6" width="24" customWidth="1"/>
    <x:col min="7" max="7" width="70" customWidth="1"/>
  </x:cols>
  <x:sheetData>
    <x:row r="1">
      <x:c r="A1" s="1"/>
      <x:c r="B1" s="1"/>
      <x:c r="C1" s="1"/>
      <x:c r="D1" s="1"/>
      <x:c r="E1" s="1"/>
      <x:c r="F1" s="1"/>
      <x:c r="G1" s="1"/>
    </x:row>
    <x:row r="2" ht="27" customHeight="1">
      <x:c r="A2" s="2" t="str">
        <x:v>UVG – Phương án đã chốt với kế toán</x:v>
      </x:c>
      <x:c r="B2" s="1"/>
      <x:c r="C2" s="1"/>
      <x:c r="D2" s="1"/>
      <x:c r="E2" s="1"/>
      <x:c r="F2" s="1"/>
      <x:c r="G2" s="1"/>
    </x:row>
    <x:row r="3">
      <x:c r="A3" s="1" t="s">
        <x:v>0</x:v>
      </x:c>
      <x:c r="B3" s="74">
        <x:v>46306</x:v>
      </x:c>
      <x:c r="C3" s="1"/>
      <x:c r="D3" s="1"/>
      <x:c r="E3" s="1"/>
      <x:c r="F3" s="1"/>
      <x:c r="G3" s="1"/>
    </x:row>
    <x:row r="4">
      <x:c r="A4" s="1" t="str">
        <x:v>Đã chốt 29 hồ sơ và 7 hồ sơ tham khảo theo phản hồi và xác nhận ngày 11/10/2026.</x:v>
      </x:c>
      <x:c r="B4" s="1"/>
      <x:c r="C4" s="1"/>
      <x:c r="D4" s="1"/>
      <x:c r="E4" s="1"/>
      <x:c r="F4" s="1"/>
      <x:c r="G4" s="1"/>
    </x:row>
    <x:row r="5">
      <x:c r="A5" s="1" t="str">
        <x:v>Hai cột xanh tại các sheet chi tiết thể hiện phương án cuối. Không còn điểm 1–6 chờ xác nhận.</x:v>
      </x:c>
      <x:c r="B5" s="1"/>
      <x:c r="C5" s="1"/>
      <x:c r="D5" s="1"/>
      <x:c r="E5" s="1"/>
      <x:c r="F5" s="1"/>
      <x:c r="G5" s="1"/>
    </x:row>
    <x:row r="6">
      <x:c r="A6" s="4"/>
      <x:c r="B6" s="4"/>
      <x:c r="C6" s="4"/>
      <x:c r="D6" s="4"/>
      <x:c r="E6" s="4"/>
      <x:c r="F6" s="4"/>
      <x:c r="G6" s="4"/>
    </x:row>
    <x:row r="7" ht="46" customHeight="1">
      <x:c r="A7" s="6" t="s">
        <x:v>1</x:v>
      </x:c>
      <x:c r="B7" s="7" t="s">
        <x:v>2</x:v>
      </x:c>
      <x:c r="C7" s="7" t="s">
        <x:v>3</x:v>
      </x:c>
      <x:c r="D7" s="7" t="str">
        <x:v>Chưa chốt</x:v>
      </x:c>
      <x:c r="E7" s="7" t="str">
        <x:v>Đã chốt xử lý</x:v>
      </x:c>
      <x:c r="F7" s="7" t="str">
        <x:v>Giữ nguyên</x:v>
      </x:c>
      <x:c r="G7" s="8" t="str">
        <x:v>Phạm vi xử lý đã chốt</x:v>
      </x:c>
    </x:row>
    <x:row r="8" ht="36" customHeight="1">
      <x:c r="A8" s="9" t="s">
        <x:v>4</x:v>
      </x:c>
      <x:c r="B8" s="9" t="s">
        <x:v>5</x:v>
      </x:c>
      <x:c r="C8" s="69" t="n">
        <x:f>COUNTA('Lech tien'!A8:A15)</x:f>
        <x:v>8</x:v>
      </x:c>
      <x:c r="D8" s="69" t="n">
        <x:f>COUNTIFS('Lech tien'!R8:R15,"Chưa chốt")</x:f>
        <x:v>0</x:v>
      </x:c>
      <x:c r="E8" s="69" t="n">
        <x:f>COUNTIFS('Lech tien'!R8:R15,"Đã chốt xử lý")</x:f>
        <x:v>8</x:v>
      </x:c>
      <x:c r="F8" s="69" t="n">
        <x:f>COUNTIFS('Lech tien'!R8:R15,"Giữ nguyên")</x:f>
        <x:v>0</x:v>
      </x:c>
      <x:c r="G8" s="9" t="str">
        <x:v>Đảo số đã phát hành; chuẩn bị giảm gốc.</x:v>
      </x:c>
    </x:row>
    <x:row r="9" ht="36" customHeight="1">
      <x:c r="A9" s="10" t="s">
        <x:v>6</x:v>
      </x:c>
      <x:c r="B9" s="10" t="s">
        <x:v>7</x:v>
      </x:c>
      <x:c r="C9" s="70" t="n">
        <x:f>COUNTA('So luong can kiem'!A8:A15)</x:f>
        <x:v>8</x:v>
      </x:c>
      <x:c r="D9" s="70" t="n">
        <x:f>COUNTIFS('So luong can kiem'!N8:N15,"Chưa chốt")</x:f>
        <x:v>0</x:v>
      </x:c>
      <x:c r="E9" s="70" t="n">
        <x:f>COUNTIFS('So luong can kiem'!N8:N15,"Đã chốt xử lý")</x:f>
        <x:v>8</x:v>
      </x:c>
      <x:c r="F9" s="70" t="n">
        <x:f>COUNTIFS('So luong can kiem'!N8:N15,"Giữ nguyên")</x:f>
        <x:v>0</x:v>
      </x:c>
      <x:c r="G9" s="10" t="str">
        <x:v>Giữ chú thích, bỏ dòng 0 đã chỉ rõ; dòng 555 chỉ đảo tiền.</x:v>
      </x:c>
    </x:row>
    <x:row r="10" ht="36" customHeight="1">
      <x:c r="A10" s="9" t="s">
        <x:v>8</x:v>
      </x:c>
      <x:c r="B10" s="9" t="s">
        <x:v>9</x:v>
      </x:c>
      <x:c r="C10" s="69" t="n">
        <x:f>COUNTA('Thanh toan trong'!A8:A9)</x:f>
        <x:v>2</x:v>
      </x:c>
      <x:c r="D10" s="69" t="n">
        <x:f>COUNTIFS('Thanh toan trong'!N8:N9,"Chưa chốt")</x:f>
        <x:v>0</x:v>
      </x:c>
      <x:c r="E10" s="69" t="n">
        <x:f>COUNTIFS('Thanh toan trong'!N8:N9,"Đã chốt xử lý")</x:f>
        <x:v>2</x:v>
      </x:c>
      <x:c r="F10" s="69" t="n">
        <x:f>COUNTIFS('Thanh toan trong'!N8:N9,"Giữ nguyên")</x:f>
        <x:v>0</x:v>
      </x:c>
      <x:c r="G10" s="9" t="str">
        <x:v>Gốc 6/16 chỉ giảm số lượng; đảo riêng 655/657.</x:v>
      </x:c>
    </x:row>
    <x:row r="11" ht="36" customHeight="1">
      <x:c r="A11" s="10" t="s">
        <x:v>10</x:v>
      </x:c>
      <x:c r="B11" s="10" t="s">
        <x:v>11</x:v>
      </x:c>
      <x:c r="C11" s="70" t="n">
        <x:f>COUNTA('Hang va mo ta'!A8:A12)</x:f>
        <x:v>5</x:v>
      </x:c>
      <x:c r="D11" s="70" t="n">
        <x:f>COUNTIFS('Hang va mo ta'!N8:N12,"Chưa chốt")</x:f>
        <x:v>0</x:v>
      </x:c>
      <x:c r="E11" s="70" t="n">
        <x:f>COUNTIFS('Hang va mo ta'!N8:N12,"Đã chốt xử lý")</x:f>
        <x:v>2</x:v>
      </x:c>
      <x:c r="F11" s="70" t="n">
        <x:f>COUNTIFS('Hang va mo ta'!N8:N12,"Giữ nguyên")</x:f>
        <x:v>3</x:v>
      </x:c>
      <x:c r="G11" s="10" t="str">
        <x:v>Hai cặp khác hàng có phương án; ba cặp cùng sản phẩm giữ nguyên.</x:v>
      </x:c>
    </x:row>
    <x:row r="12" ht="36" customHeight="1">
      <x:c r="A12" s="9" t="s">
        <x:v>12</x:v>
      </x:c>
      <x:c r="B12" s="9" t="s">
        <x:v>13</x:v>
      </x:c>
      <x:c r="C12" s="69" t="n">
        <x:f>COUNTA('Cach ghi dieu chinh'!A8:A13)</x:f>
        <x:v>6</x:v>
      </x:c>
      <x:c r="D12" s="69" t="n">
        <x:f>COUNTIFS('Cach ghi dieu chinh'!N8:N13,"Chưa chốt")</x:f>
        <x:v>0</x:v>
      </x:c>
      <x:c r="E12" s="69" t="n">
        <x:f>COUNTIFS('Cach ghi dieu chinh'!N8:N13,"Đã chốt xử lý")</x:f>
        <x:v>6</x:v>
      </x:c>
      <x:c r="F12" s="69" t="n">
        <x:f>COUNTIFS('Cach ghi dieu chinh'!N8:N13,"Giữ nguyên")</x:f>
        <x:v>0</x:v>
      </x:c>
      <x:c r="G12" s="9" t="str">
        <x:v>Giảm gốc, đảo điều chỉnh cũ đúng dấu theo từng cặp số.</x:v>
      </x:c>
    </x:row>
    <x:row r="13">
      <x:c r="A13" s="1"/>
      <x:c r="B13" s="1"/>
      <x:c r="C13" s="71"/>
      <x:c r="D13" s="71"/>
      <x:c r="E13" s="71"/>
      <x:c r="F13" s="71"/>
      <x:c r="G13" s="1"/>
    </x:row>
    <x:row r="14" ht="29" customHeight="1">
      <x:c r="A14" s="20" t="str">
        <x:v>Tổng 29 hồ sơ</x:v>
      </x:c>
      <x:c r="B14" s="20"/>
      <x:c r="C14" s="72" t="n">
        <x:f>SUM(C8:C12)</x:f>
        <x:v>29</x:v>
      </x:c>
      <x:c r="D14" s="72" t="n">
        <x:f>SUM(D8:D12)</x:f>
        <x:v>0</x:v>
      </x:c>
      <x:c r="E14" s="72" t="n">
        <x:f>SUM(E8:E12)</x:f>
        <x:v>26</x:v>
      </x:c>
      <x:c r="F14" s="72" t="n">
        <x:f>SUM(F8:F12)</x:f>
        <x:v>3</x:v>
      </x:c>
      <x:c r="G14" s="20"/>
    </x:row>
    <x:row r="15">
      <x:c r="A15" s="1"/>
      <x:c r="B15" s="1"/>
      <x:c r="C15" s="71"/>
      <x:c r="D15" s="71"/>
      <x:c r="E15" s="71"/>
      <x:c r="F15" s="71"/>
      <x:c r="G15" s="1"/>
    </x:row>
    <x:row r="16">
      <x:c r="A16" s="1"/>
      <x:c r="B16" s="1"/>
      <x:c r="C16" s="71"/>
      <x:c r="D16" s="71"/>
      <x:c r="E16" s="71"/>
      <x:c r="F16" s="71"/>
      <x:c r="G16" s="1"/>
    </x:row>
    <x:row r="17">
      <x:c r="A17" s="25" t="str">
        <x:v>7 hồ sơ tham khảo</x:v>
      </x:c>
      <x:c r="B17" s="1"/>
      <x:c r="C17" s="71" t="n">
        <x:f>COUNTA('Da co can cu'!A8:A14)</x:f>
        <x:v>7</x:v>
      </x:c>
      <x:c r="D17" s="71" t="n">
        <x:f>0</x:f>
        <x:v>0</x:v>
      </x:c>
      <x:c r="E17" s="71" t="n">
        <x:f>COUNTIFS('Da co can cu'!J8:J14,"Điều chỉnh")</x:f>
        <x:v>1</x:v>
      </x:c>
      <x:c r="F17" s="71" t="n">
        <x:f>COUNTIFS('Da co can cu'!J8:J14,"Giữ nguyên")</x:f>
        <x:v>6</x:v>
      </x:c>
      <x:c r="G17" s="1"/>
    </x:row>
    <x:row r="18">
      <x:c r="A18" s="1"/>
      <x:c r="B18" s="1"/>
      <x:c r="C18" s="71"/>
      <x:c r="D18" s="71"/>
      <x:c r="E18" s="71"/>
      <x:c r="F18" s="71"/>
      <x:c r="G18" s="1"/>
    </x:row>
    <x:row r="19" ht="29" customHeight="1">
      <x:c r="A19" s="68" t="str">
        <x:v>Tổng tất cả hồ sơ</x:v>
      </x:c>
      <x:c r="B19" s="68"/>
      <x:c r="C19" s="73" t="n">
        <x:f>SUM(C14,C17)</x:f>
        <x:v>36</x:v>
      </x:c>
      <x:c r="D19" s="73" t="n">
        <x:f>SUM(D14,D17)</x:f>
        <x:v>0</x:v>
      </x:c>
      <x:c r="E19" s="73" t="n">
        <x:f>SUM(E14,E17)</x:f>
        <x:v>27</x:v>
      </x:c>
      <x:c r="F19" s="73" t="n">
        <x:f>SUM(F14,F17)</x:f>
        <x:v>9</x:v>
      </x:c>
      <x:c r="G19" s="68"/>
    </x:row>
    <x:row r="20">
      <x:c r="A20" s="25"/>
      <x:c r="B20" s="1"/>
      <x:c r="C20" s="71"/>
      <x:c r="D20" s="71"/>
      <x:c r="E20" s="71"/>
      <x:c r="F20" s="71"/>
      <x:c r="G20" s="1"/>
    </x:row>
    <x:row r="21">
      <x:c r="A21" s="1" t="str">
        <x:v>Phương án phát sinh</x:v>
      </x:c>
      <x:c r="B21" s="1"/>
      <x:c r="C21" s="71" t="n">
        <x:f>COUNTA('Phuong an phat sinh'!A8:A55)</x:f>
        <x:v>48</x:v>
      </x:c>
      <x:c r="D21" s="71"/>
      <x:c r="E21" s="71"/>
      <x:c r="F21" s="71"/>
      <x:c r="G21" s="1" t="str">
        <x:v>27 gốc: 21 đảo điều chỉnh cũ và 27 giảm gốc.</x:v>
      </x:c>
    </x:row>
    <x:row r="22">
      <x:c r="A22" s="1"/>
      <x:c r="B22" s="1"/>
      <x:c r="C22" s="71"/>
      <x:c r="D22" s="71"/>
      <x:c r="E22" s="71"/>
      <x:c r="F22" s="71"/>
      <x:c r="G22" s="1"/>
    </x:row>
    <x:row r="23">
      <x:c r="A23" s="25" t="str">
        <x:v>Chuỗi giữ nguyên theo quy tắc</x:v>
      </x:c>
      <x:c r="B23" s="1"/>
      <x:c r="C23" s="71" t="n">
        <x:f>COUNTA('Giu nguyen ca chuoi'!A8:A251)</x:f>
        <x:v>244</x:v>
      </x:c>
      <x:c r="D23" s="71"/>
      <x:c r="E23" s="71"/>
      <x:c r="F23" s="71"/>
      <x:c r="G23" s="1" t="str">
        <x:v>238 ngoại lệ cũ + 6 cặp đã chốt giữ nguyên.</x:v>
      </x:c>
    </x:row>
    <x:row r="24">
      <x:c r="A24" s="1"/>
      <x:c r="B24" s="1"/>
      <x:c r="C24" s="1"/>
      <x:c r="D24" s="1"/>
      <x:c r="E24" s="1"/>
      <x:c r="F24" s="1"/>
      <x:c r="G24" s="1"/>
    </x:row>
    <x:row r="25">
      <x:c r="A25" s="1" t="str">
        <x:v>Rà nguồn hiện có: chưa thấy hóa đơn thuộc chuỗi giữ nguyên trong 10.394 hóa đơn đang có ở sheet import.</x:v>
      </x:c>
      <x:c r="B25" s="1"/>
      <x:c r="C25" s="1"/>
      <x:c r="D25" s="1"/>
      <x:c r="E25" s="1"/>
      <x:c r="F25" s="1"/>
      <x:c r="G25" s="1"/>
    </x:row>
    <x:row r="27">
      <x:c r="A27" t="str">
        <x:v>Đã chuẩn bị phương án; ba workbook chính và dữ liệu nguồn chưa thay đổi.</x:v>
      </x:c>
    </x:row>
  </x:sheetData>
  <x:pageMargins left="0.7" right="0.7" top="0.75" bottom="0.75" header="0.3" footer="0.3"/>
  <x:tableParts count="1">
    <x:tablePart xmlns:r="http://schemas.openxmlformats.org/officeDocument/2006/relationships" r:id="Re87efbe0d630402e"/>
  </x:tableParts>
</x:worksheet>
</file>

<file path=xl/worksheets/sheet2.xml><?xml version="1.0" encoding="utf-8"?>
<x:worksheet xmlns:x="http://schemas.openxmlformats.org/spreadsheetml/2006/main">
  <x:sheetPr>
    <x:tabColor rgb="FFA43838"/>
  </x:sheetPr>
  <x:sheetViews>
    <x:sheetView showGridLines="0" workbookViewId="0">
      <x:pane xSplit="3" ySplit="7" topLeftCell="D8" activePane="bottomRight" state="frozen"/>
    </x:sheetView>
  </x:sheetViews>
  <x:sheetFormatPr defaultRowHeight="14"/>
  <x:cols>
    <x:col min="1" max="1" width="11" customWidth="1"/>
    <x:col min="2" max="2" width="25" customWidth="1"/>
    <x:col min="3" max="3" width="14" customWidth="1"/>
    <x:col min="4" max="4" width="25" customWidth="1"/>
    <x:col min="5" max="5" width="14" customWidth="1"/>
    <x:col min="6" max="7" width="18" customWidth="1"/>
    <x:col min="8" max="8" width="19" customWidth="1"/>
    <x:col min="9" max="9" width="21" customWidth="1"/>
    <x:col min="10" max="10" width="57" hidden="1" customWidth="1"/>
    <x:col min="11" max="11" width="65" hidden="1" customWidth="1"/>
    <x:col min="12" max="12" width="23.25" customWidth="1"/>
    <x:col min="13" max="13" width="25.33203125" customWidth="1"/>
    <x:col min="14" max="15" width="40" customWidth="1"/>
    <x:col min="16" max="16" width="21" customWidth="1"/>
    <x:col min="17" max="17" width="15" customWidth="1"/>
    <x:col min="18" max="18" width="25" customWidth="1"/>
    <x:col min="19" max="19" width="76" hidden="0" customWidth="1"/>
    <x:col min="20" max="20" width="18" hidden="0" customWidth="1"/>
  </x:cols>
  <x:sheetData>
    <x:row r="1">
      <x:c r="A1" s="1"/>
      <x:c r="B1" s="1"/>
      <x:c r="C1" s="1"/>
      <x:c r="D1" s="1"/>
      <x:c r="E1" s="1"/>
      <x:c r="F1" s="1"/>
      <x:c r="G1" s="1"/>
      <x:c r="H1" s="1"/>
      <x:c r="I1" s="1"/>
      <x:c r="J1" s="1"/>
      <x:c r="K1" s="1"/>
      <x:c r="L1" s="1"/>
      <x:c r="M1" s="1"/>
      <x:c r="N1" s="1"/>
      <x:c r="O1" s="1"/>
      <x:c r="P1" s="1"/>
      <x:c r="Q1" s="1"/>
      <x:c r="R1" s="1"/>
    </x:row>
    <x:row r="2" ht="27" customHeight="1">
      <x:c r="A2" s="2" t="s">
        <x:v>4</x:v>
      </x:c>
      <x:c r="B2" s="1"/>
      <x:c r="C2" s="1"/>
      <x:c r="D2" s="1"/>
      <x:c r="E2" s="1"/>
      <x:c r="F2" s="1"/>
      <x:c r="G2" s="1"/>
      <x:c r="H2" s="1"/>
      <x:c r="I2" s="1"/>
      <x:c r="J2" s="1"/>
      <x:c r="K2" s="1"/>
      <x:c r="L2" s="1"/>
      <x:c r="M2" s="1"/>
      <x:c r="N2" s="1"/>
      <x:c r="O2" s="1"/>
      <x:c r="P2" s="1"/>
      <x:c r="Q2" s="1"/>
      <x:c r="R2" s="1"/>
    </x:row>
    <x:row r="3">
      <x:c r="A3" s="1" t="s">
        <x:v>0</x:v>
      </x:c>
      <x:c r="B3" s="74">
        <x:v>46306</x:v>
      </x:c>
      <x:c r="C3" s="1"/>
      <x:c r="D3" s="1"/>
      <x:c r="E3" s="1"/>
      <x:c r="F3" s="1"/>
      <x:c r="G3" s="1"/>
      <x:c r="H3" s="1"/>
      <x:c r="I3" s="1"/>
      <x:c r="J3" s="1"/>
      <x:c r="K3" s="1"/>
      <x:c r="L3" s="1"/>
      <x:c r="M3" s="1"/>
      <x:c r="N3" s="1"/>
      <x:c r="O3" s="1"/>
      <x:c r="P3" s="1"/>
      <x:c r="Q3" s="1"/>
      <x:c r="R3" s="1"/>
    </x:row>
    <x:row r="4">
      <x:c r="A4" s="5" t="str">
        <x:v>Phương án cuối tại hai cột xanh, theo file kế toán và xác nhận trực tiếp ngày 11/10/2026.</x:v>
      </x:c>
      <x:c r="B4" s="1"/>
      <x:c r="C4" s="1"/>
      <x:c r="D4" s="1"/>
      <x:c r="E4" s="1"/>
      <x:c r="F4" s="1"/>
      <x:c r="G4" s="1"/>
      <x:c r="H4" s="27"/>
      <x:c r="I4" s="1"/>
      <x:c r="J4" s="1"/>
      <x:c r="K4" s="1"/>
      <x:c r="L4" s="1"/>
      <x:c r="M4" s="1"/>
      <x:c r="N4" s="1"/>
      <x:c r="O4" s="1"/>
      <x:c r="P4" s="1"/>
      <x:c r="Q4" s="1"/>
      <x:c r="R4" s="1"/>
    </x:row>
    <x:row r="5">
      <x:c r="A5" s="5" t="str">
        <x:v>Cột trạng thái theo quyết định đã chốt; phản hồi/căn cứ gốc vẫn được giữ để đối chiếu.</x:v>
      </x:c>
      <x:c r="B5" s="1"/>
      <x:c r="C5" s="1"/>
      <x:c r="D5" s="1"/>
      <x:c r="E5" s="1"/>
      <x:c r="F5" s="1"/>
      <x:c r="G5" s="1"/>
      <x:c r="H5" s="1"/>
      <x:c r="I5" s="1"/>
      <x:c r="J5" s="1"/>
      <x:c r="K5" s="1"/>
      <x:c r="L5" s="1"/>
      <x:c r="M5" s="1"/>
      <x:c r="N5" s="1"/>
      <x:c r="O5" s="1"/>
      <x:c r="P5" s="1"/>
      <x:c r="Q5" s="1"/>
      <x:c r="R5" s="1"/>
    </x:row>
    <x:row r="6">
      <x:c r="A6" s="4"/>
      <x:c r="B6" s="4"/>
      <x:c r="C6" s="4"/>
      <x:c r="D6" s="4"/>
      <x:c r="E6" s="4"/>
      <x:c r="F6" s="4"/>
      <x:c r="G6" s="4"/>
      <x:c r="H6" s="4"/>
      <x:c r="I6" s="4"/>
      <x:c r="J6" s="4"/>
      <x:c r="K6" s="4"/>
      <x:c r="L6" s="4"/>
      <x:c r="M6" s="4"/>
      <x:c r="N6" s="4"/>
      <x:c r="O6" s="4"/>
      <x:c r="P6" s="4"/>
      <x:c r="Q6" s="4"/>
      <x:c r="R6" s="4"/>
    </x:row>
    <x:row r="7" ht="46" customHeight="1">
      <x:c r="A7" s="6" t="s">
        <x:v>14</x:v>
      </x:c>
      <x:c r="B7" s="7" t="s">
        <x:v>15</x:v>
      </x:c>
      <x:c r="C7" s="7" t="s">
        <x:v>16</x:v>
      </x:c>
      <x:c r="D7" s="7" t="s">
        <x:v>17</x:v>
      </x:c>
      <x:c r="E7" s="7" t="s">
        <x:v>18</x:v>
      </x:c>
      <x:c r="F7" s="7" t="s">
        <x:v>19</x:v>
      </x:c>
      <x:c r="G7" s="7" t="s">
        <x:v>20</x:v>
      </x:c>
      <x:c r="H7" s="7" t="s">
        <x:v>21</x:v>
      </x:c>
      <x:c r="I7" s="7" t="s">
        <x:v>22</x:v>
      </x:c>
      <x:c r="J7" s="7" t="s">
        <x:v>23</x:v>
      </x:c>
      <x:c r="K7" s="7" t="s">
        <x:v>24</x:v>
      </x:c>
      <x:c r="L7" s="17" t="s">
        <x:v>25</x:v>
      </x:c>
      <x:c r="M7" s="17" t="s">
        <x:v>26</x:v>
      </x:c>
      <x:c r="N7" s="17" t="s">
        <x:v>27</x:v>
      </x:c>
      <x:c r="O7" s="17" t="s">
        <x:v>28</x:v>
      </x:c>
      <x:c r="P7" s="17" t="s">
        <x:v>29</x:v>
      </x:c>
      <x:c r="Q7" s="17" t="s">
        <x:v>30</x:v>
      </x:c>
      <x:c r="R7" s="8" t="str">
        <x:v>Trạng thái chốt</x:v>
      </x:c>
      <x:c r="S7" s="33" t="str">
        <x:v>Phương án đã chốt 11/10</x:v>
      </x:c>
      <x:c r="T7" s="33" t="str">
        <x:v>Xử lý đợt này</x:v>
      </x:c>
    </x:row>
    <x:row r="8" ht="112" customHeight="1">
      <x:c r="A8" s="9" t="s">
        <x:v>31</x:v>
      </x:c>
      <x:c r="B8" s="13" t="s">
        <x:v>32</x:v>
      </x:c>
      <x:c r="C8" s="38">
        <x:v>45716</x:v>
      </x:c>
      <x:c r="D8" s="13" t="s">
        <x:v>33</x:v>
      </x:c>
      <x:c r="E8" s="38">
        <x:v>45782</x:v>
      </x:c>
      <x:c r="F8" s="15">
        <x:v>-381481</x:v>
      </x:c>
      <x:c r="G8" s="15">
        <x:v>-30518</x:v>
      </x:c>
      <x:c r="H8" s="15">
        <x:v>411999</x:v>
      </x:c>
      <x:c r="I8" s="15" t="n">
        <x:f t="shared" ref="I8:I15" si="0">F8+G8-H8</x:f>
        <x:v>-823998</x:v>
      </x:c>
      <x:c r="J8" s="9" t="s">
        <x:v>34</x:v>
      </x:c>
      <x:c r="K8" s="9" t="s">
        <x:v>35</x:v>
      </x:c>
      <x:c r="L8" s="18" t="s">
        <x:v>36</x:v>
      </x:c>
      <x:c r="M8" s="18" t="s">
        <x:v>37</x:v>
      </x:c>
      <x:c r="N8" s="26" t="s">
        <x:v>38</x:v>
      </x:c>
      <x:c r="O8" s="18" t="s">
        <x:v>39</x:v>
      </x:c>
      <x:c r="P8" s="18" t="s">
        <x:v>40</x:v>
      </x:c>
      <x:c r="Q8" s="40">
        <x:v>46306</x:v>
      </x:c>
      <x:c r="R8" s="9" t="str">
        <x:f t="shared" ref="R8:R15" si="1">IF(T8="Giữ nguyên","Giữ nguyên",IF(AND(T8="Điều chỉnh",S8&lt;&gt;""),"Đã chốt xử lý","Chưa chốt"))</x:f>
        <x:v>Đã chốt xử lý</x:v>
      </x:c>
      <x:c r="S8" s="37" t="str">
        <x:v>Đảo từng chỉ tiêu đúng số trên XML đã phát hành của mọi điều chỉnh cũ trong chuỗi, giữ nguyên độ lớn; đồng thời chuẩn bị giảm đủ chi tiết hóa đơn gốc.</x:v>
      </x:c>
      <x:c r="T8" s="37" t="str">
        <x:v>Điều chỉnh</x:v>
      </x:c>
    </x:row>
    <x:row r="9" ht="112" customHeight="1">
      <x:c r="A9" s="10" t="s">
        <x:v>41</x:v>
      </x:c>
      <x:c r="B9" s="14" t="s">
        <x:v>42</x:v>
      </x:c>
      <x:c r="C9" s="39">
        <x:v>45684</x:v>
      </x:c>
      <x:c r="D9" s="14" t="s">
        <x:v>43</x:v>
      </x:c>
      <x:c r="E9" s="39">
        <x:v>45781</x:v>
      </x:c>
      <x:c r="F9" s="16">
        <x:v>196889</x:v>
      </x:c>
      <x:c r="G9" s="16">
        <x:v>151751</x:v>
      </x:c>
      <x:c r="H9" s="16">
        <x:v>212640</x:v>
      </x:c>
      <x:c r="I9" s="15">
        <x:f t="shared" si="0"/>
        <x:v>136000</x:v>
      </x:c>
      <x:c r="J9" s="10" t="s">
        <x:v>44</x:v>
      </x:c>
      <x:c r="K9" s="10" t="s">
        <x:v>35</x:v>
      </x:c>
      <x:c r="L9" s="18" t="s">
        <x:v>36</x:v>
      </x:c>
      <x:c r="M9" s="18" t="s">
        <x:v>37</x:v>
      </x:c>
      <x:c r="N9" s="26" t="s">
        <x:v>45</x:v>
      </x:c>
      <x:c r="O9" s="18" t="s">
        <x:v>39</x:v>
      </x:c>
      <x:c r="P9" s="18" t="s">
        <x:v>40</x:v>
      </x:c>
      <x:c r="Q9" s="40">
        <x:v>46306</x:v>
      </x:c>
      <x:c r="R9" s="9" t="str">
        <x:f t="shared" si="1">IF(T9="Giữ nguyên","Giữ nguyên",IF(AND(T9="Điều chỉnh",S9&lt;&gt;""),"Đã chốt xử lý","Chưa chốt"))</x:f>
        <x:v>Đã chốt xử lý</x:v>
      </x:c>
      <x:c r="S9" s="37" t="str">
        <x:v>Đảo từng chỉ tiêu đúng số trên XML đã phát hành của mọi điều chỉnh cũ trong chuỗi, giữ nguyên độ lớn; đồng thời chuẩn bị giảm đủ chi tiết hóa đơn gốc.</x:v>
      </x:c>
      <x:c r="T9" s="37" t="str">
        <x:v>Điều chỉnh</x:v>
      </x:c>
    </x:row>
    <x:row r="10" ht="112" customHeight="1">
      <x:c r="A10" s="9" t="s">
        <x:v>46</x:v>
      </x:c>
      <x:c r="B10" s="13" t="s">
        <x:v>47</x:v>
      </x:c>
      <x:c r="C10" s="38">
        <x:v>45457</x:v>
      </x:c>
      <x:c r="D10" s="13" t="s">
        <x:v>48</x:v>
      </x:c>
      <x:c r="E10" s="38">
        <x:v>45806</x:v>
      </x:c>
      <x:c r="F10" s="15">
        <x:v>7599678</x:v>
      </x:c>
      <x:c r="G10" s="15">
        <x:v>609974</x:v>
      </x:c>
      <x:c r="H10" s="15">
        <x:v>8207652</x:v>
      </x:c>
      <x:c r="I10" s="15">
        <x:f t="shared" si="0"/>
        <x:v>2000</x:v>
      </x:c>
      <x:c r="J10" s="9" t="s">
        <x:v>44</x:v>
      </x:c>
      <x:c r="K10" s="9" t="s">
        <x:v>35</x:v>
      </x:c>
      <x:c r="L10" s="18" t="s">
        <x:v>36</x:v>
      </x:c>
      <x:c r="M10" s="18" t="s">
        <x:v>37</x:v>
      </x:c>
      <x:c r="N10" s="26" t="s">
        <x:v>49</x:v>
      </x:c>
      <x:c r="O10" s="18" t="s">
        <x:v>39</x:v>
      </x:c>
      <x:c r="P10" s="18" t="s">
        <x:v>40</x:v>
      </x:c>
      <x:c r="Q10" s="40">
        <x:v>46306</x:v>
      </x:c>
      <x:c r="R10" s="9" t="str">
        <x:f t="shared" si="1">IF(T10="Giữ nguyên","Giữ nguyên",IF(AND(T10="Điều chỉnh",S10&lt;&gt;""),"Đã chốt xử lý","Chưa chốt"))</x:f>
        <x:v>Đã chốt xử lý</x:v>
      </x:c>
      <x:c r="S10" s="37" t="str">
        <x:v>Đảo từng chỉ tiêu đúng số trên XML đã phát hành của mọi điều chỉnh cũ trong chuỗi, giữ nguyên độ lớn; đồng thời chuẩn bị giảm đủ chi tiết hóa đơn gốc.</x:v>
      </x:c>
      <x:c r="T10" s="37" t="str">
        <x:v>Điều chỉnh</x:v>
      </x:c>
    </x:row>
    <x:row r="11" ht="112" customHeight="1">
      <x:c r="A11" s="10" t="s">
        <x:v>50</x:v>
      </x:c>
      <x:c r="B11" s="14" t="s">
        <x:v>51</x:v>
      </x:c>
      <x:c r="C11" s="39">
        <x:v>45352</x:v>
      </x:c>
      <x:c r="D11" s="14" t="s">
        <x:v>52</x:v>
      </x:c>
      <x:c r="E11" s="39">
        <x:v>45803</x:v>
      </x:c>
      <x:c r="F11" s="16">
        <x:v>621945</x:v>
      </x:c>
      <x:c r="G11" s="16">
        <x:v>49756</x:v>
      </x:c>
      <x:c r="H11" s="16">
        <x:v>670701</x:v>
      </x:c>
      <x:c r="I11" s="15">
        <x:f t="shared" si="0"/>
        <x:v>1000</x:v>
      </x:c>
      <x:c r="J11" s="10" t="s">
        <x:v>44</x:v>
      </x:c>
      <x:c r="K11" s="10" t="s">
        <x:v>35</x:v>
      </x:c>
      <x:c r="L11" s="18" t="s">
        <x:v>36</x:v>
      </x:c>
      <x:c r="M11" s="18" t="s">
        <x:v>37</x:v>
      </x:c>
      <x:c r="N11" s="26" t="s">
        <x:v>53</x:v>
      </x:c>
      <x:c r="O11" s="18" t="s">
        <x:v>39</x:v>
      </x:c>
      <x:c r="P11" s="18" t="s">
        <x:v>40</x:v>
      </x:c>
      <x:c r="Q11" s="40">
        <x:v>46306</x:v>
      </x:c>
      <x:c r="R11" s="9" t="str">
        <x:f t="shared" si="1">IF(T11="Giữ nguyên","Giữ nguyên",IF(AND(T11="Điều chỉnh",S11&lt;&gt;""),"Đã chốt xử lý","Chưa chốt"))</x:f>
        <x:v>Đã chốt xử lý</x:v>
      </x:c>
      <x:c r="S11" s="37" t="str">
        <x:v>Đảo từng chỉ tiêu đúng số trên XML đã phát hành của mọi điều chỉnh cũ trong chuỗi, giữ nguyên độ lớn; đồng thời chuẩn bị giảm đủ chi tiết hóa đơn gốc.</x:v>
      </x:c>
      <x:c r="T11" s="37" t="str">
        <x:v>Điều chỉnh</x:v>
      </x:c>
    </x:row>
    <x:row r="12" ht="112" customHeight="1">
      <x:c r="A12" s="9" t="s">
        <x:v>54</x:v>
      </x:c>
      <x:c r="B12" s="13" t="s">
        <x:v>55</x:v>
      </x:c>
      <x:c r="C12" s="38">
        <x:v>45587</x:v>
      </x:c>
      <x:c r="D12" s="13" t="s">
        <x:v>56</x:v>
      </x:c>
      <x:c r="E12" s="38">
        <x:v>45807</x:v>
      </x:c>
      <x:c r="F12" s="15">
        <x:v>39194352</x:v>
      </x:c>
      <x:c r="G12" s="15">
        <x:v>3135548</x:v>
      </x:c>
      <x:c r="H12" s="15">
        <x:v>42329000</x:v>
      </x:c>
      <x:c r="I12" s="15">
        <x:f t="shared" si="0"/>
        <x:v>900</x:v>
      </x:c>
      <x:c r="J12" s="9" t="s">
        <x:v>44</x:v>
      </x:c>
      <x:c r="K12" s="9" t="s">
        <x:v>35</x:v>
      </x:c>
      <x:c r="L12" s="18" t="s">
        <x:v>36</x:v>
      </x:c>
      <x:c r="M12" s="18" t="s">
        <x:v>37</x:v>
      </x:c>
      <x:c r="N12" s="26" t="s">
        <x:v>57</x:v>
      </x:c>
      <x:c r="O12" s="18" t="s">
        <x:v>39</x:v>
      </x:c>
      <x:c r="P12" s="18" t="s">
        <x:v>40</x:v>
      </x:c>
      <x:c r="Q12" s="40">
        <x:v>46306</x:v>
      </x:c>
      <x:c r="R12" s="9" t="str">
        <x:f t="shared" si="1">IF(T12="Giữ nguyên","Giữ nguyên",IF(AND(T12="Điều chỉnh",S12&lt;&gt;""),"Đã chốt xử lý","Chưa chốt"))</x:f>
        <x:v>Đã chốt xử lý</x:v>
      </x:c>
      <x:c r="S12" s="37" t="str">
        <x:v>Đảo từng chỉ tiêu đúng số trên XML đã phát hành của mọi điều chỉnh cũ trong chuỗi, giữ nguyên độ lớn; đồng thời chuẩn bị giảm đủ chi tiết hóa đơn gốc.</x:v>
      </x:c>
      <x:c r="T12" s="37" t="str">
        <x:v>Điều chỉnh</x:v>
      </x:c>
    </x:row>
    <x:row r="13" ht="112" customHeight="1">
      <x:c r="A13" s="10" t="s">
        <x:v>58</x:v>
      </x:c>
      <x:c r="B13" s="14" t="s">
        <x:v>59</x:v>
      </x:c>
      <x:c r="C13" s="39">
        <x:v>45425</x:v>
      </x:c>
      <x:c r="D13" s="14" t="s">
        <x:v>60</x:v>
      </x:c>
      <x:c r="E13" s="39">
        <x:v>45808</x:v>
      </x:c>
      <x:c r="F13" s="16">
        <x:v>-589554</x:v>
      </x:c>
      <x:c r="G13" s="16">
        <x:v>-47164</x:v>
      </x:c>
      <x:c r="H13" s="16">
        <x:v>-636719</x:v>
      </x:c>
      <x:c r="I13" s="15">
        <x:f t="shared" si="0"/>
        <x:v>1</x:v>
      </x:c>
      <x:c r="J13" s="10" t="s">
        <x:v>61</x:v>
      </x:c>
      <x:c r="K13" s="10" t="s">
        <x:v>35</x:v>
      </x:c>
      <x:c r="L13" s="18" t="s">
        <x:v>36</x:v>
      </x:c>
      <x:c r="M13" s="18" t="s">
        <x:v>37</x:v>
      </x:c>
      <x:c r="N13" s="26" t="s">
        <x:v>62</x:v>
      </x:c>
      <x:c r="O13" s="18" t="s">
        <x:v>39</x:v>
      </x:c>
      <x:c r="P13" s="18" t="s">
        <x:v>40</x:v>
      </x:c>
      <x:c r="Q13" s="40">
        <x:v>46306</x:v>
      </x:c>
      <x:c r="R13" s="9" t="str">
        <x:f t="shared" si="1">IF(T13="Giữ nguyên","Giữ nguyên",IF(AND(T13="Điều chỉnh",S13&lt;&gt;""),"Đã chốt xử lý","Chưa chốt"))</x:f>
        <x:v>Đã chốt xử lý</x:v>
      </x:c>
      <x:c r="S13" s="37" t="str">
        <x:v>Đảo từng chỉ tiêu đúng số trên XML đã phát hành của mọi điều chỉnh cũ trong chuỗi, giữ nguyên độ lớn; đồng thời chuẩn bị giảm đủ chi tiết hóa đơn gốc.</x:v>
      </x:c>
      <x:c r="T13" s="37" t="str">
        <x:v>Điều chỉnh</x:v>
      </x:c>
    </x:row>
    <x:row r="14" ht="112" customHeight="1">
      <x:c r="A14" s="9" t="s">
        <x:v>63</x:v>
      </x:c>
      <x:c r="B14" s="13" t="s">
        <x:v>64</x:v>
      </x:c>
      <x:c r="C14" s="38">
        <x:v>45458</x:v>
      </x:c>
      <x:c r="D14" s="13" t="s">
        <x:v>65</x:v>
      </x:c>
      <x:c r="E14" s="38">
        <x:v>45806</x:v>
      </x:c>
      <x:c r="F14" s="15">
        <x:v>5701066</x:v>
      </x:c>
      <x:c r="G14" s="15">
        <x:v>456085</x:v>
      </x:c>
      <x:c r="H14" s="15">
        <x:v>6157152</x:v>
      </x:c>
      <x:c r="I14" s="15">
        <x:f t="shared" si="0"/>
        <x:v>-1</x:v>
      </x:c>
      <x:c r="J14" s="9" t="s">
        <x:v>44</x:v>
      </x:c>
      <x:c r="K14" s="9" t="s">
        <x:v>35</x:v>
      </x:c>
      <x:c r="L14" s="18" t="s">
        <x:v>36</x:v>
      </x:c>
      <x:c r="M14" s="18" t="s">
        <x:v>37</x:v>
      </x:c>
      <x:c r="N14" s="26" t="s">
        <x:v>66</x:v>
      </x:c>
      <x:c r="O14" s="18" t="s">
        <x:v>39</x:v>
      </x:c>
      <x:c r="P14" s="18" t="s">
        <x:v>40</x:v>
      </x:c>
      <x:c r="Q14" s="40">
        <x:v>46306</x:v>
      </x:c>
      <x:c r="R14" s="9" t="str">
        <x:f t="shared" si="1">IF(T14="Giữ nguyên","Giữ nguyên",IF(AND(T14="Điều chỉnh",S14&lt;&gt;""),"Đã chốt xử lý","Chưa chốt"))</x:f>
        <x:v>Đã chốt xử lý</x:v>
      </x:c>
      <x:c r="S14" s="37" t="str">
        <x:v>Đảo từng chỉ tiêu đúng số trên XML đã phát hành của mọi điều chỉnh cũ trong chuỗi, giữ nguyên độ lớn; đồng thời chuẩn bị giảm đủ chi tiết hóa đơn gốc.</x:v>
      </x:c>
      <x:c r="T14" s="37" t="str">
        <x:v>Điều chỉnh</x:v>
      </x:c>
    </x:row>
    <x:row r="15" ht="112" customHeight="1">
      <x:c r="A15" s="10" t="s">
        <x:v>67</x:v>
      </x:c>
      <x:c r="B15" s="14" t="s">
        <x:v>68</x:v>
      </x:c>
      <x:c r="C15" s="39">
        <x:v>45707</x:v>
      </x:c>
      <x:c r="D15" s="14" t="s">
        <x:v>69</x:v>
      </x:c>
      <x:c r="E15" s="39">
        <x:v>45781</x:v>
      </x:c>
      <x:c r="F15" s="16">
        <x:v>4347265</x:v>
      </x:c>
      <x:c r="G15" s="16">
        <x:v>347781</x:v>
      </x:c>
      <x:c r="H15" s="16">
        <x:v>4695045</x:v>
      </x:c>
      <x:c r="I15" s="15">
        <x:f t="shared" si="0"/>
        <x:v>1</x:v>
      </x:c>
      <x:c r="J15" s="10" t="s">
        <x:v>44</x:v>
      </x:c>
      <x:c r="K15" s="10" t="s">
        <x:v>35</x:v>
      </x:c>
      <x:c r="L15" s="18" t="s">
        <x:v>36</x:v>
      </x:c>
      <x:c r="M15" s="18" t="s">
        <x:v>37</x:v>
      </x:c>
      <x:c r="N15" s="26" t="s">
        <x:v>70</x:v>
      </x:c>
      <x:c r="O15" s="18" t="s">
        <x:v>39</x:v>
      </x:c>
      <x:c r="P15" s="18" t="s">
        <x:v>40</x:v>
      </x:c>
      <x:c r="Q15" s="40">
        <x:v>46306</x:v>
      </x:c>
      <x:c r="R15" s="9" t="str">
        <x:f t="shared" si="1">IF(T15="Giữ nguyên","Giữ nguyên",IF(AND(T15="Điều chỉnh",S15&lt;&gt;""),"Đã chốt xử lý","Chưa chốt"))</x:f>
        <x:v>Đã chốt xử lý</x:v>
      </x:c>
      <x:c r="S15" s="37" t="str">
        <x:v>Đảo từng chỉ tiêu đúng số trên XML đã phát hành của mọi điều chỉnh cũ trong chuỗi, giữ nguyên độ lớn; đồng thời chuẩn bị giảm đủ chi tiết hóa đơn gốc.</x:v>
      </x:c>
      <x:c r="T15" s="37" t="str">
        <x:v>Điều chỉnh</x:v>
      </x:c>
    </x:row>
  </x:sheetData>
  <x:conditionalFormatting sqref="I8:I15">
    <x:cfRule type="cellIs" dxfId="5" priority="1" operator="notEqual">
      <x:formula>0</x:formula>
    </x:cfRule>
  </x:conditionalFormatting>
  <x:pageMargins left="0.7" right="0.7" top="0.75" bottom="0.75" header="0.3" footer="0.3"/>
  <x:tableParts count="1">
    <x:tablePart xmlns:r="http://schemas.openxmlformats.org/officeDocument/2006/relationships" r:id="R33b87048c2e447e1"/>
  </x:tableParts>
</x:worksheet>
</file>

<file path=xl/worksheets/sheet3.xml><?xml version="1.0" encoding="utf-8"?>
<x:worksheet xmlns:x="http://schemas.openxmlformats.org/spreadsheetml/2006/main">
  <x:sheetPr>
    <x:tabColor rgb="FF496B8A"/>
  </x:sheetPr>
  <x:sheetViews>
    <x:sheetView showGridLines="0" workbookViewId="0">
      <x:pane xSplit="6" ySplit="11" topLeftCell="G12" activePane="bottomRight" state="frozen"/>
    </x:sheetView>
  </x:sheetViews>
  <x:sheetFormatPr defaultRowHeight="14"/>
  <x:cols>
    <x:col min="1" max="1" width="11" customWidth="1"/>
    <x:col min="2" max="2" width="25" customWidth="1"/>
    <x:col min="3" max="3" width="14" customWidth="1"/>
    <x:col min="4" max="4" width="25" customWidth="1"/>
    <x:col min="5" max="5" width="14" customWidth="1"/>
    <x:col min="6" max="7" width="33" customWidth="1"/>
    <x:col min="8" max="8" width="26.9140625" customWidth="1"/>
    <x:col min="9" max="9" width="40" customWidth="1"/>
    <x:col min="10" max="10" width="42.58203125" customWidth="1"/>
    <x:col min="11" max="11" width="40" customWidth="1"/>
    <x:col min="12" max="12" width="21" customWidth="1"/>
    <x:col min="13" max="13" width="15" customWidth="1"/>
    <x:col min="14" max="14" width="25" customWidth="1"/>
    <x:col min="15" max="15" width="76" hidden="0" customWidth="1"/>
    <x:col min="16" max="16" width="18" hidden="0" customWidth="1"/>
  </x:cols>
  <x:sheetData>
    <x:row r="1">
      <x:c r="A1" s="1"/>
      <x:c r="B1" s="1"/>
      <x:c r="C1" s="1"/>
      <x:c r="D1" s="1"/>
      <x:c r="E1" s="1"/>
      <x:c r="F1" s="1"/>
      <x:c r="G1" s="1"/>
      <x:c r="H1" s="1"/>
      <x:c r="I1" s="1"/>
      <x:c r="J1" s="1"/>
      <x:c r="K1" s="1"/>
      <x:c r="L1" s="1"/>
      <x:c r="M1" s="1"/>
      <x:c r="N1" s="1"/>
    </x:row>
    <x:row r="2" ht="18">
      <x:c r="A2" s="2" t="s">
        <x:v>6</x:v>
      </x:c>
      <x:c r="B2" s="1"/>
      <x:c r="C2" s="1"/>
      <x:c r="D2" s="1"/>
      <x:c r="E2" s="1"/>
      <x:c r="F2" s="1"/>
      <x:c r="G2" s="1"/>
      <x:c r="H2" s="1"/>
      <x:c r="I2" s="1"/>
      <x:c r="J2" s="1"/>
      <x:c r="K2" s="1"/>
      <x:c r="L2" s="1"/>
      <x:c r="M2" s="1"/>
      <x:c r="N2" s="1"/>
    </x:row>
    <x:row r="3">
      <x:c r="A3" s="1" t="s">
        <x:v>0</x:v>
      </x:c>
      <x:c r="B3" s="74">
        <x:v>46306</x:v>
      </x:c>
      <x:c r="C3" s="1"/>
      <x:c r="D3" s="1"/>
      <x:c r="E3" s="1"/>
      <x:c r="F3" s="1"/>
      <x:c r="G3" s="1"/>
      <x:c r="H3" s="1"/>
      <x:c r="I3" s="1"/>
      <x:c r="J3" s="1"/>
      <x:c r="K3" s="1"/>
      <x:c r="L3" s="1"/>
      <x:c r="M3" s="1"/>
      <x:c r="N3" s="1"/>
    </x:row>
    <x:row r="4">
      <x:c r="A4" s="5" t="str">
        <x:v>Phương án cuối tại hai cột xanh, theo file kế toán và xác nhận trực tiếp ngày 11/10/2026.</x:v>
      </x:c>
      <x:c r="B4" s="1"/>
      <x:c r="C4" s="1"/>
      <x:c r="D4" s="1"/>
      <x:c r="E4" s="1"/>
      <x:c r="F4" s="1"/>
      <x:c r="G4" s="1"/>
      <x:c r="H4" s="1"/>
      <x:c r="I4" s="1"/>
      <x:c r="J4" s="1"/>
      <x:c r="K4" s="1"/>
      <x:c r="L4" s="1"/>
      <x:c r="M4" s="1"/>
      <x:c r="N4" s="1"/>
    </x:row>
    <x:row r="5">
      <x:c r="A5" s="5" t="str">
        <x:v>Cột trạng thái theo quyết định đã chốt; phản hồi/căn cứ gốc vẫn được giữ để đối chiếu.</x:v>
      </x:c>
      <x:c r="B5" s="1"/>
      <x:c r="C5" s="1"/>
      <x:c r="D5" s="1"/>
      <x:c r="E5" s="1"/>
      <x:c r="F5" s="1"/>
      <x:c r="G5" s="1"/>
      <x:c r="H5" s="1"/>
      <x:c r="I5" s="1"/>
      <x:c r="J5" s="1"/>
      <x:c r="K5" s="1"/>
      <x:c r="L5" s="1"/>
      <x:c r="M5" s="1"/>
      <x:c r="N5" s="1"/>
    </x:row>
    <x:row r="6">
      <x:c r="A6" s="4"/>
      <x:c r="B6" s="4"/>
      <x:c r="C6" s="4"/>
      <x:c r="D6" s="4"/>
      <x:c r="E6" s="4"/>
      <x:c r="F6" s="4"/>
      <x:c r="G6" s="4"/>
      <x:c r="H6" s="4"/>
      <x:c r="I6" s="4"/>
      <x:c r="J6" s="4"/>
      <x:c r="K6" s="4"/>
      <x:c r="L6" s="4"/>
      <x:c r="M6" s="4"/>
      <x:c r="N6" s="4"/>
    </x:row>
    <x:row r="7" ht="46" customHeight="1">
      <x:c r="A7" s="6" t="s">
        <x:v>14</x:v>
      </x:c>
      <x:c r="B7" s="7" t="s">
        <x:v>15</x:v>
      </x:c>
      <x:c r="C7" s="7" t="s">
        <x:v>16</x:v>
      </x:c>
      <x:c r="D7" s="7" t="s">
        <x:v>17</x:v>
      </x:c>
      <x:c r="E7" s="7" t="s">
        <x:v>18</x:v>
      </x:c>
      <x:c r="F7" s="7" t="s">
        <x:v>23</x:v>
      </x:c>
      <x:c r="G7" s="7" t="s">
        <x:v>24</x:v>
      </x:c>
      <x:c r="H7" s="17" t="s">
        <x:v>25</x:v>
      </x:c>
      <x:c r="I7" s="17" t="s">
        <x:v>26</x:v>
      </x:c>
      <x:c r="J7" s="17" t="s">
        <x:v>27</x:v>
      </x:c>
      <x:c r="K7" s="17" t="s">
        <x:v>28</x:v>
      </x:c>
      <x:c r="L7" s="17" t="s">
        <x:v>29</x:v>
      </x:c>
      <x:c r="M7" s="17" t="s">
        <x:v>30</x:v>
      </x:c>
      <x:c r="N7" s="8" t="str">
        <x:v>Trạng thái chốt</x:v>
      </x:c>
      <x:c r="O7" s="33" t="str">
        <x:v>Phương án đã chốt 11/10</x:v>
      </x:c>
      <x:c r="P7" s="33" t="str">
        <x:v>Xử lý đợt này</x:v>
      </x:c>
    </x:row>
    <x:row r="8" ht="126" customHeight="1">
      <x:c r="A8" s="9" t="s">
        <x:v>71</x:v>
      </x:c>
      <x:c r="B8" s="13" t="s">
        <x:v>72</x:v>
      </x:c>
      <x:c r="C8" s="38">
        <x:v>45596</x:v>
      </x:c>
      <x:c r="D8" s="13" t="s">
        <x:v>73</x:v>
      </x:c>
      <x:c r="E8" s="38">
        <x:v>45808</x:v>
      </x:c>
      <x:c r="F8" s="9" t="s">
        <x:v>74</x:v>
      </x:c>
      <x:c r="G8" s="9" t="s">
        <x:v>75</x:v>
      </x:c>
      <x:c r="H8" s="18" t="s">
        <x:v>76</x:v>
      </x:c>
      <x:c r="I8" s="18" t="s">
        <x:v>77</x:v>
      </x:c>
      <x:c r="J8" s="18" t="s">
        <x:v>78</x:v>
      </x:c>
      <x:c r="K8" s="18"/>
      <x:c r="L8" s="18" t="s">
        <x:v>40</x:v>
      </x:c>
      <x:c r="M8" s="40">
        <x:v>46306</x:v>
      </x:c>
      <x:c r="N8" s="9" t="str">
        <x:f t="shared" ref="N8:N15" si="0">IF(P8="Giữ nguyên","Giữ nguyên",IF(AND(P8="Điều chỉnh",O8&lt;&gt;""),"Đã chốt xử lý","Chưa chốt"))</x:f>
        <x:v>Đã chốt xử lý</x:v>
      </x:c>
      <x:c r="O8" s="37" t="str">
        <x:v>Gốc 1C24TUV/00000555: dòng 6 giữ số lượng và đơn giá trống, chỉ đảo thành tiền -46.296. Các dòng còn lại giảm theo chi tiết gốc. Đảo riêng điều chỉnh 00002632.</x:v>
      </x:c>
      <x:c r="P8" s="37" t="str">
        <x:v>Điều chỉnh</x:v>
      </x:c>
    </x:row>
    <x:row r="9" ht="126" customHeight="1">
      <x:c r="A9" s="10" t="s">
        <x:v>79</x:v>
      </x:c>
      <x:c r="B9" s="14" t="s">
        <x:v>80</x:v>
      </x:c>
      <x:c r="C9" s="39">
        <x:v>45707</x:v>
      </x:c>
      <x:c r="D9" s="14" t="s">
        <x:v>81</x:v>
      </x:c>
      <x:c r="E9" s="39">
        <x:v>45782</x:v>
      </x:c>
      <x:c r="F9" s="10" t="s">
        <x:v>82</x:v>
      </x:c>
      <x:c r="G9" s="10" t="s">
        <x:v>75</x:v>
      </x:c>
      <x:c r="H9" s="18" t="s">
        <x:v>76</x:v>
      </x:c>
      <x:c r="I9" s="18" t="s">
        <x:v>83</x:v>
      </x:c>
      <x:c r="J9" s="18" t="s">
        <x:v>83</x:v>
      </x:c>
      <x:c r="K9" s="18"/>
      <x:c r="L9" s="18" t="s">
        <x:v>40</x:v>
      </x:c>
      <x:c r="M9" s="40">
        <x:v>46306</x:v>
      </x:c>
      <x:c r="N9" s="9" t="str">
        <x:f t="shared" si="0">IF(P9="Giữ nguyên","Giữ nguyên",IF(AND(P9="Điều chỉnh",O9&lt;&gt;""),"Đã chốt xử lý","Chưa chốt"))</x:f>
        <x:v>Đã chốt xử lý</x:v>
      </x:c>
      <x:c r="O9" s="37" t="str">
        <x:v>Bỏ dòng 45 KA600 FT không có giá trị; giảm các dòng còn lại của gốc 00000113. Đảo riêng điều chỉnh 00000635 theo số đã phát hành.</x:v>
      </x:c>
      <x:c r="P9" s="37" t="str">
        <x:v>Điều chỉnh</x:v>
      </x:c>
    </x:row>
    <x:row r="10" ht="126" customHeight="1">
      <x:c r="A10" s="9" t="s">
        <x:v>84</x:v>
      </x:c>
      <x:c r="B10" s="13" t="s">
        <x:v>85</x:v>
      </x:c>
      <x:c r="C10" s="38">
        <x:v>45657</x:v>
      </x:c>
      <x:c r="D10" s="13"/>
      <x:c r="E10" s="38"/>
      <x:c r="F10" s="9" t="s">
        <x:v>86</x:v>
      </x:c>
      <x:c r="G10" s="9" t="s">
        <x:v>87</x:v>
      </x:c>
      <x:c r="H10" s="18" t="s">
        <x:v>88</x:v>
      </x:c>
      <x:c r="I10" s="18" t="s">
        <x:v>89</x:v>
      </x:c>
      <x:c r="J10" s="18" t="s">
        <x:v>89</x:v>
      </x:c>
      <x:c r="K10" s="18"/>
      <x:c r="L10" s="18" t="s">
        <x:v>40</x:v>
      </x:c>
      <x:c r="M10" s="40">
        <x:v>46306</x:v>
      </x:c>
      <x:c r="N10" s="9" t="str">
        <x:f t="shared" si="0">IF(P10="Giữ nguyên","Giữ nguyên",IF(AND(P10="Điều chỉnh",O10&lt;&gt;""),"Đã chốt xử lý","Chưa chốt"))</x:f>
        <x:v>Đã chốt xử lý</x:v>
      </x:c>
      <x:c r="O10" s="37" t="str">
        <x:v>Giữ dòng chú thích hàng biếu/tặng không thu tiền, tính chất ghi chú/diễn giải; giữ số lượng, đơn giá, tiền dòng trống như bảng xuất mới. Giảm các dòng hàng có số liệu.</x:v>
      </x:c>
      <x:c r="P10" s="37" t="str">
        <x:v>Điều chỉnh</x:v>
      </x:c>
    </x:row>
    <x:row r="11" ht="126" customHeight="1">
      <x:c r="A11" s="10" t="s">
        <x:v>90</x:v>
      </x:c>
      <x:c r="B11" s="14" t="s">
        <x:v>91</x:v>
      </x:c>
      <x:c r="C11" s="39">
        <x:v>45657</x:v>
      </x:c>
      <x:c r="D11" s="14"/>
      <x:c r="E11" s="39"/>
      <x:c r="F11" s="10" t="s">
        <x:v>92</x:v>
      </x:c>
      <x:c r="G11" s="10" t="s">
        <x:v>87</x:v>
      </x:c>
      <x:c r="H11" s="18" t="s">
        <x:v>88</x:v>
      </x:c>
      <x:c r="I11" s="18" t="s">
        <x:v>89</x:v>
      </x:c>
      <x:c r="J11" s="18" t="s">
        <x:v>89</x:v>
      </x:c>
      <x:c r="K11" s="18"/>
      <x:c r="L11" s="18" t="s">
        <x:v>40</x:v>
      </x:c>
      <x:c r="M11" s="40">
        <x:v>46306</x:v>
      </x:c>
      <x:c r="N11" s="9" t="str">
        <x:f t="shared" si="0">IF(P11="Giữ nguyên","Giữ nguyên",IF(AND(P11="Điều chỉnh",O11&lt;&gt;""),"Đã chốt xử lý","Chưa chốt"))</x:f>
        <x:v>Đã chốt xử lý</x:v>
      </x:c>
      <x:c r="O11" s="37" t="str">
        <x:v>Giữ dòng chú thích hàng biếu/tặng không thu tiền, tính chất ghi chú/diễn giải; giữ số lượng, đơn giá, tiền dòng trống như bảng xuất mới. Giảm các dòng hàng có số liệu.</x:v>
      </x:c>
      <x:c r="P11" s="37" t="str">
        <x:v>Điều chỉnh</x:v>
      </x:c>
    </x:row>
    <x:row r="12" ht="126" customHeight="1">
      <x:c r="A12" s="9" t="s">
        <x:v>93</x:v>
      </x:c>
      <x:c r="B12" s="13" t="s">
        <x:v>94</x:v>
      </x:c>
      <x:c r="C12" s="38">
        <x:v>45657</x:v>
      </x:c>
      <x:c r="D12" s="13"/>
      <x:c r="E12" s="38"/>
      <x:c r="F12" s="9" t="s">
        <x:v>92</x:v>
      </x:c>
      <x:c r="G12" s="9" t="s">
        <x:v>87</x:v>
      </x:c>
      <x:c r="H12" s="18" t="s">
        <x:v>88</x:v>
      </x:c>
      <x:c r="I12" s="18" t="s">
        <x:v>89</x:v>
      </x:c>
      <x:c r="J12" s="18" t="s">
        <x:v>89</x:v>
      </x:c>
      <x:c r="K12" s="18"/>
      <x:c r="L12" s="18" t="s">
        <x:v>40</x:v>
      </x:c>
      <x:c r="M12" s="40">
        <x:v>46306</x:v>
      </x:c>
      <x:c r="N12" s="9" t="str">
        <x:f t="shared" si="0">IF(P12="Giữ nguyên","Giữ nguyên",IF(AND(P12="Điều chỉnh",O12&lt;&gt;""),"Đã chốt xử lý","Chưa chốt"))</x:f>
        <x:v>Đã chốt xử lý</x:v>
      </x:c>
      <x:c r="O12" s="37" t="str">
        <x:v>Giữ dòng chú thích hàng biếu/tặng không thu tiền, tính chất ghi chú/diễn giải; giữ số lượng, đơn giá, tiền dòng trống như bảng xuất mới. Giảm các dòng hàng có số liệu.</x:v>
      </x:c>
      <x:c r="P12" s="37" t="str">
        <x:v>Điều chỉnh</x:v>
      </x:c>
    </x:row>
    <x:row r="13" ht="126" customHeight="1">
      <x:c r="A13" s="10" t="s">
        <x:v>95</x:v>
      </x:c>
      <x:c r="B13" s="14" t="s">
        <x:v>96</x:v>
      </x:c>
      <x:c r="C13" s="39">
        <x:v>45657</x:v>
      </x:c>
      <x:c r="D13" s="14"/>
      <x:c r="E13" s="39"/>
      <x:c r="F13" s="10" t="s">
        <x:v>97</x:v>
      </x:c>
      <x:c r="G13" s="10" t="s">
        <x:v>87</x:v>
      </x:c>
      <x:c r="H13" s="18" t="s">
        <x:v>88</x:v>
      </x:c>
      <x:c r="I13" s="18" t="s">
        <x:v>89</x:v>
      </x:c>
      <x:c r="J13" s="18" t="s">
        <x:v>89</x:v>
      </x:c>
      <x:c r="K13" s="18"/>
      <x:c r="L13" s="18" t="s">
        <x:v>40</x:v>
      </x:c>
      <x:c r="M13" s="40">
        <x:v>46306</x:v>
      </x:c>
      <x:c r="N13" s="9" t="str">
        <x:f t="shared" si="0">IF(P13="Giữ nguyên","Giữ nguyên",IF(AND(P13="Điều chỉnh",O13&lt;&gt;""),"Đã chốt xử lý","Chưa chốt"))</x:f>
        <x:v>Đã chốt xử lý</x:v>
      </x:c>
      <x:c r="O13" s="37" t="str">
        <x:v>Giữ dòng chú thích hàng biếu/tặng không thu tiền, tính chất ghi chú/diễn giải; giữ số lượng, đơn giá, tiền dòng trống như bảng xuất mới. Giảm các dòng hàng có số liệu.</x:v>
      </x:c>
      <x:c r="P13" s="37" t="str">
        <x:v>Điều chỉnh</x:v>
      </x:c>
    </x:row>
    <x:row r="14" ht="126" customHeight="1">
      <x:c r="A14" s="9" t="s">
        <x:v>98</x:v>
      </x:c>
      <x:c r="B14" s="13" t="s">
        <x:v>99</x:v>
      </x:c>
      <x:c r="C14" s="38">
        <x:v>45809</x:v>
      </x:c>
      <x:c r="D14" s="13"/>
      <x:c r="E14" s="38"/>
      <x:c r="F14" s="9" t="s">
        <x:v>100</x:v>
      </x:c>
      <x:c r="G14" s="9" t="s">
        <x:v>101</x:v>
      </x:c>
      <x:c r="H14" s="18" t="s">
        <x:v>76</x:v>
      </x:c>
      <x:c r="I14" s="18" t="s">
        <x:v>102</x:v>
      </x:c>
      <x:c r="J14" s="18" t="s">
        <x:v>102</x:v>
      </x:c>
      <x:c r="K14" s="18"/>
      <x:c r="L14" s="18" t="s">
        <x:v>40</x:v>
      </x:c>
      <x:c r="M14" s="40">
        <x:v>46306</x:v>
      </x:c>
      <x:c r="N14" s="9" t="str">
        <x:f t="shared" si="0">IF(P14="Giữ nguyên","Giữ nguyên",IF(AND(P14="Điều chỉnh",O14&lt;&gt;""),"Đã chốt xử lý","Chưa chốt"))</x:f>
        <x:v>Đã chốt xử lý</x:v>
      </x:c>
      <x:c r="O14" s="37" t="str">
        <x:v>Bỏ đúng dòng 2 KM002 không có giá trị; giảm các dòng hàng còn lại của 1C25TUV/00002796.</x:v>
      </x:c>
      <x:c r="P14" s="37" t="str">
        <x:v>Điều chỉnh</x:v>
      </x:c>
    </x:row>
    <x:row r="15" ht="126" customHeight="1">
      <x:c r="A15" s="10" t="s">
        <x:v>103</x:v>
      </x:c>
      <x:c r="B15" s="14" t="s">
        <x:v>104</x:v>
      </x:c>
      <x:c r="C15" s="39">
        <x:v>45809</x:v>
      </x:c>
      <x:c r="D15" s="14"/>
      <x:c r="E15" s="39"/>
      <x:c r="F15" s="10" t="s">
        <x:v>105</x:v>
      </x:c>
      <x:c r="G15" s="10" t="s">
        <x:v>101</x:v>
      </x:c>
      <x:c r="H15" s="18" t="s">
        <x:v>76</x:v>
      </x:c>
      <x:c r="I15" s="18" t="s">
        <x:v>106</x:v>
      </x:c>
      <x:c r="J15" s="18" t="s">
        <x:v>106</x:v>
      </x:c>
      <x:c r="K15" s="18"/>
      <x:c r="L15" s="18" t="s">
        <x:v>40</x:v>
      </x:c>
      <x:c r="M15" s="40">
        <x:v>46306</x:v>
      </x:c>
      <x:c r="N15" s="9" t="str">
        <x:f t="shared" si="0">IF(P15="Giữ nguyên","Giữ nguyên",IF(AND(P15="Điều chỉnh",O15&lt;&gt;""),"Đã chốt xử lý","Chưa chốt"))</x:f>
        <x:v>Đã chốt xử lý</x:v>
      </x:c>
      <x:c r="O15" s="37" t="str">
        <x:v>Bỏ đúng dòng 2 KM003 không có giá trị; giảm các dòng hàng còn lại của 1C25TUV/00002797.</x:v>
      </x:c>
      <x:c r="P15" s="37" t="str">
        <x:v>Điều chỉnh</x:v>
      </x:c>
    </x:row>
  </x:sheetData>
  <x:pageMargins left="0.7" right="0.7" top="0.75" bottom="0.75" header="0.3" footer="0.3"/>
  <x:tableParts count="1">
    <x:tablePart xmlns:r="http://schemas.openxmlformats.org/officeDocument/2006/relationships" r:id="R8deaf787f1c44128"/>
  </x:tableParts>
</x:worksheet>
</file>

<file path=xl/worksheets/sheet4.xml><?xml version="1.0" encoding="utf-8"?>
<x:worksheet xmlns:x="http://schemas.openxmlformats.org/spreadsheetml/2006/main">
  <x:sheetPr>
    <x:tabColor rgb="FF496B8A"/>
  </x:sheetPr>
  <x:sheetViews>
    <x:sheetView showGridLines="0" workbookViewId="0">
      <x:pane xSplit="6" ySplit="8" topLeftCell="G9" activePane="bottomRight" state="frozen"/>
    </x:sheetView>
  </x:sheetViews>
  <x:sheetFormatPr defaultRowHeight="14"/>
  <x:cols>
    <x:col min="1" max="1" width="11" customWidth="1"/>
    <x:col min="2" max="2" width="25" customWidth="1"/>
    <x:col min="3" max="3" width="14" customWidth="1"/>
    <x:col min="4" max="4" width="25" customWidth="1"/>
    <x:col min="5" max="5" width="14" customWidth="1"/>
    <x:col min="6" max="7" width="22.58203125" customWidth="1"/>
    <x:col min="8" max="11" width="40" customWidth="1"/>
    <x:col min="12" max="12" width="21" customWidth="1"/>
    <x:col min="13" max="13" width="15" customWidth="1"/>
    <x:col min="14" max="14" width="25" customWidth="1"/>
    <x:col min="15" max="15" width="76" hidden="0" customWidth="1"/>
    <x:col min="16" max="16" width="18" hidden="0" customWidth="1"/>
  </x:cols>
  <x:sheetData>
    <x:row r="1">
      <x:c r="A1" s="1"/>
      <x:c r="B1" s="1"/>
      <x:c r="C1" s="1"/>
      <x:c r="D1" s="1"/>
      <x:c r="E1" s="1"/>
      <x:c r="F1" s="1"/>
      <x:c r="G1" s="1"/>
      <x:c r="H1" s="1"/>
      <x:c r="I1" s="1"/>
      <x:c r="J1" s="1"/>
      <x:c r="K1" s="1"/>
      <x:c r="L1" s="1"/>
      <x:c r="M1" s="1"/>
      <x:c r="N1" s="1"/>
    </x:row>
    <x:row r="2" ht="27" customHeight="1">
      <x:c r="A2" s="2" t="s">
        <x:v>8</x:v>
      </x:c>
      <x:c r="B2" s="1"/>
      <x:c r="C2" s="1"/>
      <x:c r="D2" s="1"/>
      <x:c r="E2" s="1"/>
      <x:c r="F2" s="1"/>
      <x:c r="G2" s="1"/>
      <x:c r="H2" s="1"/>
      <x:c r="I2" s="1"/>
      <x:c r="J2" s="1"/>
      <x:c r="K2" s="1"/>
      <x:c r="L2" s="1"/>
      <x:c r="M2" s="1"/>
      <x:c r="N2" s="1"/>
    </x:row>
    <x:row r="3">
      <x:c r="A3" s="1" t="s">
        <x:v>0</x:v>
      </x:c>
      <x:c r="B3" s="74">
        <x:v>46306</x:v>
      </x:c>
      <x:c r="C3" s="1"/>
      <x:c r="D3" s="1"/>
      <x:c r="E3" s="1"/>
      <x:c r="F3" s="1"/>
      <x:c r="G3" s="1"/>
      <x:c r="H3" s="1"/>
      <x:c r="I3" s="1"/>
      <x:c r="J3" s="1"/>
      <x:c r="K3" s="1"/>
      <x:c r="L3" s="1"/>
      <x:c r="M3" s="1"/>
      <x:c r="N3" s="1"/>
    </x:row>
    <x:row r="4">
      <x:c r="A4" s="5" t="str">
        <x:v>Phương án cuối tại hai cột xanh, theo file kế toán và xác nhận trực tiếp ngày 11/10/2026.</x:v>
      </x:c>
      <x:c r="B4" s="1"/>
      <x:c r="C4" s="1"/>
      <x:c r="D4" s="1"/>
      <x:c r="E4" s="1"/>
      <x:c r="F4" s="1"/>
      <x:c r="G4" s="1"/>
      <x:c r="H4" s="1"/>
      <x:c r="I4" s="1"/>
      <x:c r="J4" s="1"/>
      <x:c r="K4" s="1"/>
      <x:c r="L4" s="1"/>
      <x:c r="M4" s="1"/>
      <x:c r="N4" s="1"/>
    </x:row>
    <x:row r="5">
      <x:c r="A5" s="5" t="str">
        <x:v>Cột trạng thái theo quyết định đã chốt; phản hồi/căn cứ gốc vẫn được giữ để đối chiếu.</x:v>
      </x:c>
      <x:c r="B5" s="1"/>
      <x:c r="C5" s="1"/>
      <x:c r="D5" s="1"/>
      <x:c r="E5" s="1"/>
      <x:c r="F5" s="1"/>
      <x:c r="G5" s="1"/>
      <x:c r="H5" s="1"/>
      <x:c r="I5" s="1"/>
      <x:c r="J5" s="1"/>
      <x:c r="K5" s="1"/>
      <x:c r="L5" s="1"/>
      <x:c r="M5" s="1"/>
      <x:c r="N5" s="1"/>
    </x:row>
    <x:row r="6">
      <x:c r="A6" s="4"/>
      <x:c r="B6" s="4"/>
      <x:c r="C6" s="4"/>
      <x:c r="D6" s="4"/>
      <x:c r="E6" s="4"/>
      <x:c r="F6" s="4"/>
      <x:c r="G6" s="4"/>
      <x:c r="H6" s="4"/>
      <x:c r="I6" s="4"/>
      <x:c r="J6" s="4"/>
      <x:c r="K6" s="4"/>
      <x:c r="L6" s="4"/>
      <x:c r="M6" s="4"/>
      <x:c r="N6" s="4"/>
    </x:row>
    <x:row r="7" ht="46" customHeight="1">
      <x:c r="A7" s="6" t="s">
        <x:v>14</x:v>
      </x:c>
      <x:c r="B7" s="7" t="s">
        <x:v>15</x:v>
      </x:c>
      <x:c r="C7" s="7" t="s">
        <x:v>16</x:v>
      </x:c>
      <x:c r="D7" s="7" t="s">
        <x:v>17</x:v>
      </x:c>
      <x:c r="E7" s="7" t="s">
        <x:v>18</x:v>
      </x:c>
      <x:c r="F7" s="7" t="s">
        <x:v>23</x:v>
      </x:c>
      <x:c r="G7" s="7" t="s">
        <x:v>24</x:v>
      </x:c>
      <x:c r="H7" s="17" t="s">
        <x:v>25</x:v>
      </x:c>
      <x:c r="I7" s="17" t="s">
        <x:v>26</x:v>
      </x:c>
      <x:c r="J7" s="17" t="s">
        <x:v>27</x:v>
      </x:c>
      <x:c r="K7" s="17" t="s">
        <x:v>28</x:v>
      </x:c>
      <x:c r="L7" s="17" t="s">
        <x:v>29</x:v>
      </x:c>
      <x:c r="M7" s="17" t="s">
        <x:v>30</x:v>
      </x:c>
      <x:c r="N7" s="8" t="str">
        <x:v>Trạng thái chốt</x:v>
      </x:c>
      <x:c r="O7" s="33" t="str">
        <x:v>Phương án đã chốt 11/10</x:v>
      </x:c>
      <x:c r="P7" s="33" t="str">
        <x:v>Xử lý đợt này</x:v>
      </x:c>
    </x:row>
    <x:row r="8" ht="178" customHeight="1">
      <x:c r="A8" s="9" t="s">
        <x:v>107</x:v>
      </x:c>
      <x:c r="B8" s="13" t="s">
        <x:v>108</x:v>
      </x:c>
      <x:c r="C8" s="38">
        <x:v>45664</x:v>
      </x:c>
      <x:c r="D8" s="13" t="s">
        <x:v>109</x:v>
      </x:c>
      <x:c r="E8" s="38">
        <x:v>45782</x:v>
      </x:c>
      <x:c r="F8" s="9" t="s">
        <x:v>110</x:v>
      </x:c>
      <x:c r="G8" s="9" t="s">
        <x:v>111</x:v>
      </x:c>
      <x:c r="H8" s="18" t="s">
        <x:v>76</x:v>
      </x:c>
      <x:c r="I8" s="18" t="s">
        <x:v>112</x:v>
      </x:c>
      <x:c r="J8" s="26" t="s">
        <x:v>113</x:v>
      </x:c>
      <x:c r="K8" s="18"/>
      <x:c r="L8" s="18" t="s">
        <x:v>40</x:v>
      </x:c>
      <x:c r="M8" s="40">
        <x:v>46306</x:v>
      </x:c>
      <x:c r="N8" s="9" t="str">
        <x:f>IF(P8="Giữ nguyên","Giữ nguyên",IF(AND(P8="Điều chỉnh",O8&lt;&gt;""),"Đã chốt xử lý","Chưa chốt"))</x:f>
        <x:v>Đã chốt xử lý</x:v>
      </x:c>
      <x:c r="O8" s="37" t="str">
        <x:v>Gốc 00000006 chỉ giảm số lượng từng dòng theo phản hồi KT; đơn giá để trống, không thêm giá trị tiền. Đảo riêng tiền hàng/thuế/thanh toán XML của 00000655. Ô thanh toán gốc trống vẫn giữ nguyên ở nguồn.</x:v>
      </x:c>
      <x:c r="P8" s="37" t="str">
        <x:v>Điều chỉnh</x:v>
      </x:c>
    </x:row>
    <x:row r="9" ht="178" customHeight="1">
      <x:c r="A9" s="10" t="s">
        <x:v>114</x:v>
      </x:c>
      <x:c r="B9" s="14" t="s">
        <x:v>115</x:v>
      </x:c>
      <x:c r="C9" s="39">
        <x:v>45671</x:v>
      </x:c>
      <x:c r="D9" s="14" t="s">
        <x:v>116</x:v>
      </x:c>
      <x:c r="E9" s="39">
        <x:v>45782</x:v>
      </x:c>
      <x:c r="F9" s="10" t="s">
        <x:v>110</x:v>
      </x:c>
      <x:c r="G9" s="10" t="s">
        <x:v>111</x:v>
      </x:c>
      <x:c r="H9" s="18" t="s">
        <x:v>76</x:v>
      </x:c>
      <x:c r="I9" s="18" t="s">
        <x:v>112</x:v>
      </x:c>
      <x:c r="J9" s="26" t="s">
        <x:v>117</x:v>
      </x:c>
      <x:c r="K9" s="18"/>
      <x:c r="L9" s="18" t="s">
        <x:v>40</x:v>
      </x:c>
      <x:c r="M9" s="40">
        <x:v>46306</x:v>
      </x:c>
      <x:c r="N9" s="9" t="str">
        <x:f>IF(P9="Giữ nguyên","Giữ nguyên",IF(AND(P9="Điều chỉnh",O9&lt;&gt;""),"Đã chốt xử lý","Chưa chốt"))</x:f>
        <x:v>Đã chốt xử lý</x:v>
      </x:c>
      <x:c r="O9" s="37" t="str">
        <x:v>Gốc 00000016 chỉ giảm số lượng từng dòng theo phản hồi KT; đơn giá để trống, không thêm giá trị tiền. Đảo riêng tiền hàng/thuế/thanh toán XML của 00000657. Ô thanh toán gốc trống vẫn giữ nguyên ở nguồn.</x:v>
      </x:c>
      <x:c r="P9" s="37" t="str">
        <x:v>Điều chỉnh</x:v>
      </x:c>
    </x:row>
  </x:sheetData>
  <x:pageMargins left="0.7" right="0.7" top="0.75" bottom="0.75" header="0.3" footer="0.3"/>
  <x:tableParts count="1">
    <x:tablePart xmlns:r="http://schemas.openxmlformats.org/officeDocument/2006/relationships" r:id="Rfca02493f2c443ba"/>
  </x:tableParts>
</x:worksheet>
</file>

<file path=xl/worksheets/sheet5.xml><?xml version="1.0" encoding="utf-8"?>
<x:worksheet xmlns:x="http://schemas.openxmlformats.org/spreadsheetml/2006/main">
  <x:sheetPr>
    <x:tabColor rgb="FF496B8A"/>
  </x:sheetPr>
  <x:sheetViews>
    <x:sheetView showGridLines="0" workbookViewId="0">
      <x:pane xSplit="2" ySplit="8" topLeftCell="C9" activePane="bottomRight" state="frozen"/>
    </x:sheetView>
  </x:sheetViews>
  <x:sheetFormatPr defaultRowHeight="14"/>
  <x:cols>
    <x:col min="1" max="1" width="11" customWidth="1"/>
    <x:col min="2" max="2" width="25" customWidth="1"/>
    <x:col min="3" max="3" width="14" customWidth="1"/>
    <x:col min="4" max="4" width="25" customWidth="1"/>
    <x:col min="5" max="5" width="14" customWidth="1"/>
    <x:col min="6" max="7" width="30.5" customWidth="1"/>
    <x:col min="8" max="11" width="40" customWidth="1"/>
    <x:col min="12" max="12" width="21" customWidth="1"/>
    <x:col min="13" max="13" width="15" customWidth="1"/>
    <x:col min="14" max="14" width="25" customWidth="1"/>
    <x:col min="15" max="15" width="76" hidden="0" customWidth="1"/>
    <x:col min="16" max="16" width="18" hidden="0" customWidth="1"/>
  </x:cols>
  <x:sheetData>
    <x:row r="1">
      <x:c r="A1" s="1"/>
      <x:c r="B1" s="1"/>
      <x:c r="C1" s="1"/>
      <x:c r="D1" s="1"/>
      <x:c r="E1" s="1"/>
      <x:c r="F1" s="1"/>
      <x:c r="G1" s="1"/>
      <x:c r="H1" s="1"/>
      <x:c r="I1" s="1"/>
      <x:c r="J1" s="1"/>
      <x:c r="K1" s="1"/>
      <x:c r="L1" s="1"/>
      <x:c r="M1" s="1"/>
      <x:c r="N1" s="1"/>
    </x:row>
    <x:row r="2" ht="27" customHeight="1">
      <x:c r="A2" s="2" t="s">
        <x:v>10</x:v>
      </x:c>
      <x:c r="B2" s="1"/>
      <x:c r="C2" s="1"/>
      <x:c r="D2" s="1"/>
      <x:c r="E2" s="1"/>
      <x:c r="F2" s="1"/>
      <x:c r="G2" s="1"/>
      <x:c r="H2" s="1"/>
      <x:c r="I2" s="1"/>
      <x:c r="J2" s="1"/>
      <x:c r="K2" s="1"/>
      <x:c r="L2" s="1"/>
      <x:c r="M2" s="1"/>
      <x:c r="N2" s="1"/>
    </x:row>
    <x:row r="3">
      <x:c r="A3" s="1" t="s">
        <x:v>0</x:v>
      </x:c>
      <x:c r="B3" s="74">
        <x:v>46306</x:v>
      </x:c>
      <x:c r="C3" s="1"/>
      <x:c r="D3" s="1"/>
      <x:c r="E3" s="1"/>
      <x:c r="F3" s="1"/>
      <x:c r="G3" s="1"/>
      <x:c r="H3" s="1"/>
      <x:c r="I3" s="1"/>
      <x:c r="J3" s="1"/>
      <x:c r="K3" s="1"/>
      <x:c r="L3" s="1"/>
      <x:c r="M3" s="1"/>
      <x:c r="N3" s="1"/>
    </x:row>
    <x:row r="4">
      <x:c r="A4" s="5" t="str">
        <x:v>Phương án cuối tại hai cột xanh, theo file kế toán và xác nhận trực tiếp ngày 11/10/2026.</x:v>
      </x:c>
      <x:c r="B4" s="1"/>
      <x:c r="C4" s="1"/>
      <x:c r="D4" s="1"/>
      <x:c r="E4" s="1"/>
      <x:c r="F4" s="1"/>
      <x:c r="G4" s="1"/>
      <x:c r="H4" s="1"/>
      <x:c r="I4" s="1"/>
      <x:c r="J4" s="1"/>
      <x:c r="K4" s="1"/>
      <x:c r="L4" s="1"/>
      <x:c r="M4" s="1"/>
      <x:c r="N4" s="1"/>
    </x:row>
    <x:row r="5">
      <x:c r="A5" s="5" t="str">
        <x:v>Cột trạng thái theo quyết định đã chốt; phản hồi/căn cứ gốc vẫn được giữ để đối chiếu.</x:v>
      </x:c>
      <x:c r="B5" s="1"/>
      <x:c r="C5" s="1"/>
      <x:c r="D5" s="1"/>
      <x:c r="E5" s="1"/>
      <x:c r="F5" s="1"/>
      <x:c r="G5" s="1"/>
      <x:c r="H5" s="1"/>
      <x:c r="I5" s="1"/>
      <x:c r="J5" s="1"/>
      <x:c r="K5" s="1"/>
      <x:c r="L5" s="1"/>
      <x:c r="M5" s="1"/>
      <x:c r="N5" s="1"/>
    </x:row>
    <x:row r="6">
      <x:c r="A6" s="4"/>
      <x:c r="B6" s="4"/>
      <x:c r="C6" s="4"/>
      <x:c r="D6" s="4"/>
      <x:c r="E6" s="4"/>
      <x:c r="F6" s="4"/>
      <x:c r="G6" s="4"/>
      <x:c r="H6" s="4"/>
      <x:c r="I6" s="4"/>
      <x:c r="J6" s="4"/>
      <x:c r="K6" s="4"/>
      <x:c r="L6" s="4"/>
      <x:c r="M6" s="4"/>
      <x:c r="N6" s="4"/>
    </x:row>
    <x:row r="7" ht="46" customHeight="1">
      <x:c r="A7" s="6" t="s">
        <x:v>14</x:v>
      </x:c>
      <x:c r="B7" s="7" t="s">
        <x:v>15</x:v>
      </x:c>
      <x:c r="C7" s="7" t="s">
        <x:v>16</x:v>
      </x:c>
      <x:c r="D7" s="7" t="s">
        <x:v>17</x:v>
      </x:c>
      <x:c r="E7" s="7" t="s">
        <x:v>18</x:v>
      </x:c>
      <x:c r="F7" s="7" t="s">
        <x:v>23</x:v>
      </x:c>
      <x:c r="G7" s="7" t="s">
        <x:v>24</x:v>
      </x:c>
      <x:c r="H7" s="17" t="s">
        <x:v>25</x:v>
      </x:c>
      <x:c r="I7" s="17" t="s">
        <x:v>26</x:v>
      </x:c>
      <x:c r="J7" s="17" t="s">
        <x:v>27</x:v>
      </x:c>
      <x:c r="K7" s="17" t="s">
        <x:v>28</x:v>
      </x:c>
      <x:c r="L7" s="17" t="s">
        <x:v>29</x:v>
      </x:c>
      <x:c r="M7" s="17" t="s">
        <x:v>30</x:v>
      </x:c>
      <x:c r="N7" s="8" t="str">
        <x:v>Trạng thái chốt</x:v>
      </x:c>
      <x:c r="O7" s="33" t="str">
        <x:v>Phương án đã chốt 11/10</x:v>
      </x:c>
      <x:c r="P7" s="33" t="str">
        <x:v>Xử lý đợt này</x:v>
      </x:c>
    </x:row>
    <x:row r="8" ht="126" customHeight="1">
      <x:c r="A8" s="9" t="s">
        <x:v>118</x:v>
      </x:c>
      <x:c r="B8" s="13" t="s">
        <x:v>119</x:v>
      </x:c>
      <x:c r="C8" s="38">
        <x:v>45814</x:v>
      </x:c>
      <x:c r="D8" s="13" t="s">
        <x:v>120</x:v>
      </x:c>
      <x:c r="E8" s="38">
        <x:v>45930</x:v>
      </x:c>
      <x:c r="F8" s="9" t="s">
        <x:v>121</x:v>
      </x:c>
      <x:c r="G8" s="9" t="s">
        <x:v>122</x:v>
      </x:c>
      <x:c r="H8" s="18" t="s">
        <x:v>76</x:v>
      </x:c>
      <x:c r="I8" s="18" t="s">
        <x:v>123</x:v>
      </x:c>
      <x:c r="J8" s="18" t="s">
        <x:v>124</x:v>
      </x:c>
      <x:c r="K8" s="18"/>
      <x:c r="L8" s="18"/>
      <x:c r="M8" s="40"/>
      <x:c r="N8" s="9" t="str">
        <x:f>IF(P8="Giữ nguyên","Giữ nguyên",IF(AND(P8="Điều chỉnh",O8&lt;&gt;""),"Đã chốt xử lý","Chưa chốt"))</x:f>
        <x:v>Đã chốt xử lý</x:v>
      </x:c>
      <x:c r="O8" s="37" t="str">
        <x:v>Giảm đúng sản phẩm trên gốc 00003548; tăng lại sản phẩm đã giảm sai trên điều chỉnh 00013072, theo từng mã hàng và số lượng đã chốt.</x:v>
      </x:c>
      <x:c r="P8" s="37" t="str">
        <x:v>Điều chỉnh</x:v>
      </x:c>
    </x:row>
    <x:row r="9" ht="126" customHeight="1">
      <x:c r="A9" s="10" t="s">
        <x:v>125</x:v>
      </x:c>
      <x:c r="B9" s="14" t="s">
        <x:v>126</x:v>
      </x:c>
      <x:c r="C9" s="39">
        <x:v>45816</x:v>
      </x:c>
      <x:c r="D9" s="14" t="s">
        <x:v>127</x:v>
      </x:c>
      <x:c r="E9" s="39">
        <x:v>45930</x:v>
      </x:c>
      <x:c r="F9" s="10" t="s">
        <x:v>128</x:v>
      </x:c>
      <x:c r="G9" s="10" t="s">
        <x:v>129</x:v>
      </x:c>
      <x:c r="H9" s="18" t="s">
        <x:v>130</x:v>
      </x:c>
      <x:c r="I9" s="18" t="s">
        <x:v>131</x:v>
      </x:c>
      <x:c r="J9" s="18" t="s">
        <x:v>131</x:v>
      </x:c>
      <x:c r="K9" s="18"/>
      <x:c r="L9" s="18"/>
      <x:c r="M9" s="40"/>
      <x:c r="N9" s="9" t="str">
        <x:f>IF(P9="Giữ nguyên","Giữ nguyên",IF(AND(P9="Điều chỉnh",O9&lt;&gt;""),"Đã chốt xử lý","Chưa chốt"))</x:f>
        <x:v>Giữ nguyên</x:v>
      </x:c>
      <x:c r="O9" s="37" t="str">
        <x:v>Đã xác nhận cùng sản phẩm thực tế. Giữ nguyên cặp hóa đơn, không lập thêm điều chỉnh trong đợt này.</x:v>
      </x:c>
      <x:c r="P9" s="37" t="str">
        <x:v>Giữ nguyên</x:v>
      </x:c>
    </x:row>
    <x:row r="10" ht="126" customHeight="1">
      <x:c r="A10" s="9" t="s">
        <x:v>132</x:v>
      </x:c>
      <x:c r="B10" s="13" t="s">
        <x:v>133</x:v>
      </x:c>
      <x:c r="C10" s="38">
        <x:v>45820</x:v>
      </x:c>
      <x:c r="D10" s="13" t="s">
        <x:v>134</x:v>
      </x:c>
      <x:c r="E10" s="38">
        <x:v>45930</x:v>
      </x:c>
      <x:c r="F10" s="9" t="s">
        <x:v>135</x:v>
      </x:c>
      <x:c r="G10" s="9" t="s">
        <x:v>129</x:v>
      </x:c>
      <x:c r="H10" s="18" t="s">
        <x:v>130</x:v>
      </x:c>
      <x:c r="I10" s="18" t="s">
        <x:v>131</x:v>
      </x:c>
      <x:c r="J10" s="18" t="s">
        <x:v>131</x:v>
      </x:c>
      <x:c r="K10" s="18"/>
      <x:c r="L10" s="18"/>
      <x:c r="M10" s="40"/>
      <x:c r="N10" s="9" t="str">
        <x:f>IF(P10="Giữ nguyên","Giữ nguyên",IF(AND(P10="Điều chỉnh",O10&lt;&gt;""),"Đã chốt xử lý","Chưa chốt"))</x:f>
        <x:v>Giữ nguyên</x:v>
      </x:c>
      <x:c r="O10" s="37" t="str">
        <x:v>Đã xác nhận cùng sản phẩm thực tế. Giữ nguyên cặp hóa đơn, không lập thêm điều chỉnh trong đợt này.</x:v>
      </x:c>
      <x:c r="P10" s="37" t="str">
        <x:v>Giữ nguyên</x:v>
      </x:c>
    </x:row>
    <x:row r="11" ht="126" customHeight="1">
      <x:c r="A11" s="10" t="s">
        <x:v>136</x:v>
      </x:c>
      <x:c r="B11" s="14" t="s">
        <x:v>137</x:v>
      </x:c>
      <x:c r="C11" s="39">
        <x:v>45824</x:v>
      </x:c>
      <x:c r="D11" s="14" t="s">
        <x:v>138</x:v>
      </x:c>
      <x:c r="E11" s="39">
        <x:v>45930</x:v>
      </x:c>
      <x:c r="F11" s="10" t="s">
        <x:v>139</x:v>
      </x:c>
      <x:c r="G11" s="10" t="s">
        <x:v>122</x:v>
      </x:c>
      <x:c r="H11" s="18" t="s">
        <x:v>76</x:v>
      </x:c>
      <x:c r="I11" s="18" t="s">
        <x:v>140</x:v>
      </x:c>
      <x:c r="J11" s="18" t="s">
        <x:v>141</x:v>
      </x:c>
      <x:c r="K11" s="18"/>
      <x:c r="L11" s="18"/>
      <x:c r="M11" s="40"/>
      <x:c r="N11" s="9" t="str">
        <x:f>IF(P11="Giữ nguyên","Giữ nguyên",IF(AND(P11="Điều chỉnh",O11&lt;&gt;""),"Đã chốt xử lý","Chưa chốt"))</x:f>
        <x:v>Đã chốt xử lý</x:v>
      </x:c>
      <x:c r="O11" s="37" t="str">
        <x:v>Giảm đúng sản phẩm trên gốc 00005905; tăng lại sản phẩm đã giảm sai trên điều chỉnh 00013095, theo từng mã hàng và số lượng đã chốt.</x:v>
      </x:c>
      <x:c r="P11" s="37" t="str">
        <x:v>Điều chỉnh</x:v>
      </x:c>
    </x:row>
    <x:row r="12" ht="126" customHeight="1">
      <x:c r="A12" s="9" t="s">
        <x:v>142</x:v>
      </x:c>
      <x:c r="B12" s="13" t="s">
        <x:v>143</x:v>
      </x:c>
      <x:c r="C12" s="38">
        <x:v>45830</x:v>
      </x:c>
      <x:c r="D12" s="13" t="s">
        <x:v>144</x:v>
      </x:c>
      <x:c r="E12" s="38">
        <x:v>45930</x:v>
      </x:c>
      <x:c r="F12" s="9" t="s">
        <x:v>128</x:v>
      </x:c>
      <x:c r="G12" s="9" t="s">
        <x:v>129</x:v>
      </x:c>
      <x:c r="H12" s="18" t="s">
        <x:v>130</x:v>
      </x:c>
      <x:c r="I12" s="18" t="s">
        <x:v>131</x:v>
      </x:c>
      <x:c r="J12" s="18" t="s">
        <x:v>131</x:v>
      </x:c>
      <x:c r="K12" s="18"/>
      <x:c r="L12" s="18"/>
      <x:c r="M12" s="40"/>
      <x:c r="N12" s="9" t="str">
        <x:f>IF(P12="Giữ nguyên","Giữ nguyên",IF(AND(P12="Điều chỉnh",O12&lt;&gt;""),"Đã chốt xử lý","Chưa chốt"))</x:f>
        <x:v>Giữ nguyên</x:v>
      </x:c>
      <x:c r="O12" s="37" t="str">
        <x:v>Đã xác nhận cùng sản phẩm thực tế. Giữ nguyên cặp hóa đơn, không lập thêm điều chỉnh trong đợt này.</x:v>
      </x:c>
      <x:c r="P12" s="37" t="str">
        <x:v>Giữ nguyên</x:v>
      </x:c>
    </x:row>
  </x:sheetData>
  <x:pageMargins left="0.7" right="0.7" top="0.75" bottom="0.75" header="0.3" footer="0.3"/>
  <x:tableParts count="1">
    <x:tablePart xmlns:r="http://schemas.openxmlformats.org/officeDocument/2006/relationships" r:id="R3ccf54f8187e4101"/>
  </x:tableParts>
</x:worksheet>
</file>

<file path=xl/worksheets/sheet6.xml><?xml version="1.0" encoding="utf-8"?>
<x:worksheet xmlns:x="http://schemas.openxmlformats.org/spreadsheetml/2006/main">
  <x:sheetPr>
    <x:tabColor rgb="FF496B8A"/>
  </x:sheetPr>
  <x:sheetViews>
    <x:sheetView showGridLines="0" workbookViewId="0">
      <x:pane xSplit="4" ySplit="11" topLeftCell="E12" activePane="bottomRight" state="frozen"/>
    </x:sheetView>
  </x:sheetViews>
  <x:sheetFormatPr defaultRowHeight="14"/>
  <x:cols>
    <x:col min="1" max="1" width="11" customWidth="1"/>
    <x:col min="2" max="2" width="18.1640625" customWidth="1"/>
    <x:col min="3" max="3" width="14" customWidth="1"/>
    <x:col min="4" max="4" width="16.9140625" customWidth="1"/>
    <x:col min="5" max="5" width="14" customWidth="1"/>
    <x:col min="6" max="7" width="29.33203125" customWidth="1"/>
    <x:col min="8" max="8" width="21.58203125" customWidth="1"/>
    <x:col min="9" max="10" width="30.9140625" customWidth="1"/>
    <x:col min="11" max="11" width="40" customWidth="1"/>
    <x:col min="12" max="12" width="21" customWidth="1"/>
    <x:col min="13" max="13" width="15" customWidth="1"/>
    <x:col min="14" max="14" width="25" customWidth="1"/>
    <x:col min="15" max="15" width="76" hidden="0" customWidth="1"/>
    <x:col min="16" max="16" width="18" hidden="0" customWidth="1"/>
  </x:cols>
  <x:sheetData>
    <x:row r="1">
      <x:c r="A1" s="1"/>
      <x:c r="B1" s="1"/>
      <x:c r="C1" s="1"/>
      <x:c r="D1" s="1"/>
      <x:c r="E1" s="1"/>
      <x:c r="F1" s="1"/>
      <x:c r="G1" s="1"/>
      <x:c r="H1" s="1"/>
      <x:c r="I1" s="1"/>
      <x:c r="J1" s="1"/>
      <x:c r="K1" s="1"/>
      <x:c r="L1" s="1"/>
      <x:c r="M1" s="1"/>
      <x:c r="N1" s="1"/>
    </x:row>
    <x:row r="2" ht="27" customHeight="1">
      <x:c r="A2" s="2" t="s">
        <x:v>12</x:v>
      </x:c>
      <x:c r="B2" s="1"/>
      <x:c r="C2" s="1"/>
      <x:c r="D2" s="1"/>
      <x:c r="E2" s="1"/>
      <x:c r="F2" s="1"/>
      <x:c r="G2" s="1"/>
      <x:c r="H2" s="1"/>
      <x:c r="I2" s="1"/>
      <x:c r="J2" s="1"/>
      <x:c r="K2" s="1"/>
      <x:c r="L2" s="1"/>
      <x:c r="M2" s="1"/>
      <x:c r="N2" s="1"/>
    </x:row>
    <x:row r="3">
      <x:c r="A3" s="1" t="s">
        <x:v>0</x:v>
      </x:c>
      <x:c r="B3" s="74">
        <x:v>46306</x:v>
      </x:c>
      <x:c r="C3" s="1"/>
      <x:c r="D3" s="1"/>
      <x:c r="E3" s="1"/>
      <x:c r="F3" s="1"/>
      <x:c r="G3" s="1"/>
      <x:c r="H3" s="1"/>
      <x:c r="I3" s="1"/>
      <x:c r="J3" s="1"/>
      <x:c r="K3" s="1"/>
      <x:c r="L3" s="1"/>
      <x:c r="M3" s="1"/>
      <x:c r="N3" s="1"/>
    </x:row>
    <x:row r="4">
      <x:c r="A4" s="5" t="str">
        <x:v>Phương án cuối tại hai cột xanh, theo file kế toán và xác nhận trực tiếp ngày 11/10/2026.</x:v>
      </x:c>
      <x:c r="B4" s="1"/>
      <x:c r="C4" s="1"/>
      <x:c r="D4" s="1"/>
      <x:c r="E4" s="1"/>
      <x:c r="F4" s="1"/>
      <x:c r="G4" s="1"/>
      <x:c r="H4" s="1"/>
      <x:c r="I4" s="1"/>
      <x:c r="J4" s="1"/>
      <x:c r="K4" s="1"/>
      <x:c r="L4" s="1"/>
      <x:c r="M4" s="1"/>
      <x:c r="N4" s="1"/>
    </x:row>
    <x:row r="5">
      <x:c r="A5" s="5" t="str">
        <x:v>Cột trạng thái theo quyết định đã chốt; phản hồi/căn cứ gốc vẫn được giữ để đối chiếu.</x:v>
      </x:c>
      <x:c r="B5" s="1"/>
      <x:c r="C5" s="1"/>
      <x:c r="D5" s="1"/>
      <x:c r="E5" s="1"/>
      <x:c r="F5" s="1"/>
      <x:c r="G5" s="1"/>
      <x:c r="H5" s="1"/>
      <x:c r="I5" s="1"/>
      <x:c r="J5" s="1"/>
      <x:c r="K5" s="1"/>
      <x:c r="L5" s="1"/>
      <x:c r="M5" s="1"/>
      <x:c r="N5" s="1"/>
    </x:row>
    <x:row r="6">
      <x:c r="A6" s="4"/>
      <x:c r="B6" s="4"/>
      <x:c r="C6" s="4"/>
      <x:c r="D6" s="4"/>
      <x:c r="E6" s="4"/>
      <x:c r="F6" s="4"/>
      <x:c r="G6" s="4"/>
      <x:c r="H6" s="4"/>
      <x:c r="I6" s="4"/>
      <x:c r="J6" s="4"/>
      <x:c r="K6" s="4"/>
      <x:c r="L6" s="4"/>
      <x:c r="M6" s="4"/>
      <x:c r="N6" s="4"/>
    </x:row>
    <x:row r="7" ht="46" customHeight="1">
      <x:c r="A7" s="6" t="s">
        <x:v>14</x:v>
      </x:c>
      <x:c r="B7" s="7" t="s">
        <x:v>15</x:v>
      </x:c>
      <x:c r="C7" s="7" t="s">
        <x:v>16</x:v>
      </x:c>
      <x:c r="D7" s="7" t="s">
        <x:v>17</x:v>
      </x:c>
      <x:c r="E7" s="7" t="s">
        <x:v>18</x:v>
      </x:c>
      <x:c r="F7" s="7" t="s">
        <x:v>23</x:v>
      </x:c>
      <x:c r="G7" s="7" t="s">
        <x:v>24</x:v>
      </x:c>
      <x:c r="H7" s="17" t="s">
        <x:v>25</x:v>
      </x:c>
      <x:c r="I7" s="17" t="s">
        <x:v>26</x:v>
      </x:c>
      <x:c r="J7" s="17" t="s">
        <x:v>27</x:v>
      </x:c>
      <x:c r="K7" s="17" t="s">
        <x:v>28</x:v>
      </x:c>
      <x:c r="L7" s="17" t="s">
        <x:v>29</x:v>
      </x:c>
      <x:c r="M7" s="17" t="s">
        <x:v>30</x:v>
      </x:c>
      <x:c r="N7" s="8" t="str">
        <x:v>Trạng thái chốt</x:v>
      </x:c>
      <x:c r="O7" s="33" t="str">
        <x:v>Phương án đã chốt 11/10</x:v>
      </x:c>
      <x:c r="P7" s="33" t="str">
        <x:v>Xử lý đợt này</x:v>
      </x:c>
    </x:row>
    <x:row r="8" ht="140" customHeight="1">
      <x:c r="A8" s="9" t="s">
        <x:v>145</x:v>
      </x:c>
      <x:c r="B8" s="13" t="s">
        <x:v>146</x:v>
      </x:c>
      <x:c r="C8" s="38">
        <x:v>45803</x:v>
      </x:c>
      <x:c r="D8" s="13" t="s">
        <x:v>147</x:v>
      </x:c>
      <x:c r="E8" s="38">
        <x:v>45885</x:v>
      </x:c>
      <x:c r="F8" s="9" t="s">
        <x:v>148</x:v>
      </x:c>
      <x:c r="G8" s="9" t="s">
        <x:v>149</x:v>
      </x:c>
      <x:c r="H8" s="18" t="s">
        <x:v>150</x:v>
      </x:c>
      <x:c r="I8" s="18" t="s">
        <x:v>151</x:v>
      </x:c>
      <x:c r="J8" s="18" t="s">
        <x:v>152</x:v>
      </x:c>
      <x:c r="K8" s="18"/>
      <x:c r="L8" s="18" t="s">
        <x:v>40</x:v>
      </x:c>
      <x:c r="M8" s="40">
        <x:v>46306</x:v>
      </x:c>
      <x:c r="N8" s="9" t="str">
        <x:f t="shared" ref="N8:N13" si="0">IF(P8="Giữ nguyên","Giữ nguyên",IF(AND(P8="Điều chỉnh",O8&lt;&gt;""),"Đã chốt xử lý","Chưa chốt"))</x:f>
        <x:v>Đã chốt xử lý</x:v>
      </x:c>
      <x:c r="O8" s="37" t="str">
        <x:v>Giảm gốc 00001061: KM300, SL -1, đơn giá499.074, thành tiền-499.074. Đảo00012835: tiền hàng+499.074, thuế+39.926, thanh toán+539.000; phần đảo là khoản tiền.</x:v>
      </x:c>
      <x:c r="P8" s="37" t="str">
        <x:v>Điều chỉnh</x:v>
      </x:c>
    </x:row>
    <x:row r="9" ht="140" customHeight="1">
      <x:c r="A9" s="10" t="s">
        <x:v>153</x:v>
      </x:c>
      <x:c r="B9" s="14" t="s">
        <x:v>154</x:v>
      </x:c>
      <x:c r="C9" s="39">
        <x:v>45803</x:v>
      </x:c>
      <x:c r="D9" s="14" t="s">
        <x:v>155</x:v>
      </x:c>
      <x:c r="E9" s="39">
        <x:v>45926</x:v>
      </x:c>
      <x:c r="F9" s="10" t="s">
        <x:v>156</x:v>
      </x:c>
      <x:c r="G9" s="10" t="s">
        <x:v>157</x:v>
      </x:c>
      <x:c r="H9" s="18" t="s">
        <x:v>158</x:v>
      </x:c>
      <x:c r="I9" s="18" t="s">
        <x:v>159</x:v>
      </x:c>
      <x:c r="J9" s="18" t="s">
        <x:v>160</x:v>
      </x:c>
      <x:c r="K9" s="18"/>
      <x:c r="L9" s="18" t="s">
        <x:v>40</x:v>
      </x:c>
      <x:c r="M9" s="40">
        <x:v>46306</x:v>
      </x:c>
      <x:c r="N9" s="9" t="str">
        <x:f t="shared" si="0">IF(P9="Giữ nguyên","Giữ nguyên",IF(AND(P9="Điều chỉnh",O9&lt;&gt;""),"Đã chốt xử lý","Chưa chốt"))</x:f>
        <x:v>Đã chốt xử lý</x:v>
      </x:c>
      <x:c r="O9" s="37" t="str">
        <x:v>Cặp đúng 00001094/00013038. Giảm gốc: SL -1, giá +509,259, thành tiền -509,259. Đảo điều chỉnh cũ: SL -1, giữ giá -509,259, thành tiền +509,259; thuế/thanh toán đảo theo XML.</x:v>
      </x:c>
      <x:c r="P9" s="37" t="str">
        <x:v>Điều chỉnh</x:v>
      </x:c>
    </x:row>
    <x:row r="10" ht="140" customHeight="1">
      <x:c r="A10" s="9" t="s">
        <x:v>161</x:v>
      </x:c>
      <x:c r="B10" s="13" t="s">
        <x:v>162</x:v>
      </x:c>
      <x:c r="C10" s="38">
        <x:v>45812</x:v>
      </x:c>
      <x:c r="D10" s="13" t="s">
        <x:v>163</x:v>
      </x:c>
      <x:c r="E10" s="38">
        <x:v>45926</x:v>
      </x:c>
      <x:c r="F10" s="9" t="s">
        <x:v>164</x:v>
      </x:c>
      <x:c r="G10" s="9" t="s">
        <x:v>157</x:v>
      </x:c>
      <x:c r="H10" s="18" t="s">
        <x:v>165</x:v>
      </x:c>
      <x:c r="I10" s="18" t="s">
        <x:v>166</x:v>
      </x:c>
      <x:c r="J10" s="18" t="s">
        <x:v>167</x:v>
      </x:c>
      <x:c r="K10" s="18"/>
      <x:c r="L10" s="18" t="s">
        <x:v>40</x:v>
      </x:c>
      <x:c r="M10" s="40">
        <x:v>46306</x:v>
      </x:c>
      <x:c r="N10" s="9" t="str">
        <x:f t="shared" si="0">IF(P10="Giữ nguyên","Giữ nguyên",IF(AND(P10="Điều chỉnh",O10&lt;&gt;""),"Đã chốt xử lý","Chưa chốt"))</x:f>
        <x:v>Đã chốt xử lý</x:v>
      </x:c>
      <x:c r="O10" s="37" t="str">
        <x:v>Cặp đúng 00003113/00013032. Giảm gốc: SL -1, giá +163,889, thành tiền -163,889. Đảo điều chỉnh cũ: SL -1, giữ giá -163,889, thành tiền +163,889; thuế/thanh toán đảo theo XML.</x:v>
      </x:c>
      <x:c r="P10" s="37" t="str">
        <x:v>Điều chỉnh</x:v>
      </x:c>
    </x:row>
    <x:row r="11" ht="140" customHeight="1">
      <x:c r="A11" s="10" t="s">
        <x:v>168</x:v>
      </x:c>
      <x:c r="B11" s="14" t="s">
        <x:v>169</x:v>
      </x:c>
      <x:c r="C11" s="39">
        <x:v>45816</x:v>
      </x:c>
      <x:c r="D11" s="14" t="s">
        <x:v>170</x:v>
      </x:c>
      <x:c r="E11" s="39">
        <x:v>45926</x:v>
      </x:c>
      <x:c r="F11" s="10" t="s">
        <x:v>164</x:v>
      </x:c>
      <x:c r="G11" s="10" t="s">
        <x:v>157</x:v>
      </x:c>
      <x:c r="H11" s="18" t="s">
        <x:v>171</x:v>
      </x:c>
      <x:c r="I11" s="18" t="s">
        <x:v>172</x:v>
      </x:c>
      <x:c r="J11" s="18" t="s">
        <x:v>173</x:v>
      </x:c>
      <x:c r="K11" s="18"/>
      <x:c r="L11" s="18" t="s">
        <x:v>40</x:v>
      </x:c>
      <x:c r="M11" s="40">
        <x:v>46306</x:v>
      </x:c>
      <x:c r="N11" s="9" t="str">
        <x:f t="shared" si="0">IF(P11="Giữ nguyên","Giữ nguyên",IF(AND(P11="Điều chỉnh",O11&lt;&gt;""),"Đã chốt xử lý","Chưa chốt"))</x:f>
        <x:v>Đã chốt xử lý</x:v>
      </x:c>
      <x:c r="O11" s="37" t="str">
        <x:v>Cặp đúng 00004081/00013033. Giảm gốc: SL -1, giá +165,741, thành tiền -165,741. Đảo điều chỉnh cũ: SL -1, giữ giá -165,741, thành tiền +165,741; thuế/thanh toán đảo theo XML.</x:v>
      </x:c>
      <x:c r="P11" s="37" t="str">
        <x:v>Điều chỉnh</x:v>
      </x:c>
    </x:row>
    <x:row r="12" ht="140" customHeight="1">
      <x:c r="A12" s="9" t="s">
        <x:v>174</x:v>
      </x:c>
      <x:c r="B12" s="13" t="s">
        <x:v>175</x:v>
      </x:c>
      <x:c r="C12" s="38">
        <x:v>45822</x:v>
      </x:c>
      <x:c r="D12" s="13" t="s">
        <x:v>176</x:v>
      </x:c>
      <x:c r="E12" s="38">
        <x:v>45926</x:v>
      </x:c>
      <x:c r="F12" s="9" t="s">
        <x:v>164</x:v>
      </x:c>
      <x:c r="G12" s="9" t="s">
        <x:v>157</x:v>
      </x:c>
      <x:c r="H12" s="18" t="s">
        <x:v>177</x:v>
      </x:c>
      <x:c r="I12" s="18" t="s">
        <x:v>178</x:v>
      </x:c>
      <x:c r="J12" s="18" t="s">
        <x:v>179</x:v>
      </x:c>
      <x:c r="K12" s="18"/>
      <x:c r="L12" s="18" t="s">
        <x:v>40</x:v>
      </x:c>
      <x:c r="M12" s="40">
        <x:v>46306</x:v>
      </x:c>
      <x:c r="N12" s="9" t="str">
        <x:f t="shared" si="0">IF(P12="Giữ nguyên","Giữ nguyên",IF(AND(P12="Điều chỉnh",O12&lt;&gt;""),"Đã chốt xử lý","Chưa chốt"))</x:f>
        <x:v>Đã chốt xử lý</x:v>
      </x:c>
      <x:c r="O12" s="37" t="str">
        <x:v>Cặp đúng 00005555/00013034. Giảm gốc: SL -1, giá +165,740, thành tiền -165,740. Đảo điều chỉnh cũ: SL -1, giữ giá -165,740, thành tiền +165,740; thuế/thanh toán đảo theo XML.</x:v>
      </x:c>
      <x:c r="P12" s="37" t="str">
        <x:v>Điều chỉnh</x:v>
      </x:c>
    </x:row>
    <x:row r="13" ht="140" customHeight="1">
      <x:c r="A13" s="10" t="s">
        <x:v>180</x:v>
      </x:c>
      <x:c r="B13" s="14" t="s">
        <x:v>181</x:v>
      </x:c>
      <x:c r="C13" s="39">
        <x:v>45824</x:v>
      </x:c>
      <x:c r="D13" s="14" t="s">
        <x:v>182</x:v>
      </x:c>
      <x:c r="E13" s="39">
        <x:v>45926</x:v>
      </x:c>
      <x:c r="F13" s="10" t="s">
        <x:v>164</x:v>
      </x:c>
      <x:c r="G13" s="10" t="s">
        <x:v>157</x:v>
      </x:c>
      <x:c r="H13" s="18" t="s">
        <x:v>183</x:v>
      </x:c>
      <x:c r="I13" s="18" t="s">
        <x:v>184</x:v>
      </x:c>
      <x:c r="J13" s="18" t="s">
        <x:v>173</x:v>
      </x:c>
      <x:c r="K13" s="18"/>
      <x:c r="L13" s="18" t="s">
        <x:v>40</x:v>
      </x:c>
      <x:c r="M13" s="40">
        <x:v>46306</x:v>
      </x:c>
      <x:c r="N13" s="9" t="str">
        <x:f t="shared" si="0">IF(P13="Giữ nguyên","Giữ nguyên",IF(AND(P13="Điều chỉnh",O13&lt;&gt;""),"Đã chốt xử lý","Chưa chốt"))</x:f>
        <x:v>Đã chốt xử lý</x:v>
      </x:c>
      <x:c r="O13" s="37" t="str">
        <x:v>Cặp đúng 00005918/00013035. Giảm gốc: SL -1, giá +165,741, thành tiền -165,741. Đảo điều chỉnh cũ: SL -1, giữ giá -165,741, thành tiền +165,741; thuế/thanh toán đảo theo XML.</x:v>
      </x:c>
      <x:c r="P13" s="37" t="str">
        <x:v>Điều chỉnh</x:v>
      </x:c>
    </x:row>
  </x:sheetData>
  <x:pageMargins left="0.7" right="0.7" top="0.75" bottom="0.75" header="0.3" footer="0.3"/>
  <x:tableParts count="1">
    <x:tablePart xmlns:r="http://schemas.openxmlformats.org/officeDocument/2006/relationships" r:id="R52c9bd0af2f74bc9"/>
  </x:tableParts>
</x:worksheet>
</file>

<file path=xl/worksheets/sheet7.xml><?xml version="1.0" encoding="utf-8"?>
<x:worksheet xmlns:x="http://schemas.openxmlformats.org/spreadsheetml/2006/main">
  <x:sheetPr>
    <x:tabColor rgb="FF788594"/>
  </x:sheetPr>
  <x:sheetViews>
    <x:sheetView showGridLines="0" workbookViewId="0">
      <x:pane xSplit="5" ySplit="7" topLeftCell="F8" activePane="bottomRight" state="frozen"/>
    </x:sheetView>
  </x:sheetViews>
  <x:sheetFormatPr defaultRowHeight="14"/>
  <x:cols>
    <x:col min="1" max="1" width="11" customWidth="1"/>
    <x:col min="2" max="2" width="25" customWidth="1"/>
    <x:col min="3" max="3" width="14" customWidth="1"/>
    <x:col min="4" max="4" width="25" customWidth="1"/>
    <x:col min="5" max="5" width="14" customWidth="1"/>
    <x:col min="6" max="6" width="70" customWidth="1"/>
    <x:col min="7" max="7" width="65" customWidth="1"/>
    <x:col min="8" max="8" width="53" style="28" hidden="0" customWidth="1"/>
    <x:col min="9" max="9" width="68" hidden="0" customWidth="1"/>
    <x:col min="10" max="10" width="18" hidden="0" customWidth="1"/>
  </x:cols>
  <x:sheetData>
    <x:row r="1">
      <x:c r="A1" s="1"/>
      <x:c r="B1" s="1"/>
      <x:c r="C1" s="1"/>
      <x:c r="D1" s="1"/>
      <x:c r="E1" s="1"/>
      <x:c r="F1" s="1"/>
      <x:c r="G1" s="1"/>
    </x:row>
    <x:row r="2" ht="27" customHeight="1">
      <x:c r="A2" s="2" t="str">
        <x:v>Hồ sơ tham khảo – phương án đã chốt</x:v>
      </x:c>
      <x:c r="B2" s="1"/>
      <x:c r="C2" s="1"/>
      <x:c r="D2" s="1"/>
      <x:c r="E2" s="1"/>
      <x:c r="F2" s="1"/>
      <x:c r="G2" s="1"/>
    </x:row>
    <x:row r="3">
      <x:c r="A3" s="1" t="s">
        <x:v>0</x:v>
      </x:c>
      <x:c r="B3" s="74">
        <x:v>46306</x:v>
      </x:c>
      <x:c r="C3" s="1"/>
      <x:c r="D3" s="1"/>
      <x:c r="E3" s="1"/>
      <x:c r="F3" s="1"/>
      <x:c r="G3" s="1"/>
    </x:row>
    <x:row r="4">
      <x:c r="A4" s="1" t="str">
        <x:v>Phương án cuối tại cột I–J: 6 cặp giữ cả chuỗi; 9072 giảm số lượng, giữ nguyên 9186.</x:v>
      </x:c>
      <x:c r="B4" s="1"/>
      <x:c r="C4" s="1"/>
      <x:c r="D4" s="1"/>
      <x:c r="E4" s="1"/>
      <x:c r="F4" s="1"/>
      <x:c r="G4" s="1"/>
    </x:row>
    <x:row r="5">
      <x:c r="A5" s="1"/>
      <x:c r="B5" s="1"/>
      <x:c r="C5" s="1"/>
      <x:c r="D5" s="1"/>
      <x:c r="E5" s="1"/>
      <x:c r="F5" s="1"/>
      <x:c r="G5" s="1"/>
    </x:row>
    <x:row r="6">
      <x:c r="A6" s="4"/>
      <x:c r="B6" s="4"/>
      <x:c r="C6" s="4"/>
      <x:c r="D6" s="4"/>
      <x:c r="E6" s="4"/>
      <x:c r="F6" s="4"/>
      <x:c r="G6" s="4"/>
    </x:row>
    <x:row r="7" ht="46" customHeight="1">
      <x:c r="A7" s="6" t="s">
        <x:v>14</x:v>
      </x:c>
      <x:c r="B7" s="7" t="s">
        <x:v>15</x:v>
      </x:c>
      <x:c r="C7" s="7" t="s">
        <x:v>16</x:v>
      </x:c>
      <x:c r="D7" s="7" t="s">
        <x:v>17</x:v>
      </x:c>
      <x:c r="E7" s="7" t="s">
        <x:v>18</x:v>
      </x:c>
      <x:c r="F7" s="7" t="str">
        <x:v>Căn cứ/ghi nhận trước đó</x:v>
      </x:c>
      <x:c r="G7" s="8" t="str">
        <x:v>Hướng chuẩn bị trước khi chốt</x:v>
      </x:c>
      <x:c r="H7" s="41" t="s">
        <x:v>26</x:v>
      </x:c>
      <x:c r="I7" s="32" t="str">
        <x:v>Phương án đã chốt 11/10</x:v>
      </x:c>
      <x:c r="J7" s="32" t="str">
        <x:v>Xử lý đợt này</x:v>
      </x:c>
    </x:row>
    <x:row r="8" ht="90" customHeight="1">
      <x:c r="A8" s="9" t="s">
        <x:v>185</x:v>
      </x:c>
      <x:c r="B8" s="9" t="s">
        <x:v>186</x:v>
      </x:c>
      <x:c r="C8" s="38">
        <x:v>45301</x:v>
      </x:c>
      <x:c r="D8" s="9" t="s">
        <x:v>187</x:v>
      </x:c>
      <x:c r="E8" s="38">
        <x:v>45773</x:v>
      </x:c>
      <x:c r="F8" s="9" t="s">
        <x:v>188</x:v>
      </x:c>
      <x:c r="G8" s="9" t="s">
        <x:v>189</x:v>
      </x:c>
      <x:c r="H8" s="44" t="s">
        <x:v>190</x:v>
      </x:c>
      <x:c r="I8" s="45" t="str">
        <x:v>Giữ cả cặp và mọi hóa đơn liên quan ngoài đợt xử lý theo xác nhận điểm 6. Không lập điều chỉnh mới.</x:v>
      </x:c>
      <x:c r="J8" s="45" t="str">
        <x:v>Giữ nguyên</x:v>
      </x:c>
    </x:row>
    <x:row r="9" ht="90" customHeight="1">
      <x:c r="A9" s="10" t="s">
        <x:v>191</x:v>
      </x:c>
      <x:c r="B9" s="10" t="s">
        <x:v>192</x:v>
      </x:c>
      <x:c r="C9" s="39">
        <x:v>45565</x:v>
      </x:c>
      <x:c r="D9" s="10" t="s">
        <x:v>193</x:v>
      </x:c>
      <x:c r="E9" s="39">
        <x:v>45807</x:v>
      </x:c>
      <x:c r="F9" s="10" t="s">
        <x:v>194</x:v>
      </x:c>
      <x:c r="G9" s="10" t="s">
        <x:v>195</x:v>
      </x:c>
      <x:c r="H9" s="44" t="s">
        <x:v>190</x:v>
      </x:c>
      <x:c r="I9" s="45" t="str">
        <x:v>Giữ cả cặp và mọi hóa đơn liên quan ngoài đợt xử lý theo xác nhận điểm 6. Không lập điều chỉnh mới.</x:v>
      </x:c>
      <x:c r="J9" s="45" t="str">
        <x:v>Giữ nguyên</x:v>
      </x:c>
    </x:row>
    <x:row r="10" ht="90" customHeight="1">
      <x:c r="A10" s="9" t="s">
        <x:v>196</x:v>
      </x:c>
      <x:c r="B10" s="9" t="s">
        <x:v>197</x:v>
      </x:c>
      <x:c r="C10" s="38">
        <x:v>45611</x:v>
      </x:c>
      <x:c r="D10" s="9" t="s">
        <x:v>198</x:v>
      </x:c>
      <x:c r="E10" s="38">
        <x:v>45807</x:v>
      </x:c>
      <x:c r="F10" s="9" t="s">
        <x:v>199</x:v>
      </x:c>
      <x:c r="G10" s="9" t="s">
        <x:v>200</x:v>
      </x:c>
      <x:c r="H10" s="44" t="s">
        <x:v>190</x:v>
      </x:c>
      <x:c r="I10" s="45" t="str">
        <x:v>Giữ cả cặp và mọi hóa đơn liên quan ngoài đợt xử lý theo xác nhận điểm 6. Không lập điều chỉnh mới.</x:v>
      </x:c>
      <x:c r="J10" s="45" t="str">
        <x:v>Giữ nguyên</x:v>
      </x:c>
    </x:row>
    <x:row r="11" ht="90" customHeight="1">
      <x:c r="A11" s="10" t="s">
        <x:v>201</x:v>
      </x:c>
      <x:c r="B11" s="10" t="s">
        <x:v>202</x:v>
      </x:c>
      <x:c r="C11" s="39">
        <x:v>45804</x:v>
      </x:c>
      <x:c r="D11" s="10" t="s">
        <x:v>203</x:v>
      </x:c>
      <x:c r="E11" s="39">
        <x:v>45825</x:v>
      </x:c>
      <x:c r="F11" s="10" t="s">
        <x:v>204</x:v>
      </x:c>
      <x:c r="G11" s="10" t="s">
        <x:v>205</x:v>
      </x:c>
      <x:c r="H11" s="44" t="s">
        <x:v>190</x:v>
      </x:c>
      <x:c r="I11" s="45" t="str">
        <x:v>Giữ cả cặp và mọi hóa đơn liên quan ngoài đợt xử lý theo xác nhận điểm 6. Không lập điều chỉnh mới.</x:v>
      </x:c>
      <x:c r="J11" s="45" t="str">
        <x:v>Giữ nguyên</x:v>
      </x:c>
    </x:row>
    <x:row r="12" ht="90" customHeight="1">
      <x:c r="A12" s="9" t="s">
        <x:v>206</x:v>
      </x:c>
      <x:c r="B12" s="9" t="s">
        <x:v>207</x:v>
      </x:c>
      <x:c r="C12" s="38">
        <x:v>45807</x:v>
      </x:c>
      <x:c r="D12" s="9" t="s">
        <x:v>208</x:v>
      </x:c>
      <x:c r="E12" s="38">
        <x:v>45817</x:v>
      </x:c>
      <x:c r="F12" s="9" t="s">
        <x:v>204</x:v>
      </x:c>
      <x:c r="G12" s="9" t="s">
        <x:v>205</x:v>
      </x:c>
      <x:c r="H12" s="44" t="s">
        <x:v>190</x:v>
      </x:c>
      <x:c r="I12" s="45" t="str">
        <x:v>Giữ cả cặp và mọi hóa đơn liên quan ngoài đợt xử lý theo xác nhận điểm 6. Không lập điều chỉnh mới.</x:v>
      </x:c>
      <x:c r="J12" s="45" t="str">
        <x:v>Giữ nguyên</x:v>
      </x:c>
    </x:row>
    <x:row r="13" ht="90" customHeight="1">
      <x:c r="A13" s="10" t="s">
        <x:v>209</x:v>
      </x:c>
      <x:c r="B13" s="10" t="s">
        <x:v>210</x:v>
      </x:c>
      <x:c r="C13" s="39">
        <x:v>45807</x:v>
      </x:c>
      <x:c r="D13" s="10" t="s">
        <x:v>211</x:v>
      </x:c>
      <x:c r="E13" s="39">
        <x:v>45817</x:v>
      </x:c>
      <x:c r="F13" s="10" t="s">
        <x:v>204</x:v>
      </x:c>
      <x:c r="G13" s="10" t="s">
        <x:v>205</x:v>
      </x:c>
      <x:c r="H13" s="44" t="s">
        <x:v>190</x:v>
      </x:c>
      <x:c r="I13" s="45" t="str">
        <x:v>Giữ cả cặp và mọi hóa đơn liên quan ngoài đợt xử lý theo xác nhận điểm 6. Không lập điều chỉnh mới.</x:v>
      </x:c>
      <x:c r="J13" s="45" t="str">
        <x:v>Giữ nguyên</x:v>
      </x:c>
    </x:row>
    <x:row r="14" ht="90" customHeight="1">
      <x:c r="A14" s="9" t="s">
        <x:v>212</x:v>
      </x:c>
      <x:c r="B14" s="9" t="s">
        <x:v>213</x:v>
      </x:c>
      <x:c r="C14" s="38">
        <x:v>45836</x:v>
      </x:c>
      <x:c r="D14" s="9" t="s">
        <x:v>214</x:v>
      </x:c>
      <x:c r="E14" s="38">
        <x:v>45837</x:v>
      </x:c>
      <x:c r="F14" s="9" t="s">
        <x:v>215</x:v>
      </x:c>
      <x:c r="G14" s="9" t="s">
        <x:v>205</x:v>
      </x:c>
      <x:c r="H14" s="44" t="s">
        <x:v>216</x:v>
      </x:c>
      <x:c r="I14" s="45" t="str">
        <x:v>Giảm số lượng hàng hóa gốc 00009072 theo phản hồi KT; giữ nguyên điều chỉnh tên hàng00009186, không đảo hóa đơn này.</x:v>
      </x:c>
      <x:c r="J14" s="45" t="str">
        <x:v>Điều chỉnh</x:v>
      </x:c>
    </x:row>
  </x:sheetData>
  <x:pageMargins left="0.7" right="0.7" top="0.75" bottom="0.75" header="0.3" footer="0.3"/>
  <x:tableParts count="1">
    <x:tablePart xmlns:r="http://schemas.openxmlformats.org/officeDocument/2006/relationships" r:id="R2cd7aef331614cee"/>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4"/>
  <x:cols>
    <x:col min="1" max="1" width="11" customWidth="1"/>
    <x:col min="2" max="3" width="25" customWidth="1"/>
    <x:col min="4" max="4" width="15" customWidth="1"/>
    <x:col min="5" max="5" width="17" customWidth="1"/>
    <x:col min="6" max="6" width="15" customWidth="1"/>
    <x:col min="7" max="7" width="20" customWidth="1"/>
    <x:col min="8" max="8" width="19" customWidth="1"/>
    <x:col min="9" max="9" width="22" customWidth="1"/>
    <x:col min="10" max="10" width="20" customWidth="1"/>
    <x:col min="11" max="11" width="19" customWidth="1"/>
    <x:col min="12" max="12" width="22" customWidth="1"/>
    <x:col min="13" max="13" width="85" customWidth="1"/>
    <x:col min="14" max="14" width="65" customWidth="1"/>
    <x:col min="15" max="15" width="37" customWidth="1"/>
    <x:col min="16" max="16" width="55" customWidth="1"/>
  </x:cols>
  <x:sheetData>
    <x:row r="1">
      <x:c r="A1" s="1"/>
      <x:c r="B1" s="1"/>
      <x:c r="C1" s="1"/>
      <x:c r="D1" s="1"/>
      <x:c r="E1" s="1"/>
      <x:c r="F1" s="1"/>
      <x:c r="G1" s="1"/>
      <x:c r="H1" s="1"/>
      <x:c r="I1" s="1"/>
      <x:c r="J1" s="1"/>
      <x:c r="K1" s="1"/>
      <x:c r="L1" s="1"/>
      <x:c r="M1" s="1"/>
      <x:c r="N1" s="1"/>
      <x:c r="O1" s="1"/>
      <x:c r="P1" s="1"/>
    </x:row>
    <x:row r="2" ht="27" customHeight="1">
      <x:c r="A2" s="2" t="s">
        <x:v>217</x:v>
      </x:c>
      <x:c r="B2" s="1"/>
      <x:c r="C2" s="1"/>
      <x:c r="D2" s="1"/>
      <x:c r="E2" s="1"/>
      <x:c r="F2" s="1"/>
      <x:c r="G2" s="1"/>
      <x:c r="H2" s="1"/>
      <x:c r="I2" s="1"/>
      <x:c r="J2" s="1"/>
      <x:c r="K2" s="1"/>
      <x:c r="L2" s="1"/>
      <x:c r="M2" s="1"/>
      <x:c r="N2" s="1"/>
      <x:c r="O2" s="1"/>
      <x:c r="P2" s="1"/>
    </x:row>
    <x:row r="3">
      <x:c r="A3" s="1" t="s">
        <x:v>0</x:v>
      </x:c>
      <x:c r="B3" s="74">
        <x:v>46306</x:v>
      </x:c>
      <x:c r="C3" s="1"/>
      <x:c r="D3" s="1"/>
      <x:c r="E3" s="1"/>
      <x:c r="F3" s="1"/>
      <x:c r="G3" s="1"/>
      <x:c r="H3" s="1"/>
      <x:c r="I3" s="1"/>
      <x:c r="J3" s="1"/>
      <x:c r="K3" s="1"/>
      <x:c r="L3" s="1"/>
      <x:c r="M3" s="1"/>
      <x:c r="N3" s="1"/>
      <x:c r="O3" s="1"/>
      <x:c r="P3" s="1"/>
    </x:row>
    <x:row r="4">
      <x:c r="A4" s="1" t="s">
        <x:v>218</x:v>
      </x:c>
      <x:c r="B4" s="1"/>
      <x:c r="C4" s="1"/>
      <x:c r="D4" s="1"/>
      <x:c r="E4" s="1"/>
      <x:c r="F4" s="1"/>
      <x:c r="G4" s="1"/>
      <x:c r="H4" s="1"/>
      <x:c r="I4" s="1"/>
      <x:c r="J4" s="1"/>
      <x:c r="K4" s="1"/>
      <x:c r="L4" s="1"/>
      <x:c r="M4" s="1"/>
      <x:c r="N4" s="1"/>
      <x:c r="O4" s="1"/>
      <x:c r="P4" s="1"/>
    </x:row>
    <x:row r="5">
      <x:c r="A5" s="1" t="str">
        <x:v>Tiền/ngày nguồn giữ nguyên. Phạm vi xử lý cập nhật theo phương án đã chốt.</x:v>
      </x:c>
      <x:c r="B5" s="1"/>
      <x:c r="C5" s="1"/>
      <x:c r="D5" s="1"/>
      <x:c r="E5" s="1"/>
      <x:c r="F5" s="1"/>
      <x:c r="G5" s="1"/>
      <x:c r="H5" s="1"/>
      <x:c r="I5" s="1"/>
      <x:c r="J5" s="1"/>
      <x:c r="K5" s="1"/>
      <x:c r="L5" s="1"/>
      <x:c r="M5" s="1"/>
      <x:c r="N5" s="1"/>
      <x:c r="O5" s="1"/>
      <x:c r="P5" s="1"/>
    </x:row>
    <x:row r="6">
      <x:c r="A6" s="4"/>
      <x:c r="B6" s="4"/>
      <x:c r="C6" s="4"/>
      <x:c r="D6" s="4"/>
      <x:c r="E6" s="4"/>
      <x:c r="F6" s="4"/>
      <x:c r="G6" s="4"/>
      <x:c r="H6" s="4"/>
      <x:c r="I6" s="4"/>
      <x:c r="J6" s="4"/>
      <x:c r="K6" s="4"/>
      <x:c r="L6" s="4"/>
      <x:c r="M6" s="4"/>
      <x:c r="N6" s="4"/>
      <x:c r="O6" s="4"/>
      <x:c r="P6" s="4"/>
    </x:row>
    <x:row r="7" ht="46" customHeight="1">
      <x:c r="A7" s="6" t="s">
        <x:v>14</x:v>
      </x:c>
      <x:c r="B7" s="7" t="s">
        <x:v>219</x:v>
      </x:c>
      <x:c r="C7" s="7" t="s">
        <x:v>220</x:v>
      </x:c>
      <x:c r="D7" s="7" t="s">
        <x:v>221</x:v>
      </x:c>
      <x:c r="E7" s="7" t="s">
        <x:v>222</x:v>
      </x:c>
      <x:c r="F7" s="7" t="s">
        <x:v>223</x:v>
      </x:c>
      <x:c r="G7" s="7" t="s">
        <x:v>224</x:v>
      </x:c>
      <x:c r="H7" s="7" t="s">
        <x:v>225</x:v>
      </x:c>
      <x:c r="I7" s="7" t="s">
        <x:v>226</x:v>
      </x:c>
      <x:c r="J7" s="7" t="s">
        <x:v>19</x:v>
      </x:c>
      <x:c r="K7" s="7" t="s">
        <x:v>20</x:v>
      </x:c>
      <x:c r="L7" s="7" t="s">
        <x:v>21</x:v>
      </x:c>
      <x:c r="M7" s="7" t="s">
        <x:v>227</x:v>
      </x:c>
      <x:c r="N7" s="7" t="s">
        <x:v>228</x:v>
      </x:c>
      <x:c r="O7" s="7" t="s">
        <x:v>229</x:v>
      </x:c>
      <x:c r="P7" s="8" t="s">
        <x:v>230</x:v>
      </x:c>
    </x:row>
    <x:row r="8" ht="72" customHeight="1">
      <x:c r="A8" s="9" t="s">
        <x:v>31</x:v>
      </x:c>
      <x:c r="B8" s="9" t="str">
        <x:v>Có phương án điều chỉnh</x:v>
      </x:c>
      <x:c r="C8" s="9" t="s">
        <x:v>15</x:v>
      </x:c>
      <x:c r="D8" s="9" t="s">
        <x:v>231</x:v>
      </x:c>
      <x:c r="E8" s="46" t="str">
        <x:v>00000159</x:v>
      </x:c>
      <x:c r="F8" s="38">
        <x:v>45716</x:v>
      </x:c>
      <x:c r="G8" s="15">
        <x:v>412037</x:v>
      </x:c>
      <x:c r="H8" s="15">
        <x:v>32963</x:v>
      </x:c>
      <x:c r="I8" s="15">
        <x:v>445000</x:v>
      </x:c>
      <x:c r="J8" s="15"/>
      <x:c r="K8" s="15"/>
      <x:c r="L8" s="15"/>
      <x:c r="M8" s="9"/>
      <x:c r="N8" s="9" t="s">
        <x:v>232</x:v>
      </x:c>
      <x:c r="O8" s="9"/>
      <x:c r="P8" s="9" t="s">
        <x:v>233</x:v>
      </x:c>
    </x:row>
    <x:row r="9" ht="72" customHeight="1">
      <x:c r="A9" s="10" t="s">
        <x:v>31</x:v>
      </x:c>
      <x:c r="B9" s="10" t="str">
        <x:v>Có phương án điều chỉnh</x:v>
      </x:c>
      <x:c r="C9" s="10" t="s">
        <x:v>234</x:v>
      </x:c>
      <x:c r="D9" s="10" t="s">
        <x:v>231</x:v>
      </x:c>
      <x:c r="E9" s="47" t="str">
        <x:v>00000649</x:v>
      </x:c>
      <x:c r="F9" s="39">
        <x:v>45782</x:v>
      </x:c>
      <x:c r="G9" s="16">
        <x:v>-381481</x:v>
      </x:c>
      <x:c r="H9" s="16">
        <x:v>-30518</x:v>
      </x:c>
      <x:c r="I9" s="16">
        <x:v>411999</x:v>
      </x:c>
      <x:c r="J9" s="16">
        <x:v>-381481</x:v>
      </x:c>
      <x:c r="K9" s="16">
        <x:v>-30518</x:v>
      </x:c>
      <x:c r="L9" s="16">
        <x:v>411999</x:v>
      </x:c>
      <x:c r="M9" s="10" t="s">
        <x:v>235</x:v>
      </x:c>
      <x:c r="N9" s="10" t="s">
        <x:v>236</x:v>
      </x:c>
      <x:c r="O9" s="10" t="s">
        <x:v>237</x:v>
      </x:c>
      <x:c r="P9" s="10" t="s">
        <x:v>238</x:v>
      </x:c>
    </x:row>
    <x:row r="10" ht="72" customHeight="1">
      <x:c r="A10" s="9" t="s">
        <x:v>41</x:v>
      </x:c>
      <x:c r="B10" s="9" t="str">
        <x:v>Có phương án điều chỉnh</x:v>
      </x:c>
      <x:c r="C10" s="9" t="s">
        <x:v>15</x:v>
      </x:c>
      <x:c r="D10" s="9" t="s">
        <x:v>231</x:v>
      </x:c>
      <x:c r="E10" s="46" t="str">
        <x:v>00000056</x:v>
      </x:c>
      <x:c r="F10" s="38">
        <x:v>45684</x:v>
      </x:c>
      <x:c r="G10" s="15">
        <x:v>2264222</x:v>
      </x:c>
      <x:c r="H10" s="15">
        <x:v>181138</x:v>
      </x:c>
      <x:c r="I10" s="15">
        <x:v>2445360</x:v>
      </x:c>
      <x:c r="J10" s="15"/>
      <x:c r="K10" s="15"/>
      <x:c r="L10" s="15"/>
      <x:c r="M10" s="9"/>
      <x:c r="N10" s="9" t="s">
        <x:v>239</x:v>
      </x:c>
      <x:c r="O10" s="9"/>
      <x:c r="P10" s="9" t="s">
        <x:v>233</x:v>
      </x:c>
    </x:row>
    <x:row r="11" ht="72" customHeight="1">
      <x:c r="A11" s="10" t="s">
        <x:v>41</x:v>
      </x:c>
      <x:c r="B11" s="10" t="str">
        <x:v>Có phương án điều chỉnh</x:v>
      </x:c>
      <x:c r="C11" s="10" t="s">
        <x:v>234</x:v>
      </x:c>
      <x:c r="D11" s="10" t="s">
        <x:v>231</x:v>
      </x:c>
      <x:c r="E11" s="47" t="str">
        <x:v>00000561</x:v>
      </x:c>
      <x:c r="F11" s="39">
        <x:v>45781</x:v>
      </x:c>
      <x:c r="G11" s="16">
        <x:v>196889</x:v>
      </x:c>
      <x:c r="H11" s="16">
        <x:v>151751</x:v>
      </x:c>
      <x:c r="I11" s="16">
        <x:v>212640</x:v>
      </x:c>
      <x:c r="J11" s="16">
        <x:v>196889</x:v>
      </x:c>
      <x:c r="K11" s="16">
        <x:v>151751</x:v>
      </x:c>
      <x:c r="L11" s="16">
        <x:v>212640</x:v>
      </x:c>
      <x:c r="M11" s="10" t="s">
        <x:v>240</x:v>
      </x:c>
      <x:c r="N11" s="10" t="s">
        <x:v>241</x:v>
      </x:c>
      <x:c r="O11" s="10" t="s">
        <x:v>242</x:v>
      </x:c>
      <x:c r="P11" s="10" t="s">
        <x:v>238</x:v>
      </x:c>
    </x:row>
    <x:row r="12" ht="72" customHeight="1">
      <x:c r="A12" s="9" t="s">
        <x:v>46</x:v>
      </x:c>
      <x:c r="B12" s="9" t="str">
        <x:v>Có phương án điều chỉnh</x:v>
      </x:c>
      <x:c r="C12" s="9" t="s">
        <x:v>15</x:v>
      </x:c>
      <x:c r="D12" s="9" t="s">
        <x:v>243</x:v>
      </x:c>
      <x:c r="E12" s="46" t="str">
        <x:v>00000283</x:v>
      </x:c>
      <x:c r="F12" s="38">
        <x:v>45457</x:v>
      </x:c>
      <x:c r="G12" s="15">
        <x:v>90142915</x:v>
      </x:c>
      <x:c r="H12" s="15">
        <x:v>7211433</x:v>
      </x:c>
      <x:c r="I12" s="15">
        <x:v>97354348</x:v>
      </x:c>
      <x:c r="J12" s="15"/>
      <x:c r="K12" s="15"/>
      <x:c r="L12" s="15"/>
      <x:c r="M12" s="9"/>
      <x:c r="N12" s="9" t="s">
        <x:v>244</x:v>
      </x:c>
      <x:c r="O12" s="9"/>
      <x:c r="P12" s="9" t="s">
        <x:v>233</x:v>
      </x:c>
    </x:row>
    <x:row r="13" ht="72" customHeight="1">
      <x:c r="A13" s="10" t="s">
        <x:v>46</x:v>
      </x:c>
      <x:c r="B13" s="10" t="str">
        <x:v>Có phương án điều chỉnh</x:v>
      </x:c>
      <x:c r="C13" s="10" t="s">
        <x:v>234</x:v>
      </x:c>
      <x:c r="D13" s="10" t="s">
        <x:v>231</x:v>
      </x:c>
      <x:c r="E13" s="47" t="str">
        <x:v>00001819</x:v>
      </x:c>
      <x:c r="F13" s="39">
        <x:v>45806</x:v>
      </x:c>
      <x:c r="G13" s="16">
        <x:v>7599678</x:v>
      </x:c>
      <x:c r="H13" s="16">
        <x:v>609974</x:v>
      </x:c>
      <x:c r="I13" s="16">
        <x:v>8207652</x:v>
      </x:c>
      <x:c r="J13" s="16">
        <x:v>7599678</x:v>
      </x:c>
      <x:c r="K13" s="16">
        <x:v>609974</x:v>
      </x:c>
      <x:c r="L13" s="16">
        <x:v>8207652</x:v>
      </x:c>
      <x:c r="M13" s="10" t="s">
        <x:v>245</x:v>
      </x:c>
      <x:c r="N13" s="10" t="s">
        <x:v>246</x:v>
      </x:c>
      <x:c r="O13" s="10" t="s">
        <x:v>247</x:v>
      </x:c>
      <x:c r="P13" s="10" t="s">
        <x:v>238</x:v>
      </x:c>
    </x:row>
    <x:row r="14" ht="72" customHeight="1">
      <x:c r="A14" s="9" t="s">
        <x:v>50</x:v>
      </x:c>
      <x:c r="B14" s="9" t="str">
        <x:v>Có phương án điều chỉnh</x:v>
      </x:c>
      <x:c r="C14" s="9" t="s">
        <x:v>15</x:v>
      </x:c>
      <x:c r="D14" s="9" t="s">
        <x:v>243</x:v>
      </x:c>
      <x:c r="E14" s="46" t="str">
        <x:v>00000093</x:v>
      </x:c>
      <x:c r="F14" s="38">
        <x:v>45352</x:v>
      </x:c>
      <x:c r="G14" s="15">
        <x:v>20222499</x:v>
      </x:c>
      <x:c r="H14" s="15">
        <x:v>1617800</x:v>
      </x:c>
      <x:c r="I14" s="15">
        <x:v>21840299</x:v>
      </x:c>
      <x:c r="J14" s="15"/>
      <x:c r="K14" s="15"/>
      <x:c r="L14" s="15"/>
      <x:c r="M14" s="9"/>
      <x:c r="N14" s="9" t="s">
        <x:v>248</x:v>
      </x:c>
      <x:c r="O14" s="9"/>
      <x:c r="P14" s="9" t="s">
        <x:v>233</x:v>
      </x:c>
    </x:row>
    <x:row r="15" ht="72" customHeight="1">
      <x:c r="A15" s="10" t="s">
        <x:v>50</x:v>
      </x:c>
      <x:c r="B15" s="10" t="str">
        <x:v>Có phương án điều chỉnh</x:v>
      </x:c>
      <x:c r="C15" s="10" t="s">
        <x:v>234</x:v>
      </x:c>
      <x:c r="D15" s="10" t="s">
        <x:v>231</x:v>
      </x:c>
      <x:c r="E15" s="47" t="str">
        <x:v>00001167</x:v>
      </x:c>
      <x:c r="F15" s="39">
        <x:v>45803</x:v>
      </x:c>
      <x:c r="G15" s="16">
        <x:v>621945</x:v>
      </x:c>
      <x:c r="H15" s="16">
        <x:v>49756</x:v>
      </x:c>
      <x:c r="I15" s="16">
        <x:v>670701</x:v>
      </x:c>
      <x:c r="J15" s="16">
        <x:v>621945</x:v>
      </x:c>
      <x:c r="K15" s="16">
        <x:v>49756</x:v>
      </x:c>
      <x:c r="L15" s="16">
        <x:v>670701</x:v>
      </x:c>
      <x:c r="M15" s="10" t="s">
        <x:v>249</x:v>
      </x:c>
      <x:c r="N15" s="10" t="s">
        <x:v>250</x:v>
      </x:c>
      <x:c r="O15" s="10" t="s">
        <x:v>251</x:v>
      </x:c>
      <x:c r="P15" s="10" t="s">
        <x:v>238</x:v>
      </x:c>
    </x:row>
    <x:row r="16" ht="72" customHeight="1">
      <x:c r="A16" s="9" t="s">
        <x:v>54</x:v>
      </x:c>
      <x:c r="B16" s="9" t="str">
        <x:v>Có phương án điều chỉnh</x:v>
      </x:c>
      <x:c r="C16" s="9" t="s">
        <x:v>15</x:v>
      </x:c>
      <x:c r="D16" s="9" t="s">
        <x:v>243</x:v>
      </x:c>
      <x:c r="E16" s="46" t="str">
        <x:v>00000535</x:v>
      </x:c>
      <x:c r="F16" s="38">
        <x:v>45587</x:v>
      </x:c>
      <x:c r="G16" s="15">
        <x:v>180276018</x:v>
      </x:c>
      <x:c r="H16" s="15">
        <x:v>14422081</x:v>
      </x:c>
      <x:c r="I16" s="15">
        <x:v>194698099</x:v>
      </x:c>
      <x:c r="J16" s="15"/>
      <x:c r="K16" s="15"/>
      <x:c r="L16" s="15"/>
      <x:c r="M16" s="9"/>
      <x:c r="N16" s="9" t="s">
        <x:v>252</x:v>
      </x:c>
      <x:c r="O16" s="9"/>
      <x:c r="P16" s="9" t="s">
        <x:v>233</x:v>
      </x:c>
    </x:row>
    <x:row r="17" ht="72" customHeight="1">
      <x:c r="A17" s="10" t="s">
        <x:v>54</x:v>
      </x:c>
      <x:c r="B17" s="10" t="str">
        <x:v>Có phương án điều chỉnh</x:v>
      </x:c>
      <x:c r="C17" s="10" t="s">
        <x:v>234</x:v>
      </x:c>
      <x:c r="D17" s="10" t="s">
        <x:v>231</x:v>
      </x:c>
      <x:c r="E17" s="47" t="str">
        <x:v>00002145</x:v>
      </x:c>
      <x:c r="F17" s="39">
        <x:v>45807</x:v>
      </x:c>
      <x:c r="G17" s="16">
        <x:v>39194352</x:v>
      </x:c>
      <x:c r="H17" s="16">
        <x:v>3135548</x:v>
      </x:c>
      <x:c r="I17" s="16">
        <x:v>42329000</x:v>
      </x:c>
      <x:c r="J17" s="16">
        <x:v>39194352</x:v>
      </x:c>
      <x:c r="K17" s="16">
        <x:v>3135548</x:v>
      </x:c>
      <x:c r="L17" s="16">
        <x:v>42329000</x:v>
      </x:c>
      <x:c r="M17" s="10" t="s">
        <x:v>253</x:v>
      </x:c>
      <x:c r="N17" s="10" t="s">
        <x:v>254</x:v>
      </x:c>
      <x:c r="O17" s="10" t="s">
        <x:v>255</x:v>
      </x:c>
      <x:c r="P17" s="10" t="s">
        <x:v>238</x:v>
      </x:c>
    </x:row>
    <x:row r="18" ht="72" customHeight="1">
      <x:c r="A18" s="9" t="s">
        <x:v>58</x:v>
      </x:c>
      <x:c r="B18" s="9" t="str">
        <x:v>Có phương án điều chỉnh</x:v>
      </x:c>
      <x:c r="C18" s="9" t="s">
        <x:v>15</x:v>
      </x:c>
      <x:c r="D18" s="9" t="s">
        <x:v>243</x:v>
      </x:c>
      <x:c r="E18" s="46" t="str">
        <x:v>00000228</x:v>
      </x:c>
      <x:c r="F18" s="38">
        <x:v>45425</x:v>
      </x:c>
      <x:c r="G18" s="15">
        <x:v>10131221</x:v>
      </x:c>
      <x:c r="H18" s="15">
        <x:v>810498</x:v>
      </x:c>
      <x:c r="I18" s="15">
        <x:v>10941719</x:v>
      </x:c>
      <x:c r="J18" s="15"/>
      <x:c r="K18" s="15"/>
      <x:c r="L18" s="15"/>
      <x:c r="M18" s="9"/>
      <x:c r="N18" s="9" t="s">
        <x:v>256</x:v>
      </x:c>
      <x:c r="O18" s="9"/>
      <x:c r="P18" s="9" t="s">
        <x:v>233</x:v>
      </x:c>
    </x:row>
    <x:row r="19" ht="72" customHeight="1">
      <x:c r="A19" s="10" t="s">
        <x:v>58</x:v>
      </x:c>
      <x:c r="B19" s="10" t="str">
        <x:v>Có phương án điều chỉnh</x:v>
      </x:c>
      <x:c r="C19" s="10" t="s">
        <x:v>234</x:v>
      </x:c>
      <x:c r="D19" s="10" t="s">
        <x:v>231</x:v>
      </x:c>
      <x:c r="E19" s="47" t="str">
        <x:v>00002619</x:v>
      </x:c>
      <x:c r="F19" s="39">
        <x:v>45808</x:v>
      </x:c>
      <x:c r="G19" s="16">
        <x:v>-589554</x:v>
      </x:c>
      <x:c r="H19" s="16">
        <x:v>-47164</x:v>
      </x:c>
      <x:c r="I19" s="16">
        <x:v>-636719</x:v>
      </x:c>
      <x:c r="J19" s="16">
        <x:v>-589554</x:v>
      </x:c>
      <x:c r="K19" s="16">
        <x:v>-47164</x:v>
      </x:c>
      <x:c r="L19" s="16">
        <x:v>-636719</x:v>
      </x:c>
      <x:c r="M19" s="10" t="s">
        <x:v>257</x:v>
      </x:c>
      <x:c r="N19" s="10" t="s">
        <x:v>258</x:v>
      </x:c>
      <x:c r="O19" s="10" t="s">
        <x:v>259</x:v>
      </x:c>
      <x:c r="P19" s="10" t="s">
        <x:v>238</x:v>
      </x:c>
    </x:row>
    <x:row r="20" ht="72" customHeight="1">
      <x:c r="A20" s="9" t="s">
        <x:v>58</x:v>
      </x:c>
      <x:c r="B20" s="9" t="str">
        <x:v>Có phương án điều chỉnh</x:v>
      </x:c>
      <x:c r="C20" s="9" t="s">
        <x:v>234</x:v>
      </x:c>
      <x:c r="D20" s="9" t="s">
        <x:v>231</x:v>
      </x:c>
      <x:c r="E20" s="46" t="str">
        <x:v>00002646</x:v>
      </x:c>
      <x:c r="F20" s="38">
        <x:v>45808</x:v>
      </x:c>
      <x:c r="G20" s="15">
        <x:v>1718981</x:v>
      </x:c>
      <x:c r="H20" s="15">
        <x:v>137518</x:v>
      </x:c>
      <x:c r="I20" s="15">
        <x:v>1856499</x:v>
      </x:c>
      <x:c r="J20" s="15">
        <x:v>1718981</x:v>
      </x:c>
      <x:c r="K20" s="15">
        <x:v>137518</x:v>
      </x:c>
      <x:c r="L20" s="15">
        <x:v>1856499</x:v>
      </x:c>
      <x:c r="M20" s="9" t="s">
        <x:v>260</x:v>
      </x:c>
      <x:c r="N20" s="9" t="s">
        <x:v>261</x:v>
      </x:c>
      <x:c r="O20" s="9" t="s">
        <x:v>262</x:v>
      </x:c>
      <x:c r="P20" s="9" t="s">
        <x:v>238</x:v>
      </x:c>
    </x:row>
    <x:row r="21" ht="72" customHeight="1">
      <x:c r="A21" s="10" t="s">
        <x:v>63</x:v>
      </x:c>
      <x:c r="B21" s="10" t="str">
        <x:v>Có phương án điều chỉnh</x:v>
      </x:c>
      <x:c r="C21" s="10" t="s">
        <x:v>15</x:v>
      </x:c>
      <x:c r="D21" s="10" t="s">
        <x:v>243</x:v>
      </x:c>
      <x:c r="E21" s="47" t="str">
        <x:v>00000285</x:v>
      </x:c>
      <x:c r="F21" s="39">
        <x:v>45458</x:v>
      </x:c>
      <x:c r="G21" s="16">
        <x:v>87458193</x:v>
      </x:c>
      <x:c r="H21" s="16">
        <x:v>6996655</x:v>
      </x:c>
      <x:c r="I21" s="16">
        <x:v>94454848</x:v>
      </x:c>
      <x:c r="J21" s="16"/>
      <x:c r="K21" s="16"/>
      <x:c r="L21" s="16"/>
      <x:c r="M21" s="10"/>
      <x:c r="N21" s="10" t="s">
        <x:v>263</x:v>
      </x:c>
      <x:c r="O21" s="10"/>
      <x:c r="P21" s="10" t="s">
        <x:v>233</x:v>
      </x:c>
    </x:row>
    <x:row r="22" ht="72" customHeight="1">
      <x:c r="A22" s="9" t="s">
        <x:v>63</x:v>
      </x:c>
      <x:c r="B22" s="9" t="str">
        <x:v>Có phương án điều chỉnh</x:v>
      </x:c>
      <x:c r="C22" s="9" t="s">
        <x:v>234</x:v>
      </x:c>
      <x:c r="D22" s="9" t="s">
        <x:v>231</x:v>
      </x:c>
      <x:c r="E22" s="46" t="str">
        <x:v>00001821</x:v>
      </x:c>
      <x:c r="F22" s="38">
        <x:v>45806</x:v>
      </x:c>
      <x:c r="G22" s="15">
        <x:v>5701066</x:v>
      </x:c>
      <x:c r="H22" s="15">
        <x:v>456085</x:v>
      </x:c>
      <x:c r="I22" s="15">
        <x:v>6157152</x:v>
      </x:c>
      <x:c r="J22" s="15">
        <x:v>5701066</x:v>
      </x:c>
      <x:c r="K22" s="15">
        <x:v>456085</x:v>
      </x:c>
      <x:c r="L22" s="15">
        <x:v>6157152</x:v>
      </x:c>
      <x:c r="M22" s="9" t="s">
        <x:v>264</x:v>
      </x:c>
      <x:c r="N22" s="9" t="s">
        <x:v>265</x:v>
      </x:c>
      <x:c r="O22" s="9" t="s">
        <x:v>266</x:v>
      </x:c>
      <x:c r="P22" s="9" t="s">
        <x:v>238</x:v>
      </x:c>
    </x:row>
    <x:row r="23" ht="72" customHeight="1">
      <x:c r="A23" s="10" t="s">
        <x:v>67</x:v>
      </x:c>
      <x:c r="B23" s="10" t="str">
        <x:v>Có phương án điều chỉnh</x:v>
      </x:c>
      <x:c r="C23" s="10" t="s">
        <x:v>15</x:v>
      </x:c>
      <x:c r="D23" s="10" t="s">
        <x:v>231</x:v>
      </x:c>
      <x:c r="E23" s="47" t="str">
        <x:v>00000102</x:v>
      </x:c>
      <x:c r="F23" s="39">
        <x:v>45707</x:v>
      </x:c>
      <x:c r="G23" s="16">
        <x:v>69918243</x:v>
      </x:c>
      <x:c r="H23" s="16">
        <x:v>5593459</x:v>
      </x:c>
      <x:c r="I23" s="16">
        <x:v>75511702</x:v>
      </x:c>
      <x:c r="J23" s="16"/>
      <x:c r="K23" s="16"/>
      <x:c r="L23" s="16"/>
      <x:c r="M23" s="10"/>
      <x:c r="N23" s="10" t="s">
        <x:v>267</x:v>
      </x:c>
      <x:c r="O23" s="10"/>
      <x:c r="P23" s="10" t="s">
        <x:v>233</x:v>
      </x:c>
    </x:row>
    <x:row r="24" ht="72" customHeight="1">
      <x:c r="A24" s="9" t="s">
        <x:v>67</x:v>
      </x:c>
      <x:c r="B24" s="9" t="str">
        <x:v>Có phương án điều chỉnh</x:v>
      </x:c>
      <x:c r="C24" s="9" t="s">
        <x:v>234</x:v>
      </x:c>
      <x:c r="D24" s="9" t="s">
        <x:v>231</x:v>
      </x:c>
      <x:c r="E24" s="46" t="str">
        <x:v>00000626</x:v>
      </x:c>
      <x:c r="F24" s="38">
        <x:v>45781</x:v>
      </x:c>
      <x:c r="G24" s="15">
        <x:v>4347265</x:v>
      </x:c>
      <x:c r="H24" s="15">
        <x:v>347781</x:v>
      </x:c>
      <x:c r="I24" s="15">
        <x:v>4695045</x:v>
      </x:c>
      <x:c r="J24" s="15">
        <x:v>4347265</x:v>
      </x:c>
      <x:c r="K24" s="15">
        <x:v>347781</x:v>
      </x:c>
      <x:c r="L24" s="15">
        <x:v>4695045</x:v>
      </x:c>
      <x:c r="M24" s="9" t="s">
        <x:v>268</x:v>
      </x:c>
      <x:c r="N24" s="9" t="s">
        <x:v>269</x:v>
      </x:c>
      <x:c r="O24" s="9" t="s">
        <x:v>270</x:v>
      </x:c>
      <x:c r="P24" s="9" t="s">
        <x:v>238</x:v>
      </x:c>
    </x:row>
    <x:row r="25" ht="72" customHeight="1">
      <x:c r="A25" s="10" t="s">
        <x:v>71</x:v>
      </x:c>
      <x:c r="B25" s="10" t="str">
        <x:v>Có phương án điều chỉnh</x:v>
      </x:c>
      <x:c r="C25" s="10" t="s">
        <x:v>15</x:v>
      </x:c>
      <x:c r="D25" s="10" t="s">
        <x:v>243</x:v>
      </x:c>
      <x:c r="E25" s="47" t="str">
        <x:v>00000555</x:v>
      </x:c>
      <x:c r="F25" s="39">
        <x:v>45596</x:v>
      </x:c>
      <x:c r="G25" s="16">
        <x:v>6219445</x:v>
      </x:c>
      <x:c r="H25" s="16">
        <x:v>497556</x:v>
      </x:c>
      <x:c r="I25" s="16">
        <x:v>6717001</x:v>
      </x:c>
      <x:c r="J25" s="16"/>
      <x:c r="K25" s="16"/>
      <x:c r="L25" s="16"/>
      <x:c r="M25" s="10" t="s">
        <x:v>271</x:v>
      </x:c>
      <x:c r="N25" s="10" t="s">
        <x:v>272</x:v>
      </x:c>
      <x:c r="O25" s="10"/>
      <x:c r="P25" s="10" t="s">
        <x:v>233</x:v>
      </x:c>
    </x:row>
    <x:row r="26" ht="72" customHeight="1">
      <x:c r="A26" s="9" t="s">
        <x:v>71</x:v>
      </x:c>
      <x:c r="B26" s="9" t="str">
        <x:v>Có phương án điều chỉnh</x:v>
      </x:c>
      <x:c r="C26" s="9" t="s">
        <x:v>234</x:v>
      </x:c>
      <x:c r="D26" s="9" t="s">
        <x:v>231</x:v>
      </x:c>
      <x:c r="E26" s="46" t="str">
        <x:v>00002632</x:v>
      </x:c>
      <x:c r="F26" s="38">
        <x:v>45808</x:v>
      </x:c>
      <x:c r="G26" s="15">
        <x:v>-1888889</x:v>
      </x:c>
      <x:c r="H26" s="15">
        <x:v>-151111</x:v>
      </x:c>
      <x:c r="I26" s="15">
        <x:v>-2040000</x:v>
      </x:c>
      <x:c r="J26" s="15">
        <x:v>-1888889</x:v>
      </x:c>
      <x:c r="K26" s="15">
        <x:v>-151111</x:v>
      </x:c>
      <x:c r="L26" s="15">
        <x:v>-2040000</x:v>
      </x:c>
      <x:c r="M26" s="9" t="s">
        <x:v>273</x:v>
      </x:c>
      <x:c r="N26" s="9" t="s">
        <x:v>274</x:v>
      </x:c>
      <x:c r="O26" s="9" t="s">
        <x:v>275</x:v>
      </x:c>
      <x:c r="P26" s="9" t="s">
        <x:v>238</x:v>
      </x:c>
    </x:row>
    <x:row r="27" ht="72" customHeight="1">
      <x:c r="A27" s="10" t="s">
        <x:v>79</x:v>
      </x:c>
      <x:c r="B27" s="10" t="str">
        <x:v>Có phương án điều chỉnh</x:v>
      </x:c>
      <x:c r="C27" s="10" t="s">
        <x:v>15</x:v>
      </x:c>
      <x:c r="D27" s="10" t="s">
        <x:v>231</x:v>
      </x:c>
      <x:c r="E27" s="47" t="str">
        <x:v>00000113</x:v>
      </x:c>
      <x:c r="F27" s="39">
        <x:v>45707</x:v>
      </x:c>
      <x:c r="G27" s="16">
        <x:v>46178880</x:v>
      </x:c>
      <x:c r="H27" s="16">
        <x:v>3694310</x:v>
      </x:c>
      <x:c r="I27" s="16">
        <x:v>49873190</x:v>
      </x:c>
      <x:c r="J27" s="16"/>
      <x:c r="K27" s="16"/>
      <x:c r="L27" s="16"/>
      <x:c r="M27" s="10" t="s">
        <x:v>276</x:v>
      </x:c>
      <x:c r="N27" s="10" t="s">
        <x:v>277</x:v>
      </x:c>
      <x:c r="O27" s="10"/>
      <x:c r="P27" s="10" t="s">
        <x:v>233</x:v>
      </x:c>
    </x:row>
    <x:row r="28" ht="72" customHeight="1">
      <x:c r="A28" s="9" t="s">
        <x:v>79</x:v>
      </x:c>
      <x:c r="B28" s="9" t="str">
        <x:v>Có phương án điều chỉnh</x:v>
      </x:c>
      <x:c r="C28" s="9" t="s">
        <x:v>234</x:v>
      </x:c>
      <x:c r="D28" s="9" t="s">
        <x:v>231</x:v>
      </x:c>
      <x:c r="E28" s="46" t="str">
        <x:v>00000635</x:v>
      </x:c>
      <x:c r="F28" s="38">
        <x:v>45782</x:v>
      </x:c>
      <x:c r="G28" s="15">
        <x:v>446836</x:v>
      </x:c>
      <x:c r="H28" s="15">
        <x:v>35747</x:v>
      </x:c>
      <x:c r="I28" s="15">
        <x:v>482583</x:v>
      </x:c>
      <x:c r="J28" s="15">
        <x:v>446836</x:v>
      </x:c>
      <x:c r="K28" s="15">
        <x:v>35747</x:v>
      </x:c>
      <x:c r="L28" s="15">
        <x:v>482583</x:v>
      </x:c>
      <x:c r="M28" s="9" t="s">
        <x:v>278</x:v>
      </x:c>
      <x:c r="N28" s="9" t="s">
        <x:v>279</x:v>
      </x:c>
      <x:c r="O28" s="9" t="s">
        <x:v>280</x:v>
      </x:c>
      <x:c r="P28" s="9" t="s">
        <x:v>238</x:v>
      </x:c>
    </x:row>
    <x:row r="29" ht="72" customHeight="1">
      <x:c r="A29" s="10" t="s">
        <x:v>84</x:v>
      </x:c>
      <x:c r="B29" s="10" t="str">
        <x:v>Có phương án điều chỉnh</x:v>
      </x:c>
      <x:c r="C29" s="10" t="s">
        <x:v>15</x:v>
      </x:c>
      <x:c r="D29" s="10" t="s">
        <x:v>243</x:v>
      </x:c>
      <x:c r="E29" s="47" t="str">
        <x:v>00000774</x:v>
      </x:c>
      <x:c r="F29" s="39">
        <x:v>45657</x:v>
      </x:c>
      <x:c r="G29" s="16">
        <x:v>4398148</x:v>
      </x:c>
      <x:c r="H29" s="16">
        <x:v>351852</x:v>
      </x:c>
      <x:c r="I29" s="16">
        <x:v>4750000</x:v>
      </x:c>
      <x:c r="J29" s="16"/>
      <x:c r="K29" s="16"/>
      <x:c r="L29" s="16"/>
      <x:c r="M29" s="10" t="s">
        <x:v>281</x:v>
      </x:c>
      <x:c r="N29" s="10" t="s">
        <x:v>282</x:v>
      </x:c>
      <x:c r="O29" s="10"/>
      <x:c r="P29" s="10" t="s">
        <x:v>233</x:v>
      </x:c>
    </x:row>
    <x:row r="30" ht="72" customHeight="1">
      <x:c r="A30" s="9" t="s">
        <x:v>90</x:v>
      </x:c>
      <x:c r="B30" s="9" t="str">
        <x:v>Có phương án điều chỉnh</x:v>
      </x:c>
      <x:c r="C30" s="9" t="s">
        <x:v>15</x:v>
      </x:c>
      <x:c r="D30" s="9" t="s">
        <x:v>243</x:v>
      </x:c>
      <x:c r="E30" s="46" t="str">
        <x:v>00000783</x:v>
      </x:c>
      <x:c r="F30" s="38">
        <x:v>45657</x:v>
      </x:c>
      <x:c r="G30" s="15">
        <x:v>18240741</x:v>
      </x:c>
      <x:c r="H30" s="15">
        <x:v>1459259</x:v>
      </x:c>
      <x:c r="I30" s="15">
        <x:v>19700000</x:v>
      </x:c>
      <x:c r="J30" s="15"/>
      <x:c r="K30" s="15"/>
      <x:c r="L30" s="15"/>
      <x:c r="M30" s="9" t="s">
        <x:v>283</x:v>
      </x:c>
      <x:c r="N30" s="9" t="s">
        <x:v>284</x:v>
      </x:c>
      <x:c r="O30" s="9"/>
      <x:c r="P30" s="9" t="s">
        <x:v>233</x:v>
      </x:c>
    </x:row>
    <x:row r="31" ht="72" customHeight="1">
      <x:c r="A31" s="10" t="s">
        <x:v>93</x:v>
      </x:c>
      <x:c r="B31" s="10" t="str">
        <x:v>Có phương án điều chỉnh</x:v>
      </x:c>
      <x:c r="C31" s="10" t="s">
        <x:v>15</x:v>
      </x:c>
      <x:c r="D31" s="10" t="s">
        <x:v>243</x:v>
      </x:c>
      <x:c r="E31" s="47" t="str">
        <x:v>00000784</x:v>
      </x:c>
      <x:c r="F31" s="39">
        <x:v>45657</x:v>
      </x:c>
      <x:c r="G31" s="16">
        <x:v>4629630</x:v>
      </x:c>
      <x:c r="H31" s="16">
        <x:v>370370</x:v>
      </x:c>
      <x:c r="I31" s="16">
        <x:v>5000000</x:v>
      </x:c>
      <x:c r="J31" s="16"/>
      <x:c r="K31" s="16"/>
      <x:c r="L31" s="16"/>
      <x:c r="M31" s="10" t="s">
        <x:v>283</x:v>
      </x:c>
      <x:c r="N31" s="10" t="s">
        <x:v>285</x:v>
      </x:c>
      <x:c r="O31" s="10"/>
      <x:c r="P31" s="10" t="s">
        <x:v>233</x:v>
      </x:c>
    </x:row>
    <x:row r="32" ht="72" customHeight="1">
      <x:c r="A32" s="9" t="s">
        <x:v>95</x:v>
      </x:c>
      <x:c r="B32" s="9" t="str">
        <x:v>Có phương án điều chỉnh</x:v>
      </x:c>
      <x:c r="C32" s="9" t="s">
        <x:v>15</x:v>
      </x:c>
      <x:c r="D32" s="9" t="s">
        <x:v>243</x:v>
      </x:c>
      <x:c r="E32" s="46" t="str">
        <x:v>00000786</x:v>
      </x:c>
      <x:c r="F32" s="38">
        <x:v>45657</x:v>
      </x:c>
      <x:c r="G32" s="15">
        <x:v>25879630</x:v>
      </x:c>
      <x:c r="H32" s="15">
        <x:v>2070370</x:v>
      </x:c>
      <x:c r="I32" s="15">
        <x:v>27950000</x:v>
      </x:c>
      <x:c r="J32" s="15"/>
      <x:c r="K32" s="15"/>
      <x:c r="L32" s="15"/>
      <x:c r="M32" s="9" t="s">
        <x:v>286</x:v>
      </x:c>
      <x:c r="N32" s="9" t="s">
        <x:v>287</x:v>
      </x:c>
      <x:c r="O32" s="9"/>
      <x:c r="P32" s="9" t="s">
        <x:v>233</x:v>
      </x:c>
    </x:row>
    <x:row r="33" ht="72" customHeight="1">
      <x:c r="A33" s="10" t="s">
        <x:v>98</x:v>
      </x:c>
      <x:c r="B33" s="10" t="str">
        <x:v>Có phương án điều chỉnh</x:v>
      </x:c>
      <x:c r="C33" s="10" t="s">
        <x:v>15</x:v>
      </x:c>
      <x:c r="D33" s="10" t="s">
        <x:v>231</x:v>
      </x:c>
      <x:c r="E33" s="47" t="str">
        <x:v>00002796</x:v>
      </x:c>
      <x:c r="F33" s="39">
        <x:v>45809</x:v>
      </x:c>
      <x:c r="G33" s="16">
        <x:v>443519</x:v>
      </x:c>
      <x:c r="H33" s="16">
        <x:v>35482</x:v>
      </x:c>
      <x:c r="I33" s="16">
        <x:v>479001</x:v>
      </x:c>
      <x:c r="J33" s="16"/>
      <x:c r="K33" s="16"/>
      <x:c r="L33" s="16"/>
      <x:c r="M33" s="10" t="s">
        <x:v>288</x:v>
      </x:c>
      <x:c r="N33" s="10" t="s">
        <x:v>289</x:v>
      </x:c>
      <x:c r="O33" s="10"/>
      <x:c r="P33" s="10" t="s">
        <x:v>233</x:v>
      </x:c>
    </x:row>
    <x:row r="34" ht="72" customHeight="1">
      <x:c r="A34" s="9" t="s">
        <x:v>103</x:v>
      </x:c>
      <x:c r="B34" s="9" t="str">
        <x:v>Có phương án điều chỉnh</x:v>
      </x:c>
      <x:c r="C34" s="9" t="s">
        <x:v>15</x:v>
      </x:c>
      <x:c r="D34" s="9" t="s">
        <x:v>231</x:v>
      </x:c>
      <x:c r="E34" s="46" t="str">
        <x:v>00002797</x:v>
      </x:c>
      <x:c r="F34" s="38">
        <x:v>45809</x:v>
      </x:c>
      <x:c r="G34" s="15">
        <x:v>1213008</x:v>
      </x:c>
      <x:c r="H34" s="15">
        <x:v>97041</x:v>
      </x:c>
      <x:c r="I34" s="15">
        <x:v>1310049</x:v>
      </x:c>
      <x:c r="J34" s="15"/>
      <x:c r="K34" s="15"/>
      <x:c r="L34" s="15"/>
      <x:c r="M34" s="9" t="s">
        <x:v>290</x:v>
      </x:c>
      <x:c r="N34" s="9" t="s">
        <x:v>291</x:v>
      </x:c>
      <x:c r="O34" s="9"/>
      <x:c r="P34" s="9" t="s">
        <x:v>233</x:v>
      </x:c>
    </x:row>
    <x:row r="35" ht="72" customHeight="1">
      <x:c r="A35" s="10" t="s">
        <x:v>107</x:v>
      </x:c>
      <x:c r="B35" s="10" t="str">
        <x:v>Có phương án điều chỉnh</x:v>
      </x:c>
      <x:c r="C35" s="10" t="s">
        <x:v>15</x:v>
      </x:c>
      <x:c r="D35" s="10" t="s">
        <x:v>231</x:v>
      </x:c>
      <x:c r="E35" s="47" t="str">
        <x:v>00000006</x:v>
      </x:c>
      <x:c r="F35" s="39">
        <x:v>45664</x:v>
      </x:c>
      <x:c r="G35" s="16">
        <x:v>0</x:v>
      </x:c>
      <x:c r="H35" s="16">
        <x:v>0</x:v>
      </x:c>
      <x:c r="I35" s="16"/>
      <x:c r="J35" s="16"/>
      <x:c r="K35" s="16"/>
      <x:c r="L35" s="16"/>
      <x:c r="M35" s="10"/>
      <x:c r="N35" s="10" t="s">
        <x:v>292</x:v>
      </x:c>
      <x:c r="O35" s="10"/>
      <x:c r="P35" s="10" t="s">
        <x:v>233</x:v>
      </x:c>
    </x:row>
    <x:row r="36" ht="72" customHeight="1">
      <x:c r="A36" s="9" t="s">
        <x:v>107</x:v>
      </x:c>
      <x:c r="B36" s="9" t="str">
        <x:v>Có phương án điều chỉnh</x:v>
      </x:c>
      <x:c r="C36" s="9" t="s">
        <x:v>234</x:v>
      </x:c>
      <x:c r="D36" s="9" t="s">
        <x:v>231</x:v>
      </x:c>
      <x:c r="E36" s="46" t="str">
        <x:v>00000655</x:v>
      </x:c>
      <x:c r="F36" s="38">
        <x:v>45782</x:v>
      </x:c>
      <x:c r="G36" s="15">
        <x:v>3478704</x:v>
      </x:c>
      <x:c r="H36" s="15">
        <x:v>278296</x:v>
      </x:c>
      <x:c r="I36" s="15">
        <x:v>3757000</x:v>
      </x:c>
      <x:c r="J36" s="15">
        <x:v>3478704</x:v>
      </x:c>
      <x:c r="K36" s="15">
        <x:v>278296</x:v>
      </x:c>
      <x:c r="L36" s="15">
        <x:v>3757000</x:v>
      </x:c>
      <x:c r="M36" s="9" t="s">
        <x:v>293</x:v>
      </x:c>
      <x:c r="N36" s="9" t="s">
        <x:v>294</x:v>
      </x:c>
      <x:c r="O36" s="9" t="s">
        <x:v>295</x:v>
      </x:c>
      <x:c r="P36" s="9" t="s">
        <x:v>238</x:v>
      </x:c>
    </x:row>
    <x:row r="37" ht="72" customHeight="1">
      <x:c r="A37" s="10" t="s">
        <x:v>114</x:v>
      </x:c>
      <x:c r="B37" s="10" t="str">
        <x:v>Có phương án điều chỉnh</x:v>
      </x:c>
      <x:c r="C37" s="10" t="s">
        <x:v>15</x:v>
      </x:c>
      <x:c r="D37" s="10" t="s">
        <x:v>231</x:v>
      </x:c>
      <x:c r="E37" s="47" t="str">
        <x:v>00000016</x:v>
      </x:c>
      <x:c r="F37" s="39">
        <x:v>45671</x:v>
      </x:c>
      <x:c r="G37" s="16">
        <x:v>0</x:v>
      </x:c>
      <x:c r="H37" s="16">
        <x:v>0</x:v>
      </x:c>
      <x:c r="I37" s="16"/>
      <x:c r="J37" s="16"/>
      <x:c r="K37" s="16"/>
      <x:c r="L37" s="16"/>
      <x:c r="M37" s="10"/>
      <x:c r="N37" s="10" t="s">
        <x:v>296</x:v>
      </x:c>
      <x:c r="O37" s="10"/>
      <x:c r="P37" s="10" t="s">
        <x:v>233</x:v>
      </x:c>
    </x:row>
    <x:row r="38" ht="72" customHeight="1">
      <x:c r="A38" s="9" t="s">
        <x:v>114</x:v>
      </x:c>
      <x:c r="B38" s="9" t="str">
        <x:v>Có phương án điều chỉnh</x:v>
      </x:c>
      <x:c r="C38" s="9" t="s">
        <x:v>234</x:v>
      </x:c>
      <x:c r="D38" s="9" t="s">
        <x:v>231</x:v>
      </x:c>
      <x:c r="E38" s="46" t="str">
        <x:v>00000657</x:v>
      </x:c>
      <x:c r="F38" s="38">
        <x:v>45782</x:v>
      </x:c>
      <x:c r="G38" s="15">
        <x:v>5275000</x:v>
      </x:c>
      <x:c r="H38" s="15">
        <x:v>422000</x:v>
      </x:c>
      <x:c r="I38" s="15">
        <x:v>5697000</x:v>
      </x:c>
      <x:c r="J38" s="15">
        <x:v>5275000</x:v>
      </x:c>
      <x:c r="K38" s="15">
        <x:v>422000</x:v>
      </x:c>
      <x:c r="L38" s="15">
        <x:v>5697000</x:v>
      </x:c>
      <x:c r="M38" s="9" t="s">
        <x:v>297</x:v>
      </x:c>
      <x:c r="N38" s="9" t="s">
        <x:v>298</x:v>
      </x:c>
      <x:c r="O38" s="9" t="s">
        <x:v>299</x:v>
      </x:c>
      <x:c r="P38" s="9" t="s">
        <x:v>238</x:v>
      </x:c>
    </x:row>
    <x:row r="39" ht="72" customHeight="1">
      <x:c r="A39" s="10" t="s">
        <x:v>118</x:v>
      </x:c>
      <x:c r="B39" s="10" t="str">
        <x:v>Có phương án điều chỉnh</x:v>
      </x:c>
      <x:c r="C39" s="10" t="s">
        <x:v>15</x:v>
      </x:c>
      <x:c r="D39" s="10" t="s">
        <x:v>231</x:v>
      </x:c>
      <x:c r="E39" s="47" t="str">
        <x:v>00003548</x:v>
      </x:c>
      <x:c r="F39" s="39">
        <x:v>45814</x:v>
      </x:c>
      <x:c r="G39" s="16">
        <x:v>962037</x:v>
      </x:c>
      <x:c r="H39" s="16">
        <x:v>76963</x:v>
      </x:c>
      <x:c r="I39" s="16">
        <x:v>1039000</x:v>
      </x:c>
      <x:c r="J39" s="16"/>
      <x:c r="K39" s="16"/>
      <x:c r="L39" s="16"/>
      <x:c r="M39" s="10"/>
      <x:c r="N39" s="10" t="s">
        <x:v>300</x:v>
      </x:c>
      <x:c r="O39" s="10"/>
      <x:c r="P39" s="10" t="s">
        <x:v>233</x:v>
      </x:c>
    </x:row>
    <x:row r="40" ht="72" customHeight="1">
      <x:c r="A40" s="9" t="s">
        <x:v>118</x:v>
      </x:c>
      <x:c r="B40" s="9" t="str">
        <x:v>Có phương án điều chỉnh</x:v>
      </x:c>
      <x:c r="C40" s="9" t="s">
        <x:v>234</x:v>
      </x:c>
      <x:c r="D40" s="9" t="s">
        <x:v>231</x:v>
      </x:c>
      <x:c r="E40" s="46" t="str">
        <x:v>00013072</x:v>
      </x:c>
      <x:c r="F40" s="38">
        <x:v>45930</x:v>
      </x:c>
      <x:c r="G40" s="15">
        <x:v>-962037</x:v>
      </x:c>
      <x:c r="H40" s="15">
        <x:v>-76963</x:v>
      </x:c>
      <x:c r="I40" s="15">
        <x:v>-1039000</x:v>
      </x:c>
      <x:c r="J40" s="15">
        <x:v>-962037</x:v>
      </x:c>
      <x:c r="K40" s="15">
        <x:v>-76963</x:v>
      </x:c>
      <x:c r="L40" s="15">
        <x:v>-1039000</x:v>
      </x:c>
      <x:c r="M40" s="9" t="s">
        <x:v>301</x:v>
      </x:c>
      <x:c r="N40" s="9" t="s">
        <x:v>302</x:v>
      </x:c>
      <x:c r="O40" s="9" t="s">
        <x:v>303</x:v>
      </x:c>
      <x:c r="P40" s="9" t="s">
        <x:v>238</x:v>
      </x:c>
    </x:row>
    <x:row r="41" ht="72" customHeight="1">
      <x:c r="A41" s="10" t="s">
        <x:v>125</x:v>
      </x:c>
      <x:c r="B41" s="10" t="str">
        <x:v>Giữ nguyên trong đợt này</x:v>
      </x:c>
      <x:c r="C41" s="10" t="s">
        <x:v>15</x:v>
      </x:c>
      <x:c r="D41" s="10" t="s">
        <x:v>231</x:v>
      </x:c>
      <x:c r="E41" s="47" t="str">
        <x:v>00004026</x:v>
      </x:c>
      <x:c r="F41" s="39">
        <x:v>45816</x:v>
      </x:c>
      <x:c r="G41" s="16">
        <x:v>499074</x:v>
      </x:c>
      <x:c r="H41" s="16">
        <x:v>39926</x:v>
      </x:c>
      <x:c r="I41" s="16">
        <x:v>539000</x:v>
      </x:c>
      <x:c r="J41" s="16"/>
      <x:c r="K41" s="16"/>
      <x:c r="L41" s="16"/>
      <x:c r="M41" s="10"/>
      <x:c r="N41" s="10" t="s">
        <x:v>304</x:v>
      </x:c>
      <x:c r="O41" s="10"/>
      <x:c r="P41" s="10" t="s">
        <x:v>233</x:v>
      </x:c>
    </x:row>
    <x:row r="42" ht="72" customHeight="1">
      <x:c r="A42" s="9" t="s">
        <x:v>125</x:v>
      </x:c>
      <x:c r="B42" s="9" t="str">
        <x:v>Giữ nguyên trong đợt này</x:v>
      </x:c>
      <x:c r="C42" s="9" t="s">
        <x:v>234</x:v>
      </x:c>
      <x:c r="D42" s="9" t="s">
        <x:v>231</x:v>
      </x:c>
      <x:c r="E42" s="46" t="str">
        <x:v>00013079</x:v>
      </x:c>
      <x:c r="F42" s="38">
        <x:v>45930</x:v>
      </x:c>
      <x:c r="G42" s="15">
        <x:v>-499074</x:v>
      </x:c>
      <x:c r="H42" s="15">
        <x:v>-39926</x:v>
      </x:c>
      <x:c r="I42" s="15">
        <x:v>-539000</x:v>
      </x:c>
      <x:c r="J42" s="15">
        <x:v>-499074</x:v>
      </x:c>
      <x:c r="K42" s="15">
        <x:v>-39926</x:v>
      </x:c>
      <x:c r="L42" s="15">
        <x:v>-539000</x:v>
      </x:c>
      <x:c r="M42" s="9" t="s">
        <x:v>305</x:v>
      </x:c>
      <x:c r="N42" s="9" t="s">
        <x:v>306</x:v>
      </x:c>
      <x:c r="O42" s="9" t="s">
        <x:v>307</x:v>
      </x:c>
      <x:c r="P42" s="9" t="s">
        <x:v>238</x:v>
      </x:c>
    </x:row>
    <x:row r="43" ht="72" customHeight="1">
      <x:c r="A43" s="10" t="s">
        <x:v>132</x:v>
      </x:c>
      <x:c r="B43" s="10" t="str">
        <x:v>Giữ nguyên trong đợt này</x:v>
      </x:c>
      <x:c r="C43" s="10" t="s">
        <x:v>15</x:v>
      </x:c>
      <x:c r="D43" s="10" t="s">
        <x:v>231</x:v>
      </x:c>
      <x:c r="E43" s="47" t="str">
        <x:v>00004953</x:v>
      </x:c>
      <x:c r="F43" s="39">
        <x:v>45820</x:v>
      </x:c>
      <x:c r="G43" s="16">
        <x:v>2295369</x:v>
      </x:c>
      <x:c r="H43" s="16">
        <x:v>183630</x:v>
      </x:c>
      <x:c r="I43" s="16">
        <x:v>2478999</x:v>
      </x:c>
      <x:c r="J43" s="16"/>
      <x:c r="K43" s="16"/>
      <x:c r="L43" s="16"/>
      <x:c r="M43" s="10"/>
      <x:c r="N43" s="10" t="s">
        <x:v>308</x:v>
      </x:c>
      <x:c r="O43" s="10"/>
      <x:c r="P43" s="10" t="s">
        <x:v>233</x:v>
      </x:c>
    </x:row>
    <x:row r="44" ht="72" customHeight="1">
      <x:c r="A44" s="9" t="s">
        <x:v>132</x:v>
      </x:c>
      <x:c r="B44" s="9" t="str">
        <x:v>Giữ nguyên trong đợt này</x:v>
      </x:c>
      <x:c r="C44" s="9" t="s">
        <x:v>234</x:v>
      </x:c>
      <x:c r="D44" s="9" t="s">
        <x:v>231</x:v>
      </x:c>
      <x:c r="E44" s="46" t="str">
        <x:v>00013089</x:v>
      </x:c>
      <x:c r="F44" s="38">
        <x:v>45930</x:v>
      </x:c>
      <x:c r="G44" s="15">
        <x:v>-2295369</x:v>
      </x:c>
      <x:c r="H44" s="15">
        <x:v>-183630</x:v>
      </x:c>
      <x:c r="I44" s="15">
        <x:v>-2478999</x:v>
      </x:c>
      <x:c r="J44" s="15">
        <x:v>-2295369</x:v>
      </x:c>
      <x:c r="K44" s="15">
        <x:v>-183630</x:v>
      </x:c>
      <x:c r="L44" s="15">
        <x:v>-2478999</x:v>
      </x:c>
      <x:c r="M44" s="9" t="s">
        <x:v>309</x:v>
      </x:c>
      <x:c r="N44" s="9" t="s">
        <x:v>310</x:v>
      </x:c>
      <x:c r="O44" s="9" t="s">
        <x:v>311</x:v>
      </x:c>
      <x:c r="P44" s="9" t="s">
        <x:v>238</x:v>
      </x:c>
    </x:row>
    <x:row r="45" ht="72" customHeight="1">
      <x:c r="A45" s="10" t="s">
        <x:v>136</x:v>
      </x:c>
      <x:c r="B45" s="10" t="str">
        <x:v>Có phương án điều chỉnh</x:v>
      </x:c>
      <x:c r="C45" s="10" t="s">
        <x:v>15</x:v>
      </x:c>
      <x:c r="D45" s="10" t="s">
        <x:v>231</x:v>
      </x:c>
      <x:c r="E45" s="47" t="str">
        <x:v>00005905</x:v>
      </x:c>
      <x:c r="F45" s="39">
        <x:v>45824</x:v>
      </x:c>
      <x:c r="G45" s="16">
        <x:v>509259</x:v>
      </x:c>
      <x:c r="H45" s="16">
        <x:v>40741</x:v>
      </x:c>
      <x:c r="I45" s="16">
        <x:v>550000</x:v>
      </x:c>
      <x:c r="J45" s="16"/>
      <x:c r="K45" s="16"/>
      <x:c r="L45" s="16"/>
      <x:c r="M45" s="10"/>
      <x:c r="N45" s="10" t="s">
        <x:v>312</x:v>
      </x:c>
      <x:c r="O45" s="10"/>
      <x:c r="P45" s="10" t="s">
        <x:v>233</x:v>
      </x:c>
    </x:row>
    <x:row r="46" ht="72" customHeight="1">
      <x:c r="A46" s="9" t="s">
        <x:v>136</x:v>
      </x:c>
      <x:c r="B46" s="9" t="str">
        <x:v>Có phương án điều chỉnh</x:v>
      </x:c>
      <x:c r="C46" s="9" t="s">
        <x:v>234</x:v>
      </x:c>
      <x:c r="D46" s="9" t="s">
        <x:v>231</x:v>
      </x:c>
      <x:c r="E46" s="46" t="str">
        <x:v>00013095</x:v>
      </x:c>
      <x:c r="F46" s="38">
        <x:v>45930</x:v>
      </x:c>
      <x:c r="G46" s="15">
        <x:v>-509259</x:v>
      </x:c>
      <x:c r="H46" s="15">
        <x:v>-40741</x:v>
      </x:c>
      <x:c r="I46" s="15">
        <x:v>-550000</x:v>
      </x:c>
      <x:c r="J46" s="15">
        <x:v>-509259</x:v>
      </x:c>
      <x:c r="K46" s="15">
        <x:v>-40741</x:v>
      </x:c>
      <x:c r="L46" s="15">
        <x:v>-550000</x:v>
      </x:c>
      <x:c r="M46" s="9" t="s">
        <x:v>313</x:v>
      </x:c>
      <x:c r="N46" s="9" t="s">
        <x:v>314</x:v>
      </x:c>
      <x:c r="O46" s="9" t="s">
        <x:v>315</x:v>
      </x:c>
      <x:c r="P46" s="9" t="s">
        <x:v>238</x:v>
      </x:c>
    </x:row>
    <x:row r="47" ht="72" customHeight="1">
      <x:c r="A47" s="10" t="s">
        <x:v>142</x:v>
      </x:c>
      <x:c r="B47" s="10" t="str">
        <x:v>Giữ nguyên trong đợt này</x:v>
      </x:c>
      <x:c r="C47" s="10" t="s">
        <x:v>15</x:v>
      </x:c>
      <x:c r="D47" s="10" t="s">
        <x:v>231</x:v>
      </x:c>
      <x:c r="E47" s="47" t="str">
        <x:v>00007766</x:v>
      </x:c>
      <x:c r="F47" s="39">
        <x:v>45830</x:v>
      </x:c>
      <x:c r="G47" s="16">
        <x:v>486110</x:v>
      </x:c>
      <x:c r="H47" s="16">
        <x:v>38889</x:v>
      </x:c>
      <x:c r="I47" s="16">
        <x:v>524999</x:v>
      </x:c>
      <x:c r="J47" s="16"/>
      <x:c r="K47" s="16"/>
      <x:c r="L47" s="16"/>
      <x:c r="M47" s="10"/>
      <x:c r="N47" s="10" t="s">
        <x:v>316</x:v>
      </x:c>
      <x:c r="O47" s="10"/>
      <x:c r="P47" s="10" t="s">
        <x:v>233</x:v>
      </x:c>
    </x:row>
    <x:row r="48" ht="72" customHeight="1">
      <x:c r="A48" s="9" t="s">
        <x:v>142</x:v>
      </x:c>
      <x:c r="B48" s="9" t="str">
        <x:v>Giữ nguyên trong đợt này</x:v>
      </x:c>
      <x:c r="C48" s="9" t="s">
        <x:v>234</x:v>
      </x:c>
      <x:c r="D48" s="9" t="s">
        <x:v>231</x:v>
      </x:c>
      <x:c r="E48" s="46" t="str">
        <x:v>00013099</x:v>
      </x:c>
      <x:c r="F48" s="38">
        <x:v>45930</x:v>
      </x:c>
      <x:c r="G48" s="15">
        <x:v>-486110</x:v>
      </x:c>
      <x:c r="H48" s="15">
        <x:v>-38889</x:v>
      </x:c>
      <x:c r="I48" s="15">
        <x:v>-524999</x:v>
      </x:c>
      <x:c r="J48" s="15">
        <x:v>-486110</x:v>
      </x:c>
      <x:c r="K48" s="15">
        <x:v>-38889</x:v>
      </x:c>
      <x:c r="L48" s="15">
        <x:v>-524999</x:v>
      </x:c>
      <x:c r="M48" s="9" t="s">
        <x:v>317</x:v>
      </x:c>
      <x:c r="N48" s="9" t="s">
        <x:v>318</x:v>
      </x:c>
      <x:c r="O48" s="9" t="s">
        <x:v>319</x:v>
      </x:c>
      <x:c r="P48" s="9" t="s">
        <x:v>238</x:v>
      </x:c>
    </x:row>
    <x:row r="49" ht="72" customHeight="1">
      <x:c r="A49" s="10" t="s">
        <x:v>145</x:v>
      </x:c>
      <x:c r="B49" s="10" t="str">
        <x:v>Có phương án điều chỉnh</x:v>
      </x:c>
      <x:c r="C49" s="10" t="s">
        <x:v>15</x:v>
      </x:c>
      <x:c r="D49" s="10" t="s">
        <x:v>231</x:v>
      </x:c>
      <x:c r="E49" s="47" t="str">
        <x:v>00001061</x:v>
      </x:c>
      <x:c r="F49" s="39">
        <x:v>45803</x:v>
      </x:c>
      <x:c r="G49" s="16">
        <x:v>499074</x:v>
      </x:c>
      <x:c r="H49" s="16">
        <x:v>39926</x:v>
      </x:c>
      <x:c r="I49" s="16">
        <x:v>539000</x:v>
      </x:c>
      <x:c r="J49" s="16"/>
      <x:c r="K49" s="16"/>
      <x:c r="L49" s="16"/>
      <x:c r="M49" s="10"/>
      <x:c r="N49" s="10" t="s">
        <x:v>320</x:v>
      </x:c>
      <x:c r="O49" s="10"/>
      <x:c r="P49" s="10" t="s">
        <x:v>233</x:v>
      </x:c>
    </x:row>
    <x:row r="50" ht="72" customHeight="1">
      <x:c r="A50" s="9" t="s">
        <x:v>145</x:v>
      </x:c>
      <x:c r="B50" s="9" t="str">
        <x:v>Có phương án điều chỉnh</x:v>
      </x:c>
      <x:c r="C50" s="9" t="s">
        <x:v>234</x:v>
      </x:c>
      <x:c r="D50" s="9" t="s">
        <x:v>231</x:v>
      </x:c>
      <x:c r="E50" s="46" t="str">
        <x:v>00012835</x:v>
      </x:c>
      <x:c r="F50" s="38">
        <x:v>45885</x:v>
      </x:c>
      <x:c r="G50" s="15">
        <x:v>-499074</x:v>
      </x:c>
      <x:c r="H50" s="15">
        <x:v>-39926</x:v>
      </x:c>
      <x:c r="I50" s="15">
        <x:v>-539000</x:v>
      </x:c>
      <x:c r="J50" s="15">
        <x:v>-499074</x:v>
      </x:c>
      <x:c r="K50" s="15">
        <x:v>-39926</x:v>
      </x:c>
      <x:c r="L50" s="15">
        <x:v>-539000</x:v>
      </x:c>
      <x:c r="M50" s="9" t="s">
        <x:v>321</x:v>
      </x:c>
      <x:c r="N50" s="9" t="s">
        <x:v>322</x:v>
      </x:c>
      <x:c r="O50" s="9" t="s">
        <x:v>323</x:v>
      </x:c>
      <x:c r="P50" s="9" t="s">
        <x:v>238</x:v>
      </x:c>
    </x:row>
    <x:row r="51" ht="72" customHeight="1">
      <x:c r="A51" s="10" t="s">
        <x:v>153</x:v>
      </x:c>
      <x:c r="B51" s="10" t="str">
        <x:v>Có phương án điều chỉnh</x:v>
      </x:c>
      <x:c r="C51" s="10" t="s">
        <x:v>15</x:v>
      </x:c>
      <x:c r="D51" s="10" t="s">
        <x:v>231</x:v>
      </x:c>
      <x:c r="E51" s="47" t="str">
        <x:v>00001094</x:v>
      </x:c>
      <x:c r="F51" s="39">
        <x:v>45803</x:v>
      </x:c>
      <x:c r="G51" s="16">
        <x:v>509259</x:v>
      </x:c>
      <x:c r="H51" s="16">
        <x:v>40741</x:v>
      </x:c>
      <x:c r="I51" s="16">
        <x:v>550000</x:v>
      </x:c>
      <x:c r="J51" s="16"/>
      <x:c r="K51" s="16"/>
      <x:c r="L51" s="16"/>
      <x:c r="M51" s="10"/>
      <x:c r="N51" s="10" t="s">
        <x:v>324</x:v>
      </x:c>
      <x:c r="O51" s="10"/>
      <x:c r="P51" s="10" t="s">
        <x:v>233</x:v>
      </x:c>
    </x:row>
    <x:row r="52" ht="72" customHeight="1">
      <x:c r="A52" s="9" t="s">
        <x:v>153</x:v>
      </x:c>
      <x:c r="B52" s="9" t="str">
        <x:v>Có phương án điều chỉnh</x:v>
      </x:c>
      <x:c r="C52" s="9" t="s">
        <x:v>234</x:v>
      </x:c>
      <x:c r="D52" s="9" t="s">
        <x:v>231</x:v>
      </x:c>
      <x:c r="E52" s="46" t="str">
        <x:v>00013038</x:v>
      </x:c>
      <x:c r="F52" s="38">
        <x:v>45926</x:v>
      </x:c>
      <x:c r="G52" s="15">
        <x:v>-509259</x:v>
      </x:c>
      <x:c r="H52" s="15">
        <x:v>-40741</x:v>
      </x:c>
      <x:c r="I52" s="15">
        <x:v>-550000</x:v>
      </x:c>
      <x:c r="J52" s="15">
        <x:v>-509259</x:v>
      </x:c>
      <x:c r="K52" s="15">
        <x:v>-40741</x:v>
      </x:c>
      <x:c r="L52" s="15">
        <x:v>-550000</x:v>
      </x:c>
      <x:c r="M52" s="9" t="s">
        <x:v>325</x:v>
      </x:c>
      <x:c r="N52" s="9" t="s">
        <x:v>326</x:v>
      </x:c>
      <x:c r="O52" s="9" t="s">
        <x:v>327</x:v>
      </x:c>
      <x:c r="P52" s="9" t="s">
        <x:v>238</x:v>
      </x:c>
    </x:row>
    <x:row r="53" ht="72" customHeight="1">
      <x:c r="A53" s="10" t="s">
        <x:v>161</x:v>
      </x:c>
      <x:c r="B53" s="10" t="str">
        <x:v>Có phương án điều chỉnh</x:v>
      </x:c>
      <x:c r="C53" s="10" t="s">
        <x:v>15</x:v>
      </x:c>
      <x:c r="D53" s="10" t="s">
        <x:v>231</x:v>
      </x:c>
      <x:c r="E53" s="47" t="str">
        <x:v>00003113</x:v>
      </x:c>
      <x:c r="F53" s="39">
        <x:v>45812</x:v>
      </x:c>
      <x:c r="G53" s="16">
        <x:v>163889</x:v>
      </x:c>
      <x:c r="H53" s="16">
        <x:v>13111</x:v>
      </x:c>
      <x:c r="I53" s="16">
        <x:v>177000</x:v>
      </x:c>
      <x:c r="J53" s="16"/>
      <x:c r="K53" s="16"/>
      <x:c r="L53" s="16"/>
      <x:c r="M53" s="10"/>
      <x:c r="N53" s="10" t="s">
        <x:v>328</x:v>
      </x:c>
      <x:c r="O53" s="10"/>
      <x:c r="P53" s="10" t="s">
        <x:v>233</x:v>
      </x:c>
    </x:row>
    <x:row r="54" ht="72" customHeight="1">
      <x:c r="A54" s="9" t="s">
        <x:v>161</x:v>
      </x:c>
      <x:c r="B54" s="9" t="str">
        <x:v>Có phương án điều chỉnh</x:v>
      </x:c>
      <x:c r="C54" s="9" t="s">
        <x:v>234</x:v>
      </x:c>
      <x:c r="D54" s="9" t="s">
        <x:v>231</x:v>
      </x:c>
      <x:c r="E54" s="46" t="str">
        <x:v>00013032</x:v>
      </x:c>
      <x:c r="F54" s="38">
        <x:v>45926</x:v>
      </x:c>
      <x:c r="G54" s="15">
        <x:v>-163889</x:v>
      </x:c>
      <x:c r="H54" s="15">
        <x:v>-13111</x:v>
      </x:c>
      <x:c r="I54" s="15">
        <x:v>-177000</x:v>
      </x:c>
      <x:c r="J54" s="15">
        <x:v>-163889</x:v>
      </x:c>
      <x:c r="K54" s="15">
        <x:v>-13111</x:v>
      </x:c>
      <x:c r="L54" s="15">
        <x:v>-177000</x:v>
      </x:c>
      <x:c r="M54" s="9" t="s">
        <x:v>329</x:v>
      </x:c>
      <x:c r="N54" s="9" t="s">
        <x:v>330</x:v>
      </x:c>
      <x:c r="O54" s="9" t="s">
        <x:v>331</x:v>
      </x:c>
      <x:c r="P54" s="9" t="s">
        <x:v>238</x:v>
      </x:c>
    </x:row>
    <x:row r="55" ht="72" customHeight="1">
      <x:c r="A55" s="10" t="s">
        <x:v>168</x:v>
      </x:c>
      <x:c r="B55" s="10" t="str">
        <x:v>Có phương án điều chỉnh</x:v>
      </x:c>
      <x:c r="C55" s="10" t="s">
        <x:v>15</x:v>
      </x:c>
      <x:c r="D55" s="10" t="s">
        <x:v>231</x:v>
      </x:c>
      <x:c r="E55" s="47" t="str">
        <x:v>00004081</x:v>
      </x:c>
      <x:c r="F55" s="39">
        <x:v>45816</x:v>
      </x:c>
      <x:c r="G55" s="16">
        <x:v>165741</x:v>
      </x:c>
      <x:c r="H55" s="16">
        <x:v>13259</x:v>
      </x:c>
      <x:c r="I55" s="16">
        <x:v>179000</x:v>
      </x:c>
      <x:c r="J55" s="16"/>
      <x:c r="K55" s="16"/>
      <x:c r="L55" s="16"/>
      <x:c r="M55" s="10"/>
      <x:c r="N55" s="10" t="s">
        <x:v>332</x:v>
      </x:c>
      <x:c r="O55" s="10"/>
      <x:c r="P55" s="10" t="s">
        <x:v>233</x:v>
      </x:c>
    </x:row>
    <x:row r="56" ht="72" customHeight="1">
      <x:c r="A56" s="9" t="s">
        <x:v>168</x:v>
      </x:c>
      <x:c r="B56" s="9" t="str">
        <x:v>Có phương án điều chỉnh</x:v>
      </x:c>
      <x:c r="C56" s="9" t="s">
        <x:v>234</x:v>
      </x:c>
      <x:c r="D56" s="9" t="s">
        <x:v>231</x:v>
      </x:c>
      <x:c r="E56" s="46" t="str">
        <x:v>00013033</x:v>
      </x:c>
      <x:c r="F56" s="38">
        <x:v>45926</x:v>
      </x:c>
      <x:c r="G56" s="15">
        <x:v>-165741</x:v>
      </x:c>
      <x:c r="H56" s="15">
        <x:v>-13259</x:v>
      </x:c>
      <x:c r="I56" s="15">
        <x:v>-179000</x:v>
      </x:c>
      <x:c r="J56" s="15">
        <x:v>-165741</x:v>
      </x:c>
      <x:c r="K56" s="15">
        <x:v>-13259</x:v>
      </x:c>
      <x:c r="L56" s="15">
        <x:v>-179000</x:v>
      </x:c>
      <x:c r="M56" s="9" t="s">
        <x:v>333</x:v>
      </x:c>
      <x:c r="N56" s="9" t="s">
        <x:v>334</x:v>
      </x:c>
      <x:c r="O56" s="9" t="s">
        <x:v>335</x:v>
      </x:c>
      <x:c r="P56" s="9" t="s">
        <x:v>238</x:v>
      </x:c>
    </x:row>
    <x:row r="57" ht="72" customHeight="1">
      <x:c r="A57" s="10" t="s">
        <x:v>174</x:v>
      </x:c>
      <x:c r="B57" s="10" t="str">
        <x:v>Có phương án điều chỉnh</x:v>
      </x:c>
      <x:c r="C57" s="10" t="s">
        <x:v>15</x:v>
      </x:c>
      <x:c r="D57" s="10" t="s">
        <x:v>231</x:v>
      </x:c>
      <x:c r="E57" s="47" t="str">
        <x:v>00005555</x:v>
      </x:c>
      <x:c r="F57" s="39">
        <x:v>45822</x:v>
      </x:c>
      <x:c r="G57" s="16">
        <x:v>165740</x:v>
      </x:c>
      <x:c r="H57" s="16">
        <x:v>13259</x:v>
      </x:c>
      <x:c r="I57" s="16">
        <x:v>178999</x:v>
      </x:c>
      <x:c r="J57" s="16"/>
      <x:c r="K57" s="16"/>
      <x:c r="L57" s="16"/>
      <x:c r="M57" s="10"/>
      <x:c r="N57" s="10" t="s">
        <x:v>336</x:v>
      </x:c>
      <x:c r="O57" s="10"/>
      <x:c r="P57" s="10" t="s">
        <x:v>233</x:v>
      </x:c>
    </x:row>
    <x:row r="58" ht="72" customHeight="1">
      <x:c r="A58" s="9" t="s">
        <x:v>174</x:v>
      </x:c>
      <x:c r="B58" s="9" t="str">
        <x:v>Có phương án điều chỉnh</x:v>
      </x:c>
      <x:c r="C58" s="9" t="s">
        <x:v>234</x:v>
      </x:c>
      <x:c r="D58" s="9" t="s">
        <x:v>231</x:v>
      </x:c>
      <x:c r="E58" s="46" t="str">
        <x:v>00013034</x:v>
      </x:c>
      <x:c r="F58" s="38">
        <x:v>45926</x:v>
      </x:c>
      <x:c r="G58" s="15">
        <x:v>-165740</x:v>
      </x:c>
      <x:c r="H58" s="15">
        <x:v>-13259</x:v>
      </x:c>
      <x:c r="I58" s="15">
        <x:v>-178999</x:v>
      </x:c>
      <x:c r="J58" s="15">
        <x:v>-165740</x:v>
      </x:c>
      <x:c r="K58" s="15">
        <x:v>-13259</x:v>
      </x:c>
      <x:c r="L58" s="15">
        <x:v>-178999</x:v>
      </x:c>
      <x:c r="M58" s="9" t="s">
        <x:v>337</x:v>
      </x:c>
      <x:c r="N58" s="9" t="s">
        <x:v>338</x:v>
      </x:c>
      <x:c r="O58" s="9" t="s">
        <x:v>339</x:v>
      </x:c>
      <x:c r="P58" s="9" t="s">
        <x:v>238</x:v>
      </x:c>
    </x:row>
    <x:row r="59" ht="72" customHeight="1">
      <x:c r="A59" s="10" t="s">
        <x:v>180</x:v>
      </x:c>
      <x:c r="B59" s="10" t="str">
        <x:v>Có phương án điều chỉnh</x:v>
      </x:c>
      <x:c r="C59" s="10" t="s">
        <x:v>15</x:v>
      </x:c>
      <x:c r="D59" s="10" t="s">
        <x:v>231</x:v>
      </x:c>
      <x:c r="E59" s="47" t="str">
        <x:v>00005918</x:v>
      </x:c>
      <x:c r="F59" s="39">
        <x:v>45824</x:v>
      </x:c>
      <x:c r="G59" s="16">
        <x:v>165741</x:v>
      </x:c>
      <x:c r="H59" s="16">
        <x:v>13259</x:v>
      </x:c>
      <x:c r="I59" s="16">
        <x:v>179000</x:v>
      </x:c>
      <x:c r="J59" s="16"/>
      <x:c r="K59" s="16"/>
      <x:c r="L59" s="16"/>
      <x:c r="M59" s="10"/>
      <x:c r="N59" s="10" t="s">
        <x:v>340</x:v>
      </x:c>
      <x:c r="O59" s="10"/>
      <x:c r="P59" s="10" t="s">
        <x:v>233</x:v>
      </x:c>
    </x:row>
    <x:row r="60" ht="72" customHeight="1">
      <x:c r="A60" s="9" t="s">
        <x:v>180</x:v>
      </x:c>
      <x:c r="B60" s="9" t="str">
        <x:v>Có phương án điều chỉnh</x:v>
      </x:c>
      <x:c r="C60" s="9" t="s">
        <x:v>234</x:v>
      </x:c>
      <x:c r="D60" s="9" t="s">
        <x:v>231</x:v>
      </x:c>
      <x:c r="E60" s="46" t="str">
        <x:v>00013035</x:v>
      </x:c>
      <x:c r="F60" s="38">
        <x:v>45926</x:v>
      </x:c>
      <x:c r="G60" s="15">
        <x:v>-165741</x:v>
      </x:c>
      <x:c r="H60" s="15">
        <x:v>-13259</x:v>
      </x:c>
      <x:c r="I60" s="15">
        <x:v>-179000</x:v>
      </x:c>
      <x:c r="J60" s="15">
        <x:v>-165741</x:v>
      </x:c>
      <x:c r="K60" s="15">
        <x:v>-13259</x:v>
      </x:c>
      <x:c r="L60" s="15">
        <x:v>-179000</x:v>
      </x:c>
      <x:c r="M60" s="9" t="s">
        <x:v>341</x:v>
      </x:c>
      <x:c r="N60" s="9" t="s">
        <x:v>342</x:v>
      </x:c>
      <x:c r="O60" s="9" t="s">
        <x:v>343</x:v>
      </x:c>
      <x:c r="P60" s="9" t="s">
        <x:v>238</x:v>
      </x:c>
    </x:row>
    <x:row r="61" ht="195" customHeight="1">
      <x:c r="A61" s="10" t="s">
        <x:v>185</x:v>
      </x:c>
      <x:c r="B61" s="10" t="str">
        <x:v>Giữ nguyên trong đợt này</x:v>
      </x:c>
      <x:c r="C61" s="10" t="s">
        <x:v>15</x:v>
      </x:c>
      <x:c r="D61" s="10" t="s">
        <x:v>243</x:v>
      </x:c>
      <x:c r="E61" s="47" t="str">
        <x:v>00000003</x:v>
      </x:c>
      <x:c r="F61" s="39">
        <x:v>45301</x:v>
      </x:c>
      <x:c r="G61" s="16">
        <x:v>11334130</x:v>
      </x:c>
      <x:c r="H61" s="16">
        <x:v>906730</x:v>
      </x:c>
      <x:c r="I61" s="16">
        <x:v>12240860</x:v>
      </x:c>
      <x:c r="J61" s="16">
        <x:v>11334130</x:v>
      </x:c>
      <x:c r="K61" s="16">
        <x:v>906730</x:v>
      </x:c>
      <x:c r="L61" s="16">
        <x:v>12240860</x:v>
      </x:c>
      <x:c r="M61" s="10" t="s">
        <x:v>344</x:v>
      </x:c>
      <x:c r="N61" s="10" t="s">
        <x:v>345</x:v>
      </x:c>
      <x:c r="O61" s="10" t="s">
        <x:v>346</x:v>
      </x:c>
      <x:c r="P61" s="10" t="s">
        <x:v>238</x:v>
      </x:c>
    </x:row>
    <x:row r="62" ht="72" customHeight="1">
      <x:c r="A62" s="9" t="s">
        <x:v>185</x:v>
      </x:c>
      <x:c r="B62" s="9" t="str">
        <x:v>Giữ nguyên trong đợt này</x:v>
      </x:c>
      <x:c r="C62" s="9" t="s">
        <x:v>234</x:v>
      </x:c>
      <x:c r="D62" s="9" t="s">
        <x:v>231</x:v>
      </x:c>
      <x:c r="E62" s="46" t="str">
        <x:v>00000508</x:v>
      </x:c>
      <x:c r="F62" s="38">
        <x:v>45773</x:v>
      </x:c>
      <x:c r="G62" s="15">
        <x:v>-356085</x:v>
      </x:c>
      <x:c r="H62" s="15">
        <x:v>-28487</x:v>
      </x:c>
      <x:c r="I62" s="15">
        <x:v>-384572</x:v>
      </x:c>
      <x:c r="J62" s="15">
        <x:v>-356085</x:v>
      </x:c>
      <x:c r="K62" s="15">
        <x:v>-28487</x:v>
      </x:c>
      <x:c r="L62" s="15">
        <x:v>-384572</x:v>
      </x:c>
      <x:c r="M62" s="9" t="s">
        <x:v>347</x:v>
      </x:c>
      <x:c r="N62" s="9" t="s">
        <x:v>348</x:v>
      </x:c>
      <x:c r="O62" s="9" t="s">
        <x:v>349</x:v>
      </x:c>
      <x:c r="P62" s="9" t="s">
        <x:v>238</x:v>
      </x:c>
    </x:row>
    <x:row r="63" ht="72" customHeight="1">
      <x:c r="A63" s="10" t="s">
        <x:v>191</x:v>
      </x:c>
      <x:c r="B63" s="10" t="str">
        <x:v>Giữ nguyên trong đợt này</x:v>
      </x:c>
      <x:c r="C63" s="10" t="s">
        <x:v>15</x:v>
      </x:c>
      <x:c r="D63" s="10" t="s">
        <x:v>243</x:v>
      </x:c>
      <x:c r="E63" s="47" t="str">
        <x:v>00000498</x:v>
      </x:c>
      <x:c r="F63" s="39">
        <x:v>45565</x:v>
      </x:c>
      <x:c r="G63" s="16">
        <x:v>197727562</x:v>
      </x:c>
      <x:c r="H63" s="16">
        <x:v>15818205</x:v>
      </x:c>
      <x:c r="I63" s="16">
        <x:v>213545767</x:v>
      </x:c>
      <x:c r="J63" s="16"/>
      <x:c r="K63" s="16"/>
      <x:c r="L63" s="16"/>
      <x:c r="M63" s="10"/>
      <x:c r="N63" s="10" t="s">
        <x:v>350</x:v>
      </x:c>
      <x:c r="O63" s="10"/>
      <x:c r="P63" s="10" t="s">
        <x:v>233</x:v>
      </x:c>
    </x:row>
    <x:row r="64" ht="72" customHeight="1">
      <x:c r="A64" s="9" t="s">
        <x:v>191</x:v>
      </x:c>
      <x:c r="B64" s="9" t="str">
        <x:v>Giữ nguyên trong đợt này</x:v>
      </x:c>
      <x:c r="C64" s="9" t="s">
        <x:v>234</x:v>
      </x:c>
      <x:c r="D64" s="9" t="s">
        <x:v>231</x:v>
      </x:c>
      <x:c r="E64" s="46" t="str">
        <x:v>00002140</x:v>
      </x:c>
      <x:c r="F64" s="38">
        <x:v>45807</x:v>
      </x:c>
      <x:c r="G64" s="15">
        <x:v>17830586</x:v>
      </x:c>
      <x:c r="H64" s="15">
        <x:v>1426447</x:v>
      </x:c>
      <x:c r="I64" s="15">
        <x:v>19257033</x:v>
      </x:c>
      <x:c r="J64" s="15">
        <x:v>17830586</x:v>
      </x:c>
      <x:c r="K64" s="15">
        <x:v>1426447</x:v>
      </x:c>
      <x:c r="L64" s="15">
        <x:v>19257033</x:v>
      </x:c>
      <x:c r="M64" s="9" t="s">
        <x:v>351</x:v>
      </x:c>
      <x:c r="N64" s="9" t="s">
        <x:v>352</x:v>
      </x:c>
      <x:c r="O64" s="9" t="s">
        <x:v>353</x:v>
      </x:c>
      <x:c r="P64" s="9" t="s">
        <x:v>238</x:v>
      </x:c>
    </x:row>
    <x:row r="65" ht="72" customHeight="1">
      <x:c r="A65" s="10" t="s">
        <x:v>196</x:v>
      </x:c>
      <x:c r="B65" s="10" t="str">
        <x:v>Giữ nguyên trong đợt này</x:v>
      </x:c>
      <x:c r="C65" s="10" t="s">
        <x:v>15</x:v>
      </x:c>
      <x:c r="D65" s="10" t="s">
        <x:v>243</x:v>
      </x:c>
      <x:c r="E65" s="47" t="str">
        <x:v>00000574</x:v>
      </x:c>
      <x:c r="F65" s="39">
        <x:v>45611</x:v>
      </x:c>
      <x:c r="G65" s="16">
        <x:v>0</x:v>
      </x:c>
      <x:c r="H65" s="16">
        <x:v>0</x:v>
      </x:c>
      <x:c r="I65" s="16"/>
      <x:c r="J65" s="16"/>
      <x:c r="K65" s="16"/>
      <x:c r="L65" s="16"/>
      <x:c r="M65" s="10"/>
      <x:c r="N65" s="10" t="s">
        <x:v>354</x:v>
      </x:c>
      <x:c r="O65" s="10"/>
      <x:c r="P65" s="10" t="s">
        <x:v>233</x:v>
      </x:c>
    </x:row>
    <x:row r="66" ht="72" customHeight="1">
      <x:c r="A66" s="9" t="s">
        <x:v>196</x:v>
      </x:c>
      <x:c r="B66" s="9" t="str">
        <x:v>Giữ nguyên trong đợt này</x:v>
      </x:c>
      <x:c r="C66" s="9" t="s">
        <x:v>234</x:v>
      </x:c>
      <x:c r="D66" s="9" t="s">
        <x:v>231</x:v>
      </x:c>
      <x:c r="E66" s="46" t="str">
        <x:v>00002189</x:v>
      </x:c>
      <x:c r="F66" s="38">
        <x:v>45807</x:v>
      </x:c>
      <x:c r="G66" s="15">
        <x:v>1702778</x:v>
      </x:c>
      <x:c r="H66" s="15">
        <x:v>136222</x:v>
      </x:c>
      <x:c r="I66" s="15">
        <x:v>1839000</x:v>
      </x:c>
      <x:c r="J66" s="15">
        <x:v>1702778</x:v>
      </x:c>
      <x:c r="K66" s="15">
        <x:v>136222</x:v>
      </x:c>
      <x:c r="L66" s="15">
        <x:v>1839000</x:v>
      </x:c>
      <x:c r="M66" s="9" t="s">
        <x:v>355</x:v>
      </x:c>
      <x:c r="N66" s="9" t="s">
        <x:v>356</x:v>
      </x:c>
      <x:c r="O66" s="9" t="s">
        <x:v>357</x:v>
      </x:c>
      <x:c r="P66" s="9" t="s">
        <x:v>238</x:v>
      </x:c>
    </x:row>
    <x:row r="67" ht="72" customHeight="1">
      <x:c r="A67" s="10" t="s">
        <x:v>201</x:v>
      </x:c>
      <x:c r="B67" s="10" t="str">
        <x:v>Giữ nguyên trong đợt này</x:v>
      </x:c>
      <x:c r="C67" s="10" t="s">
        <x:v>15</x:v>
      </x:c>
      <x:c r="D67" s="10" t="s">
        <x:v>231</x:v>
      </x:c>
      <x:c r="E67" s="47" t="str">
        <x:v>00001348</x:v>
      </x:c>
      <x:c r="F67" s="39">
        <x:v>45804</x:v>
      </x:c>
      <x:c r="G67" s="16">
        <x:v>675000</x:v>
      </x:c>
      <x:c r="H67" s="16">
        <x:v>54000</x:v>
      </x:c>
      <x:c r="I67" s="16">
        <x:v>729000</x:v>
      </x:c>
      <x:c r="J67" s="16"/>
      <x:c r="K67" s="16"/>
      <x:c r="L67" s="16"/>
      <x:c r="M67" s="10"/>
      <x:c r="N67" s="10" t="s">
        <x:v>358</x:v>
      </x:c>
      <x:c r="O67" s="10"/>
      <x:c r="P67" s="10" t="s">
        <x:v>233</x:v>
      </x:c>
    </x:row>
    <x:row r="68" ht="72" customHeight="1">
      <x:c r="A68" s="9" t="s">
        <x:v>201</x:v>
      </x:c>
      <x:c r="B68" s="9" t="str">
        <x:v>Giữ nguyên trong đợt này</x:v>
      </x:c>
      <x:c r="C68" s="9" t="s">
        <x:v>234</x:v>
      </x:c>
      <x:c r="D68" s="9" t="s">
        <x:v>231</x:v>
      </x:c>
      <x:c r="E68" s="46" t="str">
        <x:v>00006108</x:v>
      </x:c>
      <x:c r="F68" s="38">
        <x:v>45825</x:v>
      </x:c>
      <x:c r="G68" s="15">
        <x:v>0</x:v>
      </x:c>
      <x:c r="H68" s="15">
        <x:v>0</x:v>
      </x:c>
      <x:c r="I68" s="15"/>
      <x:c r="J68" s="15">
        <x:v>0</x:v>
      </x:c>
      <x:c r="K68" s="15">
        <x:v>0</x:v>
      </x:c>
      <x:c r="L68" s="15">
        <x:v>0</x:v>
      </x:c>
      <x:c r="M68" s="9" t="s">
        <x:v>359</x:v>
      </x:c>
      <x:c r="N68" s="9" t="s">
        <x:v>360</x:v>
      </x:c>
      <x:c r="O68" s="9" t="s">
        <x:v>361</x:v>
      </x:c>
      <x:c r="P68" s="9" t="s">
        <x:v>362</x:v>
      </x:c>
    </x:row>
    <x:row r="69" ht="72" customHeight="1">
      <x:c r="A69" s="10" t="s">
        <x:v>206</x:v>
      </x:c>
      <x:c r="B69" s="10" t="str">
        <x:v>Giữ nguyên trong đợt này</x:v>
      </x:c>
      <x:c r="C69" s="10" t="s">
        <x:v>15</x:v>
      </x:c>
      <x:c r="D69" s="10" t="s">
        <x:v>231</x:v>
      </x:c>
      <x:c r="E69" s="47" t="str">
        <x:v>00002377</x:v>
      </x:c>
      <x:c r="F69" s="39">
        <x:v>45807</x:v>
      </x:c>
      <x:c r="G69" s="16">
        <x:v>406481</x:v>
      </x:c>
      <x:c r="H69" s="16">
        <x:v>32518</x:v>
      </x:c>
      <x:c r="I69" s="16">
        <x:v>438999</x:v>
      </x:c>
      <x:c r="J69" s="16"/>
      <x:c r="K69" s="16"/>
      <x:c r="L69" s="16"/>
      <x:c r="M69" s="10"/>
      <x:c r="N69" s="10" t="s">
        <x:v>363</x:v>
      </x:c>
      <x:c r="O69" s="10"/>
      <x:c r="P69" s="10" t="s">
        <x:v>233</x:v>
      </x:c>
    </x:row>
    <x:row r="70" ht="72" customHeight="1">
      <x:c r="A70" s="9" t="s">
        <x:v>206</x:v>
      </x:c>
      <x:c r="B70" s="9" t="str">
        <x:v>Giữ nguyên trong đợt này</x:v>
      </x:c>
      <x:c r="C70" s="9" t="s">
        <x:v>234</x:v>
      </x:c>
      <x:c r="D70" s="9" t="s">
        <x:v>231</x:v>
      </x:c>
      <x:c r="E70" s="46" t="str">
        <x:v>00004203</x:v>
      </x:c>
      <x:c r="F70" s="38">
        <x:v>45817</x:v>
      </x:c>
      <x:c r="G70" s="15">
        <x:v>0</x:v>
      </x:c>
      <x:c r="H70" s="15">
        <x:v>0</x:v>
      </x:c>
      <x:c r="I70" s="15"/>
      <x:c r="J70" s="15">
        <x:v>0</x:v>
      </x:c>
      <x:c r="K70" s="15">
        <x:v>0</x:v>
      </x:c>
      <x:c r="L70" s="15">
        <x:v>0</x:v>
      </x:c>
      <x:c r="M70" s="9" t="s">
        <x:v>364</x:v>
      </x:c>
      <x:c r="N70" s="9" t="s">
        <x:v>365</x:v>
      </x:c>
      <x:c r="O70" s="9" t="s">
        <x:v>366</x:v>
      </x:c>
      <x:c r="P70" s="9" t="s">
        <x:v>362</x:v>
      </x:c>
    </x:row>
    <x:row r="71" ht="72" customHeight="1">
      <x:c r="A71" s="10" t="s">
        <x:v>209</x:v>
      </x:c>
      <x:c r="B71" s="10" t="str">
        <x:v>Giữ nguyên trong đợt này</x:v>
      </x:c>
      <x:c r="C71" s="10" t="s">
        <x:v>15</x:v>
      </x:c>
      <x:c r="D71" s="10" t="s">
        <x:v>231</x:v>
      </x:c>
      <x:c r="E71" s="47" t="str">
        <x:v>00002378</x:v>
      </x:c>
      <x:c r="F71" s="39">
        <x:v>45807</x:v>
      </x:c>
      <x:c r="G71" s="16">
        <x:v>406481</x:v>
      </x:c>
      <x:c r="H71" s="16">
        <x:v>32518</x:v>
      </x:c>
      <x:c r="I71" s="16">
        <x:v>438999</x:v>
      </x:c>
      <x:c r="J71" s="16"/>
      <x:c r="K71" s="16"/>
      <x:c r="L71" s="16"/>
      <x:c r="M71" s="10"/>
      <x:c r="N71" s="10" t="s">
        <x:v>367</x:v>
      </x:c>
      <x:c r="O71" s="10"/>
      <x:c r="P71" s="10" t="s">
        <x:v>233</x:v>
      </x:c>
    </x:row>
    <x:row r="72" ht="72" customHeight="1">
      <x:c r="A72" s="9" t="s">
        <x:v>209</x:v>
      </x:c>
      <x:c r="B72" s="9" t="str">
        <x:v>Giữ nguyên trong đợt này</x:v>
      </x:c>
      <x:c r="C72" s="9" t="s">
        <x:v>234</x:v>
      </x:c>
      <x:c r="D72" s="9" t="s">
        <x:v>231</x:v>
      </x:c>
      <x:c r="E72" s="46" t="str">
        <x:v>00004204</x:v>
      </x:c>
      <x:c r="F72" s="38">
        <x:v>45817</x:v>
      </x:c>
      <x:c r="G72" s="15">
        <x:v>0</x:v>
      </x:c>
      <x:c r="H72" s="15">
        <x:v>0</x:v>
      </x:c>
      <x:c r="I72" s="15"/>
      <x:c r="J72" s="15">
        <x:v>0</x:v>
      </x:c>
      <x:c r="K72" s="15">
        <x:v>0</x:v>
      </x:c>
      <x:c r="L72" s="15">
        <x:v>0</x:v>
      </x:c>
      <x:c r="M72" s="9" t="s">
        <x:v>368</x:v>
      </x:c>
      <x:c r="N72" s="9" t="s">
        <x:v>369</x:v>
      </x:c>
      <x:c r="O72" s="9" t="s">
        <x:v>370</x:v>
      </x:c>
      <x:c r="P72" s="9" t="s">
        <x:v>362</x:v>
      </x:c>
    </x:row>
    <x:row r="73" ht="72" customHeight="1">
      <x:c r="A73" s="10" t="s">
        <x:v>212</x:v>
      </x:c>
      <x:c r="B73" s="10" t="str">
        <x:v>Có phương án điều chỉnh</x:v>
      </x:c>
      <x:c r="C73" s="10" t="s">
        <x:v>15</x:v>
      </x:c>
      <x:c r="D73" s="10" t="s">
        <x:v>231</x:v>
      </x:c>
      <x:c r="E73" s="47" t="str">
        <x:v>00009072</x:v>
      </x:c>
      <x:c r="F73" s="39">
        <x:v>45836</x:v>
      </x:c>
      <x:c r="G73" s="16">
        <x:v>3869444</x:v>
      </x:c>
      <x:c r="H73" s="16">
        <x:v>309556</x:v>
      </x:c>
      <x:c r="I73" s="16">
        <x:v>4179000</x:v>
      </x:c>
      <x:c r="J73" s="16"/>
      <x:c r="K73" s="16"/>
      <x:c r="L73" s="16"/>
      <x:c r="M73" s="10"/>
      <x:c r="N73" s="10" t="s">
        <x:v>371</x:v>
      </x:c>
      <x:c r="O73" s="10"/>
      <x:c r="P73" s="10" t="s">
        <x:v>233</x:v>
      </x:c>
    </x:row>
    <x:row r="74" ht="91" customHeight="1">
      <x:c r="A74" s="9" t="s">
        <x:v>212</x:v>
      </x:c>
      <x:c r="B74" s="9" t="str">
        <x:v>Giữ nguyên trong đợt này</x:v>
      </x:c>
      <x:c r="C74" s="9" t="s">
        <x:v>234</x:v>
      </x:c>
      <x:c r="D74" s="9" t="s">
        <x:v>231</x:v>
      </x:c>
      <x:c r="E74" s="46" t="str">
        <x:v>00009186</x:v>
      </x:c>
      <x:c r="F74" s="38">
        <x:v>45837</x:v>
      </x:c>
      <x:c r="G74" s="15">
        <x:v>0</x:v>
      </x:c>
      <x:c r="H74" s="15">
        <x:v>0</x:v>
      </x:c>
      <x:c r="I74" s="15"/>
      <x:c r="J74" s="15">
        <x:v>0</x:v>
      </x:c>
      <x:c r="K74" s="15">
        <x:v>0</x:v>
      </x:c>
      <x:c r="L74" s="15">
        <x:v>0</x:v>
      </x:c>
      <x:c r="M74" s="9" t="s">
        <x:v>372</x:v>
      </x:c>
      <x:c r="N74" s="9" t="s">
        <x:v>373</x:v>
      </x:c>
      <x:c r="O74" s="9" t="s">
        <x:v>374</x:v>
      </x:c>
      <x:c r="P74" s="9" t="s">
        <x:v>362</x:v>
      </x:c>
    </x:row>
  </x:sheetData>
  <x:pageMargins left="0.7" right="0.7" top="0.75" bottom="0.75" header="0.3" footer="0.3"/>
  <x:tableParts count="1">
    <x:tablePart xmlns:r="http://schemas.openxmlformats.org/officeDocument/2006/relationships" r:id="R56006730017d4189"/>
  </x:tableParts>
</x:worksheet>
</file>

<file path=xl/worksheets/sheet9.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3" hidden="0" customWidth="1"/>
    <x:col min="2" max="2" width="12" hidden="0" customWidth="1"/>
    <x:col min="3" max="3" width="25" hidden="0" customWidth="1"/>
    <x:col min="4" max="4" width="25" hidden="0" customWidth="1"/>
    <x:col min="5" max="5" width="16" hidden="0" customWidth="1"/>
    <x:col min="6" max="6" width="23" hidden="0" customWidth="1"/>
    <x:col min="7" max="7" width="75" hidden="0" customWidth="1"/>
    <x:col min="8" max="8" width="20" hidden="0" customWidth="1"/>
    <x:col min="9" max="9" width="20" hidden="0" customWidth="1"/>
    <x:col min="10" max="10" width="22" hidden="0" customWidth="1"/>
    <x:col min="11" max="11" width="21" hidden="0" customWidth="1"/>
    <x:col min="12" max="12" width="20" hidden="0" customWidth="1"/>
    <x:col min="13" max="13" width="20" hidden="0" customWidth="1"/>
    <x:col min="14" max="14" width="22" hidden="0" customWidth="1"/>
    <x:col min="15" max="15" width="29" hidden="0" customWidth="1"/>
    <x:col min="16" max="16" width="55" hidden="0" customWidth="1"/>
  </x:cols>
  <x:sheetData>
    <x:row r="1">
      <x:c r="A1" s="48"/>
      <x:c r="B1" s="48"/>
      <x:c r="C1" s="48"/>
      <x:c r="D1" s="48"/>
      <x:c r="E1" s="48"/>
      <x:c r="F1" s="48"/>
      <x:c r="G1" s="48"/>
      <x:c r="H1" s="48"/>
      <x:c r="I1" s="48"/>
      <x:c r="J1" s="48"/>
      <x:c r="K1" s="48"/>
      <x:c r="L1" s="48"/>
      <x:c r="M1" s="48"/>
      <x:c r="N1" s="48"/>
      <x:c r="O1" s="48"/>
      <x:c r="P1" s="48"/>
    </x:row>
    <x:row r="2" ht="27" customHeight="1">
      <x:c r="A2" s="49" t="str">
        <x:v>Phương án phát sinh theo xác nhận</x:v>
      </x:c>
      <x:c r="B2" s="48"/>
      <x:c r="C2" s="48"/>
      <x:c r="D2" s="48"/>
      <x:c r="E2" s="48"/>
      <x:c r="F2" s="48"/>
      <x:c r="G2" s="48"/>
      <x:c r="H2" s="48"/>
      <x:c r="I2" s="48"/>
      <x:c r="J2" s="48"/>
      <x:c r="K2" s="48"/>
      <x:c r="L2" s="48"/>
      <x:c r="M2" s="48"/>
      <x:c r="N2" s="48"/>
      <x:c r="O2" s="48"/>
      <x:c r="P2" s="48"/>
    </x:row>
    <x:row r="3">
      <x:c r="A3" s="48" t="str">
        <x:v>Cập nhật</x:v>
      </x:c>
      <x:c r="B3" s="50" t="d">
        <x:v>2026-10-11T00:00:00.000Z</x:v>
      </x:c>
      <x:c r="C3" s="48"/>
      <x:c r="D3" s="48"/>
      <x:c r="E3" s="48"/>
      <x:c r="F3" s="48"/>
      <x:c r="G3" s="48"/>
      <x:c r="H3" s="48"/>
      <x:c r="I3" s="48"/>
      <x:c r="J3" s="48"/>
      <x:c r="K3" s="48"/>
      <x:c r="L3" s="48"/>
      <x:c r="M3" s="48"/>
      <x:c r="N3" s="48"/>
      <x:c r="O3" s="48"/>
      <x:c r="P3" s="48"/>
    </x:row>
    <x:row r="4">
      <x:c r="A4" s="48" t="str">
        <x:v>48 phương án trên 27 hóa đơn gốc. Đây là bảng chuẩn bị; chưa nhập, ký hoặc phát hành.</x:v>
      </x:c>
      <x:c r="B4" s="48"/>
      <x:c r="C4" s="48"/>
      <x:c r="D4" s="48"/>
      <x:c r="E4" s="48"/>
      <x:c r="F4" s="48"/>
      <x:c r="G4" s="48"/>
      <x:c r="H4" s="48"/>
      <x:c r="I4" s="48"/>
      <x:c r="J4" s="48"/>
      <x:c r="K4" s="48"/>
      <x:c r="L4" s="48"/>
      <x:c r="M4" s="48"/>
      <x:c r="N4" s="48"/>
      <x:c r="O4" s="48"/>
      <x:c r="P4" s="48"/>
    </x:row>
    <x:row r="5">
      <x:c r="A5" s="48" t="str">
        <x:v>8 bộ đảo giữ độ lệch ngược dấu của XML đã phát hành. Không tự tính lại số nguồn.</x:v>
      </x:c>
      <x:c r="B5" s="48"/>
      <x:c r="C5" s="48"/>
      <x:c r="D5" s="48"/>
      <x:c r="E5" s="48"/>
      <x:c r="F5" s="48"/>
      <x:c r="G5" s="48"/>
      <x:c r="H5" s="48"/>
      <x:c r="I5" s="48"/>
      <x:c r="J5" s="48"/>
      <x:c r="K5" s="48"/>
      <x:c r="L5" s="48"/>
      <x:c r="M5" s="48"/>
      <x:c r="N5" s="48"/>
      <x:c r="O5" s="48"/>
      <x:c r="P5" s="48"/>
    </x:row>
    <x:row r="6">
      <x:c r="A6" s="48"/>
      <x:c r="B6" s="48"/>
      <x:c r="C6" s="48"/>
      <x:c r="D6" s="48"/>
      <x:c r="E6" s="48"/>
      <x:c r="F6" s="48"/>
      <x:c r="G6" s="48"/>
      <x:c r="H6" s="48"/>
      <x:c r="I6" s="48"/>
      <x:c r="J6" s="48"/>
      <x:c r="K6" s="48"/>
      <x:c r="L6" s="48"/>
      <x:c r="M6" s="48"/>
      <x:c r="N6" s="48"/>
      <x:c r="O6" s="48"/>
      <x:c r="P6" s="48"/>
    </x:row>
    <x:row r="7" ht="44" customHeight="1">
      <x:c r="A7" s="55" t="str">
        <x:v>Mã phương án</x:v>
      </x:c>
      <x:c r="B7" s="55" t="str">
        <x:v>Mã hồ sơ</x:v>
      </x:c>
      <x:c r="C7" s="55" t="str">
        <x:v>Gốc của chuỗi</x:v>
      </x:c>
      <x:c r="D7" s="55" t="str">
        <x:v>Hóa đơn được điều chỉnh</x:v>
      </x:c>
      <x:c r="E7" s="55" t="str">
        <x:v>Ngày hóa đơn tham chiếu</x:v>
      </x:c>
      <x:c r="F7" s="55" t="str">
        <x:v>Nghiệp vụ đề xuất</x:v>
      </x:c>
      <x:c r="G7" s="55" t="str">
        <x:v>Cách thể hiện đã chốt</x:v>
      </x:c>
      <x:c r="H7" s="55" t="str">
        <x:v>Tiền hàng đề xuất (đ)</x:v>
      </x:c>
      <x:c r="I7" s="55" t="str">
        <x:v>Thuế đề xuất (đ)</x:v>
      </x:c>
      <x:c r="J7" s="55" t="str">
        <x:v>Thanh toán đề xuất (đ)</x:v>
      </x:c>
      <x:c r="K7" s="55" t="str">
        <x:v>Hàng + thuế − TT (đ)</x:v>
      </x:c>
      <x:c r="L7" s="55" t="str">
        <x:v>Tiền hàng nguồn (đ)</x:v>
      </x:c>
      <x:c r="M7" s="55" t="str">
        <x:v>Thuế nguồn (đ)</x:v>
      </x:c>
      <x:c r="N7" s="55" t="str">
        <x:v>Thanh toán nguồn (đ)</x:v>
      </x:c>
      <x:c r="O7" s="55" t="str">
        <x:v>Kiểm phần đảo</x:v>
      </x:c>
      <x:c r="P7" s="55" t="str">
        <x:v>Căn cứ tiền</x:v>
      </x:c>
    </x:row>
    <x:row r="8" ht="78" customHeight="1">
      <x:c r="A8" s="57" t="str">
        <x:v>PA01</x:v>
      </x:c>
      <x:c r="B8" s="57" t="str">
        <x:v>LT01</x:v>
      </x:c>
      <x:c r="C8" s="57" t="str">
        <x:v>1C25TUV/00000159</x:v>
      </x:c>
      <x:c r="D8" s="57" t="str">
        <x:v>1C25TUV/00000649</x:v>
      </x:c>
      <x:c r="E8" s="59" t="d">
        <x:v>2025-05-05T00:00:00.000Z</x:v>
      </x:c>
      <x:c r="F8" s="57" t="str">
        <x:v>Đảo điều chỉnh cũ</x:v>
      </x:c>
      <x:c r="G8" s="57" t="str">
        <x:v>Đảo từng số tiền đã phát hành; không tính lại cho cân bằng.</x:v>
      </x:c>
      <x:c r="H8" s="63" t="n">
        <x:v>381481</x:v>
      </x:c>
      <x:c r="I8" s="63" t="n">
        <x:v>30518</x:v>
      </x:c>
      <x:c r="J8" s="63" t="n">
        <x:v>-411999</x:v>
      </x:c>
      <x:c r="K8" s="63" t="n">
        <x:f>H8+I8-J8</x:f>
        <x:v>823998</x:v>
      </x:c>
      <x:c r="L8" s="63" t="n">
        <x:v>-381481</x:v>
      </x:c>
      <x:c r="M8" s="63" t="n">
        <x:v>-30518</x:v>
      </x:c>
      <x:c r="N8" s="63" t="n">
        <x:v>411999</x:v>
      </x:c>
      <x:c r="O8" s="57" t="str">
        <x:f>IF(F8="Đảo điều chỉnh cũ",IF(AND(H8+L8=0,I8+M8=0,J8+N8=0),"Về 0 từng chỉ tiêu","Chưa về 0"),IF(F8="Giảm số lượng gốc","Chỉ số lượng; nguồn TT trống","Giảm theo gốc"))</x:f>
        <x:v>Về 0 từng chỉ tiêu</x:v>
      </x:c>
      <x:c r="P8" s="57" t="str">
        <x:v>XML đã phát hành – 1C25TUV_00000649.xml; xem Hoa don lien quan.</x:v>
      </x:c>
    </x:row>
    <x:row r="9" ht="78" customHeight="1">
      <x:c r="A9" s="58" t="str">
        <x:v>PA02</x:v>
      </x:c>
      <x:c r="B9" s="58" t="str">
        <x:v>LT01</x:v>
      </x:c>
      <x:c r="C9" s="58" t="str">
        <x:v>1C25TUV/00000159</x:v>
      </x:c>
      <x:c r="D9" s="58" t="str">
        <x:v>1C25TUV/00000159</x:v>
      </x:c>
      <x:c r="E9" s="60" t="d">
        <x:v>2025-02-28T00:00:00.000Z</x:v>
      </x:c>
      <x:c r="F9" s="58" t="str">
        <x:v>Giảm hóa đơn gốc</x:v>
      </x:c>
      <x:c r="G9" s="58" t="str">
        <x:v>Giảm đủ dòng gốc: đảo số lượng/thành tiền, giữ đơn giá nguồn.</x:v>
      </x:c>
      <x:c r="H9" s="64" t="n">
        <x:v>-412037</x:v>
      </x:c>
      <x:c r="I9" s="64" t="n">
        <x:v>-32963</x:v>
      </x:c>
      <x:c r="J9" s="64" t="n">
        <x:v>-445000</x:v>
      </x:c>
      <x:c r="K9" s="63" t="n">
        <x:f>H9+I9-J9</x:f>
        <x:v>0</x:v>
      </x:c>
      <x:c r="L9" s="64" t="n">
        <x:v>412037</x:v>
      </x:c>
      <x:c r="M9" s="64" t="n">
        <x:v>32963</x:v>
      </x:c>
      <x:c r="N9" s="64" t="n">
        <x:v>445000</x:v>
      </x:c>
      <x:c r="O9" s="57" t="str">
        <x:f>IF(F9="Đảo điều chỉnh cũ",IF(AND(H9+L9=0,I9+M9=0,J9+N9=0),"Về 0 từng chỉ tiêu","Chưa về 0"),IF(F9="Giảm số lượng gốc","Chỉ số lượng; nguồn TT trống","Giảm theo gốc"))</x:f>
        <x:v>Giảm theo gốc</x:v>
      </x:c>
      <x:c r="P9" s="58" t="str">
        <x:v>Bảng tổng xuất lại; xem Hoa don lien quan.</x:v>
      </x:c>
    </x:row>
    <x:row r="10" ht="78" customHeight="1">
      <x:c r="A10" s="57" t="str">
        <x:v>PA03</x:v>
      </x:c>
      <x:c r="B10" s="57" t="str">
        <x:v>LT02</x:v>
      </x:c>
      <x:c r="C10" s="57" t="str">
        <x:v>1C25TUV/00000056</x:v>
      </x:c>
      <x:c r="D10" s="57" t="str">
        <x:v>1C25TUV/00000561</x:v>
      </x:c>
      <x:c r="E10" s="59" t="d">
        <x:v>2025-05-04T00:00:00.000Z</x:v>
      </x:c>
      <x:c r="F10" s="57" t="str">
        <x:v>Đảo điều chỉnh cũ</x:v>
      </x:c>
      <x:c r="G10" s="57" t="str">
        <x:v>Đảo từng số tiền đã phát hành; không tính lại cho cân bằng.</x:v>
      </x:c>
      <x:c r="H10" s="63" t="n">
        <x:v>-196889</x:v>
      </x:c>
      <x:c r="I10" s="63" t="n">
        <x:v>-151751</x:v>
      </x:c>
      <x:c r="J10" s="63" t="n">
        <x:v>-212640</x:v>
      </x:c>
      <x:c r="K10" s="63" t="n">
        <x:f>H10+I10-J10</x:f>
        <x:v>-136000</x:v>
      </x:c>
      <x:c r="L10" s="63" t="n">
        <x:v>196889</x:v>
      </x:c>
      <x:c r="M10" s="63" t="n">
        <x:v>151751</x:v>
      </x:c>
      <x:c r="N10" s="63" t="n">
        <x:v>212640</x:v>
      </x:c>
      <x:c r="O10" s="57" t="str">
        <x:f>IF(F10="Đảo điều chỉnh cũ",IF(AND(H10+L10=0,I10+M10=0,J10+N10=0),"Về 0 từng chỉ tiêu","Chưa về 0"),IF(F10="Giảm số lượng gốc","Chỉ số lượng; nguồn TT trống","Giảm theo gốc"))</x:f>
        <x:v>Về 0 từng chỉ tiêu</x:v>
      </x:c>
      <x:c r="P10" s="57" t="str">
        <x:v>XML đã phát hành – 1C25TUV_00000561.xml; xem Hoa don lien quan.</x:v>
      </x:c>
    </x:row>
    <x:row r="11" ht="78" customHeight="1">
      <x:c r="A11" s="58" t="str">
        <x:v>PA04</x:v>
      </x:c>
      <x:c r="B11" s="58" t="str">
        <x:v>LT02</x:v>
      </x:c>
      <x:c r="C11" s="58" t="str">
        <x:v>1C25TUV/00000056</x:v>
      </x:c>
      <x:c r="D11" s="58" t="str">
        <x:v>1C25TUV/00000056</x:v>
      </x:c>
      <x:c r="E11" s="60" t="d">
        <x:v>2025-01-27T00:00:00.000Z</x:v>
      </x:c>
      <x:c r="F11" s="58" t="str">
        <x:v>Giảm hóa đơn gốc</x:v>
      </x:c>
      <x:c r="G11" s="58" t="str">
        <x:v>Giảm đủ dòng gốc: đảo số lượng/thành tiền, giữ đơn giá nguồn.</x:v>
      </x:c>
      <x:c r="H11" s="64" t="n">
        <x:v>-2264222</x:v>
      </x:c>
      <x:c r="I11" s="64" t="n">
        <x:v>-181138</x:v>
      </x:c>
      <x:c r="J11" s="64" t="n">
        <x:v>-2445360</x:v>
      </x:c>
      <x:c r="K11" s="63" t="n">
        <x:f>H11+I11-J11</x:f>
        <x:v>0</x:v>
      </x:c>
      <x:c r="L11" s="64" t="n">
        <x:v>2264222</x:v>
      </x:c>
      <x:c r="M11" s="64" t="n">
        <x:v>181138</x:v>
      </x:c>
      <x:c r="N11" s="64" t="n">
        <x:v>2445360</x:v>
      </x:c>
      <x:c r="O11" s="57" t="str">
        <x:f>IF(F11="Đảo điều chỉnh cũ",IF(AND(H11+L11=0,I11+M11=0,J11+N11=0),"Về 0 từng chỉ tiêu","Chưa về 0"),IF(F11="Giảm số lượng gốc","Chỉ số lượng; nguồn TT trống","Giảm theo gốc"))</x:f>
        <x:v>Giảm theo gốc</x:v>
      </x:c>
      <x:c r="P11" s="58" t="str">
        <x:v>Bảng tổng xuất lại; xem Hoa don lien quan.</x:v>
      </x:c>
    </x:row>
    <x:row r="12" ht="78" customHeight="1">
      <x:c r="A12" s="57" t="str">
        <x:v>PA05</x:v>
      </x:c>
      <x:c r="B12" s="57" t="str">
        <x:v>LT03</x:v>
      </x:c>
      <x:c r="C12" s="57" t="str">
        <x:v>1C24TUV/00000283</x:v>
      </x:c>
      <x:c r="D12" s="57" t="str">
        <x:v>1C25TUV/00001819</x:v>
      </x:c>
      <x:c r="E12" s="59" t="d">
        <x:v>2025-05-29T00:00:00.000Z</x:v>
      </x:c>
      <x:c r="F12" s="57" t="str">
        <x:v>Đảo điều chỉnh cũ</x:v>
      </x:c>
      <x:c r="G12" s="57" t="str">
        <x:v>Đảo từng số tiền đã phát hành; không tính lại cho cân bằng.</x:v>
      </x:c>
      <x:c r="H12" s="63" t="n">
        <x:v>-7599678</x:v>
      </x:c>
      <x:c r="I12" s="63" t="n">
        <x:v>-609974</x:v>
      </x:c>
      <x:c r="J12" s="63" t="n">
        <x:v>-8207652</x:v>
      </x:c>
      <x:c r="K12" s="63" t="n">
        <x:f>H12+I12-J12</x:f>
        <x:v>-2000</x:v>
      </x:c>
      <x:c r="L12" s="63" t="n">
        <x:v>7599678</x:v>
      </x:c>
      <x:c r="M12" s="63" t="n">
        <x:v>609974</x:v>
      </x:c>
      <x:c r="N12" s="63" t="n">
        <x:v>8207652</x:v>
      </x:c>
      <x:c r="O12" s="57" t="str">
        <x:f>IF(F12="Đảo điều chỉnh cũ",IF(AND(H12+L12=0,I12+M12=0,J12+N12=0),"Về 0 từng chỉ tiêu","Chưa về 0"),IF(F12="Giảm số lượng gốc","Chỉ số lượng; nguồn TT trống","Giảm theo gốc"))</x:f>
        <x:v>Về 0 từng chỉ tiêu</x:v>
      </x:c>
      <x:c r="P12" s="57" t="str">
        <x:v>XML đã phát hành – 1C25TUV_00001819.xml; xem Hoa don lien quan.</x:v>
      </x:c>
    </x:row>
    <x:row r="13" ht="78" customHeight="1">
      <x:c r="A13" s="58" t="str">
        <x:v>PA06</x:v>
      </x:c>
      <x:c r="B13" s="58" t="str">
        <x:v>LT03</x:v>
      </x:c>
      <x:c r="C13" s="58" t="str">
        <x:v>1C24TUV/00000283</x:v>
      </x:c>
      <x:c r="D13" s="58" t="str">
        <x:v>1C24TUV/00000283</x:v>
      </x:c>
      <x:c r="E13" s="60" t="d">
        <x:v>2024-06-14T00:00:00.000Z</x:v>
      </x:c>
      <x:c r="F13" s="58" t="str">
        <x:v>Giảm hóa đơn gốc</x:v>
      </x:c>
      <x:c r="G13" s="58" t="str">
        <x:v>Giảm đủ dòng gốc: đảo số lượng/thành tiền, giữ đơn giá nguồn.</x:v>
      </x:c>
      <x:c r="H13" s="64" t="n">
        <x:v>-90142915</x:v>
      </x:c>
      <x:c r="I13" s="64" t="n">
        <x:v>-7211433</x:v>
      </x:c>
      <x:c r="J13" s="64" t="n">
        <x:v>-97354348</x:v>
      </x:c>
      <x:c r="K13" s="63" t="n">
        <x:f>H13+I13-J13</x:f>
        <x:v>0</x:v>
      </x:c>
      <x:c r="L13" s="64" t="n">
        <x:v>90142915</x:v>
      </x:c>
      <x:c r="M13" s="64" t="n">
        <x:v>7211433</x:v>
      </x:c>
      <x:c r="N13" s="64" t="n">
        <x:v>97354348</x:v>
      </x:c>
      <x:c r="O13" s="57" t="str">
        <x:f>IF(F13="Đảo điều chỉnh cũ",IF(AND(H13+L13=0,I13+M13=0,J13+N13=0),"Về 0 từng chỉ tiêu","Chưa về 0"),IF(F13="Giảm số lượng gốc","Chỉ số lượng; nguồn TT trống","Giảm theo gốc"))</x:f>
        <x:v>Giảm theo gốc</x:v>
      </x:c>
      <x:c r="P13" s="58" t="str">
        <x:v>Bảng tổng xuất lại; xem Hoa don lien quan.</x:v>
      </x:c>
    </x:row>
    <x:row r="14" ht="78" customHeight="1">
      <x:c r="A14" s="57" t="str">
        <x:v>PA07</x:v>
      </x:c>
      <x:c r="B14" s="57" t="str">
        <x:v>LT04</x:v>
      </x:c>
      <x:c r="C14" s="57" t="str">
        <x:v>1C24TUV/00000093</x:v>
      </x:c>
      <x:c r="D14" s="57" t="str">
        <x:v>1C25TUV/00001167</x:v>
      </x:c>
      <x:c r="E14" s="59" t="d">
        <x:v>2025-05-26T00:00:00.000Z</x:v>
      </x:c>
      <x:c r="F14" s="57" t="str">
        <x:v>Đảo điều chỉnh cũ</x:v>
      </x:c>
      <x:c r="G14" s="57" t="str">
        <x:v>Đảo từng số tiền đã phát hành; không tính lại cho cân bằng.</x:v>
      </x:c>
      <x:c r="H14" s="63" t="n">
        <x:v>-621945</x:v>
      </x:c>
      <x:c r="I14" s="63" t="n">
        <x:v>-49756</x:v>
      </x:c>
      <x:c r="J14" s="63" t="n">
        <x:v>-670701</x:v>
      </x:c>
      <x:c r="K14" s="63" t="n">
        <x:f>H14+I14-J14</x:f>
        <x:v>-1000</x:v>
      </x:c>
      <x:c r="L14" s="63" t="n">
        <x:v>621945</x:v>
      </x:c>
      <x:c r="M14" s="63" t="n">
        <x:v>49756</x:v>
      </x:c>
      <x:c r="N14" s="63" t="n">
        <x:v>670701</x:v>
      </x:c>
      <x:c r="O14" s="57" t="str">
        <x:f>IF(F14="Đảo điều chỉnh cũ",IF(AND(H14+L14=0,I14+M14=0,J14+N14=0),"Về 0 từng chỉ tiêu","Chưa về 0"),IF(F14="Giảm số lượng gốc","Chỉ số lượng; nguồn TT trống","Giảm theo gốc"))</x:f>
        <x:v>Về 0 từng chỉ tiêu</x:v>
      </x:c>
      <x:c r="P14" s="57" t="str">
        <x:v>XML đã phát hành – 1C25TUV_00001167.xml; xem Hoa don lien quan.</x:v>
      </x:c>
    </x:row>
    <x:row r="15" ht="78" customHeight="1">
      <x:c r="A15" s="58" t="str">
        <x:v>PA08</x:v>
      </x:c>
      <x:c r="B15" s="58" t="str">
        <x:v>LT04</x:v>
      </x:c>
      <x:c r="C15" s="58" t="str">
        <x:v>1C24TUV/00000093</x:v>
      </x:c>
      <x:c r="D15" s="58" t="str">
        <x:v>1C24TUV/00000093</x:v>
      </x:c>
      <x:c r="E15" s="60" t="d">
        <x:v>2024-03-01T00:00:00.000Z</x:v>
      </x:c>
      <x:c r="F15" s="58" t="str">
        <x:v>Giảm hóa đơn gốc</x:v>
      </x:c>
      <x:c r="G15" s="58" t="str">
        <x:v>Giảm đủ dòng gốc: đảo số lượng/thành tiền, giữ đơn giá nguồn.</x:v>
      </x:c>
      <x:c r="H15" s="64" t="n">
        <x:v>-20222499</x:v>
      </x:c>
      <x:c r="I15" s="64" t="n">
        <x:v>-1617800</x:v>
      </x:c>
      <x:c r="J15" s="64" t="n">
        <x:v>-21840299</x:v>
      </x:c>
      <x:c r="K15" s="63" t="n">
        <x:f>H15+I15-J15</x:f>
        <x:v>0</x:v>
      </x:c>
      <x:c r="L15" s="64" t="n">
        <x:v>20222499</x:v>
      </x:c>
      <x:c r="M15" s="64" t="n">
        <x:v>1617800</x:v>
      </x:c>
      <x:c r="N15" s="64" t="n">
        <x:v>21840299</x:v>
      </x:c>
      <x:c r="O15" s="57" t="str">
        <x:f>IF(F15="Đảo điều chỉnh cũ",IF(AND(H15+L15=0,I15+M15=0,J15+N15=0),"Về 0 từng chỉ tiêu","Chưa về 0"),IF(F15="Giảm số lượng gốc","Chỉ số lượng; nguồn TT trống","Giảm theo gốc"))</x:f>
        <x:v>Giảm theo gốc</x:v>
      </x:c>
      <x:c r="P15" s="58" t="str">
        <x:v>Bảng tổng xuất lại; xem Hoa don lien quan.</x:v>
      </x:c>
    </x:row>
    <x:row r="16" ht="78" customHeight="1">
      <x:c r="A16" s="57" t="str">
        <x:v>PA09</x:v>
      </x:c>
      <x:c r="B16" s="57" t="str">
        <x:v>LT05</x:v>
      </x:c>
      <x:c r="C16" s="57" t="str">
        <x:v>1C24TUV/00000535</x:v>
      </x:c>
      <x:c r="D16" s="57" t="str">
        <x:v>1C25TUV/00002145</x:v>
      </x:c>
      <x:c r="E16" s="59" t="d">
        <x:v>2025-05-30T00:00:00.000Z</x:v>
      </x:c>
      <x:c r="F16" s="57" t="str">
        <x:v>Đảo điều chỉnh cũ</x:v>
      </x:c>
      <x:c r="G16" s="57" t="str">
        <x:v>Đảo từng số tiền đã phát hành; không tính lại cho cân bằng.</x:v>
      </x:c>
      <x:c r="H16" s="63" t="n">
        <x:v>-39194352</x:v>
      </x:c>
      <x:c r="I16" s="63" t="n">
        <x:v>-3135548</x:v>
      </x:c>
      <x:c r="J16" s="63" t="n">
        <x:v>-42329000</x:v>
      </x:c>
      <x:c r="K16" s="63" t="n">
        <x:f>H16+I16-J16</x:f>
        <x:v>-900</x:v>
      </x:c>
      <x:c r="L16" s="63" t="n">
        <x:v>39194352</x:v>
      </x:c>
      <x:c r="M16" s="63" t="n">
        <x:v>3135548</x:v>
      </x:c>
      <x:c r="N16" s="63" t="n">
        <x:v>42329000</x:v>
      </x:c>
      <x:c r="O16" s="57" t="str">
        <x:f>IF(F16="Đảo điều chỉnh cũ",IF(AND(H16+L16=0,I16+M16=0,J16+N16=0),"Về 0 từng chỉ tiêu","Chưa về 0"),IF(F16="Giảm số lượng gốc","Chỉ số lượng; nguồn TT trống","Giảm theo gốc"))</x:f>
        <x:v>Về 0 từng chỉ tiêu</x:v>
      </x:c>
      <x:c r="P16" s="57" t="str">
        <x:v>XML đã phát hành – 1C25TUV_00002145.xml; xem Hoa don lien quan.</x:v>
      </x:c>
    </x:row>
    <x:row r="17" ht="78" customHeight="1">
      <x:c r="A17" s="58" t="str">
        <x:v>PA10</x:v>
      </x:c>
      <x:c r="B17" s="58" t="str">
        <x:v>LT05</x:v>
      </x:c>
      <x:c r="C17" s="58" t="str">
        <x:v>1C24TUV/00000535</x:v>
      </x:c>
      <x:c r="D17" s="58" t="str">
        <x:v>1C24TUV/00000535</x:v>
      </x:c>
      <x:c r="E17" s="60" t="d">
        <x:v>2024-10-22T00:00:00.000Z</x:v>
      </x:c>
      <x:c r="F17" s="58" t="str">
        <x:v>Giảm hóa đơn gốc</x:v>
      </x:c>
      <x:c r="G17" s="58" t="str">
        <x:v>Giảm đủ dòng gốc: đảo số lượng/thành tiền, giữ đơn giá nguồn.</x:v>
      </x:c>
      <x:c r="H17" s="64" t="n">
        <x:v>-180276018</x:v>
      </x:c>
      <x:c r="I17" s="64" t="n">
        <x:v>-14422081</x:v>
      </x:c>
      <x:c r="J17" s="64" t="n">
        <x:v>-194698099</x:v>
      </x:c>
      <x:c r="K17" s="63" t="n">
        <x:f>H17+I17-J17</x:f>
        <x:v>0</x:v>
      </x:c>
      <x:c r="L17" s="64" t="n">
        <x:v>180276018</x:v>
      </x:c>
      <x:c r="M17" s="64" t="n">
        <x:v>14422081</x:v>
      </x:c>
      <x:c r="N17" s="64" t="n">
        <x:v>194698099</x:v>
      </x:c>
      <x:c r="O17" s="57" t="str">
        <x:f>IF(F17="Đảo điều chỉnh cũ",IF(AND(H17+L17=0,I17+M17=0,J17+N17=0),"Về 0 từng chỉ tiêu","Chưa về 0"),IF(F17="Giảm số lượng gốc","Chỉ số lượng; nguồn TT trống","Giảm theo gốc"))</x:f>
        <x:v>Giảm theo gốc</x:v>
      </x:c>
      <x:c r="P17" s="58" t="str">
        <x:v>Bảng tổng xuất lại; xem Hoa don lien quan.</x:v>
      </x:c>
    </x:row>
    <x:row r="18" ht="78" customHeight="1">
      <x:c r="A18" s="57" t="str">
        <x:v>PA11</x:v>
      </x:c>
      <x:c r="B18" s="57" t="str">
        <x:v>LT06</x:v>
      </x:c>
      <x:c r="C18" s="57" t="str">
        <x:v>1C24TUV/00000228</x:v>
      </x:c>
      <x:c r="D18" s="57" t="str">
        <x:v>1C25TUV/00002619</x:v>
      </x:c>
      <x:c r="E18" s="59" t="d">
        <x:v>2025-05-31T00:00:00.000Z</x:v>
      </x:c>
      <x:c r="F18" s="57" t="str">
        <x:v>Đảo điều chỉnh cũ</x:v>
      </x:c>
      <x:c r="G18" s="57" t="str">
        <x:v>Đảo từng số tiền đã phát hành; không tính lại cho cân bằng.</x:v>
      </x:c>
      <x:c r="H18" s="63" t="n">
        <x:v>589554</x:v>
      </x:c>
      <x:c r="I18" s="63" t="n">
        <x:v>47164</x:v>
      </x:c>
      <x:c r="J18" s="63" t="n">
        <x:v>636719</x:v>
      </x:c>
      <x:c r="K18" s="63" t="n">
        <x:f>H18+I18-J18</x:f>
        <x:v>-1</x:v>
      </x:c>
      <x:c r="L18" s="63" t="n">
        <x:v>-589554</x:v>
      </x:c>
      <x:c r="M18" s="63" t="n">
        <x:v>-47164</x:v>
      </x:c>
      <x:c r="N18" s="63" t="n">
        <x:v>-636719</x:v>
      </x:c>
      <x:c r="O18" s="57" t="str">
        <x:f>IF(F18="Đảo điều chỉnh cũ",IF(AND(H18+L18=0,I18+M18=0,J18+N18=0),"Về 0 từng chỉ tiêu","Chưa về 0"),IF(F18="Giảm số lượng gốc","Chỉ số lượng; nguồn TT trống","Giảm theo gốc"))</x:f>
        <x:v>Về 0 từng chỉ tiêu</x:v>
      </x:c>
      <x:c r="P18" s="57" t="str">
        <x:v>XML đã phát hành – 1C25TUV_00002619.xml; xem Hoa don lien quan.</x:v>
      </x:c>
    </x:row>
    <x:row r="19" ht="78" customHeight="1">
      <x:c r="A19" s="58" t="str">
        <x:v>PA12</x:v>
      </x:c>
      <x:c r="B19" s="58" t="str">
        <x:v>LT06</x:v>
      </x:c>
      <x:c r="C19" s="58" t="str">
        <x:v>1C24TUV/00000228</x:v>
      </x:c>
      <x:c r="D19" s="58" t="str">
        <x:v>1C25TUV/00002646</x:v>
      </x:c>
      <x:c r="E19" s="60" t="d">
        <x:v>2025-05-31T00:00:00.000Z</x:v>
      </x:c>
      <x:c r="F19" s="58" t="str">
        <x:v>Đảo điều chỉnh cũ</x:v>
      </x:c>
      <x:c r="G19" s="58" t="str">
        <x:v>Đảo từng số tiền đã phát hành; không tính lại cho cân bằng.</x:v>
      </x:c>
      <x:c r="H19" s="64" t="n">
        <x:v>-1718981</x:v>
      </x:c>
      <x:c r="I19" s="64" t="n">
        <x:v>-137518</x:v>
      </x:c>
      <x:c r="J19" s="64" t="n">
        <x:v>-1856499</x:v>
      </x:c>
      <x:c r="K19" s="63" t="n">
        <x:f>H19+I19-J19</x:f>
        <x:v>0</x:v>
      </x:c>
      <x:c r="L19" s="64" t="n">
        <x:v>1718981</x:v>
      </x:c>
      <x:c r="M19" s="64" t="n">
        <x:v>137518</x:v>
      </x:c>
      <x:c r="N19" s="64" t="n">
        <x:v>1856499</x:v>
      </x:c>
      <x:c r="O19" s="57" t="str">
        <x:f>IF(F19="Đảo điều chỉnh cũ",IF(AND(H19+L19=0,I19+M19=0,J19+N19=0),"Về 0 từng chỉ tiêu","Chưa về 0"),IF(F19="Giảm số lượng gốc","Chỉ số lượng; nguồn TT trống","Giảm theo gốc"))</x:f>
        <x:v>Về 0 từng chỉ tiêu</x:v>
      </x:c>
      <x:c r="P19" s="58" t="str">
        <x:v>XML đã phát hành – 1C25TUV_00002646.xml; xem Hoa don lien quan.</x:v>
      </x:c>
    </x:row>
    <x:row r="20" ht="78" customHeight="1">
      <x:c r="A20" s="57" t="str">
        <x:v>PA13</x:v>
      </x:c>
      <x:c r="B20" s="57" t="str">
        <x:v>LT06</x:v>
      </x:c>
      <x:c r="C20" s="57" t="str">
        <x:v>1C24TUV/00000228</x:v>
      </x:c>
      <x:c r="D20" s="57" t="str">
        <x:v>1C24TUV/00000228</x:v>
      </x:c>
      <x:c r="E20" s="59" t="d">
        <x:v>2024-05-13T00:00:00.000Z</x:v>
      </x:c>
      <x:c r="F20" s="57" t="str">
        <x:v>Giảm hóa đơn gốc</x:v>
      </x:c>
      <x:c r="G20" s="57" t="str">
        <x:v>Giảm đủ dòng gốc: đảo số lượng/thành tiền, giữ đơn giá nguồn.</x:v>
      </x:c>
      <x:c r="H20" s="63" t="n">
        <x:v>-10131221</x:v>
      </x:c>
      <x:c r="I20" s="63" t="n">
        <x:v>-810498</x:v>
      </x:c>
      <x:c r="J20" s="63" t="n">
        <x:v>-10941719</x:v>
      </x:c>
      <x:c r="K20" s="63" t="n">
        <x:f>H20+I20-J20</x:f>
        <x:v>0</x:v>
      </x:c>
      <x:c r="L20" s="63" t="n">
        <x:v>10131221</x:v>
      </x:c>
      <x:c r="M20" s="63" t="n">
        <x:v>810498</x:v>
      </x:c>
      <x:c r="N20" s="63" t="n">
        <x:v>10941719</x:v>
      </x:c>
      <x:c r="O20" s="57" t="str">
        <x:f>IF(F20="Đảo điều chỉnh cũ",IF(AND(H20+L20=0,I20+M20=0,J20+N20=0),"Về 0 từng chỉ tiêu","Chưa về 0"),IF(F20="Giảm số lượng gốc","Chỉ số lượng; nguồn TT trống","Giảm theo gốc"))</x:f>
        <x:v>Giảm theo gốc</x:v>
      </x:c>
      <x:c r="P20" s="57" t="str">
        <x:v>Bảng tổng xuất lại; xem Hoa don lien quan.</x:v>
      </x:c>
    </x:row>
    <x:row r="21" ht="78" customHeight="1">
      <x:c r="A21" s="58" t="str">
        <x:v>PA14</x:v>
      </x:c>
      <x:c r="B21" s="58" t="str">
        <x:v>LT07</x:v>
      </x:c>
      <x:c r="C21" s="58" t="str">
        <x:v>1C24TUV/00000285</x:v>
      </x:c>
      <x:c r="D21" s="58" t="str">
        <x:v>1C25TUV/00001821</x:v>
      </x:c>
      <x:c r="E21" s="60" t="d">
        <x:v>2025-05-29T00:00:00.000Z</x:v>
      </x:c>
      <x:c r="F21" s="58" t="str">
        <x:v>Đảo điều chỉnh cũ</x:v>
      </x:c>
      <x:c r="G21" s="58" t="str">
        <x:v>Đảo từng số tiền đã phát hành; không tính lại cho cân bằng.</x:v>
      </x:c>
      <x:c r="H21" s="64" t="n">
        <x:v>-5701066</x:v>
      </x:c>
      <x:c r="I21" s="64" t="n">
        <x:v>-456085</x:v>
      </x:c>
      <x:c r="J21" s="64" t="n">
        <x:v>-6157152</x:v>
      </x:c>
      <x:c r="K21" s="63" t="n">
        <x:f>H21+I21-J21</x:f>
        <x:v>1</x:v>
      </x:c>
      <x:c r="L21" s="64" t="n">
        <x:v>5701066</x:v>
      </x:c>
      <x:c r="M21" s="64" t="n">
        <x:v>456085</x:v>
      </x:c>
      <x:c r="N21" s="64" t="n">
        <x:v>6157152</x:v>
      </x:c>
      <x:c r="O21" s="57" t="str">
        <x:f>IF(F21="Đảo điều chỉnh cũ",IF(AND(H21+L21=0,I21+M21=0,J21+N21=0),"Về 0 từng chỉ tiêu","Chưa về 0"),IF(F21="Giảm số lượng gốc","Chỉ số lượng; nguồn TT trống","Giảm theo gốc"))</x:f>
        <x:v>Về 0 từng chỉ tiêu</x:v>
      </x:c>
      <x:c r="P21" s="58" t="str">
        <x:v>XML đã phát hành – 1C25TUV_00001821.xml; xem Hoa don lien quan.</x:v>
      </x:c>
    </x:row>
    <x:row r="22" ht="78" customHeight="1">
      <x:c r="A22" s="57" t="str">
        <x:v>PA15</x:v>
      </x:c>
      <x:c r="B22" s="57" t="str">
        <x:v>LT07</x:v>
      </x:c>
      <x:c r="C22" s="57" t="str">
        <x:v>1C24TUV/00000285</x:v>
      </x:c>
      <x:c r="D22" s="57" t="str">
        <x:v>1C24TUV/00000285</x:v>
      </x:c>
      <x:c r="E22" s="59" t="d">
        <x:v>2024-06-15T00:00:00.000Z</x:v>
      </x:c>
      <x:c r="F22" s="57" t="str">
        <x:v>Giảm hóa đơn gốc</x:v>
      </x:c>
      <x:c r="G22" s="57" t="str">
        <x:v>Giảm đủ dòng gốc: đảo số lượng/thành tiền, giữ đơn giá nguồn.</x:v>
      </x:c>
      <x:c r="H22" s="63" t="n">
        <x:v>-87458193</x:v>
      </x:c>
      <x:c r="I22" s="63" t="n">
        <x:v>-6996655</x:v>
      </x:c>
      <x:c r="J22" s="63" t="n">
        <x:v>-94454848</x:v>
      </x:c>
      <x:c r="K22" s="63" t="n">
        <x:f>H22+I22-J22</x:f>
        <x:v>0</x:v>
      </x:c>
      <x:c r="L22" s="63" t="n">
        <x:v>87458193</x:v>
      </x:c>
      <x:c r="M22" s="63" t="n">
        <x:v>6996655</x:v>
      </x:c>
      <x:c r="N22" s="63" t="n">
        <x:v>94454848</x:v>
      </x:c>
      <x:c r="O22" s="57" t="str">
        <x:f>IF(F22="Đảo điều chỉnh cũ",IF(AND(H22+L22=0,I22+M22=0,J22+N22=0),"Về 0 từng chỉ tiêu","Chưa về 0"),IF(F22="Giảm số lượng gốc","Chỉ số lượng; nguồn TT trống","Giảm theo gốc"))</x:f>
        <x:v>Giảm theo gốc</x:v>
      </x:c>
      <x:c r="P22" s="57" t="str">
        <x:v>Bảng tổng xuất lại; xem Hoa don lien quan.</x:v>
      </x:c>
    </x:row>
    <x:row r="23" ht="78" customHeight="1">
      <x:c r="A23" s="58" t="str">
        <x:v>PA16</x:v>
      </x:c>
      <x:c r="B23" s="58" t="str">
        <x:v>LT08</x:v>
      </x:c>
      <x:c r="C23" s="58" t="str">
        <x:v>1C25TUV/00000102</x:v>
      </x:c>
      <x:c r="D23" s="58" t="str">
        <x:v>1C25TUV/00000626</x:v>
      </x:c>
      <x:c r="E23" s="60" t="d">
        <x:v>2025-05-04T00:00:00.000Z</x:v>
      </x:c>
      <x:c r="F23" s="58" t="str">
        <x:v>Đảo điều chỉnh cũ</x:v>
      </x:c>
      <x:c r="G23" s="58" t="str">
        <x:v>Đảo từng số tiền đã phát hành; không tính lại cho cân bằng.</x:v>
      </x:c>
      <x:c r="H23" s="64" t="n">
        <x:v>-4347265</x:v>
      </x:c>
      <x:c r="I23" s="64" t="n">
        <x:v>-347781</x:v>
      </x:c>
      <x:c r="J23" s="64" t="n">
        <x:v>-4695045</x:v>
      </x:c>
      <x:c r="K23" s="63" t="n">
        <x:f>H23+I23-J23</x:f>
        <x:v>-1</x:v>
      </x:c>
      <x:c r="L23" s="64" t="n">
        <x:v>4347265</x:v>
      </x:c>
      <x:c r="M23" s="64" t="n">
        <x:v>347781</x:v>
      </x:c>
      <x:c r="N23" s="64" t="n">
        <x:v>4695045</x:v>
      </x:c>
      <x:c r="O23" s="57" t="str">
        <x:f>IF(F23="Đảo điều chỉnh cũ",IF(AND(H23+L23=0,I23+M23=0,J23+N23=0),"Về 0 từng chỉ tiêu","Chưa về 0"),IF(F23="Giảm số lượng gốc","Chỉ số lượng; nguồn TT trống","Giảm theo gốc"))</x:f>
        <x:v>Về 0 từng chỉ tiêu</x:v>
      </x:c>
      <x:c r="P23" s="58" t="str">
        <x:v>XML đã phát hành – 1C25TUV_00000626.xml; xem Hoa don lien quan.</x:v>
      </x:c>
    </x:row>
    <x:row r="24" ht="78" customHeight="1">
      <x:c r="A24" s="57" t="str">
        <x:v>PA17</x:v>
      </x:c>
      <x:c r="B24" s="57" t="str">
        <x:v>LT08</x:v>
      </x:c>
      <x:c r="C24" s="57" t="str">
        <x:v>1C25TUV/00000102</x:v>
      </x:c>
      <x:c r="D24" s="57" t="str">
        <x:v>1C25TUV/00000102</x:v>
      </x:c>
      <x:c r="E24" s="59" t="d">
        <x:v>2025-02-19T00:00:00.000Z</x:v>
      </x:c>
      <x:c r="F24" s="57" t="str">
        <x:v>Giảm hóa đơn gốc</x:v>
      </x:c>
      <x:c r="G24" s="57" t="str">
        <x:v>Giảm đủ dòng gốc: đảo số lượng/thành tiền, giữ đơn giá nguồn.</x:v>
      </x:c>
      <x:c r="H24" s="63" t="n">
        <x:v>-69918243</x:v>
      </x:c>
      <x:c r="I24" s="63" t="n">
        <x:v>-5593459</x:v>
      </x:c>
      <x:c r="J24" s="63" t="n">
        <x:v>-75511702</x:v>
      </x:c>
      <x:c r="K24" s="63" t="n">
        <x:f>H24+I24-J24</x:f>
        <x:v>0</x:v>
      </x:c>
      <x:c r="L24" s="63" t="n">
        <x:v>69918243</x:v>
      </x:c>
      <x:c r="M24" s="63" t="n">
        <x:v>5593459</x:v>
      </x:c>
      <x:c r="N24" s="63" t="n">
        <x:v>75511702</x:v>
      </x:c>
      <x:c r="O24" s="57" t="str">
        <x:f>IF(F24="Đảo điều chỉnh cũ",IF(AND(H24+L24=0,I24+M24=0,J24+N24=0),"Về 0 từng chỉ tiêu","Chưa về 0"),IF(F24="Giảm số lượng gốc","Chỉ số lượng; nguồn TT trống","Giảm theo gốc"))</x:f>
        <x:v>Giảm theo gốc</x:v>
      </x:c>
      <x:c r="P24" s="57" t="str">
        <x:v>Bảng tổng xuất lại; xem Hoa don lien quan.</x:v>
      </x:c>
    </x:row>
    <x:row r="25" ht="78" customHeight="1">
      <x:c r="A25" s="58" t="str">
        <x:v>PA18</x:v>
      </x:c>
      <x:c r="B25" s="58" t="str">
        <x:v>SL01</x:v>
      </x:c>
      <x:c r="C25" s="58" t="str">
        <x:v>1C24TUV/00000555</x:v>
      </x:c>
      <x:c r="D25" s="58" t="str">
        <x:v>1C25TUV/00002632</x:v>
      </x:c>
      <x:c r="E25" s="60" t="d">
        <x:v>2025-05-31T00:00:00.000Z</x:v>
      </x:c>
      <x:c r="F25" s="58" t="str">
        <x:v>Đảo điều chỉnh cũ</x:v>
      </x:c>
      <x:c r="G25" s="58" t="str">
        <x:v>Đảo số tiền đã phát hành của điều chỉnh cũ.</x:v>
      </x:c>
      <x:c r="H25" s="64" t="n">
        <x:v>1888889</x:v>
      </x:c>
      <x:c r="I25" s="64" t="n">
        <x:v>151111</x:v>
      </x:c>
      <x:c r="J25" s="64" t="n">
        <x:v>2040000</x:v>
      </x:c>
      <x:c r="K25" s="63" t="n">
        <x:f>H25+I25-J25</x:f>
        <x:v>0</x:v>
      </x:c>
      <x:c r="L25" s="64" t="n">
        <x:v>-1888889</x:v>
      </x:c>
      <x:c r="M25" s="64" t="n">
        <x:v>-151111</x:v>
      </x:c>
      <x:c r="N25" s="64" t="n">
        <x:v>-2040000</x:v>
      </x:c>
      <x:c r="O25" s="57" t="str">
        <x:f>IF(F25="Đảo điều chỉnh cũ",IF(AND(H25+L25=0,I25+M25=0,J25+N25=0),"Về 0 từng chỉ tiêu","Chưa về 0"),IF(F25="Giảm số lượng gốc","Chỉ số lượng; nguồn TT trống","Giảm theo gốc"))</x:f>
        <x:v>Về 0 từng chỉ tiêu</x:v>
      </x:c>
      <x:c r="P25" s="58" t="str">
        <x:v>XML đã phát hành – 1C25TUV_00002632.xml; xem Hoa don lien quan.</x:v>
      </x:c>
    </x:row>
    <x:row r="26" ht="78" customHeight="1">
      <x:c r="A26" s="57" t="str">
        <x:v>PA19</x:v>
      </x:c>
      <x:c r="B26" s="57" t="str">
        <x:v>SL01</x:v>
      </x:c>
      <x:c r="C26" s="57" t="str">
        <x:v>1C24TUV/00000555</x:v>
      </x:c>
      <x:c r="D26" s="57" t="str">
        <x:v>1C24TUV/00000555</x:v>
      </x:c>
      <x:c r="E26" s="59" t="d">
        <x:v>2024-10-31T00:00:00.000Z</x:v>
      </x:c>
      <x:c r="F26" s="57" t="str">
        <x:v>Giảm hóa đơn gốc</x:v>
      </x:c>
      <x:c r="G26" s="57" t="str">
        <x:v>Gốc 1C24TUV/00000555: dòng 6 giữ số lượng và đơn giá trống, chỉ đảo thành tiền -46.296. Các dòng còn lại giảm theo chi tiết gốc. Đảo riêng điều chỉnh 00002632.</x:v>
      </x:c>
      <x:c r="H26" s="63" t="n">
        <x:v>-6219445</x:v>
      </x:c>
      <x:c r="I26" s="63" t="n">
        <x:v>-497556</x:v>
      </x:c>
      <x:c r="J26" s="63" t="n">
        <x:v>-6717001</x:v>
      </x:c>
      <x:c r="K26" s="63" t="n">
        <x:f>H26+I26-J26</x:f>
        <x:v>0</x:v>
      </x:c>
      <x:c r="L26" s="63" t="n">
        <x:v>6219445</x:v>
      </x:c>
      <x:c r="M26" s="63" t="n">
        <x:v>497556</x:v>
      </x:c>
      <x:c r="N26" s="63" t="n">
        <x:v>6717001</x:v>
      </x:c>
      <x:c r="O26" s="57" t="str">
        <x:f>IF(F26="Đảo điều chỉnh cũ",IF(AND(H26+L26=0,I26+M26=0,J26+N26=0),"Về 0 từng chỉ tiêu","Chưa về 0"),IF(F26="Giảm số lượng gốc","Chỉ số lượng; nguồn TT trống","Giảm theo gốc"))</x:f>
        <x:v>Giảm theo gốc</x:v>
      </x:c>
      <x:c r="P26" s="57" t="str">
        <x:v>Bảng tổng xuất lại; xem Hoa don lien quan.</x:v>
      </x:c>
    </x:row>
    <x:row r="27" ht="78" customHeight="1">
      <x:c r="A27" s="58" t="str">
        <x:v>PA20</x:v>
      </x:c>
      <x:c r="B27" s="58" t="str">
        <x:v>SL02</x:v>
      </x:c>
      <x:c r="C27" s="58" t="str">
        <x:v>1C25TUV/00000113</x:v>
      </x:c>
      <x:c r="D27" s="58" t="str">
        <x:v>1C25TUV/00000635</x:v>
      </x:c>
      <x:c r="E27" s="60" t="d">
        <x:v>2025-05-05T00:00:00.000Z</x:v>
      </x:c>
      <x:c r="F27" s="58" t="str">
        <x:v>Đảo điều chỉnh cũ</x:v>
      </x:c>
      <x:c r="G27" s="58" t="str">
        <x:v>Đảo số tiền đã phát hành của điều chỉnh cũ.</x:v>
      </x:c>
      <x:c r="H27" s="64" t="n">
        <x:v>-446836</x:v>
      </x:c>
      <x:c r="I27" s="64" t="n">
        <x:v>-35747</x:v>
      </x:c>
      <x:c r="J27" s="64" t="n">
        <x:v>-482583</x:v>
      </x:c>
      <x:c r="K27" s="63" t="n">
        <x:f>H27+I27-J27</x:f>
        <x:v>0</x:v>
      </x:c>
      <x:c r="L27" s="64" t="n">
        <x:v>446836</x:v>
      </x:c>
      <x:c r="M27" s="64" t="n">
        <x:v>35747</x:v>
      </x:c>
      <x:c r="N27" s="64" t="n">
        <x:v>482583</x:v>
      </x:c>
      <x:c r="O27" s="57" t="str">
        <x:f>IF(F27="Đảo điều chỉnh cũ",IF(AND(H27+L27=0,I27+M27=0,J27+N27=0),"Về 0 từng chỉ tiêu","Chưa về 0"),IF(F27="Giảm số lượng gốc","Chỉ số lượng; nguồn TT trống","Giảm theo gốc"))</x:f>
        <x:v>Về 0 từng chỉ tiêu</x:v>
      </x:c>
      <x:c r="P27" s="58" t="str">
        <x:v>XML đã phát hành – 1C25TUV_00000635.xml; xem Hoa don lien quan.</x:v>
      </x:c>
    </x:row>
    <x:row r="28" ht="78" customHeight="1">
      <x:c r="A28" s="57" t="str">
        <x:v>PA21</x:v>
      </x:c>
      <x:c r="B28" s="57" t="str">
        <x:v>SL02</x:v>
      </x:c>
      <x:c r="C28" s="57" t="str">
        <x:v>1C25TUV/00000113</x:v>
      </x:c>
      <x:c r="D28" s="57" t="str">
        <x:v>1C25TUV/00000113</x:v>
      </x:c>
      <x:c r="E28" s="59" t="d">
        <x:v>2025-02-19T00:00:00.000Z</x:v>
      </x:c>
      <x:c r="F28" s="57" t="str">
        <x:v>Giảm hóa đơn gốc</x:v>
      </x:c>
      <x:c r="G28" s="57" t="str">
        <x:v>Bỏ dòng 45 KA600 FT không có giá trị; giảm các dòng còn lại của gốc 00000113. Đảo riêng điều chỉnh 00000635 theo số đã phát hành.</x:v>
      </x:c>
      <x:c r="H28" s="63" t="n">
        <x:v>-46178880</x:v>
      </x:c>
      <x:c r="I28" s="63" t="n">
        <x:v>-3694310</x:v>
      </x:c>
      <x:c r="J28" s="63" t="n">
        <x:v>-49873190</x:v>
      </x:c>
      <x:c r="K28" s="63" t="n">
        <x:f>H28+I28-J28</x:f>
        <x:v>0</x:v>
      </x:c>
      <x:c r="L28" s="63" t="n">
        <x:v>46178880</x:v>
      </x:c>
      <x:c r="M28" s="63" t="n">
        <x:v>3694310</x:v>
      </x:c>
      <x:c r="N28" s="63" t="n">
        <x:v>49873190</x:v>
      </x:c>
      <x:c r="O28" s="57" t="str">
        <x:f>IF(F28="Đảo điều chỉnh cũ",IF(AND(H28+L28=0,I28+M28=0,J28+N28=0),"Về 0 từng chỉ tiêu","Chưa về 0"),IF(F28="Giảm số lượng gốc","Chỉ số lượng; nguồn TT trống","Giảm theo gốc"))</x:f>
        <x:v>Giảm theo gốc</x:v>
      </x:c>
      <x:c r="P28" s="57" t="str">
        <x:v>Bảng tổng xuất lại; xem Hoa don lien quan.</x:v>
      </x:c>
    </x:row>
    <x:row r="29" ht="78" customHeight="1">
      <x:c r="A29" s="58" t="str">
        <x:v>PA22</x:v>
      </x:c>
      <x:c r="B29" s="58" t="str">
        <x:v>SL03</x:v>
      </x:c>
      <x:c r="C29" s="58" t="str">
        <x:v>1C24TUV/00000774</x:v>
      </x:c>
      <x:c r="D29" s="58" t="str">
        <x:v>1C24TUV/00000774</x:v>
      </x:c>
      <x:c r="E29" s="60" t="d">
        <x:v>2024-12-31T00:00:00.000Z</x:v>
      </x:c>
      <x:c r="F29" s="58" t="str">
        <x:v>Giảm hóa đơn gốc</x:v>
      </x:c>
      <x:c r="G29" s="58" t="str">
        <x:v>Giữ dòng chú thích hàng biếu/tặng không thu tiền, tính chất ghi chú/diễn giải; giữ số lượng, đơn giá, tiền dòng trống như bảng xuất mới. Giảm các dòng hàng có số liệu.</x:v>
      </x:c>
      <x:c r="H29" s="64" t="n">
        <x:v>-4398148</x:v>
      </x:c>
      <x:c r="I29" s="64" t="n">
        <x:v>-351852</x:v>
      </x:c>
      <x:c r="J29" s="64" t="n">
        <x:v>-4750000</x:v>
      </x:c>
      <x:c r="K29" s="63" t="n">
        <x:f>H29+I29-J29</x:f>
        <x:v>0</x:v>
      </x:c>
      <x:c r="L29" s="64" t="n">
        <x:v>4398148</x:v>
      </x:c>
      <x:c r="M29" s="64" t="n">
        <x:v>351852</x:v>
      </x:c>
      <x:c r="N29" s="64" t="n">
        <x:v>4750000</x:v>
      </x:c>
      <x:c r="O29" s="57" t="str">
        <x:f>IF(F29="Đảo điều chỉnh cũ",IF(AND(H29+L29=0,I29+M29=0,J29+N29=0),"Về 0 từng chỉ tiêu","Chưa về 0"),IF(F29="Giảm số lượng gốc","Chỉ số lượng; nguồn TT trống","Giảm theo gốc"))</x:f>
        <x:v>Giảm theo gốc</x:v>
      </x:c>
      <x:c r="P29" s="58" t="str">
        <x:v>Bảng tổng xuất lại; xem Hoa don lien quan.</x:v>
      </x:c>
    </x:row>
    <x:row r="30" ht="78" customHeight="1">
      <x:c r="A30" s="57" t="str">
        <x:v>PA23</x:v>
      </x:c>
      <x:c r="B30" s="57" t="str">
        <x:v>SL04</x:v>
      </x:c>
      <x:c r="C30" s="57" t="str">
        <x:v>1C24TUV/00000783</x:v>
      </x:c>
      <x:c r="D30" s="57" t="str">
        <x:v>1C24TUV/00000783</x:v>
      </x:c>
      <x:c r="E30" s="59" t="d">
        <x:v>2024-12-31T00:00:00.000Z</x:v>
      </x:c>
      <x:c r="F30" s="57" t="str">
        <x:v>Giảm hóa đơn gốc</x:v>
      </x:c>
      <x:c r="G30" s="57" t="str">
        <x:v>Giữ dòng chú thích hàng biếu/tặng không thu tiền, tính chất ghi chú/diễn giải; giữ số lượng, đơn giá, tiền dòng trống như bảng xuất mới. Giảm các dòng hàng có số liệu.</x:v>
      </x:c>
      <x:c r="H30" s="63" t="n">
        <x:v>-18240741</x:v>
      </x:c>
      <x:c r="I30" s="63" t="n">
        <x:v>-1459259</x:v>
      </x:c>
      <x:c r="J30" s="63" t="n">
        <x:v>-19700000</x:v>
      </x:c>
      <x:c r="K30" s="63" t="n">
        <x:f>H30+I30-J30</x:f>
        <x:v>0</x:v>
      </x:c>
      <x:c r="L30" s="63" t="n">
        <x:v>18240741</x:v>
      </x:c>
      <x:c r="M30" s="63" t="n">
        <x:v>1459259</x:v>
      </x:c>
      <x:c r="N30" s="63" t="n">
        <x:v>19700000</x:v>
      </x:c>
      <x:c r="O30" s="57" t="str">
        <x:f>IF(F30="Đảo điều chỉnh cũ",IF(AND(H30+L30=0,I30+M30=0,J30+N30=0),"Về 0 từng chỉ tiêu","Chưa về 0"),IF(F30="Giảm số lượng gốc","Chỉ số lượng; nguồn TT trống","Giảm theo gốc"))</x:f>
        <x:v>Giảm theo gốc</x:v>
      </x:c>
      <x:c r="P30" s="57" t="str">
        <x:v>Bảng tổng xuất lại; xem Hoa don lien quan.</x:v>
      </x:c>
    </x:row>
    <x:row r="31" ht="78" customHeight="1">
      <x:c r="A31" s="58" t="str">
        <x:v>PA24</x:v>
      </x:c>
      <x:c r="B31" s="58" t="str">
        <x:v>SL05</x:v>
      </x:c>
      <x:c r="C31" s="58" t="str">
        <x:v>1C24TUV/00000784</x:v>
      </x:c>
      <x:c r="D31" s="58" t="str">
        <x:v>1C24TUV/00000784</x:v>
      </x:c>
      <x:c r="E31" s="60" t="d">
        <x:v>2024-12-31T00:00:00.000Z</x:v>
      </x:c>
      <x:c r="F31" s="58" t="str">
        <x:v>Giảm hóa đơn gốc</x:v>
      </x:c>
      <x:c r="G31" s="58" t="str">
        <x:v>Giữ dòng chú thích hàng biếu/tặng không thu tiền, tính chất ghi chú/diễn giải; giữ số lượng, đơn giá, tiền dòng trống như bảng xuất mới. Giảm các dòng hàng có số liệu.</x:v>
      </x:c>
      <x:c r="H31" s="64" t="n">
        <x:v>-4629630</x:v>
      </x:c>
      <x:c r="I31" s="64" t="n">
        <x:v>-370370</x:v>
      </x:c>
      <x:c r="J31" s="64" t="n">
        <x:v>-5000000</x:v>
      </x:c>
      <x:c r="K31" s="63" t="n">
        <x:f>H31+I31-J31</x:f>
        <x:v>0</x:v>
      </x:c>
      <x:c r="L31" s="64" t="n">
        <x:v>4629630</x:v>
      </x:c>
      <x:c r="M31" s="64" t="n">
        <x:v>370370</x:v>
      </x:c>
      <x:c r="N31" s="64" t="n">
        <x:v>5000000</x:v>
      </x:c>
      <x:c r="O31" s="57" t="str">
        <x:f>IF(F31="Đảo điều chỉnh cũ",IF(AND(H31+L31=0,I31+M31=0,J31+N31=0),"Về 0 từng chỉ tiêu","Chưa về 0"),IF(F31="Giảm số lượng gốc","Chỉ số lượng; nguồn TT trống","Giảm theo gốc"))</x:f>
        <x:v>Giảm theo gốc</x:v>
      </x:c>
      <x:c r="P31" s="58" t="str">
        <x:v>Bảng tổng xuất lại; xem Hoa don lien quan.</x:v>
      </x:c>
    </x:row>
    <x:row r="32" ht="78" customHeight="1">
      <x:c r="A32" s="57" t="str">
        <x:v>PA25</x:v>
      </x:c>
      <x:c r="B32" s="57" t="str">
        <x:v>SL06</x:v>
      </x:c>
      <x:c r="C32" s="57" t="str">
        <x:v>1C24TUV/00000786</x:v>
      </x:c>
      <x:c r="D32" s="57" t="str">
        <x:v>1C24TUV/00000786</x:v>
      </x:c>
      <x:c r="E32" s="59" t="d">
        <x:v>2024-12-31T00:00:00.000Z</x:v>
      </x:c>
      <x:c r="F32" s="57" t="str">
        <x:v>Giảm hóa đơn gốc</x:v>
      </x:c>
      <x:c r="G32" s="57" t="str">
        <x:v>Giữ dòng chú thích hàng biếu/tặng không thu tiền, tính chất ghi chú/diễn giải; giữ số lượng, đơn giá, tiền dòng trống như bảng xuất mới. Giảm các dòng hàng có số liệu.</x:v>
      </x:c>
      <x:c r="H32" s="63" t="n">
        <x:v>-25879630</x:v>
      </x:c>
      <x:c r="I32" s="63" t="n">
        <x:v>-2070370</x:v>
      </x:c>
      <x:c r="J32" s="63" t="n">
        <x:v>-27950000</x:v>
      </x:c>
      <x:c r="K32" s="63" t="n">
        <x:f>H32+I32-J32</x:f>
        <x:v>0</x:v>
      </x:c>
      <x:c r="L32" s="63" t="n">
        <x:v>25879630</x:v>
      </x:c>
      <x:c r="M32" s="63" t="n">
        <x:v>2070370</x:v>
      </x:c>
      <x:c r="N32" s="63" t="n">
        <x:v>27950000</x:v>
      </x:c>
      <x:c r="O32" s="57" t="str">
        <x:f>IF(F32="Đảo điều chỉnh cũ",IF(AND(H32+L32=0,I32+M32=0,J32+N32=0),"Về 0 từng chỉ tiêu","Chưa về 0"),IF(F32="Giảm số lượng gốc","Chỉ số lượng; nguồn TT trống","Giảm theo gốc"))</x:f>
        <x:v>Giảm theo gốc</x:v>
      </x:c>
      <x:c r="P32" s="57" t="str">
        <x:v>Bảng tổng xuất lại; xem Hoa don lien quan.</x:v>
      </x:c>
    </x:row>
    <x:row r="33" ht="78" customHeight="1">
      <x:c r="A33" s="58" t="str">
        <x:v>PA26</x:v>
      </x:c>
      <x:c r="B33" s="58" t="str">
        <x:v>SL07</x:v>
      </x:c>
      <x:c r="C33" s="58" t="str">
        <x:v>1C25TUV/00002796</x:v>
      </x:c>
      <x:c r="D33" s="58" t="str">
        <x:v>1C25TUV/00002796</x:v>
      </x:c>
      <x:c r="E33" s="60" t="d">
        <x:v>2025-06-01T00:00:00.000Z</x:v>
      </x:c>
      <x:c r="F33" s="58" t="str">
        <x:v>Giảm hóa đơn gốc</x:v>
      </x:c>
      <x:c r="G33" s="58" t="str">
        <x:v>Bỏ đúng dòng 2 KM002 không có giá trị; giảm các dòng hàng còn lại của 1C25TUV/00002796.</x:v>
      </x:c>
      <x:c r="H33" s="64" t="n">
        <x:v>-443519</x:v>
      </x:c>
      <x:c r="I33" s="64" t="n">
        <x:v>-35482</x:v>
      </x:c>
      <x:c r="J33" s="64" t="n">
        <x:v>-479001</x:v>
      </x:c>
      <x:c r="K33" s="63" t="n">
        <x:f>H33+I33-J33</x:f>
        <x:v>0</x:v>
      </x:c>
      <x:c r="L33" s="64" t="n">
        <x:v>443519</x:v>
      </x:c>
      <x:c r="M33" s="64" t="n">
        <x:v>35482</x:v>
      </x:c>
      <x:c r="N33" s="64" t="n">
        <x:v>479001</x:v>
      </x:c>
      <x:c r="O33" s="57" t="str">
        <x:f>IF(F33="Đảo điều chỉnh cũ",IF(AND(H33+L33=0,I33+M33=0,J33+N33=0),"Về 0 từng chỉ tiêu","Chưa về 0"),IF(F33="Giảm số lượng gốc","Chỉ số lượng; nguồn TT trống","Giảm theo gốc"))</x:f>
        <x:v>Giảm theo gốc</x:v>
      </x:c>
      <x:c r="P33" s="58" t="str">
        <x:v>Bảng tổng xuất lại; xem Hoa don lien quan.</x:v>
      </x:c>
    </x:row>
    <x:row r="34" ht="78" customHeight="1">
      <x:c r="A34" s="57" t="str">
        <x:v>PA27</x:v>
      </x:c>
      <x:c r="B34" s="57" t="str">
        <x:v>SL08</x:v>
      </x:c>
      <x:c r="C34" s="57" t="str">
        <x:v>1C25TUV/00002797</x:v>
      </x:c>
      <x:c r="D34" s="57" t="str">
        <x:v>1C25TUV/00002797</x:v>
      </x:c>
      <x:c r="E34" s="59" t="d">
        <x:v>2025-06-01T00:00:00.000Z</x:v>
      </x:c>
      <x:c r="F34" s="57" t="str">
        <x:v>Giảm hóa đơn gốc</x:v>
      </x:c>
      <x:c r="G34" s="57" t="str">
        <x:v>Bỏ đúng dòng 2 KM003 không có giá trị; giảm các dòng hàng còn lại của 1C25TUV/00002797.</x:v>
      </x:c>
      <x:c r="H34" s="63" t="n">
        <x:v>-1213008</x:v>
      </x:c>
      <x:c r="I34" s="63" t="n">
        <x:v>-97041</x:v>
      </x:c>
      <x:c r="J34" s="63" t="n">
        <x:v>-1310049</x:v>
      </x:c>
      <x:c r="K34" s="63" t="n">
        <x:f>H34+I34-J34</x:f>
        <x:v>0</x:v>
      </x:c>
      <x:c r="L34" s="63" t="n">
        <x:v>1213008</x:v>
      </x:c>
      <x:c r="M34" s="63" t="n">
        <x:v>97041</x:v>
      </x:c>
      <x:c r="N34" s="63" t="n">
        <x:v>1310049</x:v>
      </x:c>
      <x:c r="O34" s="57" t="str">
        <x:f>IF(F34="Đảo điều chỉnh cũ",IF(AND(H34+L34=0,I34+M34=0,J34+N34=0),"Về 0 từng chỉ tiêu","Chưa về 0"),IF(F34="Giảm số lượng gốc","Chỉ số lượng; nguồn TT trống","Giảm theo gốc"))</x:f>
        <x:v>Giảm theo gốc</x:v>
      </x:c>
      <x:c r="P34" s="57" t="str">
        <x:v>Bảng tổng xuất lại; xem Hoa don lien quan.</x:v>
      </x:c>
    </x:row>
    <x:row r="35" ht="78" customHeight="1">
      <x:c r="A35" s="58" t="str">
        <x:v>PA28</x:v>
      </x:c>
      <x:c r="B35" s="58" t="str">
        <x:v>TT01</x:v>
      </x:c>
      <x:c r="C35" s="58" t="str">
        <x:v>1C25TUV/00000006</x:v>
      </x:c>
      <x:c r="D35" s="58" t="str">
        <x:v>1C25TUV/00000655</x:v>
      </x:c>
      <x:c r="E35" s="60" t="d">
        <x:v>2025-05-05T00:00:00.000Z</x:v>
      </x:c>
      <x:c r="F35" s="58" t="str">
        <x:v>Đảo điều chỉnh cũ</x:v>
      </x:c>
      <x:c r="G35" s="58" t="str">
        <x:v>Đảo riêng tiền hàng, thuế, thanh toán đã phát hành.</x:v>
      </x:c>
      <x:c r="H35" s="64" t="n">
        <x:v>-3478704</x:v>
      </x:c>
      <x:c r="I35" s="64" t="n">
        <x:v>-278296</x:v>
      </x:c>
      <x:c r="J35" s="64" t="n">
        <x:v>-3757000</x:v>
      </x:c>
      <x:c r="K35" s="63" t="n">
        <x:f>H35+I35-J35</x:f>
        <x:v>0</x:v>
      </x:c>
      <x:c r="L35" s="64" t="n">
        <x:v>3478704</x:v>
      </x:c>
      <x:c r="M35" s="64" t="n">
        <x:v>278296</x:v>
      </x:c>
      <x:c r="N35" s="64" t="n">
        <x:v>3757000</x:v>
      </x:c>
      <x:c r="O35" s="57" t="str">
        <x:f>IF(F35="Đảo điều chỉnh cũ",IF(AND(H35+L35=0,I35+M35=0,J35+N35=0),"Về 0 từng chỉ tiêu","Chưa về 0"),IF(F35="Giảm số lượng gốc","Chỉ số lượng; nguồn TT trống","Giảm theo gốc"))</x:f>
        <x:v>Về 0 từng chỉ tiêu</x:v>
      </x:c>
      <x:c r="P35" s="58" t="str">
        <x:v>XML đã phát hành – 1C25TUV_00000655.xml; xem Hoa don lien quan.</x:v>
      </x:c>
    </x:row>
    <x:row r="36" ht="78" customHeight="1">
      <x:c r="A36" s="57" t="str">
        <x:v>PA29</x:v>
      </x:c>
      <x:c r="B36" s="57" t="str">
        <x:v>TT01</x:v>
      </x:c>
      <x:c r="C36" s="57" t="str">
        <x:v>1C25TUV/00000006</x:v>
      </x:c>
      <x:c r="D36" s="57" t="str">
        <x:v>1C25TUV/00000006</x:v>
      </x:c>
      <x:c r="E36" s="59" t="d">
        <x:v>2025-01-07T00:00:00.000Z</x:v>
      </x:c>
      <x:c r="F36" s="57" t="str">
        <x:v>Giảm số lượng gốc</x:v>
      </x:c>
      <x:c r="G36" s="57" t="str">
        <x:v>Chỉ giảm số lượng; không có đơn giá/giá trị tiền.</x:v>
      </x:c>
      <x:c r="H36" s="63" t="n">
        <x:v>0</x:v>
      </x:c>
      <x:c r="I36" s="63" t="n">
        <x:v>0</x:v>
      </x:c>
      <x:c r="J36" s="63" t="n">
        <x:v>0</x:v>
      </x:c>
      <x:c r="K36" s="63" t="n">
        <x:f>H36+I36-J36</x:f>
        <x:v>0</x:v>
      </x:c>
      <x:c r="L36" s="63" t="n">
        <x:v>0</x:v>
      </x:c>
      <x:c r="M36" s="63" t="n">
        <x:v>0</x:v>
      </x:c>
      <x:c r="N36" s="63"/>
      <x:c r="O36" s="57" t="str">
        <x:f>IF(F36="Đảo điều chỉnh cũ",IF(AND(H36+L36=0,I36+M36=0,J36+N36=0),"Về 0 từng chỉ tiêu","Chưa về 0"),IF(F36="Giảm số lượng gốc","Chỉ số lượng; nguồn TT trống","Giảm theo gốc"))</x:f>
        <x:v>Chỉ số lượng; nguồn TT trống</x:v>
      </x:c>
      <x:c r="P36" s="57" t="str">
        <x:v>Bảng tổng xuất lại; xem Hoa don lien quan.</x:v>
      </x:c>
    </x:row>
    <x:row r="37" ht="78" customHeight="1">
      <x:c r="A37" s="58" t="str">
        <x:v>PA30</x:v>
      </x:c>
      <x:c r="B37" s="58" t="str">
        <x:v>TT02</x:v>
      </x:c>
      <x:c r="C37" s="58" t="str">
        <x:v>1C25TUV/00000016</x:v>
      </x:c>
      <x:c r="D37" s="58" t="str">
        <x:v>1C25TUV/00000657</x:v>
      </x:c>
      <x:c r="E37" s="60" t="d">
        <x:v>2025-05-05T00:00:00.000Z</x:v>
      </x:c>
      <x:c r="F37" s="58" t="str">
        <x:v>Đảo điều chỉnh cũ</x:v>
      </x:c>
      <x:c r="G37" s="58" t="str">
        <x:v>Đảo riêng tiền hàng, thuế, thanh toán đã phát hành.</x:v>
      </x:c>
      <x:c r="H37" s="64" t="n">
        <x:v>-5275000</x:v>
      </x:c>
      <x:c r="I37" s="64" t="n">
        <x:v>-422000</x:v>
      </x:c>
      <x:c r="J37" s="64" t="n">
        <x:v>-5697000</x:v>
      </x:c>
      <x:c r="K37" s="63" t="n">
        <x:f>H37+I37-J37</x:f>
        <x:v>0</x:v>
      </x:c>
      <x:c r="L37" s="64" t="n">
        <x:v>5275000</x:v>
      </x:c>
      <x:c r="M37" s="64" t="n">
        <x:v>422000</x:v>
      </x:c>
      <x:c r="N37" s="64" t="n">
        <x:v>5697000</x:v>
      </x:c>
      <x:c r="O37" s="57" t="str">
        <x:f>IF(F37="Đảo điều chỉnh cũ",IF(AND(H37+L37=0,I37+M37=0,J37+N37=0),"Về 0 từng chỉ tiêu","Chưa về 0"),IF(F37="Giảm số lượng gốc","Chỉ số lượng; nguồn TT trống","Giảm theo gốc"))</x:f>
        <x:v>Về 0 từng chỉ tiêu</x:v>
      </x:c>
      <x:c r="P37" s="58" t="str">
        <x:v>XML đã phát hành – 1C25TUV_00000657.xml; xem Hoa don lien quan.</x:v>
      </x:c>
    </x:row>
    <x:row r="38" ht="78" customHeight="1">
      <x:c r="A38" s="57" t="str">
        <x:v>PA31</x:v>
      </x:c>
      <x:c r="B38" s="57" t="str">
        <x:v>TT02</x:v>
      </x:c>
      <x:c r="C38" s="57" t="str">
        <x:v>1C25TUV/00000016</x:v>
      </x:c>
      <x:c r="D38" s="57" t="str">
        <x:v>1C25TUV/00000016</x:v>
      </x:c>
      <x:c r="E38" s="59" t="d">
        <x:v>2025-01-14T00:00:00.000Z</x:v>
      </x:c>
      <x:c r="F38" s="57" t="str">
        <x:v>Giảm số lượng gốc</x:v>
      </x:c>
      <x:c r="G38" s="57" t="str">
        <x:v>Chỉ giảm số lượng; không có đơn giá/giá trị tiền.</x:v>
      </x:c>
      <x:c r="H38" s="63" t="n">
        <x:v>0</x:v>
      </x:c>
      <x:c r="I38" s="63" t="n">
        <x:v>0</x:v>
      </x:c>
      <x:c r="J38" s="63" t="n">
        <x:v>0</x:v>
      </x:c>
      <x:c r="K38" s="63" t="n">
        <x:f>H38+I38-J38</x:f>
        <x:v>0</x:v>
      </x:c>
      <x:c r="L38" s="63" t="n">
        <x:v>0</x:v>
      </x:c>
      <x:c r="M38" s="63" t="n">
        <x:v>0</x:v>
      </x:c>
      <x:c r="N38" s="63"/>
      <x:c r="O38" s="57" t="str">
        <x:f>IF(F38="Đảo điều chỉnh cũ",IF(AND(H38+L38=0,I38+M38=0,J38+N38=0),"Về 0 từng chỉ tiêu","Chưa về 0"),IF(F38="Giảm số lượng gốc","Chỉ số lượng; nguồn TT trống","Giảm theo gốc"))</x:f>
        <x:v>Chỉ số lượng; nguồn TT trống</x:v>
      </x:c>
      <x:c r="P38" s="57" t="str">
        <x:v>Bảng tổng xuất lại; xem Hoa don lien quan.</x:v>
      </x:c>
    </x:row>
    <x:row r="39" ht="78" customHeight="1">
      <x:c r="A39" s="58" t="str">
        <x:v>PA32</x:v>
      </x:c>
      <x:c r="B39" s="58" t="str">
        <x:v>HH01</x:v>
      </x:c>
      <x:c r="C39" s="58" t="str">
        <x:v>1C25TUV/00003548</x:v>
      </x:c>
      <x:c r="D39" s="58" t="str">
        <x:v>1C25TUV/00013072</x:v>
      </x:c>
      <x:c r="E39" s="60" t="d">
        <x:v>2025-09-30T00:00:00.000Z</x:v>
      </x:c>
      <x:c r="F39" s="58" t="str">
        <x:v>Đảo điều chỉnh cũ</x:v>
      </x:c>
      <x:c r="G39" s="58" t="str">
        <x:v>Đảo số lượng của hàng đã giảm sai, giữ đơn giá nguồn; thành tiền/thuế/thanh toán tăng trở lại.</x:v>
      </x:c>
      <x:c r="H39" s="64" t="n">
        <x:v>962037</x:v>
      </x:c>
      <x:c r="I39" s="64" t="n">
        <x:v>76963</x:v>
      </x:c>
      <x:c r="J39" s="64" t="n">
        <x:v>1039000</x:v>
      </x:c>
      <x:c r="K39" s="63" t="n">
        <x:f>H39+I39-J39</x:f>
        <x:v>0</x:v>
      </x:c>
      <x:c r="L39" s="64" t="n">
        <x:v>-962037</x:v>
      </x:c>
      <x:c r="M39" s="64" t="n">
        <x:v>-76963</x:v>
      </x:c>
      <x:c r="N39" s="64" t="n">
        <x:v>-1039000</x:v>
      </x:c>
      <x:c r="O39" s="57" t="str">
        <x:f>IF(F39="Đảo điều chỉnh cũ",IF(AND(H39+L39=0,I39+M39=0,J39+N39=0),"Về 0 từng chỉ tiêu","Chưa về 0"),IF(F39="Giảm số lượng gốc","Chỉ số lượng; nguồn TT trống","Giảm theo gốc"))</x:f>
        <x:v>Về 0 từng chỉ tiêu</x:v>
      </x:c>
      <x:c r="P39" s="58" t="str">
        <x:v>XML đã phát hành – 1C25TUV_00013072.xml; xem Hoa don lien quan.</x:v>
      </x:c>
    </x:row>
    <x:row r="40" ht="78" customHeight="1">
      <x:c r="A40" s="57" t="str">
        <x:v>PA33</x:v>
      </x:c>
      <x:c r="B40" s="57" t="str">
        <x:v>HH01</x:v>
      </x:c>
      <x:c r="C40" s="57" t="str">
        <x:v>1C25TUV/00003548</x:v>
      </x:c>
      <x:c r="D40" s="57" t="str">
        <x:v>1C25TUV/00003548</x:v>
      </x:c>
      <x:c r="E40" s="59" t="d">
        <x:v>2025-06-06T00:00:00.000Z</x:v>
      </x:c>
      <x:c r="F40" s="57" t="str">
        <x:v>Giảm hóa đơn gốc</x:v>
      </x:c>
      <x:c r="G40" s="57" t="str">
        <x:v>Giảm sản phẩm đúng của hóa đơn gốc, số lượng -1 theo KT, giữ đơn giá nguồn.</x:v>
      </x:c>
      <x:c r="H40" s="63" t="n">
        <x:v>-962037</x:v>
      </x:c>
      <x:c r="I40" s="63" t="n">
        <x:v>-76963</x:v>
      </x:c>
      <x:c r="J40" s="63" t="n">
        <x:v>-1039000</x:v>
      </x:c>
      <x:c r="K40" s="63" t="n">
        <x:f>H40+I40-J40</x:f>
        <x:v>0</x:v>
      </x:c>
      <x:c r="L40" s="63" t="n">
        <x:v>962037</x:v>
      </x:c>
      <x:c r="M40" s="63" t="n">
        <x:v>76963</x:v>
      </x:c>
      <x:c r="N40" s="63" t="n">
        <x:v>1039000</x:v>
      </x:c>
      <x:c r="O40" s="57" t="str">
        <x:f>IF(F40="Đảo điều chỉnh cũ",IF(AND(H40+L40=0,I40+M40=0,J40+N40=0),"Về 0 từng chỉ tiêu","Chưa về 0"),IF(F40="Giảm số lượng gốc","Chỉ số lượng; nguồn TT trống","Giảm theo gốc"))</x:f>
        <x:v>Giảm theo gốc</x:v>
      </x:c>
      <x:c r="P40" s="57" t="str">
        <x:v>Bảng tổng xuất lại; xem Hoa don lien quan.</x:v>
      </x:c>
    </x:row>
    <x:row r="41" ht="78" customHeight="1">
      <x:c r="A41" s="58" t="str">
        <x:v>PA34</x:v>
      </x:c>
      <x:c r="B41" s="58" t="str">
        <x:v>HH04</x:v>
      </x:c>
      <x:c r="C41" s="58" t="str">
        <x:v>1C25TUV/00005905</x:v>
      </x:c>
      <x:c r="D41" s="58" t="str">
        <x:v>1C25TUV/00013095</x:v>
      </x:c>
      <x:c r="E41" s="60" t="d">
        <x:v>2025-09-30T00:00:00.000Z</x:v>
      </x:c>
      <x:c r="F41" s="58" t="str">
        <x:v>Đảo điều chỉnh cũ</x:v>
      </x:c>
      <x:c r="G41" s="58" t="str">
        <x:v>Đảo số lượng của hàng đã giảm sai, giữ đơn giá nguồn; thành tiền/thuế/thanh toán tăng trở lại.</x:v>
      </x:c>
      <x:c r="H41" s="64" t="n">
        <x:v>509259</x:v>
      </x:c>
      <x:c r="I41" s="64" t="n">
        <x:v>40741</x:v>
      </x:c>
      <x:c r="J41" s="64" t="n">
        <x:v>550000</x:v>
      </x:c>
      <x:c r="K41" s="63" t="n">
        <x:f>H41+I41-J41</x:f>
        <x:v>0</x:v>
      </x:c>
      <x:c r="L41" s="64" t="n">
        <x:v>-509259</x:v>
      </x:c>
      <x:c r="M41" s="64" t="n">
        <x:v>-40741</x:v>
      </x:c>
      <x:c r="N41" s="64" t="n">
        <x:v>-550000</x:v>
      </x:c>
      <x:c r="O41" s="57" t="str">
        <x:f>IF(F41="Đảo điều chỉnh cũ",IF(AND(H41+L41=0,I41+M41=0,J41+N41=0),"Về 0 từng chỉ tiêu","Chưa về 0"),IF(F41="Giảm số lượng gốc","Chỉ số lượng; nguồn TT trống","Giảm theo gốc"))</x:f>
        <x:v>Về 0 từng chỉ tiêu</x:v>
      </x:c>
      <x:c r="P41" s="58" t="str">
        <x:v>XML đã phát hành – 1C25TUV_00013095.xml; xem Hoa don lien quan.</x:v>
      </x:c>
    </x:row>
    <x:row r="42" ht="78" customHeight="1">
      <x:c r="A42" s="57" t="str">
        <x:v>PA35</x:v>
      </x:c>
      <x:c r="B42" s="57" t="str">
        <x:v>HH04</x:v>
      </x:c>
      <x:c r="C42" s="57" t="str">
        <x:v>1C25TUV/00005905</x:v>
      </x:c>
      <x:c r="D42" s="57" t="str">
        <x:v>1C25TUV/00005905</x:v>
      </x:c>
      <x:c r="E42" s="59" t="d">
        <x:v>2025-06-16T00:00:00.000Z</x:v>
      </x:c>
      <x:c r="F42" s="57" t="str">
        <x:v>Giảm hóa đơn gốc</x:v>
      </x:c>
      <x:c r="G42" s="57" t="str">
        <x:v>Giảm sản phẩm đúng của hóa đơn gốc, số lượng -1 theo KT, giữ đơn giá nguồn.</x:v>
      </x:c>
      <x:c r="H42" s="63" t="n">
        <x:v>-509259</x:v>
      </x:c>
      <x:c r="I42" s="63" t="n">
        <x:v>-40741</x:v>
      </x:c>
      <x:c r="J42" s="63" t="n">
        <x:v>-550000</x:v>
      </x:c>
      <x:c r="K42" s="63" t="n">
        <x:f>H42+I42-J42</x:f>
        <x:v>0</x:v>
      </x:c>
      <x:c r="L42" s="63" t="n">
        <x:v>509259</x:v>
      </x:c>
      <x:c r="M42" s="63" t="n">
        <x:v>40741</x:v>
      </x:c>
      <x:c r="N42" s="63" t="n">
        <x:v>550000</x:v>
      </x:c>
      <x:c r="O42" s="57" t="str">
        <x:f>IF(F42="Đảo điều chỉnh cũ",IF(AND(H42+L42=0,I42+M42=0,J42+N42=0),"Về 0 từng chỉ tiêu","Chưa về 0"),IF(F42="Giảm số lượng gốc","Chỉ số lượng; nguồn TT trống","Giảm theo gốc"))</x:f>
        <x:v>Giảm theo gốc</x:v>
      </x:c>
      <x:c r="P42" s="57" t="str">
        <x:v>Bảng tổng xuất lại; xem Hoa don lien quan.</x:v>
      </x:c>
    </x:row>
    <x:row r="43" ht="78" customHeight="1">
      <x:c r="A43" s="58" t="str">
        <x:v>PA36</x:v>
      </x:c>
      <x:c r="B43" s="58" t="str">
        <x:v>DC01</x:v>
      </x:c>
      <x:c r="C43" s="58" t="str">
        <x:v>1C25TUV/00001061</x:v>
      </x:c>
      <x:c r="D43" s="58" t="str">
        <x:v>1C25TUV/00012835</x:v>
      </x:c>
      <x:c r="E43" s="60" t="d">
        <x:v>2025-08-16T00:00:00.000Z</x:v>
      </x:c>
      <x:c r="F43" s="58" t="str">
        <x:v>Đảo điều chỉnh cũ</x:v>
      </x:c>
      <x:c r="G43" s="58" t="str">
        <x:v>Đảo khoản tiền: thành tiền, thuế, thanh toán đổi dấu; số lượng và đơn giá không tự thêm.</x:v>
      </x:c>
      <x:c r="H43" s="64" t="n">
        <x:v>499074</x:v>
      </x:c>
      <x:c r="I43" s="64" t="n">
        <x:v>39926</x:v>
      </x:c>
      <x:c r="J43" s="64" t="n">
        <x:v>539000</x:v>
      </x:c>
      <x:c r="K43" s="63" t="n">
        <x:f>H43+I43-J43</x:f>
        <x:v>0</x:v>
      </x:c>
      <x:c r="L43" s="64" t="n">
        <x:v>-499074</x:v>
      </x:c>
      <x:c r="M43" s="64" t="n">
        <x:v>-39926</x:v>
      </x:c>
      <x:c r="N43" s="64" t="n">
        <x:v>-539000</x:v>
      </x:c>
      <x:c r="O43" s="57" t="str">
        <x:f>IF(F43="Đảo điều chỉnh cũ",IF(AND(H43+L43=0,I43+M43=0,J43+N43=0),"Về 0 từng chỉ tiêu","Chưa về 0"),IF(F43="Giảm số lượng gốc","Chỉ số lượng; nguồn TT trống","Giảm theo gốc"))</x:f>
        <x:v>Về 0 từng chỉ tiêu</x:v>
      </x:c>
      <x:c r="P43" s="58" t="str">
        <x:v>XML đã phát hành – 1C25TUV_00012835.xml; xem Hoa don lien quan.</x:v>
      </x:c>
    </x:row>
    <x:row r="44" ht="78" customHeight="1">
      <x:c r="A44" s="57" t="str">
        <x:v>PA37</x:v>
      </x:c>
      <x:c r="B44" s="57" t="str">
        <x:v>DC01</x:v>
      </x:c>
      <x:c r="C44" s="57" t="str">
        <x:v>1C25TUV/00001061</x:v>
      </x:c>
      <x:c r="D44" s="57" t="str">
        <x:v>1C25TUV/00001061</x:v>
      </x:c>
      <x:c r="E44" s="59" t="d">
        <x:v>2025-05-26T00:00:00.000Z</x:v>
      </x:c>
      <x:c r="F44" s="57" t="str">
        <x:v>Giảm hóa đơn gốc</x:v>
      </x:c>
      <x:c r="G44" s="57" t="str">
        <x:v>SL -1, giữ đơn giá dương; thành tiền/thuế/thanh toán giảm theo gốc.</x:v>
      </x:c>
      <x:c r="H44" s="63" t="n">
        <x:v>-499074</x:v>
      </x:c>
      <x:c r="I44" s="63" t="n">
        <x:v>-39926</x:v>
      </x:c>
      <x:c r="J44" s="63" t="n">
        <x:v>-539000</x:v>
      </x:c>
      <x:c r="K44" s="63" t="n">
        <x:f>H44+I44-J44</x:f>
        <x:v>0</x:v>
      </x:c>
      <x:c r="L44" s="63" t="n">
        <x:v>499074</x:v>
      </x:c>
      <x:c r="M44" s="63" t="n">
        <x:v>39926</x:v>
      </x:c>
      <x:c r="N44" s="63" t="n">
        <x:v>539000</x:v>
      </x:c>
      <x:c r="O44" s="57" t="str">
        <x:f>IF(F44="Đảo điều chỉnh cũ",IF(AND(H44+L44=0,I44+M44=0,J44+N44=0),"Về 0 từng chỉ tiêu","Chưa về 0"),IF(F44="Giảm số lượng gốc","Chỉ số lượng; nguồn TT trống","Giảm theo gốc"))</x:f>
        <x:v>Giảm theo gốc</x:v>
      </x:c>
      <x:c r="P44" s="57" t="str">
        <x:v>Bảng tổng xuất lại; xem Hoa don lien quan.</x:v>
      </x:c>
    </x:row>
    <x:row r="45" ht="78" customHeight="1">
      <x:c r="A45" s="58" t="str">
        <x:v>PA38</x:v>
      </x:c>
      <x:c r="B45" s="58" t="str">
        <x:v>DC02</x:v>
      </x:c>
      <x:c r="C45" s="58" t="str">
        <x:v>1C25TUV/00001094</x:v>
      </x:c>
      <x:c r="D45" s="58" t="str">
        <x:v>1C25TUV/00013038</x:v>
      </x:c>
      <x:c r="E45" s="60" t="d">
        <x:v>2025-09-26T00:00:00.000Z</x:v>
      </x:c>
      <x:c r="F45" s="58" t="str">
        <x:v>Đảo điều chỉnh cũ</x:v>
      </x:c>
      <x:c r="G45" s="58" t="str">
        <x:v>SL -1, giữ đơn giá âm -509,259; thành tiền dương, đảo thuế và thanh toán theo XML.</x:v>
      </x:c>
      <x:c r="H45" s="64" t="n">
        <x:v>509259</x:v>
      </x:c>
      <x:c r="I45" s="64" t="n">
        <x:v>40741</x:v>
      </x:c>
      <x:c r="J45" s="64" t="n">
        <x:v>550000</x:v>
      </x:c>
      <x:c r="K45" s="63" t="n">
        <x:f>H45+I45-J45</x:f>
        <x:v>0</x:v>
      </x:c>
      <x:c r="L45" s="64" t="n">
        <x:v>-509259</x:v>
      </x:c>
      <x:c r="M45" s="64" t="n">
        <x:v>-40741</x:v>
      </x:c>
      <x:c r="N45" s="64" t="n">
        <x:v>-550000</x:v>
      </x:c>
      <x:c r="O45" s="57" t="str">
        <x:f>IF(F45="Đảo điều chỉnh cũ",IF(AND(H45+L45=0,I45+M45=0,J45+N45=0),"Về 0 từng chỉ tiêu","Chưa về 0"),IF(F45="Giảm số lượng gốc","Chỉ số lượng; nguồn TT trống","Giảm theo gốc"))</x:f>
        <x:v>Về 0 từng chỉ tiêu</x:v>
      </x:c>
      <x:c r="P45" s="58" t="str">
        <x:v>XML đã phát hành – 1C25TUV_00013038.xml; xem Hoa don lien quan.</x:v>
      </x:c>
    </x:row>
    <x:row r="46" ht="78" customHeight="1">
      <x:c r="A46" s="57" t="str">
        <x:v>PA39</x:v>
      </x:c>
      <x:c r="B46" s="57" t="str">
        <x:v>DC02</x:v>
      </x:c>
      <x:c r="C46" s="57" t="str">
        <x:v>1C25TUV/00001094</x:v>
      </x:c>
      <x:c r="D46" s="57" t="str">
        <x:v>1C25TUV/00001094</x:v>
      </x:c>
      <x:c r="E46" s="59" t="d">
        <x:v>2025-05-26T00:00:00.000Z</x:v>
      </x:c>
      <x:c r="F46" s="57" t="str">
        <x:v>Giảm hóa đơn gốc</x:v>
      </x:c>
      <x:c r="G46" s="57" t="str">
        <x:v>SL -1, giữ đơn giá dương; thành tiền/thuế/thanh toán giảm theo gốc.</x:v>
      </x:c>
      <x:c r="H46" s="63" t="n">
        <x:v>-509259</x:v>
      </x:c>
      <x:c r="I46" s="63" t="n">
        <x:v>-40741</x:v>
      </x:c>
      <x:c r="J46" s="63" t="n">
        <x:v>-550000</x:v>
      </x:c>
      <x:c r="K46" s="63" t="n">
        <x:f>H46+I46-J46</x:f>
        <x:v>0</x:v>
      </x:c>
      <x:c r="L46" s="63" t="n">
        <x:v>509259</x:v>
      </x:c>
      <x:c r="M46" s="63" t="n">
        <x:v>40741</x:v>
      </x:c>
      <x:c r="N46" s="63" t="n">
        <x:v>550000</x:v>
      </x:c>
      <x:c r="O46" s="57" t="str">
        <x:f>IF(F46="Đảo điều chỉnh cũ",IF(AND(H46+L46=0,I46+M46=0,J46+N46=0),"Về 0 từng chỉ tiêu","Chưa về 0"),IF(F46="Giảm số lượng gốc","Chỉ số lượng; nguồn TT trống","Giảm theo gốc"))</x:f>
        <x:v>Giảm theo gốc</x:v>
      </x:c>
      <x:c r="P46" s="57" t="str">
        <x:v>Bảng tổng xuất lại; xem Hoa don lien quan.</x:v>
      </x:c>
    </x:row>
    <x:row r="47" ht="78" customHeight="1">
      <x:c r="A47" s="58" t="str">
        <x:v>PA40</x:v>
      </x:c>
      <x:c r="B47" s="58" t="str">
        <x:v>DC03</x:v>
      </x:c>
      <x:c r="C47" s="58" t="str">
        <x:v>1C25TUV/00003113</x:v>
      </x:c>
      <x:c r="D47" s="58" t="str">
        <x:v>1C25TUV/00013032</x:v>
      </x:c>
      <x:c r="E47" s="60" t="d">
        <x:v>2025-09-26T00:00:00.000Z</x:v>
      </x:c>
      <x:c r="F47" s="58" t="str">
        <x:v>Đảo điều chỉnh cũ</x:v>
      </x:c>
      <x:c r="G47" s="58" t="str">
        <x:v>SL -1, giữ đơn giá âm -163,889; thành tiền dương, đảo thuế và thanh toán theo XML.</x:v>
      </x:c>
      <x:c r="H47" s="64" t="n">
        <x:v>163889</x:v>
      </x:c>
      <x:c r="I47" s="64" t="n">
        <x:v>13111</x:v>
      </x:c>
      <x:c r="J47" s="64" t="n">
        <x:v>177000</x:v>
      </x:c>
      <x:c r="K47" s="63" t="n">
        <x:f>H47+I47-J47</x:f>
        <x:v>0</x:v>
      </x:c>
      <x:c r="L47" s="64" t="n">
        <x:v>-163889</x:v>
      </x:c>
      <x:c r="M47" s="64" t="n">
        <x:v>-13111</x:v>
      </x:c>
      <x:c r="N47" s="64" t="n">
        <x:v>-177000</x:v>
      </x:c>
      <x:c r="O47" s="57" t="str">
        <x:f>IF(F47="Đảo điều chỉnh cũ",IF(AND(H47+L47=0,I47+M47=0,J47+N47=0),"Về 0 từng chỉ tiêu","Chưa về 0"),IF(F47="Giảm số lượng gốc","Chỉ số lượng; nguồn TT trống","Giảm theo gốc"))</x:f>
        <x:v>Về 0 từng chỉ tiêu</x:v>
      </x:c>
      <x:c r="P47" s="58" t="str">
        <x:v>XML đã phát hành – 1C25TUV_00013032.xml; xem Hoa don lien quan.</x:v>
      </x:c>
    </x:row>
    <x:row r="48" ht="78" customHeight="1">
      <x:c r="A48" s="57" t="str">
        <x:v>PA41</x:v>
      </x:c>
      <x:c r="B48" s="57" t="str">
        <x:v>DC03</x:v>
      </x:c>
      <x:c r="C48" s="57" t="str">
        <x:v>1C25TUV/00003113</x:v>
      </x:c>
      <x:c r="D48" s="57" t="str">
        <x:v>1C25TUV/00003113</x:v>
      </x:c>
      <x:c r="E48" s="59" t="d">
        <x:v>2025-06-04T00:00:00.000Z</x:v>
      </x:c>
      <x:c r="F48" s="57" t="str">
        <x:v>Giảm hóa đơn gốc</x:v>
      </x:c>
      <x:c r="G48" s="57" t="str">
        <x:v>SL -1, giữ đơn giá dương; thành tiền/thuế/thanh toán giảm theo gốc.</x:v>
      </x:c>
      <x:c r="H48" s="63" t="n">
        <x:v>-163889</x:v>
      </x:c>
      <x:c r="I48" s="63" t="n">
        <x:v>-13111</x:v>
      </x:c>
      <x:c r="J48" s="63" t="n">
        <x:v>-177000</x:v>
      </x:c>
      <x:c r="K48" s="63" t="n">
        <x:f>H48+I48-J48</x:f>
        <x:v>0</x:v>
      </x:c>
      <x:c r="L48" s="63" t="n">
        <x:v>163889</x:v>
      </x:c>
      <x:c r="M48" s="63" t="n">
        <x:v>13111</x:v>
      </x:c>
      <x:c r="N48" s="63" t="n">
        <x:v>177000</x:v>
      </x:c>
      <x:c r="O48" s="57" t="str">
        <x:f>IF(F48="Đảo điều chỉnh cũ",IF(AND(H48+L48=0,I48+M48=0,J48+N48=0),"Về 0 từng chỉ tiêu","Chưa về 0"),IF(F48="Giảm số lượng gốc","Chỉ số lượng; nguồn TT trống","Giảm theo gốc"))</x:f>
        <x:v>Giảm theo gốc</x:v>
      </x:c>
      <x:c r="P48" s="57" t="str">
        <x:v>Bảng tổng xuất lại; xem Hoa don lien quan.</x:v>
      </x:c>
    </x:row>
    <x:row r="49" ht="78" customHeight="1">
      <x:c r="A49" s="58" t="str">
        <x:v>PA42</x:v>
      </x:c>
      <x:c r="B49" s="58" t="str">
        <x:v>DC04</x:v>
      </x:c>
      <x:c r="C49" s="58" t="str">
        <x:v>1C25TUV/00004081</x:v>
      </x:c>
      <x:c r="D49" s="58" t="str">
        <x:v>1C25TUV/00013033</x:v>
      </x:c>
      <x:c r="E49" s="60" t="d">
        <x:v>2025-09-26T00:00:00.000Z</x:v>
      </x:c>
      <x:c r="F49" s="58" t="str">
        <x:v>Đảo điều chỉnh cũ</x:v>
      </x:c>
      <x:c r="G49" s="58" t="str">
        <x:v>SL -1, giữ đơn giá âm -165,741; thành tiền dương, đảo thuế và thanh toán theo XML.</x:v>
      </x:c>
      <x:c r="H49" s="64" t="n">
        <x:v>165741</x:v>
      </x:c>
      <x:c r="I49" s="64" t="n">
        <x:v>13259</x:v>
      </x:c>
      <x:c r="J49" s="64" t="n">
        <x:v>179000</x:v>
      </x:c>
      <x:c r="K49" s="63" t="n">
        <x:f>H49+I49-J49</x:f>
        <x:v>0</x:v>
      </x:c>
      <x:c r="L49" s="64" t="n">
        <x:v>-165741</x:v>
      </x:c>
      <x:c r="M49" s="64" t="n">
        <x:v>-13259</x:v>
      </x:c>
      <x:c r="N49" s="64" t="n">
        <x:v>-179000</x:v>
      </x:c>
      <x:c r="O49" s="57" t="str">
        <x:f>IF(F49="Đảo điều chỉnh cũ",IF(AND(H49+L49=0,I49+M49=0,J49+N49=0),"Về 0 từng chỉ tiêu","Chưa về 0"),IF(F49="Giảm số lượng gốc","Chỉ số lượng; nguồn TT trống","Giảm theo gốc"))</x:f>
        <x:v>Về 0 từng chỉ tiêu</x:v>
      </x:c>
      <x:c r="P49" s="58" t="str">
        <x:v>XML đã phát hành – 1C25TUV_00013033.xml; xem Hoa don lien quan.</x:v>
      </x:c>
    </x:row>
    <x:row r="50" ht="78" customHeight="1">
      <x:c r="A50" s="57" t="str">
        <x:v>PA43</x:v>
      </x:c>
      <x:c r="B50" s="57" t="str">
        <x:v>DC04</x:v>
      </x:c>
      <x:c r="C50" s="57" t="str">
        <x:v>1C25TUV/00004081</x:v>
      </x:c>
      <x:c r="D50" s="57" t="str">
        <x:v>1C25TUV/00004081</x:v>
      </x:c>
      <x:c r="E50" s="59" t="d">
        <x:v>2025-06-08T00:00:00.000Z</x:v>
      </x:c>
      <x:c r="F50" s="57" t="str">
        <x:v>Giảm hóa đơn gốc</x:v>
      </x:c>
      <x:c r="G50" s="57" t="str">
        <x:v>SL -1, giữ đơn giá dương; thành tiền/thuế/thanh toán giảm theo gốc.</x:v>
      </x:c>
      <x:c r="H50" s="63" t="n">
        <x:v>-165741</x:v>
      </x:c>
      <x:c r="I50" s="63" t="n">
        <x:v>-13259</x:v>
      </x:c>
      <x:c r="J50" s="63" t="n">
        <x:v>-179000</x:v>
      </x:c>
      <x:c r="K50" s="63" t="n">
        <x:f>H50+I50-J50</x:f>
        <x:v>0</x:v>
      </x:c>
      <x:c r="L50" s="63" t="n">
        <x:v>165741</x:v>
      </x:c>
      <x:c r="M50" s="63" t="n">
        <x:v>13259</x:v>
      </x:c>
      <x:c r="N50" s="63" t="n">
        <x:v>179000</x:v>
      </x:c>
      <x:c r="O50" s="57" t="str">
        <x:f>IF(F50="Đảo điều chỉnh cũ",IF(AND(H50+L50=0,I50+M50=0,J50+N50=0),"Về 0 từng chỉ tiêu","Chưa về 0"),IF(F50="Giảm số lượng gốc","Chỉ số lượng; nguồn TT trống","Giảm theo gốc"))</x:f>
        <x:v>Giảm theo gốc</x:v>
      </x:c>
      <x:c r="P50" s="57" t="str">
        <x:v>Bảng tổng xuất lại; xem Hoa don lien quan.</x:v>
      </x:c>
    </x:row>
    <x:row r="51" ht="78" customHeight="1">
      <x:c r="A51" s="58" t="str">
        <x:v>PA44</x:v>
      </x:c>
      <x:c r="B51" s="58" t="str">
        <x:v>DC05</x:v>
      </x:c>
      <x:c r="C51" s="58" t="str">
        <x:v>1C25TUV/00005555</x:v>
      </x:c>
      <x:c r="D51" s="58" t="str">
        <x:v>1C25TUV/00013034</x:v>
      </x:c>
      <x:c r="E51" s="60" t="d">
        <x:v>2025-09-26T00:00:00.000Z</x:v>
      </x:c>
      <x:c r="F51" s="58" t="str">
        <x:v>Đảo điều chỉnh cũ</x:v>
      </x:c>
      <x:c r="G51" s="58" t="str">
        <x:v>SL -1, giữ đơn giá âm -165,740; thành tiền dương, đảo thuế và thanh toán theo XML.</x:v>
      </x:c>
      <x:c r="H51" s="64" t="n">
        <x:v>165740</x:v>
      </x:c>
      <x:c r="I51" s="64" t="n">
        <x:v>13259</x:v>
      </x:c>
      <x:c r="J51" s="64" t="n">
        <x:v>178999</x:v>
      </x:c>
      <x:c r="K51" s="63" t="n">
        <x:f>H51+I51-J51</x:f>
        <x:v>0</x:v>
      </x:c>
      <x:c r="L51" s="64" t="n">
        <x:v>-165740</x:v>
      </x:c>
      <x:c r="M51" s="64" t="n">
        <x:v>-13259</x:v>
      </x:c>
      <x:c r="N51" s="64" t="n">
        <x:v>-178999</x:v>
      </x:c>
      <x:c r="O51" s="57" t="str">
        <x:f>IF(F51="Đảo điều chỉnh cũ",IF(AND(H51+L51=0,I51+M51=0,J51+N51=0),"Về 0 từng chỉ tiêu","Chưa về 0"),IF(F51="Giảm số lượng gốc","Chỉ số lượng; nguồn TT trống","Giảm theo gốc"))</x:f>
        <x:v>Về 0 từng chỉ tiêu</x:v>
      </x:c>
      <x:c r="P51" s="58" t="str">
        <x:v>XML đã phát hành – 1C25TUV_00013034.xml; xem Hoa don lien quan.</x:v>
      </x:c>
    </x:row>
    <x:row r="52" ht="78" customHeight="1">
      <x:c r="A52" s="57" t="str">
        <x:v>PA45</x:v>
      </x:c>
      <x:c r="B52" s="57" t="str">
        <x:v>DC05</x:v>
      </x:c>
      <x:c r="C52" s="57" t="str">
        <x:v>1C25TUV/00005555</x:v>
      </x:c>
      <x:c r="D52" s="57" t="str">
        <x:v>1C25TUV/00005555</x:v>
      </x:c>
      <x:c r="E52" s="59" t="d">
        <x:v>2025-06-14T00:00:00.000Z</x:v>
      </x:c>
      <x:c r="F52" s="57" t="str">
        <x:v>Giảm hóa đơn gốc</x:v>
      </x:c>
      <x:c r="G52" s="57" t="str">
        <x:v>SL -1, giữ đơn giá dương; thành tiền/thuế/thanh toán giảm theo gốc.</x:v>
      </x:c>
      <x:c r="H52" s="63" t="n">
        <x:v>-165740</x:v>
      </x:c>
      <x:c r="I52" s="63" t="n">
        <x:v>-13259</x:v>
      </x:c>
      <x:c r="J52" s="63" t="n">
        <x:v>-178999</x:v>
      </x:c>
      <x:c r="K52" s="63" t="n">
        <x:f>H52+I52-J52</x:f>
        <x:v>0</x:v>
      </x:c>
      <x:c r="L52" s="63" t="n">
        <x:v>165740</x:v>
      </x:c>
      <x:c r="M52" s="63" t="n">
        <x:v>13259</x:v>
      </x:c>
      <x:c r="N52" s="63" t="n">
        <x:v>178999</x:v>
      </x:c>
      <x:c r="O52" s="57" t="str">
        <x:f>IF(F52="Đảo điều chỉnh cũ",IF(AND(H52+L52=0,I52+M52=0,J52+N52=0),"Về 0 từng chỉ tiêu","Chưa về 0"),IF(F52="Giảm số lượng gốc","Chỉ số lượng; nguồn TT trống","Giảm theo gốc"))</x:f>
        <x:v>Giảm theo gốc</x:v>
      </x:c>
      <x:c r="P52" s="57" t="str">
        <x:v>Bảng tổng xuất lại; xem Hoa don lien quan.</x:v>
      </x:c>
    </x:row>
    <x:row r="53" ht="78" customHeight="1">
      <x:c r="A53" s="58" t="str">
        <x:v>PA46</x:v>
      </x:c>
      <x:c r="B53" s="58" t="str">
        <x:v>DC06</x:v>
      </x:c>
      <x:c r="C53" s="58" t="str">
        <x:v>1C25TUV/00005918</x:v>
      </x:c>
      <x:c r="D53" s="58" t="str">
        <x:v>1C25TUV/00013035</x:v>
      </x:c>
      <x:c r="E53" s="60" t="d">
        <x:v>2025-09-26T00:00:00.000Z</x:v>
      </x:c>
      <x:c r="F53" s="58" t="str">
        <x:v>Đảo điều chỉnh cũ</x:v>
      </x:c>
      <x:c r="G53" s="58" t="str">
        <x:v>SL -1, giữ đơn giá âm -165,741; thành tiền dương, đảo thuế và thanh toán theo XML.</x:v>
      </x:c>
      <x:c r="H53" s="64" t="n">
        <x:v>165741</x:v>
      </x:c>
      <x:c r="I53" s="64" t="n">
        <x:v>13259</x:v>
      </x:c>
      <x:c r="J53" s="64" t="n">
        <x:v>179000</x:v>
      </x:c>
      <x:c r="K53" s="63" t="n">
        <x:f>H53+I53-J53</x:f>
        <x:v>0</x:v>
      </x:c>
      <x:c r="L53" s="64" t="n">
        <x:v>-165741</x:v>
      </x:c>
      <x:c r="M53" s="64" t="n">
        <x:v>-13259</x:v>
      </x:c>
      <x:c r="N53" s="64" t="n">
        <x:v>-179000</x:v>
      </x:c>
      <x:c r="O53" s="57" t="str">
        <x:f>IF(F53="Đảo điều chỉnh cũ",IF(AND(H53+L53=0,I53+M53=0,J53+N53=0),"Về 0 từng chỉ tiêu","Chưa về 0"),IF(F53="Giảm số lượng gốc","Chỉ số lượng; nguồn TT trống","Giảm theo gốc"))</x:f>
        <x:v>Về 0 từng chỉ tiêu</x:v>
      </x:c>
      <x:c r="P53" s="58" t="str">
        <x:v>XML đã phát hành – 1C25TUV_00013035.xml; xem Hoa don lien quan.</x:v>
      </x:c>
    </x:row>
    <x:row r="54" ht="78" customHeight="1">
      <x:c r="A54" s="57" t="str">
        <x:v>PA47</x:v>
      </x:c>
      <x:c r="B54" s="57" t="str">
        <x:v>DC06</x:v>
      </x:c>
      <x:c r="C54" s="57" t="str">
        <x:v>1C25TUV/00005918</x:v>
      </x:c>
      <x:c r="D54" s="57" t="str">
        <x:v>1C25TUV/00005918</x:v>
      </x:c>
      <x:c r="E54" s="59" t="d">
        <x:v>2025-06-16T00:00:00.000Z</x:v>
      </x:c>
      <x:c r="F54" s="57" t="str">
        <x:v>Giảm hóa đơn gốc</x:v>
      </x:c>
      <x:c r="G54" s="57" t="str">
        <x:v>SL -1, giữ đơn giá dương; thành tiền/thuế/thanh toán giảm theo gốc.</x:v>
      </x:c>
      <x:c r="H54" s="63" t="n">
        <x:v>-165741</x:v>
      </x:c>
      <x:c r="I54" s="63" t="n">
        <x:v>-13259</x:v>
      </x:c>
      <x:c r="J54" s="63" t="n">
        <x:v>-179000</x:v>
      </x:c>
      <x:c r="K54" s="63" t="n">
        <x:f>H54+I54-J54</x:f>
        <x:v>0</x:v>
      </x:c>
      <x:c r="L54" s="63" t="n">
        <x:v>165741</x:v>
      </x:c>
      <x:c r="M54" s="63" t="n">
        <x:v>13259</x:v>
      </x:c>
      <x:c r="N54" s="63" t="n">
        <x:v>179000</x:v>
      </x:c>
      <x:c r="O54" s="57" t="str">
        <x:f>IF(F54="Đảo điều chỉnh cũ",IF(AND(H54+L54=0,I54+M54=0,J54+N54=0),"Về 0 từng chỉ tiêu","Chưa về 0"),IF(F54="Giảm số lượng gốc","Chỉ số lượng; nguồn TT trống","Giảm theo gốc"))</x:f>
        <x:v>Giảm theo gốc</x:v>
      </x:c>
      <x:c r="P54" s="57" t="str">
        <x:v>Bảng tổng xuất lại; xem Hoa don lien quan.</x:v>
      </x:c>
    </x:row>
    <x:row r="55" ht="78" customHeight="1">
      <x:c r="A55" s="58" t="str">
        <x:v>PA48</x:v>
      </x:c>
      <x:c r="B55" s="58" t="str">
        <x:v>CC07</x:v>
      </x:c>
      <x:c r="C55" s="58" t="str">
        <x:v>1C25TUV/00009072</x:v>
      </x:c>
      <x:c r="D55" s="58" t="str">
        <x:v>1C25TUV/00009072</x:v>
      </x:c>
      <x:c r="E55" s="60" t="d">
        <x:v>2025-06-28T00:00:00.000Z</x:v>
      </x:c>
      <x:c r="F55" s="58" t="str">
        <x:v>Giảm hóa đơn gốc</x:v>
      </x:c>
      <x:c r="G55" s="58" t="str">
        <x:v>Giảm số lượng hàng hóa gốc 00009072 theo phản hồi KT; giữ nguyên điều chỉnh tên hàng00009186, không đảo hóa đơn này.</x:v>
      </x:c>
      <x:c r="H55" s="64" t="n">
        <x:v>-3869444</x:v>
      </x:c>
      <x:c r="I55" s="64" t="n">
        <x:v>-309556</x:v>
      </x:c>
      <x:c r="J55" s="64" t="n">
        <x:v>-4179000</x:v>
      </x:c>
      <x:c r="K55" s="63" t="n">
        <x:f>H55+I55-J55</x:f>
        <x:v>0</x:v>
      </x:c>
      <x:c r="L55" s="64" t="n">
        <x:v>3869444</x:v>
      </x:c>
      <x:c r="M55" s="64" t="n">
        <x:v>309556</x:v>
      </x:c>
      <x:c r="N55" s="64" t="n">
        <x:v>4179000</x:v>
      </x:c>
      <x:c r="O55" s="57" t="str">
        <x:f>IF(F55="Đảo điều chỉnh cũ",IF(AND(H55+L55=0,I55+M55=0,J55+N55=0),"Về 0 từng chỉ tiêu","Chưa về 0"),IF(F55="Giảm số lượng gốc","Chỉ số lượng; nguồn TT trống","Giảm theo gốc"))</x:f>
        <x:v>Giảm theo gốc</x:v>
      </x:c>
      <x:c r="P55" s="58" t="str">
        <x:v>Bảng tổng xuất lại; xem Hoa don lien quan.</x:v>
      </x:c>
    </x:row>
  </x:sheetData>
  <x:conditionalFormatting sqref="K8:K55">
    <x:cfRule type="cellIs" dxfId="18" priority="1" operator="notEqual">
      <x:formula>0</x:formula>
    </x:cfRule>
  </x:conditionalFormatting>
  <x:pageMargins left="0.7" right="0.7" top="0.75" bottom="0.75" header="0.3" footer="0.3"/>
  <x:tableParts count="1">
    <x:tablePart xmlns:r="http://schemas.openxmlformats.org/officeDocument/2006/relationships" r:id="R4f89f7e58ad54570"/>
  </x:tableParts>
</x:worksheet>
</file>

<file path=xl/worksheets/sheet10.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8" hidden="0" customWidth="1"/>
    <x:col min="2" max="2" width="25" hidden="0" customWidth="1"/>
    <x:col min="3" max="3" width="15" hidden="0" customWidth="1"/>
    <x:col min="4" max="4" width="25" hidden="0" customWidth="1"/>
    <x:col min="5" max="5" width="61" hidden="0" customWidth="1"/>
    <x:col min="6" max="6" width="85" hidden="0" customWidth="1"/>
    <x:col min="7" max="7" width="25" hidden="0" customWidth="1"/>
    <x:col min="8" max="8" width="22" hidden="0" customWidth="1"/>
    <x:col min="9" max="9" width="65" hidden="0" customWidth="1"/>
    <x:col min="10" max="10" width="45" hidden="0" customWidth="1"/>
  </x:cols>
  <x:sheetData>
    <x:row r="1">
      <x:c r="A1" s="48"/>
      <x:c r="B1" s="48"/>
      <x:c r="C1" s="48"/>
      <x:c r="D1" s="48"/>
      <x:c r="E1" s="48"/>
      <x:c r="F1" s="48"/>
      <x:c r="G1" s="48"/>
      <x:c r="H1" s="48"/>
      <x:c r="I1" s="48"/>
      <x:c r="J1" s="48"/>
    </x:row>
    <x:row r="2" ht="27" customHeight="1">
      <x:c r="A2" s="49" t="str">
        <x:v>Giữ nguyên toàn bộ chuỗi liên quan</x:v>
      </x:c>
      <x:c r="B2" s="48"/>
      <x:c r="C2" s="48"/>
      <x:c r="D2" s="48"/>
      <x:c r="E2" s="48"/>
      <x:c r="F2" s="48"/>
      <x:c r="G2" s="48"/>
      <x:c r="H2" s="48"/>
      <x:c r="I2" s="48"/>
      <x:c r="J2" s="48"/>
    </x:row>
    <x:row r="3">
      <x:c r="A3" s="48" t="str">
        <x:v>Cập nhật</x:v>
      </x:c>
      <x:c r="B3" s="50" t="d">
        <x:v>2026-10-11T00:00:00.000Z</x:v>
      </x:c>
      <x:c r="C3" s="48"/>
      <x:c r="D3" s="48"/>
      <x:c r="E3" s="48"/>
      <x:c r="F3" s="48"/>
      <x:c r="G3" s="48"/>
      <x:c r="H3" s="48"/>
      <x:c r="I3" s="48"/>
      <x:c r="J3" s="48"/>
    </x:row>
    <x:row r="4">
      <x:c r="A4" s="48" t="str">
        <x:v>Phạm vi gốc 01/01/2024–30/06/2025; giữ cả các hóa đơn liên quan được thấy trong nguồn mới đến 09/10/2026.</x:v>
      </x:c>
      <x:c r="B4" s="48"/>
      <x:c r="C4" s="48"/>
      <x:c r="D4" s="48"/>
      <x:c r="E4" s="48"/>
      <x:c r="F4" s="48"/>
      <x:c r="G4" s="48"/>
      <x:c r="H4" s="48"/>
      <x:c r="I4" s="48"/>
      <x:c r="J4" s="48"/>
    </x:row>
    <x:row r="5">
      <x:c r="A5" s="48" t="str">
        <x:v>238 chuỗi ngoại lệ cũ và6 cặp chốt giữ nguyên. 3 cặp cùng sản phẩm giữ riêng tại Hang va mo ta.</x:v>
      </x:c>
      <x:c r="B5" s="48"/>
      <x:c r="C5" s="48"/>
      <x:c r="D5" s="48"/>
      <x:c r="E5" s="48"/>
      <x:c r="F5" s="48"/>
      <x:c r="G5" s="48"/>
      <x:c r="H5" s="48"/>
      <x:c r="I5" s="48"/>
      <x:c r="J5" s="48"/>
    </x:row>
    <x:row r="6">
      <x:c r="A6" s="48"/>
      <x:c r="B6" s="48"/>
      <x:c r="C6" s="48"/>
      <x:c r="D6" s="48"/>
      <x:c r="E6" s="48"/>
      <x:c r="F6" s="48"/>
      <x:c r="G6" s="48"/>
      <x:c r="H6" s="48"/>
      <x:c r="I6" s="48"/>
      <x:c r="J6" s="48"/>
    </x:row>
    <x:row r="7" ht="44" customHeight="1">
      <x:c r="A7" s="55" t="str">
        <x:v>STT</x:v>
      </x:c>
      <x:c r="B7" s="55" t="str">
        <x:v>Hóa đơn gốc</x:v>
      </x:c>
      <x:c r="C7" s="55" t="str">
        <x:v>Ngày gốc</x:v>
      </x:c>
      <x:c r="D7" s="55" t="str">
        <x:v>Nhóm giữ nguyên</x:v>
      </x:c>
      <x:c r="E7" s="55" t="str">
        <x:v>Các hóa đơn liên quan và ngày</x:v>
      </x:c>
      <x:c r="F7" s="55" t="str">
        <x:v>Căn cứ nhận diện/giữ nguyên</x:v>
      </x:c>
      <x:c r="G7" s="55" t="str">
        <x:v>Hóa đơn có căn cứ</x:v>
      </x:c>
      <x:c r="H7" s="55" t="str">
        <x:v>MST/định danh nguồn</x:v>
      </x:c>
      <x:c r="I7" s="55" t="str">
        <x:v>Nguồn căn cứ</x:v>
      </x:c>
      <x:c r="J7" s="55" t="str">
        <x:v>Hướng xử lý</x:v>
      </x:c>
    </x:row>
    <x:row r="8" ht="84" customHeight="1">
      <x:c r="A8" s="57" t="n">
        <x:v>1</x:v>
      </x:c>
      <x:c r="B8" s="57" t="str">
        <x:v>1C24TUV/00000001</x:v>
      </x:c>
      <x:c r="C8" s="59" t="d">
        <x:v>2024-01-09T00:00:00.000Z</x:v>
      </x:c>
      <x:c r="D8" s="57" t="str">
        <x:v>Ngoại lệ đã tách</x:v>
      </x:c>
      <x:c r="E8" s="57" t="str">
        <x:v>1C24TUV/00000001 – 09/01/2024</x:v>
      </x:c>
      <x:c r="F8" s="57" t="str">
        <x:v>CÔNG TY TNHH GIA SƯ ETEACHER</x:v>
      </x:c>
      <x:c r="G8" s="57" t="str">
        <x:v>1C24TUV/00000001</x:v>
      </x:c>
      <x:c r="H8" s="65" t="str">
        <x:v>0314215951</x:v>
      </x:c>
      <x:c r="I8" s="57" t="str">
        <x:v>Bang_ke_chi_tiet_hoa_don_da_su_dung_1791533073074.xlsx | dòng 6</x:v>
      </x:c>
      <x:c r="J8" s="57" t="str">
        <x:v>Giữ nguyên tất cả hóa đơn liên quan.</x:v>
      </x:c>
    </x:row>
    <x:row r="9" ht="84" customHeight="1">
      <x:c r="A9" s="58" t="n">
        <x:v>2</x:v>
      </x:c>
      <x:c r="B9" s="58" t="str">
        <x:v>1C24TUV/00000002</x:v>
      </x:c>
      <x:c r="C9" s="60" t="d">
        <x:v>2024-01-09T00:00:00.000Z</x:v>
      </x:c>
      <x:c r="D9" s="58" t="str">
        <x:v>Ngoại lệ đã tách</x:v>
      </x:c>
      <x:c r="E9" s="58" t="str">
        <x:v>1C24TUV/00000002 – 09/01/2024</x:v>
      </x:c>
      <x:c r="F9" s="58" t="str">
        <x:v>CÔNG TY TNHH QUỐC TẾ SYNEX</x:v>
      </x:c>
      <x:c r="G9" s="58" t="str">
        <x:v>1C24TUV/00000002</x:v>
      </x:c>
      <x:c r="H9" s="66" t="str">
        <x:v>0316328904</x:v>
      </x:c>
      <x:c r="I9" s="58" t="str">
        <x:v>Bang_ke_chi_tiet_hoa_don_da_su_dung_1791533073074.xlsx | dòng 7</x:v>
      </x:c>
      <x:c r="J9" s="58" t="str">
        <x:v>Giữ nguyên tất cả hóa đơn liên quan.</x:v>
      </x:c>
    </x:row>
    <x:row r="10" ht="84" customHeight="1">
      <x:c r="A10" s="57" t="n">
        <x:v>3</x:v>
      </x:c>
      <x:c r="B10" s="57" t="str">
        <x:v>1C24TUV/00000003</x:v>
      </x:c>
      <x:c r="C10" s="59" t="d">
        <x:v>2024-01-10T00:00:00.000Z</x:v>
      </x:c>
      <x:c r="D10" s="57" t="str">
        <x:v>Giữ nguyên theo chốt</x:v>
      </x:c>
      <x:c r="E10" s="57" t="str">
        <x:v>1C24TUV/00000003 – 10/01/2024
1C25TUV/00000508 – 26/04/2025</x:v>
      </x:c>
      <x:c r="F10" s="57" t="str">
        <x:v>Người dùng chốt giữ cả cặp ngoài đợt xử lý (điểm 6)</x:v>
      </x:c>
      <x:c r="G10" s="57" t="str">
        <x:v>1C24TUV/00000003</x:v>
      </x:c>
      <x:c r="H10" s="65"/>
      <x:c r="I10" s="57" t="str">
        <x:v>Tin nhắn người dùng 11/10/2026</x:v>
      </x:c>
      <x:c r="J10" s="57" t="str">
        <x:v>Giữ nguyên tất cả hóa đơn liên quan.</x:v>
      </x:c>
    </x:row>
    <x:row r="11" ht="84" customHeight="1">
      <x:c r="A11" s="58" t="n">
        <x:v>4</x:v>
      </x:c>
      <x:c r="B11" s="58" t="str">
        <x:v>1C24TUV/00000021</x:v>
      </x:c>
      <x:c r="C11" s="60" t="d">
        <x:v>2024-01-17T00:00:00.000Z</x:v>
      </x:c>
      <x:c r="D11" s="58" t="str">
        <x:v>Ngoại lệ đã tách</x:v>
      </x:c>
      <x:c r="E11" s="58" t="str">
        <x:v>1C24TUV/00000021 – 17/01/2024</x:v>
      </x:c>
      <x:c r="F11" s="58" t="str">
        <x:v>CÔNG TY TNHH ĐẦU TƯ VÀ THIẾT KẾ XÂY DỰNG K.E.C</x:v>
      </x:c>
      <x:c r="G11" s="58" t="str">
        <x:v>1C24TUV/00000021</x:v>
      </x:c>
      <x:c r="H11" s="66" t="str">
        <x:v>0318152318</x:v>
      </x:c>
      <x:c r="I11" s="58" t="str">
        <x:v>Bang_ke_chi_tiet_hoa_don_da_su_dung_1791533073074.xlsx | dòng 458</x:v>
      </x:c>
      <x:c r="J11" s="58" t="str">
        <x:v>Giữ nguyên tất cả hóa đơn liên quan.</x:v>
      </x:c>
    </x:row>
    <x:row r="12" ht="84" customHeight="1">
      <x:c r="A12" s="57" t="n">
        <x:v>5</x:v>
      </x:c>
      <x:c r="B12" s="57" t="str">
        <x:v>1C24TUV/00000022</x:v>
      </x:c>
      <x:c r="C12" s="59" t="d">
        <x:v>2024-01-24T00:00:00.000Z</x:v>
      </x:c>
      <x:c r="D12" s="57" t="str">
        <x:v>Ngoại lệ đã tách</x:v>
      </x:c>
      <x:c r="E12" s="57" t="str">
        <x:v>1C24TUV/00000022 – 24/01/2024</x:v>
      </x:c>
      <x:c r="F12" s="57" t="str">
        <x:v>CÔNG TY TNHH THIẾT BỊ CÔNG NGHỆ QUỐC ANH</x:v>
      </x:c>
      <x:c r="G12" s="57" t="str">
        <x:v>1C24TUV/00000022</x:v>
      </x:c>
      <x:c r="H12" s="65" t="str">
        <x:v>0107470865</x:v>
      </x:c>
      <x:c r="I12" s="57" t="str">
        <x:v>Bang_ke_chi_tiet_hoa_don_da_su_dung_1791533073074.xlsx | dòng 461</x:v>
      </x:c>
      <x:c r="J12" s="57" t="str">
        <x:v>Giữ nguyên tất cả hóa đơn liên quan.</x:v>
      </x:c>
    </x:row>
    <x:row r="13" ht="84" customHeight="1">
      <x:c r="A13" s="58" t="n">
        <x:v>6</x:v>
      </x:c>
      <x:c r="B13" s="58" t="str">
        <x:v>1C24TUV/00000023</x:v>
      </x:c>
      <x:c r="C13" s="60" t="d">
        <x:v>2024-01-24T00:00:00.000Z</x:v>
      </x:c>
      <x:c r="D13" s="58" t="str">
        <x:v>Ngoại lệ đã tách</x:v>
      </x:c>
      <x:c r="E13" s="58" t="str">
        <x:v>1C24TUV/00000023 – 24/01/2024
1C25TUV/00000787 – 24/05/2025</x:v>
      </x:c>
      <x:c r="F13" s="58" t="str">
        <x:v>CÔNG TY TNHH THƯƠNG MẠI DỊCH VỤ GIA DỤNG THANH VÂN</x:v>
      </x:c>
      <x:c r="G13" s="58" t="str">
        <x:v>1C24TUV/00000023</x:v>
      </x:c>
      <x:c r="H13" s="66" t="str">
        <x:v>0318074892</x:v>
      </x:c>
      <x:c r="I13" s="58" t="str">
        <x:v>Bang_ke_chi_tiet_hoa_don_da_su_dung_1791533073074.xlsx | dòng 462</x:v>
      </x:c>
      <x:c r="J13" s="58" t="str">
        <x:v>Giữ nguyên tất cả hóa đơn liên quan.</x:v>
      </x:c>
    </x:row>
    <x:row r="14" ht="84" customHeight="1">
      <x:c r="A14" s="57" t="n">
        <x:v>7</x:v>
      </x:c>
      <x:c r="B14" s="57" t="str">
        <x:v>1C24TUV/00000028</x:v>
      </x:c>
      <x:c r="C14" s="59" t="d">
        <x:v>2024-01-27T00:00:00.000Z</x:v>
      </x:c>
      <x:c r="D14" s="57" t="str">
        <x:v>Ngoại lệ đã tách</x:v>
      </x:c>
      <x:c r="E14" s="57" t="str">
        <x:v>1C24TUV/00000028 – 27/01/2024
1C25TUV/00000790 – 24/05/2025</x:v>
      </x:c>
      <x:c r="F14" s="57" t="str">
        <x:v>CÔNG TY BẢO HIỂM PVI PHÍA NAM</x:v>
      </x:c>
      <x:c r="G14" s="57" t="str">
        <x:v>1C24TUV/00000028</x:v>
      </x:c>
      <x:c r="H14" s="65" t="str">
        <x:v>0105402531-025</x:v>
      </x:c>
      <x:c r="I14" s="57" t="str">
        <x:v>Bang_ke_chi_tiet_hoa_don_da_su_dung_1791533073074.xlsx | dòng 542</x:v>
      </x:c>
      <x:c r="J14" s="57" t="str">
        <x:v>Giữ nguyên tất cả hóa đơn liên quan.</x:v>
      </x:c>
    </x:row>
    <x:row r="15" ht="84" customHeight="1">
      <x:c r="A15" s="58" t="n">
        <x:v>8</x:v>
      </x:c>
      <x:c r="B15" s="58" t="str">
        <x:v>1C24TUV/00000060</x:v>
      </x:c>
      <x:c r="C15" s="60" t="d">
        <x:v>2024-02-06T00:00:00.000Z</x:v>
      </x:c>
      <x:c r="D15" s="58" t="str">
        <x:v>Ngoại lệ đã tách</x:v>
      </x:c>
      <x:c r="E15" s="58" t="str">
        <x:v>1C24TUV/00000060 – 06/02/2024
1C24TUV/00000061 – 06/02/2024
1C25TUV/00002605 – 31/05/2025</x:v>
      </x:c>
      <x:c r="F15" s="58" t="str">
        <x:v>CÔNG TY CỔ PHẦN XÂY DỰNG VÀ NỘI THẤT PHÚ MINH</x:v>
      </x:c>
      <x:c r="G15" s="58" t="str">
        <x:v>1C24TUV/00000060</x:v>
      </x:c>
      <x:c r="H15" s="66" t="str">
        <x:v>0106357063</x:v>
      </x:c>
      <x:c r="I15" s="58" t="str">
        <x:v>Bang_ke_chi_tiet_hoa_don_da_su_dung_1791533073074.xlsx | dòng 1478</x:v>
      </x:c>
      <x:c r="J15" s="58" t="str">
        <x:v>Giữ nguyên tất cả hóa đơn liên quan.</x:v>
      </x:c>
    </x:row>
    <x:row r="16" ht="84" customHeight="1">
      <x:c r="A16" s="57" t="n">
        <x:v>9</x:v>
      </x:c>
      <x:c r="B16" s="57" t="str">
        <x:v>1C24TUV/00000062</x:v>
      </x:c>
      <x:c r="C16" s="59" t="d">
        <x:v>2024-02-20T00:00:00.000Z</x:v>
      </x:c>
      <x:c r="D16" s="57" t="str">
        <x:v>Ngoại lệ đã tách</x:v>
      </x:c>
      <x:c r="E16" s="57" t="str">
        <x:v>1C24TUV/00000062 – 20/02/2024</x:v>
      </x:c>
      <x:c r="F16" s="57" t="str">
        <x:v>CÔNG TY CỔ PHẦN DỊCH VỤ LOGISTICS DẦU KHÍ VIỆT NAM</x:v>
      </x:c>
      <x:c r="G16" s="57" t="str">
        <x:v>1C24TUV/00000062</x:v>
      </x:c>
      <x:c r="H16" s="65" t="str">
        <x:v>0311523789</x:v>
      </x:c>
      <x:c r="I16" s="57" t="str">
        <x:v>Bang_ke_chi_tiet_hoa_don_da_su_dung_1791533073074.xlsx | dòng 1480</x:v>
      </x:c>
      <x:c r="J16" s="57" t="str">
        <x:v>Giữ nguyên tất cả hóa đơn liên quan.</x:v>
      </x:c>
    </x:row>
    <x:row r="17" ht="84" customHeight="1">
      <x:c r="A17" s="58" t="n">
        <x:v>10</x:v>
      </x:c>
      <x:c r="B17" s="58" t="str">
        <x:v>1C24TUV/00000063</x:v>
      </x:c>
      <x:c r="C17" s="60" t="d">
        <x:v>2024-02-20T00:00:00.000Z</x:v>
      </x:c>
      <x:c r="D17" s="58" t="str">
        <x:v>Ngoại lệ đã tách</x:v>
      </x:c>
      <x:c r="E17" s="58" t="str">
        <x:v>1C24TUV/00000063 – 20/02/2024</x:v>
      </x:c>
      <x:c r="F17" s="58" t="str">
        <x:v>CÔNG TY CỔ PHẦN DỊCH VỤ LOGISTICS DẦU KHÍ VIỆT NAM</x:v>
      </x:c>
      <x:c r="G17" s="58" t="str">
        <x:v>1C24TUV/00000063</x:v>
      </x:c>
      <x:c r="H17" s="66" t="str">
        <x:v>0311523789</x:v>
      </x:c>
      <x:c r="I17" s="58" t="str">
        <x:v>Bang_ke_chi_tiet_hoa_don_da_su_dung_1791533073074.xlsx | dòng 1482</x:v>
      </x:c>
      <x:c r="J17" s="58" t="str">
        <x:v>Giữ nguyên tất cả hóa đơn liên quan.</x:v>
      </x:c>
    </x:row>
    <x:row r="18" ht="84" customHeight="1">
      <x:c r="A18" s="57" t="n">
        <x:v>11</x:v>
      </x:c>
      <x:c r="B18" s="57" t="str">
        <x:v>1C24TUV/00000064</x:v>
      </x:c>
      <x:c r="C18" s="59" t="d">
        <x:v>2024-02-28T00:00:00.000Z</x:v>
      </x:c>
      <x:c r="D18" s="57" t="str">
        <x:v>Ngoại lệ đã tách</x:v>
      </x:c>
      <x:c r="E18" s="57" t="str">
        <x:v>1C24TUV/00000064 – 28/02/2024
1C25TUV/00002609 – 31/05/2025
1C25TUV/00009375 – 30/06/2025</x:v>
      </x:c>
      <x:c r="F18" s="57" t="str">
        <x:v>CÔNG TY TNHH CƠ KHÍ XÂY DỰNG ANH ĐẠT</x:v>
      </x:c>
      <x:c r="G18" s="57" t="str">
        <x:v>1C24TUV/00000064</x:v>
      </x:c>
      <x:c r="H18" s="65" t="str">
        <x:v>0310367287</x:v>
      </x:c>
      <x:c r="I18" s="57" t="str">
        <x:v>Bang_ke_chi_tiet_hoa_don_da_su_dung_1791533073074.xlsx | dòng 1483</x:v>
      </x:c>
      <x:c r="J18" s="57" t="str">
        <x:v>Giữ nguyên tất cả hóa đơn liên quan.</x:v>
      </x:c>
    </x:row>
    <x:row r="19" ht="84" customHeight="1">
      <x:c r="A19" s="58" t="n">
        <x:v>12</x:v>
      </x:c>
      <x:c r="B19" s="58" t="str">
        <x:v>1C24TUV/00000110</x:v>
      </x:c>
      <x:c r="C19" s="60" t="d">
        <x:v>2024-03-15T00:00:00.000Z</x:v>
      </x:c>
      <x:c r="D19" s="58" t="str">
        <x:v>Ngoại lệ đã tách</x:v>
      </x:c>
      <x:c r="E19" s="58" t="str">
        <x:v>1C24TUV/00000110 – 15/03/2024</x:v>
      </x:c>
      <x:c r="F19" s="58" t="str">
        <x:v>CÔNG TY TNHH SẢN XUẤT VÀ ĐẦU TƯ AKIA</x:v>
      </x:c>
      <x:c r="G19" s="58" t="str">
        <x:v>1C24TUV/00000110</x:v>
      </x:c>
      <x:c r="H19" s="66" t="str">
        <x:v>0315793560</x:v>
      </x:c>
      <x:c r="I19" s="58" t="str">
        <x:v>Bang_ke_chi_tiet_hoa_don_da_su_dung_1791533073074.xlsx | dòng 2396</x:v>
      </x:c>
      <x:c r="J19" s="58" t="str">
        <x:v>Giữ nguyên tất cả hóa đơn liên quan.</x:v>
      </x:c>
    </x:row>
    <x:row r="20" ht="84" customHeight="1">
      <x:c r="A20" s="57" t="n">
        <x:v>13</x:v>
      </x:c>
      <x:c r="B20" s="57" t="str">
        <x:v>1C24TUV/00000111</x:v>
      </x:c>
      <x:c r="C20" s="59" t="d">
        <x:v>2024-03-15T00:00:00.000Z</x:v>
      </x:c>
      <x:c r="D20" s="57" t="str">
        <x:v>Ngoại lệ đã tách</x:v>
      </x:c>
      <x:c r="E20" s="57" t="str">
        <x:v>1C24TUV/00000111 – 15/03/2024</x:v>
      </x:c>
      <x:c r="F20" s="57" t="str">
        <x:v>CÔNG TY TNHH SẢN XUẤT VÀ ĐẦU TƯ AKIA</x:v>
      </x:c>
      <x:c r="G20" s="57" t="str">
        <x:v>1C24TUV/00000111</x:v>
      </x:c>
      <x:c r="H20" s="65" t="str">
        <x:v>0315793560</x:v>
      </x:c>
      <x:c r="I20" s="57" t="str">
        <x:v>Bang_ke_chi_tiet_hoa_don_da_su_dung_1791533073074.xlsx | dòng 2397</x:v>
      </x:c>
      <x:c r="J20" s="57" t="str">
        <x:v>Giữ nguyên tất cả hóa đơn liên quan.</x:v>
      </x:c>
    </x:row>
    <x:row r="21" ht="84" customHeight="1">
      <x:c r="A21" s="58" t="n">
        <x:v>14</x:v>
      </x:c>
      <x:c r="B21" s="58" t="str">
        <x:v>1C24TUV/00000112</x:v>
      </x:c>
      <x:c r="C21" s="60" t="d">
        <x:v>2024-03-19T00:00:00.000Z</x:v>
      </x:c>
      <x:c r="D21" s="58" t="str">
        <x:v>Ngoại lệ đã tách</x:v>
      </x:c>
      <x:c r="E21" s="58" t="str">
        <x:v>1C24TUV/00000112 – 19/03/2024</x:v>
      </x:c>
      <x:c r="F21" s="58" t="str">
        <x:v>CÔNG TY TNHH SPECTOS ASIA</x:v>
      </x:c>
      <x:c r="G21" s="58" t="str">
        <x:v>1C24TUV/00000112</x:v>
      </x:c>
      <x:c r="H21" s="66" t="str">
        <x:v>0102970529</x:v>
      </x:c>
      <x:c r="I21" s="58" t="str">
        <x:v>Bang_ke_chi_tiet_hoa_don_da_su_dung_1791533073074.xlsx | dòng 2399</x:v>
      </x:c>
      <x:c r="J21" s="58" t="str">
        <x:v>Giữ nguyên tất cả hóa đơn liên quan.</x:v>
      </x:c>
    </x:row>
    <x:row r="22" ht="84" customHeight="1">
      <x:c r="A22" s="57" t="n">
        <x:v>15</x:v>
      </x:c>
      <x:c r="B22" s="57" t="str">
        <x:v>1C24TUV/00000113</x:v>
      </x:c>
      <x:c r="C22" s="59" t="d">
        <x:v>2024-03-20T00:00:00.000Z</x:v>
      </x:c>
      <x:c r="D22" s="57" t="str">
        <x:v>Ngoại lệ đã tách</x:v>
      </x:c>
      <x:c r="E22" s="57" t="str">
        <x:v>1C24TUV/00000113 – 20/03/2024</x:v>
      </x:c>
      <x:c r="F22" s="57" t="str">
        <x:v>CÔNG TY TNHH SẢN XUẤT VÀ ĐẦU TƯ AKIA</x:v>
      </x:c>
      <x:c r="G22" s="57" t="str">
        <x:v>1C24TUV/00000113</x:v>
      </x:c>
      <x:c r="H22" s="65" t="str">
        <x:v>0315793560</x:v>
      </x:c>
      <x:c r="I22" s="57" t="str">
        <x:v>Bang_ke_chi_tiet_hoa_don_da_su_dung_1791533073074.xlsx | dòng 2400</x:v>
      </x:c>
      <x:c r="J22" s="57" t="str">
        <x:v>Giữ nguyên tất cả hóa đơn liên quan.</x:v>
      </x:c>
    </x:row>
    <x:row r="23" ht="84" customHeight="1">
      <x:c r="A23" s="58" t="n">
        <x:v>16</x:v>
      </x:c>
      <x:c r="B23" s="58" t="str">
        <x:v>1C24TUV/00000122</x:v>
      </x:c>
      <x:c r="C23" s="60" t="d">
        <x:v>2024-03-28T00:00:00.000Z</x:v>
      </x:c>
      <x:c r="D23" s="58" t="str">
        <x:v>Ngoại lệ đã tách</x:v>
      </x:c>
      <x:c r="E23" s="58" t="str">
        <x:v>1C24TUV/00000122 – 28/03/2024
1C25TUV/00002611 – 31/05/2025
1C25TUV/00009436 – 30/06/2025</x:v>
      </x:c>
      <x:c r="F23" s="58" t="str">
        <x:v>CÔNG TY TNHH THƯƠNG MẠI SẢN XUẤT XÂY DỰNG VÀ XUẤT NHẬP KHẨU GỖ KHÁNH THY</x:v>
      </x:c>
      <x:c r="G23" s="58" t="str">
        <x:v>1C24TUV/00000122</x:v>
      </x:c>
      <x:c r="H23" s="66" t="str">
        <x:v>0317658951</x:v>
      </x:c>
      <x:c r="I23" s="58" t="str">
        <x:v>Bang_ke_chi_tiet_hoa_don_da_su_dung_1791533073074.xlsx | dòng 2577</x:v>
      </x:c>
      <x:c r="J23" s="58" t="str">
        <x:v>Giữ nguyên tất cả hóa đơn liên quan.</x:v>
      </x:c>
    </x:row>
    <x:row r="24" ht="84" customHeight="1">
      <x:c r="A24" s="57" t="n">
        <x:v>17</x:v>
      </x:c>
      <x:c r="B24" s="57" t="str">
        <x:v>1C24TUV/00000123</x:v>
      </x:c>
      <x:c r="C24" s="59" t="d">
        <x:v>2024-03-28T00:00:00.000Z</x:v>
      </x:c>
      <x:c r="D24" s="57" t="str">
        <x:v>Ngoại lệ đã tách</x:v>
      </x:c>
      <x:c r="E24" s="57" t="str">
        <x:v>1C24TUV/00000123 – 28/03/2024
1C25TUV/00001160 – 26/05/2025</x:v>
      </x:c>
      <x:c r="F24" s="57" t="str">
        <x:v>CÔNG TY CỔ PHẦN ĐẦU TƯ XÂY DỰNG SOL E&amp;C</x:v>
      </x:c>
      <x:c r="G24" s="57" t="str">
        <x:v>1C24TUV/00000123</x:v>
      </x:c>
      <x:c r="H24" s="65" t="str">
        <x:v>0313541575</x:v>
      </x:c>
      <x:c r="I24" s="57" t="str">
        <x:v>Bang_ke_chi_tiet_hoa_don_da_su_dung_1791533073074.xlsx | dòng 2578</x:v>
      </x:c>
      <x:c r="J24" s="57" t="str">
        <x:v>Giữ nguyên tất cả hóa đơn liên quan.</x:v>
      </x:c>
    </x:row>
    <x:row r="25" ht="84" customHeight="1">
      <x:c r="A25" s="58" t="n">
        <x:v>18</x:v>
      </x:c>
      <x:c r="B25" s="58" t="str">
        <x:v>1C24TUV/00000124</x:v>
      </x:c>
      <x:c r="C25" s="60" t="d">
        <x:v>2024-03-30T00:00:00.000Z</x:v>
      </x:c>
      <x:c r="D25" s="58" t="str">
        <x:v>Ngoại lệ đã tách</x:v>
      </x:c>
      <x:c r="E25" s="58" t="str">
        <x:v>1C24TUV/00000124 – 30/03/2024</x:v>
      </x:c>
      <x:c r="F25" s="58" t="str">
        <x:v>CHI NHÁNH CÔNG TY TNHH MỘT THÀNH VIÊN KHÁCH SẠN AZUMAYA</x:v>
      </x:c>
      <x:c r="G25" s="58" t="str">
        <x:v>1C24TUV/00000124</x:v>
      </x:c>
      <x:c r="H25" s="66" t="str">
        <x:v>0309489918-003</x:v>
      </x:c>
      <x:c r="I25" s="58" t="str">
        <x:v>Bang_ke_chi_tiet_hoa_don_da_su_dung_1791533073074.xlsx | dòng 2579</x:v>
      </x:c>
      <x:c r="J25" s="58" t="str">
        <x:v>Giữ nguyên tất cả hóa đơn liên quan.</x:v>
      </x:c>
    </x:row>
    <x:row r="26" ht="84" customHeight="1">
      <x:c r="A26" s="57" t="n">
        <x:v>19</x:v>
      </x:c>
      <x:c r="B26" s="57" t="str">
        <x:v>1C24TUV/00000125</x:v>
      </x:c>
      <x:c r="C26" s="59" t="d">
        <x:v>2024-03-30T00:00:00.000Z</x:v>
      </x:c>
      <x:c r="D26" s="57" t="str">
        <x:v>Ngoại lệ đã tách</x:v>
      </x:c>
      <x:c r="E26" s="57" t="str">
        <x:v>1C24TUV/00000125 – 30/03/2024</x:v>
      </x:c>
      <x:c r="F26" s="57" t="str">
        <x:v>CHI NHÁNH THÁI VĂN LUNG 2 - CÔNG TY TNHH MỘT THÀNH VIÊN KHÁCH SẠN AZUMAYA</x:v>
      </x:c>
      <x:c r="G26" s="57" t="str">
        <x:v>1C24TUV/00000125</x:v>
      </x:c>
      <x:c r="H26" s="65" t="str">
        <x:v>0309489918-006</x:v>
      </x:c>
      <x:c r="I26" s="57" t="str">
        <x:v>Bang_ke_chi_tiet_hoa_don_da_su_dung_1791533073074.xlsx | dòng 2580</x:v>
      </x:c>
      <x:c r="J26" s="57" t="str">
        <x:v>Giữ nguyên tất cả hóa đơn liên quan.</x:v>
      </x:c>
    </x:row>
    <x:row r="27" ht="84" customHeight="1">
      <x:c r="A27" s="58" t="n">
        <x:v>20</x:v>
      </x:c>
      <x:c r="B27" s="58" t="str">
        <x:v>1C24TUV/00000127</x:v>
      </x:c>
      <x:c r="C27" s="60" t="d">
        <x:v>2024-03-31T00:00:00.000Z</x:v>
      </x:c>
      <x:c r="D27" s="58" t="str">
        <x:v>Ngoại lệ đã tách</x:v>
      </x:c>
      <x:c r="E27" s="58" t="str">
        <x:v>1C24TUV/00000127 – 31/03/2024</x:v>
      </x:c>
      <x:c r="F27" s="58" t="str">
        <x:v>CHI NHÁNH THÁI VĂN LUNG 2 - CÔNG TY TNHH MỘT THÀNH VIÊN KHÁCH SẠN AZUMAYA</x:v>
      </x:c>
      <x:c r="G27" s="58" t="str">
        <x:v>1C24TUV/00000127</x:v>
      </x:c>
      <x:c r="H27" s="66" t="str">
        <x:v>0309489918-006</x:v>
      </x:c>
      <x:c r="I27" s="58" t="str">
        <x:v>Bang_ke_chi_tiet_hoa_don_da_su_dung_1791533073074.xlsx | dòng 2600</x:v>
      </x:c>
      <x:c r="J27" s="58" t="str">
        <x:v>Giữ nguyên tất cả hóa đơn liên quan.</x:v>
      </x:c>
    </x:row>
    <x:row r="28" ht="84" customHeight="1">
      <x:c r="A28" s="57" t="n">
        <x:v>21</x:v>
      </x:c>
      <x:c r="B28" s="57" t="str">
        <x:v>1C24TUV/00000132</x:v>
      </x:c>
      <x:c r="C28" s="59" t="d">
        <x:v>2024-04-05T00:00:00.000Z</x:v>
      </x:c>
      <x:c r="D28" s="57" t="str">
        <x:v>Ngoại lệ đã tách</x:v>
      </x:c>
      <x:c r="E28" s="57" t="str">
        <x:v>1C24TUV/00000132 – 05/04/2024</x:v>
      </x:c>
      <x:c r="F28" s="57" t="str">
        <x:v>CÔNG TY TNHH MỘT THÀNH VIÊN KHÁCH SẠN AZUMAYA</x:v>
      </x:c>
      <x:c r="G28" s="57" t="str">
        <x:v>1C24TUV/00000132</x:v>
      </x:c>
      <x:c r="H28" s="65" t="str">
        <x:v>0309489918</x:v>
      </x:c>
      <x:c r="I28" s="57" t="str">
        <x:v>Bang_ke_chi_tiet_hoa_don_da_su_dung_1791533073074.xlsx | dòng 2874</x:v>
      </x:c>
      <x:c r="J28" s="57" t="str">
        <x:v>Giữ nguyên tất cả hóa đơn liên quan.</x:v>
      </x:c>
    </x:row>
    <x:row r="29" ht="84" customHeight="1">
      <x:c r="A29" s="58" t="n">
        <x:v>22</x:v>
      </x:c>
      <x:c r="B29" s="58" t="str">
        <x:v>1C24TUV/00000135</x:v>
      </x:c>
      <x:c r="C29" s="60" t="d">
        <x:v>2024-04-06T00:00:00.000Z</x:v>
      </x:c>
      <x:c r="D29" s="58" t="str">
        <x:v>Ngoại lệ đã tách</x:v>
      </x:c>
      <x:c r="E29" s="58" t="str">
        <x:v>1C24TUV/00000135 – 06/04/2024</x:v>
      </x:c>
      <x:c r="F29" s="58" t="str">
        <x:v>CÔNG TY TNHH MỘT THÀNH VIÊN KHÁCH SẠN AZUMAYA</x:v>
      </x:c>
      <x:c r="G29" s="58" t="str">
        <x:v>1C24TUV/00000135</x:v>
      </x:c>
      <x:c r="H29" s="66" t="str">
        <x:v>0309489918</x:v>
      </x:c>
      <x:c r="I29" s="58" t="str">
        <x:v>Bang_ke_chi_tiet_hoa_don_da_su_dung_1791533073074.xlsx | dòng 2911</x:v>
      </x:c>
      <x:c r="J29" s="58" t="str">
        <x:v>Giữ nguyên tất cả hóa đơn liên quan.</x:v>
      </x:c>
    </x:row>
    <x:row r="30" ht="84" customHeight="1">
      <x:c r="A30" s="57" t="n">
        <x:v>23</x:v>
      </x:c>
      <x:c r="B30" s="57" t="str">
        <x:v>1C24TUV/00000162</x:v>
      </x:c>
      <x:c r="C30" s="59" t="d">
        <x:v>2024-04-09T00:00:00.000Z</x:v>
      </x:c>
      <x:c r="D30" s="57" t="str">
        <x:v>Ngoại lệ đã tách</x:v>
      </x:c>
      <x:c r="E30" s="57" t="str">
        <x:v>1C24TUV/00000162 – 09/04/2024
1C25TUV/00001223 – 27/05/2025</x:v>
      </x:c>
      <x:c r="F30" s="57" t="str">
        <x:v>CÔNG TY TNHH NHIÊN HOUSE</x:v>
      </x:c>
      <x:c r="G30" s="57" t="str">
        <x:v>1C24TUV/00000162</x:v>
      </x:c>
      <x:c r="H30" s="65" t="str">
        <x:v>0316160754</x:v>
      </x:c>
      <x:c r="I30" s="57" t="str">
        <x:v>Bang_ke_chi_tiet_hoa_don_da_su_dung_1791533073074.xlsx | dòng 3753</x:v>
      </x:c>
      <x:c r="J30" s="57" t="str">
        <x:v>Giữ nguyên tất cả hóa đơn liên quan.</x:v>
      </x:c>
    </x:row>
    <x:row r="31" ht="84" customHeight="1">
      <x:c r="A31" s="58" t="n">
        <x:v>24</x:v>
      </x:c>
      <x:c r="B31" s="58" t="str">
        <x:v>1C24TUV/00000163</x:v>
      </x:c>
      <x:c r="C31" s="60" t="d">
        <x:v>2024-04-09T00:00:00.000Z</x:v>
      </x:c>
      <x:c r="D31" s="58" t="str">
        <x:v>Ngoại lệ đã tách</x:v>
      </x:c>
      <x:c r="E31" s="58" t="str">
        <x:v>1C24TUV/00000163 – 09/04/2024</x:v>
      </x:c>
      <x:c r="F31" s="58" t="str">
        <x:v>CÔNG TY CỔ PHẦN NTQ SOLUTION</x:v>
      </x:c>
      <x:c r="G31" s="58" t="str">
        <x:v>1C24TUV/00000163</x:v>
      </x:c>
      <x:c r="H31" s="66" t="str">
        <x:v>0105355296</x:v>
      </x:c>
      <x:c r="I31" s="58" t="str">
        <x:v>Bang_ke_chi_tiet_hoa_don_da_su_dung_1791533073074.xlsx | dòng 3754</x:v>
      </x:c>
      <x:c r="J31" s="58" t="str">
        <x:v>Giữ nguyên tất cả hóa đơn liên quan.</x:v>
      </x:c>
    </x:row>
    <x:row r="32" ht="84" customHeight="1">
      <x:c r="A32" s="57" t="n">
        <x:v>25</x:v>
      </x:c>
      <x:c r="B32" s="57" t="str">
        <x:v>1C24TUV/00000164</x:v>
      </x:c>
      <x:c r="C32" s="59" t="d">
        <x:v>2024-04-10T00:00:00.000Z</x:v>
      </x:c>
      <x:c r="D32" s="57" t="str">
        <x:v>Ngoại lệ đã tách</x:v>
      </x:c>
      <x:c r="E32" s="57" t="str">
        <x:v>1C24TUV/00000164 – 10/04/2024</x:v>
      </x:c>
      <x:c r="F32" s="57" t="str">
        <x:v>CÔNG TY CỔ PHẦN MAJOR EDUCATION</x:v>
      </x:c>
      <x:c r="G32" s="57" t="str">
        <x:v>1C24TUV/00000164</x:v>
      </x:c>
      <x:c r="H32" s="65" t="str">
        <x:v>0310596706</x:v>
      </x:c>
      <x:c r="I32" s="57" t="str">
        <x:v>Bang_ke_chi_tiet_hoa_don_da_su_dung_1791533073074.xlsx | dòng 3755</x:v>
      </x:c>
      <x:c r="J32" s="57" t="str">
        <x:v>Giữ nguyên tất cả hóa đơn liên quan.</x:v>
      </x:c>
    </x:row>
    <x:row r="33" ht="84" customHeight="1">
      <x:c r="A33" s="58" t="n">
        <x:v>26</x:v>
      </x:c>
      <x:c r="B33" s="58" t="str">
        <x:v>1C24TUV/00000169</x:v>
      </x:c>
      <x:c r="C33" s="60" t="d">
        <x:v>2024-04-15T00:00:00.000Z</x:v>
      </x:c>
      <x:c r="D33" s="58" t="str">
        <x:v>Ngoại lệ đã tách</x:v>
      </x:c>
      <x:c r="E33" s="58" t="str">
        <x:v>1C24TUV/00000169 – 15/04/2024</x:v>
      </x:c>
      <x:c r="F33" s="58" t="str">
        <x:v>HỘ KINH DOANH CỬA HÀNG DỤNG CỤ Y TẾ KHÁNH VIỄN</x:v>
      </x:c>
      <x:c r="G33" s="58" t="str">
        <x:v>1C24TUV/00000169</x:v>
      </x:c>
      <x:c r="H33" s="66" t="str">
        <x:v>8127675505-001</x:v>
      </x:c>
      <x:c r="I33" s="58" t="str">
        <x:v>Bang_ke_chi_tiet_hoa_don_da_su_dung_1791533073074.xlsx | dòng 3918</x:v>
      </x:c>
      <x:c r="J33" s="58" t="str">
        <x:v>Giữ nguyên tất cả hóa đơn liên quan.</x:v>
      </x:c>
    </x:row>
    <x:row r="34" ht="84" customHeight="1">
      <x:c r="A34" s="57" t="n">
        <x:v>27</x:v>
      </x:c>
      <x:c r="B34" s="57" t="str">
        <x:v>1C24TUV/00000170</x:v>
      </x:c>
      <x:c r="C34" s="59" t="d">
        <x:v>2024-04-20T00:00:00.000Z</x:v>
      </x:c>
      <x:c r="D34" s="57" t="str">
        <x:v>Ngoại lệ đã tách</x:v>
      </x:c>
      <x:c r="E34" s="57" t="str">
        <x:v>1C24TUV/00000170 – 20/04/2024
1C25TUV/00002615 – 31/05/2025</x:v>
      </x:c>
      <x:c r="F34" s="57" t="str">
        <x:v>CÔNG TY TNHH THỔ KIM PHÁT</x:v>
      </x:c>
      <x:c r="G34" s="57" t="str">
        <x:v>1C24TUV/00000170</x:v>
      </x:c>
      <x:c r="H34" s="65" t="str">
        <x:v>0110490847</x:v>
      </x:c>
      <x:c r="I34" s="57" t="str">
        <x:v>Bang_ke_chi_tiet_hoa_don_da_su_dung_1791533073074.xlsx | dòng 3923</x:v>
      </x:c>
      <x:c r="J34" s="57" t="str">
        <x:v>Giữ nguyên tất cả hóa đơn liên quan.</x:v>
      </x:c>
    </x:row>
    <x:row r="35" ht="84" customHeight="1">
      <x:c r="A35" s="58" t="n">
        <x:v>28</x:v>
      </x:c>
      <x:c r="B35" s="58" t="str">
        <x:v>1C24TUV/00000175</x:v>
      </x:c>
      <x:c r="C35" s="60" t="d">
        <x:v>2024-04-22T00:00:00.000Z</x:v>
      </x:c>
      <x:c r="D35" s="58" t="str">
        <x:v>Ngoại lệ đã tách</x:v>
      </x:c>
      <x:c r="E35" s="58" t="str">
        <x:v>1C24TUV/00000175 – 22/04/2024</x:v>
      </x:c>
      <x:c r="F35" s="58" t="str">
        <x:v>CÔNG TY CỔ PHẦN QUẢNG CÁO VÀ THƯƠNG MẠI GSOLUTION</x:v>
      </x:c>
      <x:c r="G35" s="58" t="str">
        <x:v>1C24TUV/00000175</x:v>
      </x:c>
      <x:c r="H35" s="66" t="str">
        <x:v>0311950572</x:v>
      </x:c>
      <x:c r="I35" s="58" t="str">
        <x:v>Bang_ke_chi_tiet_hoa_don_da_su_dung_1791533073074.xlsx | dòng 4004</x:v>
      </x:c>
      <x:c r="J35" s="58" t="str">
        <x:v>Giữ nguyên tất cả hóa đơn liên quan.</x:v>
      </x:c>
    </x:row>
    <x:row r="36" ht="84" customHeight="1">
      <x:c r="A36" s="57" t="n">
        <x:v>29</x:v>
      </x:c>
      <x:c r="B36" s="57" t="str">
        <x:v>1C24TUV/00000183</x:v>
      </x:c>
      <x:c r="C36" s="59" t="d">
        <x:v>2024-04-25T00:00:00.000Z</x:v>
      </x:c>
      <x:c r="D36" s="57" t="str">
        <x:v>Ngoại lệ đã tách</x:v>
      </x:c>
      <x:c r="E36" s="57" t="str">
        <x:v>1C24TUV/00000183 – 25/04/2024
1C25TUV/00002616 – 31/05/2025</x:v>
      </x:c>
      <x:c r="F36" s="57" t="str">
        <x:v>CÔNG TY TNHH DRACO LOGISTICS VIỆT NAM</x:v>
      </x:c>
      <x:c r="G36" s="57" t="str">
        <x:v>1C24TUV/00000183</x:v>
      </x:c>
      <x:c r="H36" s="65" t="str">
        <x:v>0318228694</x:v>
      </x:c>
      <x:c r="I36" s="57" t="str">
        <x:v>Bang_ke_chi_tiet_hoa_don_da_su_dung_1791533073074.xlsx | dòng 4318</x:v>
      </x:c>
      <x:c r="J36" s="57" t="str">
        <x:v>Giữ nguyên tất cả hóa đơn liên quan.</x:v>
      </x:c>
    </x:row>
    <x:row r="37" ht="84" customHeight="1">
      <x:c r="A37" s="58" t="n">
        <x:v>30</x:v>
      </x:c>
      <x:c r="B37" s="58" t="str">
        <x:v>1C24TUV/00000185</x:v>
      </x:c>
      <x:c r="C37" s="60" t="d">
        <x:v>2024-04-26T00:00:00.000Z</x:v>
      </x:c>
      <x:c r="D37" s="58" t="str">
        <x:v>Ngoại lệ đã tách</x:v>
      </x:c>
      <x:c r="E37" s="58" t="str">
        <x:v>1C24TUV/00000185 – 26/04/2024</x:v>
      </x:c>
      <x:c r="F37" s="58" t="str">
        <x:v>CÔNG TY TNHH MỘT THÀNH VIÊN THƯƠNG MẠI TƯ VẤN XÂY DỰNG MỸ HÒA</x:v>
      </x:c>
      <x:c r="G37" s="58" t="str">
        <x:v>1C24TUV/00000185</x:v>
      </x:c>
      <x:c r="H37" s="66" t="str">
        <x:v>1702245926</x:v>
      </x:c>
      <x:c r="I37" s="58" t="str">
        <x:v>Bang_ke_chi_tiet_hoa_don_da_su_dung_1791533073074.xlsx | dòng 4415</x:v>
      </x:c>
      <x:c r="J37" s="58" t="str">
        <x:v>Giữ nguyên tất cả hóa đơn liên quan.</x:v>
      </x:c>
    </x:row>
    <x:row r="38" ht="84" customHeight="1">
      <x:c r="A38" s="57" t="n">
        <x:v>31</x:v>
      </x:c>
      <x:c r="B38" s="57" t="str">
        <x:v>1C24TUV/00000218</x:v>
      </x:c>
      <x:c r="C38" s="59" t="d">
        <x:v>2024-05-03T00:00:00.000Z</x:v>
      </x:c>
      <x:c r="D38" s="57" t="str">
        <x:v>Ngoại lệ đã tách</x:v>
      </x:c>
      <x:c r="E38" s="57" t="str">
        <x:v>1C24TUV/00000218 – 03/05/2024
1C25TUV/00001560 – 28/05/2025</x:v>
      </x:c>
      <x:c r="F38" s="57" t="str">
        <x:v>CÔNG TY CỔ PHẦN THƯƠNG MẠI VÀ DỊCH VỤ SAGEN</x:v>
      </x:c>
      <x:c r="G38" s="57" t="str">
        <x:v>1C24TUV/00000218</x:v>
      </x:c>
      <x:c r="H38" s="65" t="str">
        <x:v>0313342918</x:v>
      </x:c>
      <x:c r="I38" s="57" t="str">
        <x:v>Bang_ke_chi_tiet_hoa_don_da_su_dung_1791533073074.xlsx | dòng 5578</x:v>
      </x:c>
      <x:c r="J38" s="57" t="str">
        <x:v>Giữ nguyên tất cả hóa đơn liên quan.</x:v>
      </x:c>
    </x:row>
    <x:row r="39" ht="84" customHeight="1">
      <x:c r="A39" s="58" t="n">
        <x:v>32</x:v>
      </x:c>
      <x:c r="B39" s="58" t="str">
        <x:v>1C24TUV/00000219</x:v>
      </x:c>
      <x:c r="C39" s="60" t="d">
        <x:v>2024-05-07T00:00:00.000Z</x:v>
      </x:c>
      <x:c r="D39" s="58" t="str">
        <x:v>Ngoại lệ đã tách</x:v>
      </x:c>
      <x:c r="E39" s="58" t="str">
        <x:v>1C24TUV/00000219 – 07/05/2024
1C25TUV/00001543 – 28/05/2025</x:v>
      </x:c>
      <x:c r="F39" s="58" t="str">
        <x:v>CÔNG TY TNHH TRUYỀN THÔNG VÀ SỰ KIỆN CARPE DIEM</x:v>
      </x:c>
      <x:c r="G39" s="58" t="str">
        <x:v>1C24TUV/00000219</x:v>
      </x:c>
      <x:c r="H39" s="66" t="str">
        <x:v>0318166409</x:v>
      </x:c>
      <x:c r="I39" s="58" t="str">
        <x:v>Bang_ke_chi_tiet_hoa_don_da_su_dung_1791533073074.xlsx | dòng 5579</x:v>
      </x:c>
      <x:c r="J39" s="58" t="str">
        <x:v>Giữ nguyên tất cả hóa đơn liên quan.</x:v>
      </x:c>
    </x:row>
    <x:row r="40" ht="84" customHeight="1">
      <x:c r="A40" s="57" t="n">
        <x:v>33</x:v>
      </x:c>
      <x:c r="B40" s="57" t="str">
        <x:v>1C24TUV/00000220</x:v>
      </x:c>
      <x:c r="C40" s="59" t="d">
        <x:v>2024-05-07T00:00:00.000Z</x:v>
      </x:c>
      <x:c r="D40" s="57" t="str">
        <x:v>Ngoại lệ đã tách</x:v>
      </x:c>
      <x:c r="E40" s="57" t="str">
        <x:v>1C24TUV/00000220 – 07/05/2024
1C25TUV/00001544 – 28/05/2025</x:v>
      </x:c>
      <x:c r="F40" s="57" t="str">
        <x:v>CÔNG TY TNHH TRUYỀN THÔNG VÀ SỰ KIỆN CARPE DIEM</x:v>
      </x:c>
      <x:c r="G40" s="57" t="str">
        <x:v>1C24TUV/00000220</x:v>
      </x:c>
      <x:c r="H40" s="65" t="str">
        <x:v>0318166409</x:v>
      </x:c>
      <x:c r="I40" s="57" t="str">
        <x:v>Bang_ke_chi_tiet_hoa_don_da_su_dung_1791533073074.xlsx | dòng 5580</x:v>
      </x:c>
      <x:c r="J40" s="57" t="str">
        <x:v>Giữ nguyên tất cả hóa đơn liên quan.</x:v>
      </x:c>
    </x:row>
    <x:row r="41" ht="84" customHeight="1">
      <x:c r="A41" s="58" t="n">
        <x:v>34</x:v>
      </x:c>
      <x:c r="B41" s="58" t="str">
        <x:v>1C24TUV/00000234</x:v>
      </x:c>
      <x:c r="C41" s="60" t="d">
        <x:v>2024-05-14T00:00:00.000Z</x:v>
      </x:c>
      <x:c r="D41" s="58" t="str">
        <x:v>Ngoại lệ đã tách</x:v>
      </x:c>
      <x:c r="E41" s="58" t="str">
        <x:v>1C24TUV/00000234 – 14/05/2024
1C25TUV/00001551 – 28/05/2025</x:v>
      </x:c>
      <x:c r="F41" s="58" t="str">
        <x:v>CÔNG TY TNHH KMS TECHNOLOGY VIỆT NAM</x:v>
      </x:c>
      <x:c r="G41" s="58" t="str">
        <x:v>1C24TUV/00000234</x:v>
      </x:c>
      <x:c r="H41" s="66" t="str">
        <x:v>0309793900</x:v>
      </x:c>
      <x:c r="I41" s="58" t="str">
        <x:v>Bang_ke_chi_tiet_hoa_don_da_su_dung_1791533073074.xlsx | dòng 5788</x:v>
      </x:c>
      <x:c r="J41" s="58" t="str">
        <x:v>Giữ nguyên tất cả hóa đơn liên quan.</x:v>
      </x:c>
    </x:row>
    <x:row r="42" ht="84" customHeight="1">
      <x:c r="A42" s="57" t="n">
        <x:v>35</x:v>
      </x:c>
      <x:c r="B42" s="57" t="str">
        <x:v>1C24TUV/00000242</x:v>
      </x:c>
      <x:c r="C42" s="59" t="d">
        <x:v>2024-05-23T00:00:00.000Z</x:v>
      </x:c>
      <x:c r="D42" s="57" t="str">
        <x:v>Ngoại lệ đã tách</x:v>
      </x:c>
      <x:c r="E42" s="57" t="str">
        <x:v>1C24TUV/00000242 – 23/05/2024</x:v>
      </x:c>
      <x:c r="F42" s="57" t="str">
        <x:v>CÔNG TY TNHH SẢN XUẤT VÀ ĐẦU TƯ AKIA</x:v>
      </x:c>
      <x:c r="G42" s="57" t="str">
        <x:v>1C24TUV/00000242</x:v>
      </x:c>
      <x:c r="H42" s="65" t="str">
        <x:v>0315793560</x:v>
      </x:c>
      <x:c r="I42" s="57" t="str">
        <x:v>Bang_ke_chi_tiet_hoa_don_da_su_dung_1791533073074.xlsx | dòng 5975</x:v>
      </x:c>
      <x:c r="J42" s="57" t="str">
        <x:v>Giữ nguyên tất cả hóa đơn liên quan.</x:v>
      </x:c>
    </x:row>
    <x:row r="43" ht="84" customHeight="1">
      <x:c r="A43" s="58" t="n">
        <x:v>36</x:v>
      </x:c>
      <x:c r="B43" s="58" t="str">
        <x:v>1C24TUV/00000243</x:v>
      </x:c>
      <x:c r="C43" s="60" t="d">
        <x:v>2024-05-27T00:00:00.000Z</x:v>
      </x:c>
      <x:c r="D43" s="58" t="str">
        <x:v>Ngoại lệ đã tách</x:v>
      </x:c>
      <x:c r="E43" s="58" t="str">
        <x:v>1C24TUV/00000243 – 27/05/2024</x:v>
      </x:c>
      <x:c r="F43" s="58" t="str">
        <x:v>CÔNG TY TNHH TRANS MEDIA</x:v>
      </x:c>
      <x:c r="G43" s="58" t="str">
        <x:v>1C24TUV/00000243</x:v>
      </x:c>
      <x:c r="H43" s="66" t="str">
        <x:v>0318387849</x:v>
      </x:c>
      <x:c r="I43" s="58" t="str">
        <x:v>Bang_ke_chi_tiet_hoa_don_da_su_dung_1791533073074.xlsx | dòng 5976</x:v>
      </x:c>
      <x:c r="J43" s="58" t="str">
        <x:v>Giữ nguyên tất cả hóa đơn liên quan.</x:v>
      </x:c>
    </x:row>
    <x:row r="44" ht="84" customHeight="1">
      <x:c r="A44" s="57" t="n">
        <x:v>37</x:v>
      </x:c>
      <x:c r="B44" s="57" t="str">
        <x:v>1C24TUV/00000244</x:v>
      </x:c>
      <x:c r="C44" s="59" t="d">
        <x:v>2024-05-27T00:00:00.000Z</x:v>
      </x:c>
      <x:c r="D44" s="57" t="str">
        <x:v>Ngoại lệ đã tách</x:v>
      </x:c>
      <x:c r="E44" s="57" t="str">
        <x:v>1C24TUV/00000244 – 27/05/2024</x:v>
      </x:c>
      <x:c r="F44" s="57" t="str">
        <x:v>CÔNG TY TNHH SẢN XUẤT VÀ ĐẦU TƯ AKIA</x:v>
      </x:c>
      <x:c r="G44" s="57" t="str">
        <x:v>1C24TUV/00000244</x:v>
      </x:c>
      <x:c r="H44" s="65" t="str">
        <x:v>0315793560</x:v>
      </x:c>
      <x:c r="I44" s="57" t="str">
        <x:v>Bang_ke_chi_tiet_hoa_don_da_su_dung_1791533073074.xlsx | dòng 5977</x:v>
      </x:c>
      <x:c r="J44" s="57" t="str">
        <x:v>Giữ nguyên tất cả hóa đơn liên quan.</x:v>
      </x:c>
    </x:row>
    <x:row r="45" ht="84" customHeight="1">
      <x:c r="A45" s="58" t="n">
        <x:v>38</x:v>
      </x:c>
      <x:c r="B45" s="58" t="str">
        <x:v>1C24TUV/00000245</x:v>
      </x:c>
      <x:c r="C45" s="60" t="d">
        <x:v>2024-05-28T00:00:00.000Z</x:v>
      </x:c>
      <x:c r="D45" s="58" t="str">
        <x:v>Ngoại lệ đã tách</x:v>
      </x:c>
      <x:c r="E45" s="58" t="str">
        <x:v>1C24TUV/00000245 – 28/05/2024
1C25TUV/00002620 – 31/05/2025</x:v>
      </x:c>
      <x:c r="F45" s="58" t="str">
        <x:v>CÔNG TY TNHH THƯƠNG MẠI VÀ SẢN XUẤT TÂN VẠN PHÚC</x:v>
      </x:c>
      <x:c r="G45" s="58" t="str">
        <x:v>1C24TUV/00000245</x:v>
      </x:c>
      <x:c r="H45" s="66" t="str">
        <x:v>0301417333</x:v>
      </x:c>
      <x:c r="I45" s="58" t="str">
        <x:v>Bang_ke_chi_tiet_hoa_don_da_su_dung_1791533073074.xlsx | dòng 5978</x:v>
      </x:c>
      <x:c r="J45" s="58" t="str">
        <x:v>Giữ nguyên tất cả hóa đơn liên quan.</x:v>
      </x:c>
    </x:row>
    <x:row r="46" ht="84" customHeight="1">
      <x:c r="A46" s="57" t="n">
        <x:v>39</x:v>
      </x:c>
      <x:c r="B46" s="57" t="str">
        <x:v>1C24TUV/00000267</x:v>
      </x:c>
      <x:c r="C46" s="59" t="d">
        <x:v>2024-06-11T00:00:00.000Z</x:v>
      </x:c>
      <x:c r="D46" s="57" t="str">
        <x:v>Ngoại lệ đã tách</x:v>
      </x:c>
      <x:c r="E46" s="57" t="str">
        <x:v>1C24TUV/00000267 – 11/06/2024</x:v>
      </x:c>
      <x:c r="F46" s="57" t="str">
        <x:v>CÔNG TY TNHH TRUYỀN THÔNG SPY</x:v>
      </x:c>
      <x:c r="G46" s="57" t="str">
        <x:v>1C24TUV/00000267</x:v>
      </x:c>
      <x:c r="H46" s="65" t="str">
        <x:v>0317205768</x:v>
      </x:c>
      <x:c r="I46" s="57" t="str">
        <x:v>Bang_ke_chi_tiet_hoa_don_da_su_dung_1791533073074.xlsx | dòng 6771</x:v>
      </x:c>
      <x:c r="J46" s="57" t="str">
        <x:v>Giữ nguyên tất cả hóa đơn liên quan.</x:v>
      </x:c>
    </x:row>
    <x:row r="47" ht="84" customHeight="1">
      <x:c r="A47" s="58" t="n">
        <x:v>40</x:v>
      </x:c>
      <x:c r="B47" s="58" t="str">
        <x:v>1C24TUV/00000268</x:v>
      </x:c>
      <x:c r="C47" s="60" t="d">
        <x:v>2024-06-11T00:00:00.000Z</x:v>
      </x:c>
      <x:c r="D47" s="58" t="str">
        <x:v>Ngoại lệ đã tách</x:v>
      </x:c>
      <x:c r="E47" s="58" t="str">
        <x:v>1C24TUV/00000268 – 11/06/2024
1C25TUV/00002562 – 31/05/2025</x:v>
      </x:c>
      <x:c r="F47" s="58" t="str">
        <x:v>CÔNG TY TNHH SMALL DUCK VIỆT NAM</x:v>
      </x:c>
      <x:c r="G47" s="58" t="str">
        <x:v>1C24TUV/00000268</x:v>
      </x:c>
      <x:c r="H47" s="66" t="str">
        <x:v>0318279201</x:v>
      </x:c>
      <x:c r="I47" s="58" t="str">
        <x:v>Bang_ke_chi_tiet_hoa_don_da_su_dung_1791533073074.xlsx | dòng 6772</x:v>
      </x:c>
      <x:c r="J47" s="58" t="str">
        <x:v>Giữ nguyên tất cả hóa đơn liên quan.</x:v>
      </x:c>
    </x:row>
    <x:row r="48" ht="84" customHeight="1">
      <x:c r="A48" s="57" t="n">
        <x:v>41</x:v>
      </x:c>
      <x:c r="B48" s="57" t="str">
        <x:v>1C24TUV/00000289</x:v>
      </x:c>
      <x:c r="C48" s="59" t="d">
        <x:v>2024-06-17T00:00:00.000Z</x:v>
      </x:c>
      <x:c r="D48" s="57" t="str">
        <x:v>Ngoại lệ đã tách</x:v>
      </x:c>
      <x:c r="E48" s="57" t="str">
        <x:v>1C24TUV/00000289 – 17/06/2024
1C25TUV/00002565 – 31/05/2025</x:v>
      </x:c>
      <x:c r="F48" s="57" t="str">
        <x:v>CÔNG TY TNHH THƯƠNG MẠI XUẤT NHẬP KHẨU 789</x:v>
      </x:c>
      <x:c r="G48" s="57" t="str">
        <x:v>1C24TUV/00000289</x:v>
      </x:c>
      <x:c r="H48" s="65" t="str">
        <x:v>0314094707</x:v>
      </x:c>
      <x:c r="I48" s="57" t="str">
        <x:v>Bang_ke_chi_tiet_hoa_don_da_su_dung_1791533073074.xlsx | dòng 8037</x:v>
      </x:c>
      <x:c r="J48" s="57" t="str">
        <x:v>Giữ nguyên tất cả hóa đơn liên quan.</x:v>
      </x:c>
    </x:row>
    <x:row r="49" ht="84" customHeight="1">
      <x:c r="A49" s="58" t="n">
        <x:v>42</x:v>
      </x:c>
      <x:c r="B49" s="58" t="str">
        <x:v>1C24TUV/00000311</x:v>
      </x:c>
      <x:c r="C49" s="60" t="d">
        <x:v>2024-06-21T00:00:00.000Z</x:v>
      </x:c>
      <x:c r="D49" s="58" t="str">
        <x:v>Ngoại lệ đã tách</x:v>
      </x:c>
      <x:c r="E49" s="58" t="str">
        <x:v>1C24TUV/00000311 – 21/06/2024
1C25TUV/00002566 – 31/05/2025</x:v>
      </x:c>
      <x:c r="F49" s="58" t="str">
        <x:v>CÔNG TY TNHH ANTS MEDIA</x:v>
      </x:c>
      <x:c r="G49" s="58" t="str">
        <x:v>1C24TUV/00000311</x:v>
      </x:c>
      <x:c r="H49" s="66" t="str">
        <x:v>0312276204</x:v>
      </x:c>
      <x:c r="I49" s="58" t="str">
        <x:v>Bang_ke_chi_tiet_hoa_don_da_su_dung_1791533073074.xlsx | dòng 9260</x:v>
      </x:c>
      <x:c r="J49" s="58" t="str">
        <x:v>Giữ nguyên tất cả hóa đơn liên quan.</x:v>
      </x:c>
    </x:row>
    <x:row r="50" ht="84" customHeight="1">
      <x:c r="A50" s="57" t="n">
        <x:v>43</x:v>
      </x:c>
      <x:c r="B50" s="57" t="str">
        <x:v>1C24TUV/00000329</x:v>
      </x:c>
      <x:c r="C50" s="59" t="d">
        <x:v>2024-06-27T00:00:00.000Z</x:v>
      </x:c>
      <x:c r="D50" s="57" t="str">
        <x:v>Ngoại lệ đã tách</x:v>
      </x:c>
      <x:c r="E50" s="57" t="str">
        <x:v>1C24TUV/00000329 – 27/06/2024
1C25TUV/00002568 – 31/05/2025</x:v>
      </x:c>
      <x:c r="F50" s="57" t="str">
        <x:v>CÔNG TY CỔ PHẦN ONEIT</x:v>
      </x:c>
      <x:c r="G50" s="57" t="str">
        <x:v>1C24TUV/00000329</x:v>
      </x:c>
      <x:c r="H50" s="65" t="str">
        <x:v>0317770953</x:v>
      </x:c>
      <x:c r="I50" s="57" t="str">
        <x:v>Bang_ke_chi_tiet_hoa_don_da_su_dung_1791533073074.xlsx | dòng 10311</x:v>
      </x:c>
      <x:c r="J50" s="57" t="str">
        <x:v>Giữ nguyên tất cả hóa đơn liên quan.</x:v>
      </x:c>
    </x:row>
    <x:row r="51" ht="84" customHeight="1">
      <x:c r="A51" s="58" t="n">
        <x:v>44</x:v>
      </x:c>
      <x:c r="B51" s="58" t="str">
        <x:v>1C24TUV/00000342</x:v>
      </x:c>
      <x:c r="C51" s="60" t="d">
        <x:v>2024-07-03T00:00:00.000Z</x:v>
      </x:c>
      <x:c r="D51" s="58" t="str">
        <x:v>Ngoại lệ đã tách</x:v>
      </x:c>
      <x:c r="E51" s="58" t="str">
        <x:v>1C24TUV/00000342 – 03/07/2024</x:v>
      </x:c>
      <x:c r="F51" s="58" t="str">
        <x:v>CÔNG TY TNHH THƯƠNG MẠI DỊCH VỤ SMART LIFE VIỆT NAM</x:v>
      </x:c>
      <x:c r="G51" s="58" t="str">
        <x:v>1C24TUV/00000342</x:v>
      </x:c>
      <x:c r="H51" s="66" t="str">
        <x:v>2803071812</x:v>
      </x:c>
      <x:c r="I51" s="58" t="str">
        <x:v>Bang_ke_chi_tiet_hoa_don_da_su_dung_1791533073074.xlsx | dòng 10786</x:v>
      </x:c>
      <x:c r="J51" s="58" t="str">
        <x:v>Giữ nguyên tất cả hóa đơn liên quan.</x:v>
      </x:c>
    </x:row>
    <x:row r="52" ht="84" customHeight="1">
      <x:c r="A52" s="57" t="n">
        <x:v>45</x:v>
      </x:c>
      <x:c r="B52" s="57" t="str">
        <x:v>1C24TUV/00000344</x:v>
      </x:c>
      <x:c r="C52" s="59" t="d">
        <x:v>2024-07-18T00:00:00.000Z</x:v>
      </x:c>
      <x:c r="D52" s="57" t="str">
        <x:v>Ngoại lệ đã tách</x:v>
      </x:c>
      <x:c r="E52" s="57" t="str">
        <x:v>1C24TUV/00000344 – 18/07/2024</x:v>
      </x:c>
      <x:c r="F52" s="57" t="str">
        <x:v>CHI NHÁNH HẢI PHÒNG - CÔNG TY TNHH MỘT THÀNH VIÊN KHÁCH SẠN AZUMAYA</x:v>
      </x:c>
      <x:c r="G52" s="57" t="str">
        <x:v>1C24TUV/00000344</x:v>
      </x:c>
      <x:c r="H52" s="65" t="str">
        <x:v>0309489918-009</x:v>
      </x:c>
      <x:c r="I52" s="57" t="str">
        <x:v>Bang_ke_chi_tiet_hoa_don_da_su_dung_1791533073074.xlsx | dòng 10790</x:v>
      </x:c>
      <x:c r="J52" s="57" t="str">
        <x:v>Giữ nguyên tất cả hóa đơn liên quan.</x:v>
      </x:c>
    </x:row>
    <x:row r="53" ht="84" customHeight="1">
      <x:c r="A53" s="58" t="n">
        <x:v>46</x:v>
      </x:c>
      <x:c r="B53" s="58" t="str">
        <x:v>1C24TUV/00000345</x:v>
      </x:c>
      <x:c r="C53" s="60" t="d">
        <x:v>2024-07-19T00:00:00.000Z</x:v>
      </x:c>
      <x:c r="D53" s="58" t="str">
        <x:v>Ngoại lệ đã tách</x:v>
      </x:c>
      <x:c r="E53" s="58" t="str">
        <x:v>1C24TUV/00000345 – 19/07/2024</x:v>
      </x:c>
      <x:c r="F53" s="58" t="str">
        <x:v>CHI NHÁNH KIM MÃ 2 - CÔNG TY TNHH MỘT THÀNH VIÊN KHÁCH SẠN AZUMAYA</x:v>
      </x:c>
      <x:c r="G53" s="58" t="str">
        <x:v>1C24TUV/00000345</x:v>
      </x:c>
      <x:c r="H53" s="66" t="str">
        <x:v>0309489918-005</x:v>
      </x:c>
      <x:c r="I53" s="58" t="str">
        <x:v>Bang_ke_chi_tiet_hoa_don_da_su_dung_1791533073074.xlsx | dòng 10792</x:v>
      </x:c>
      <x:c r="J53" s="58" t="str">
        <x:v>Giữ nguyên tất cả hóa đơn liên quan.</x:v>
      </x:c>
    </x:row>
    <x:row r="54" ht="84" customHeight="1">
      <x:c r="A54" s="57" t="n">
        <x:v>47</x:v>
      </x:c>
      <x:c r="B54" s="57" t="str">
        <x:v>1C24TUV/00000346</x:v>
      </x:c>
      <x:c r="C54" s="59" t="d">
        <x:v>2024-07-19T00:00:00.000Z</x:v>
      </x:c>
      <x:c r="D54" s="57" t="str">
        <x:v>Ngoại lệ đã tách</x:v>
      </x:c>
      <x:c r="E54" s="57" t="str">
        <x:v>1C24TUV/00000346 – 19/07/2024</x:v>
      </x:c>
      <x:c r="F54" s="57" t="str">
        <x:v>CHI NHÁNH KIM MÃ 3 - CÔNG TY TNHH MỘT THÀNH VIÊN KHÁCH SẠN AZUMAYA</x:v>
      </x:c>
      <x:c r="G54" s="57" t="str">
        <x:v>1C24TUV/00000346</x:v>
      </x:c>
      <x:c r="H54" s="65" t="str">
        <x:v>0309489918-010</x:v>
      </x:c>
      <x:c r="I54" s="57" t="str">
        <x:v>Bang_ke_chi_tiet_hoa_don_da_su_dung_1791533073074.xlsx | dòng 10794</x:v>
      </x:c>
      <x:c r="J54" s="57" t="str">
        <x:v>Giữ nguyên tất cả hóa đơn liên quan.</x:v>
      </x:c>
    </x:row>
    <x:row r="55" ht="84" customHeight="1">
      <x:c r="A55" s="58" t="n">
        <x:v>48</x:v>
      </x:c>
      <x:c r="B55" s="58" t="str">
        <x:v>1C24TUV/00000347</x:v>
      </x:c>
      <x:c r="C55" s="60" t="d">
        <x:v>2024-07-19T00:00:00.000Z</x:v>
      </x:c>
      <x:c r="D55" s="58" t="str">
        <x:v>Ngoại lệ đã tách</x:v>
      </x:c>
      <x:c r="E55" s="58" t="str">
        <x:v>1C24TUV/00000347 – 19/07/2024</x:v>
      </x:c>
      <x:c r="F55" s="58" t="str">
        <x:v>CHI NHÁNH LINH LANG - CÔNG TY TNHH MỘT THÀNH VIÊN KHÁCH SẠN AZUMAYA</x:v>
      </x:c>
      <x:c r="G55" s="58" t="str">
        <x:v>1C24TUV/00000347</x:v>
      </x:c>
      <x:c r="H55" s="66" t="str">
        <x:v>0309489918-008</x:v>
      </x:c>
      <x:c r="I55" s="58" t="str">
        <x:v>Bang_ke_chi_tiet_hoa_don_da_su_dung_1791533073074.xlsx | dòng 10796</x:v>
      </x:c>
      <x:c r="J55" s="58" t="str">
        <x:v>Giữ nguyên tất cả hóa đơn liên quan.</x:v>
      </x:c>
    </x:row>
    <x:row r="56" ht="84" customHeight="1">
      <x:c r="A56" s="57" t="n">
        <x:v>49</x:v>
      </x:c>
      <x:c r="B56" s="57" t="str">
        <x:v>1C24TUV/00000348</x:v>
      </x:c>
      <x:c r="C56" s="59" t="d">
        <x:v>2024-07-19T00:00:00.000Z</x:v>
      </x:c>
      <x:c r="D56" s="57" t="str">
        <x:v>Ngoại lệ đã tách</x:v>
      </x:c>
      <x:c r="E56" s="57" t="str">
        <x:v>1C24TUV/00000348 – 19/07/2024</x:v>
      </x:c>
      <x:c r="F56" s="57" t="str">
        <x:v>CHI NHÁNH HÀ NỘI - CÔNG TY TNHH MỘT THÀNH VIÊN KHÁCH SẠN AZUMAYA</x:v>
      </x:c>
      <x:c r="G56" s="57" t="str">
        <x:v>1C24TUV/00000348</x:v>
      </x:c>
      <x:c r="H56" s="65" t="str">
        <x:v>0309489918-001</x:v>
      </x:c>
      <x:c r="I56" s="57" t="str">
        <x:v>Bang_ke_chi_tiet_hoa_don_da_su_dung_1791533073074.xlsx | dòng 10798</x:v>
      </x:c>
      <x:c r="J56" s="57" t="str">
        <x:v>Giữ nguyên tất cả hóa đơn liên quan.</x:v>
      </x:c>
    </x:row>
    <x:row r="57" ht="84" customHeight="1">
      <x:c r="A57" s="58" t="n">
        <x:v>50</x:v>
      </x:c>
      <x:c r="B57" s="58" t="str">
        <x:v>1C24TUV/00000349</x:v>
      </x:c>
      <x:c r="C57" s="60" t="d">
        <x:v>2024-07-19T00:00:00.000Z</x:v>
      </x:c>
      <x:c r="D57" s="58" t="str">
        <x:v>Ngoại lệ đã tách</x:v>
      </x:c>
      <x:c r="E57" s="58" t="str">
        <x:v>1C24TUV/00000349 – 19/07/2024
1C25TUV/00002621 – 31/05/2025</x:v>
      </x:c>
      <x:c r="F57" s="58" t="str">
        <x:v>CÔNG TY TNHH CYBERTOK</x:v>
      </x:c>
      <x:c r="G57" s="58" t="str">
        <x:v>1C24TUV/00000349</x:v>
      </x:c>
      <x:c r="H57" s="66" t="str">
        <x:v>0318358598</x:v>
      </x:c>
      <x:c r="I57" s="58" t="str">
        <x:v>Bang_ke_chi_tiet_hoa_don_da_su_dung_1791533073074.xlsx | dòng 10800</x:v>
      </x:c>
      <x:c r="J57" s="58" t="str">
        <x:v>Giữ nguyên tất cả hóa đơn liên quan.</x:v>
      </x:c>
    </x:row>
    <x:row r="58" ht="84" customHeight="1">
      <x:c r="A58" s="57" t="n">
        <x:v>51</x:v>
      </x:c>
      <x:c r="B58" s="57" t="str">
        <x:v>1C24TUV/00000359</x:v>
      </x:c>
      <x:c r="C58" s="59" t="d">
        <x:v>2024-07-24T00:00:00.000Z</x:v>
      </x:c>
      <x:c r="D58" s="57" t="str">
        <x:v>Ngoại lệ đã tách</x:v>
      </x:c>
      <x:c r="E58" s="57" t="str">
        <x:v>1C24TUV/00000359 – 24/07/2024</x:v>
      </x:c>
      <x:c r="F58" s="57" t="str">
        <x:v>CHI NHÁNH ĐÀ NẴNG - CÔNG TY TNHH MỘT THÀNH VIÊN KHÁCH SẠN AZUMAYA</x:v>
      </x:c>
      <x:c r="G58" s="57" t="str">
        <x:v>1C24TUV/00000359</x:v>
      </x:c>
      <x:c r="H58" s="65" t="str">
        <x:v>0309489918-004</x:v>
      </x:c>
      <x:c r="I58" s="57" t="str">
        <x:v>Bang_ke_chi_tiet_hoa_don_da_su_dung_1791533073074.xlsx | dòng 11267</x:v>
      </x:c>
      <x:c r="J58" s="57" t="str">
        <x:v>Giữ nguyên tất cả hóa đơn liên quan.</x:v>
      </x:c>
    </x:row>
    <x:row r="59" ht="84" customHeight="1">
      <x:c r="A59" s="58" t="n">
        <x:v>52</x:v>
      </x:c>
      <x:c r="B59" s="58" t="str">
        <x:v>1C24TUV/00000360</x:v>
      </x:c>
      <x:c r="C59" s="60" t="d">
        <x:v>2024-07-29T00:00:00.000Z</x:v>
      </x:c>
      <x:c r="D59" s="58" t="str">
        <x:v>Ngoại lệ đã tách</x:v>
      </x:c>
      <x:c r="E59" s="58" t="str">
        <x:v>1C24TUV/00000360 – 29/07/2024</x:v>
      </x:c>
      <x:c r="F59" s="58" t="str">
        <x:v>CÔNG TY TNHH THƯƠNG MẠI - XÂY DỰNG - CƠ ĐIỆN THỦY TIẾN</x:v>
      </x:c>
      <x:c r="G59" s="58" t="str">
        <x:v>1C24TUV/00000360</x:v>
      </x:c>
      <x:c r="H59" s="66" t="str">
        <x:v>3401241946</x:v>
      </x:c>
      <x:c r="I59" s="58" t="str">
        <x:v>Bang_ke_chi_tiet_hoa_don_da_su_dung_1791533073074.xlsx | dòng 11269</x:v>
      </x:c>
      <x:c r="J59" s="58" t="str">
        <x:v>Giữ nguyên tất cả hóa đơn liên quan.</x:v>
      </x:c>
    </x:row>
    <x:row r="60" ht="84" customHeight="1">
      <x:c r="A60" s="57" t="n">
        <x:v>53</x:v>
      </x:c>
      <x:c r="B60" s="57" t="str">
        <x:v>1C24TUV/00000378</x:v>
      </x:c>
      <x:c r="C60" s="59" t="d">
        <x:v>2024-08-07T00:00:00.000Z</x:v>
      </x:c>
      <x:c r="D60" s="57" t="str">
        <x:v>Ngoại lệ đã tách</x:v>
      </x:c>
      <x:c r="E60" s="57" t="str">
        <x:v>1C24TUV/00000378 – 07/08/2024</x:v>
      </x:c>
      <x:c r="F60" s="57" t="str">
        <x:v>NGÂN HÀNG THƯƠNG MẠI CỔ PHẦN QUÂN ĐỘI</x:v>
      </x:c>
      <x:c r="G60" s="57" t="str">
        <x:v>1C24TUV/00000378</x:v>
      </x:c>
      <x:c r="H60" s="65" t="str">
        <x:v>0100283873</x:v>
      </x:c>
      <x:c r="I60" s="57" t="str">
        <x:v>Bang_ke_chi_tiet_hoa_don_da_su_dung_1791533073074.xlsx | dòng 12163</x:v>
      </x:c>
      <x:c r="J60" s="57" t="str">
        <x:v>Giữ nguyên tất cả hóa đơn liên quan.</x:v>
      </x:c>
    </x:row>
    <x:row r="61" ht="84" customHeight="1">
      <x:c r="A61" s="58" t="n">
        <x:v>54</x:v>
      </x:c>
      <x:c r="B61" s="58" t="str">
        <x:v>1C24TUV/00000379</x:v>
      </x:c>
      <x:c r="C61" s="60" t="d">
        <x:v>2024-08-12T00:00:00.000Z</x:v>
      </x:c>
      <x:c r="D61" s="58" t="str">
        <x:v>Ngoại lệ đã tách</x:v>
      </x:c>
      <x:c r="E61" s="58" t="str">
        <x:v>1C24TUV/00000379 – 12/08/2024
1C25TUV/00002570 – 31/05/2025</x:v>
      </x:c>
      <x:c r="F61" s="58" t="str">
        <x:v>CÔNG TY CỔ PHẦN XÂY DỰNG PHỤC HƯNG HOLDINGS</x:v>
      </x:c>
      <x:c r="G61" s="58" t="str">
        <x:v>1C24TUV/00000379</x:v>
      </x:c>
      <x:c r="H61" s="66" t="str">
        <x:v>0101311315</x:v>
      </x:c>
      <x:c r="I61" s="58" t="str">
        <x:v>Bang_ke_chi_tiet_hoa_don_da_su_dung_1791533073074.xlsx | dòng 12164</x:v>
      </x:c>
      <x:c r="J61" s="58" t="str">
        <x:v>Giữ nguyên tất cả hóa đơn liên quan.</x:v>
      </x:c>
    </x:row>
    <x:row r="62" ht="84" customHeight="1">
      <x:c r="A62" s="57" t="n">
        <x:v>55</x:v>
      </x:c>
      <x:c r="B62" s="57" t="str">
        <x:v>1C24TUV/00000380</x:v>
      </x:c>
      <x:c r="C62" s="59" t="d">
        <x:v>2024-08-12T00:00:00.000Z</x:v>
      </x:c>
      <x:c r="D62" s="57" t="str">
        <x:v>Ngoại lệ đã tách</x:v>
      </x:c>
      <x:c r="E62" s="57" t="str">
        <x:v>1C24TUV/00000380 – 12/08/2024
1C25TUV/00002622 – 31/05/2025</x:v>
      </x:c>
      <x:c r="F62" s="57" t="str">
        <x:v>CÔNG TY TNHH ĐẦU TƯ XÂY DỰNG KIẾN TRÚC NHÀ NHIỆT ĐỚI</x:v>
      </x:c>
      <x:c r="G62" s="57" t="str">
        <x:v>1C24TUV/00000380</x:v>
      </x:c>
      <x:c r="H62" s="65" t="str">
        <x:v>0314382550</x:v>
      </x:c>
      <x:c r="I62" s="57" t="str">
        <x:v>Bang_ke_chi_tiet_hoa_don_da_su_dung_1791533073074.xlsx | dòng 12165</x:v>
      </x:c>
      <x:c r="J62" s="57" t="str">
        <x:v>Giữ nguyên tất cả hóa đơn liên quan.</x:v>
      </x:c>
    </x:row>
    <x:row r="63" ht="84" customHeight="1">
      <x:c r="A63" s="58" t="n">
        <x:v>56</x:v>
      </x:c>
      <x:c r="B63" s="58" t="str">
        <x:v>1C24TUV/00000386</x:v>
      </x:c>
      <x:c r="C63" s="60" t="d">
        <x:v>2024-08-15T00:00:00.000Z</x:v>
      </x:c>
      <x:c r="D63" s="58" t="str">
        <x:v>Ngoại lệ đã tách</x:v>
      </x:c>
      <x:c r="E63" s="58" t="str">
        <x:v>1C24TUV/00000386 – 15/08/2024
1C25TUV/00002623 – 31/05/2025</x:v>
      </x:c>
      <x:c r="F63" s="58" t="str">
        <x:v>CÔNG TY TNHH VẬT LIỆU BAO BÌ QUỐC ĐẰNG</x:v>
      </x:c>
      <x:c r="G63" s="58" t="str">
        <x:v>1C24TUV/00000386</x:v>
      </x:c>
      <x:c r="H63" s="66" t="str">
        <x:v>3702974471</x:v>
      </x:c>
      <x:c r="I63" s="58" t="str">
        <x:v>Bang_ke_chi_tiet_hoa_don_da_su_dung_1791533073074.xlsx | dòng 12407</x:v>
      </x:c>
      <x:c r="J63" s="58" t="str">
        <x:v>Giữ nguyên tất cả hóa đơn liên quan.</x:v>
      </x:c>
    </x:row>
    <x:row r="64" ht="84" customHeight="1">
      <x:c r="A64" s="57" t="n">
        <x:v>57</x:v>
      </x:c>
      <x:c r="B64" s="57" t="str">
        <x:v>1C24TUV/00000387</x:v>
      </x:c>
      <x:c r="C64" s="59" t="d">
        <x:v>2024-08-20T00:00:00.000Z</x:v>
      </x:c>
      <x:c r="D64" s="57" t="str">
        <x:v>Ngoại lệ đã tách</x:v>
      </x:c>
      <x:c r="E64" s="57" t="str">
        <x:v>1C24TUV/00000387 – 20/08/2024</x:v>
      </x:c>
      <x:c r="F64" s="57" t="str">
        <x:v>CHI NHÁNH CÔNG TY TNHH THƯƠNG MẠI DƯỢC PHẨM ĐÔNG Á</x:v>
      </x:c>
      <x:c r="G64" s="57" t="str">
        <x:v>1C24TUV/00000387</x:v>
      </x:c>
      <x:c r="H64" s="65" t="str">
        <x:v>0100274124-003</x:v>
      </x:c>
      <x:c r="I64" s="57" t="str">
        <x:v>Bang_ke_chi_tiet_hoa_don_da_su_dung_1791533073074.xlsx | dòng 12408</x:v>
      </x:c>
      <x:c r="J64" s="57" t="str">
        <x:v>Giữ nguyên tất cả hóa đơn liên quan.</x:v>
      </x:c>
    </x:row>
    <x:row r="65" ht="84" customHeight="1">
      <x:c r="A65" s="58" t="n">
        <x:v>58</x:v>
      </x:c>
      <x:c r="B65" s="58" t="str">
        <x:v>1C24TUV/00000392</x:v>
      </x:c>
      <x:c r="C65" s="60" t="d">
        <x:v>2024-08-21T00:00:00.000Z</x:v>
      </x:c>
      <x:c r="D65" s="58" t="str">
        <x:v>Ngoại lệ đã tách</x:v>
      </x:c>
      <x:c r="E65" s="58" t="str">
        <x:v>1C24TUV/00000392 – 21/08/2024</x:v>
      </x:c>
      <x:c r="F65" s="58" t="str">
        <x:v>CÔNG TY TNHH ICAPITAL</x:v>
      </x:c>
      <x:c r="G65" s="58" t="str">
        <x:v>1C24TUV/00000392</x:v>
      </x:c>
      <x:c r="H65" s="66" t="str">
        <x:v>0109602644</x:v>
      </x:c>
      <x:c r="I65" s="58" t="str">
        <x:v>Bang_ke_chi_tiet_hoa_don_da_su_dung_1791533073074.xlsx | dòng 12681</x:v>
      </x:c>
      <x:c r="J65" s="58" t="str">
        <x:v>Giữ nguyên tất cả hóa đơn liên quan.</x:v>
      </x:c>
    </x:row>
    <x:row r="66" ht="84" customHeight="1">
      <x:c r="A66" s="57" t="n">
        <x:v>59</x:v>
      </x:c>
      <x:c r="B66" s="57" t="str">
        <x:v>1C24TUV/00000393</x:v>
      </x:c>
      <x:c r="C66" s="59" t="d">
        <x:v>2024-08-21T00:00:00.000Z</x:v>
      </x:c>
      <x:c r="D66" s="57" t="str">
        <x:v>Ngoại lệ đã tách</x:v>
      </x:c>
      <x:c r="E66" s="57" t="str">
        <x:v>1C24TUV/00000393 – 21/08/2024</x:v>
      </x:c>
      <x:c r="F66" s="57" t="str">
        <x:v>CÔNG TY TNHH SẢN XUẤT VÀ ĐẦU TƯ AKIA</x:v>
      </x:c>
      <x:c r="G66" s="57" t="str">
        <x:v>1C24TUV/00000393</x:v>
      </x:c>
      <x:c r="H66" s="65" t="str">
        <x:v>0315793560</x:v>
      </x:c>
      <x:c r="I66" s="57" t="str">
        <x:v>Bang_ke_chi_tiet_hoa_don_da_su_dung_1791533073074.xlsx | dòng 12682</x:v>
      </x:c>
      <x:c r="J66" s="57" t="str">
        <x:v>Giữ nguyên tất cả hóa đơn liên quan.</x:v>
      </x:c>
    </x:row>
    <x:row r="67" ht="84" customHeight="1">
      <x:c r="A67" s="58" t="n">
        <x:v>60</x:v>
      </x:c>
      <x:c r="B67" s="58" t="str">
        <x:v>1C24TUV/00000394</x:v>
      </x:c>
      <x:c r="C67" s="60" t="d">
        <x:v>2024-08-21T00:00:00.000Z</x:v>
      </x:c>
      <x:c r="D67" s="58" t="str">
        <x:v>Ngoại lệ đã tách</x:v>
      </x:c>
      <x:c r="E67" s="58" t="str">
        <x:v>1C24TUV/00000394 – 21/08/2024</x:v>
      </x:c>
      <x:c r="F67" s="58" t="str">
        <x:v>CÔNG TY TNHH SẢN XUẤT VÀ ĐẦU TƯ AKIA</x:v>
      </x:c>
      <x:c r="G67" s="58" t="str">
        <x:v>1C24TUV/00000394</x:v>
      </x:c>
      <x:c r="H67" s="66" t="str">
        <x:v>0315793560</x:v>
      </x:c>
      <x:c r="I67" s="58" t="str">
        <x:v>Bang_ke_chi_tiet_hoa_don_da_su_dung_1791533073074.xlsx | dòng 12683</x:v>
      </x:c>
      <x:c r="J67" s="58" t="str">
        <x:v>Giữ nguyên tất cả hóa đơn liên quan.</x:v>
      </x:c>
    </x:row>
    <x:row r="68" ht="84" customHeight="1">
      <x:c r="A68" s="57" t="n">
        <x:v>61</x:v>
      </x:c>
      <x:c r="B68" s="57" t="str">
        <x:v>1C24TUV/00000395</x:v>
      </x:c>
      <x:c r="C68" s="59" t="d">
        <x:v>2024-08-21T00:00:00.000Z</x:v>
      </x:c>
      <x:c r="D68" s="57" t="str">
        <x:v>Ngoại lệ đã tách</x:v>
      </x:c>
      <x:c r="E68" s="57" t="str">
        <x:v>1C24TUV/00000395 – 21/08/2024</x:v>
      </x:c>
      <x:c r="F68" s="57" t="str">
        <x:v>CÔNG TY TNHH SẢN XUẤT VÀ THƯƠNG MẠI DAVIMAX</x:v>
      </x:c>
      <x:c r="G68" s="57" t="str">
        <x:v>1C24TUV/00000395</x:v>
      </x:c>
      <x:c r="H68" s="65" t="str">
        <x:v>2300720588</x:v>
      </x:c>
      <x:c r="I68" s="57" t="str">
        <x:v>Bang_ke_chi_tiet_hoa_don_da_su_dung_1791533073074.xlsx | dòng 12684</x:v>
      </x:c>
      <x:c r="J68" s="57" t="str">
        <x:v>Giữ nguyên tất cả hóa đơn liên quan.</x:v>
      </x:c>
    </x:row>
    <x:row r="69" ht="84" customHeight="1">
      <x:c r="A69" s="58" t="n">
        <x:v>62</x:v>
      </x:c>
      <x:c r="B69" s="58" t="str">
        <x:v>1C24TUV/00000431</x:v>
      </x:c>
      <x:c r="C69" s="60" t="d">
        <x:v>2024-08-29T00:00:00.000Z</x:v>
      </x:c>
      <x:c r="D69" s="58" t="str">
        <x:v>Ngoại lệ đã tách</x:v>
      </x:c>
      <x:c r="E69" s="58" t="str">
        <x:v>1C24TUV/00000431 – 29/08/2024
1C25TUV/00002571 – 31/05/2025</x:v>
      </x:c>
      <x:c r="F69" s="58" t="str">
        <x:v>CHI NHÁNH CÔNG TY CỔ PHẦN GIÁO DỤC VÀ GIẢI TRÍ TRẺ THƠ - TRƯỜNG MẦM NON VƯỜN KHÁM PHÁ (SMALL WONDER) QUẬN GÒ VẤP</x:v>
      </x:c>
      <x:c r="G69" s="58" t="str">
        <x:v>1C24TUV/00000431</x:v>
      </x:c>
      <x:c r="H69" s="66" t="str">
        <x:v>0102193093-007</x:v>
      </x:c>
      <x:c r="I69" s="58" t="str">
        <x:v>Bang_ke_chi_tiet_hoa_don_da_su_dung_1791533073074.xlsx | dòng 15002</x:v>
      </x:c>
      <x:c r="J69" s="58" t="str">
        <x:v>Giữ nguyên tất cả hóa đơn liên quan.</x:v>
      </x:c>
    </x:row>
    <x:row r="70" ht="84" customHeight="1">
      <x:c r="A70" s="57" t="n">
        <x:v>63</x:v>
      </x:c>
      <x:c r="B70" s="57" t="str">
        <x:v>1C24TUV/00000450</x:v>
      </x:c>
      <x:c r="C70" s="59" t="d">
        <x:v>2024-09-07T00:00:00.000Z</x:v>
      </x:c>
      <x:c r="D70" s="57" t="str">
        <x:v>Ngoại lệ đã tách</x:v>
      </x:c>
      <x:c r="E70" s="57" t="str">
        <x:v>1C24TUV/00000450 – 07/09/2024
1C25TUV/00002572 – 31/05/2025</x:v>
      </x:c>
      <x:c r="F70" s="57" t="str">
        <x:v>CÔNG TY TNHH GIẢI TRÍ US</x:v>
      </x:c>
      <x:c r="G70" s="57" t="str">
        <x:v>1C24TUV/00000450</x:v>
      </x:c>
      <x:c r="H70" s="65" t="str">
        <x:v>0316329390</x:v>
      </x:c>
      <x:c r="I70" s="57" t="str">
        <x:v>Bang_ke_chi_tiet_hoa_don_da_su_dung_1791533073074.xlsx | dòng 16408</x:v>
      </x:c>
      <x:c r="J70" s="57" t="str">
        <x:v>Giữ nguyên tất cả hóa đơn liên quan.</x:v>
      </x:c>
    </x:row>
    <x:row r="71" ht="84" customHeight="1">
      <x:c r="A71" s="58" t="n">
        <x:v>64</x:v>
      </x:c>
      <x:c r="B71" s="58" t="str">
        <x:v>1C24TUV/00000451</x:v>
      </x:c>
      <x:c r="C71" s="60" t="d">
        <x:v>2024-09-07T00:00:00.000Z</x:v>
      </x:c>
      <x:c r="D71" s="58" t="str">
        <x:v>Ngoại lệ đã tách</x:v>
      </x:c>
      <x:c r="E71" s="58" t="str">
        <x:v>1C24TUV/00000451 – 07/09/2024
1C25TUV/00002573 – 31/05/2025</x:v>
      </x:c>
      <x:c r="F71" s="58" t="str">
        <x:v>CÔNG TY TNHH THƯƠNG MẠI DỊCH VỤ HỒ CÁ KOI</x:v>
      </x:c>
      <x:c r="G71" s="58" t="str">
        <x:v>1C24TUV/00000451</x:v>
      </x:c>
      <x:c r="H71" s="66" t="str">
        <x:v>0318439543</x:v>
      </x:c>
      <x:c r="I71" s="58" t="str">
        <x:v>Bang_ke_chi_tiet_hoa_don_da_su_dung_1791533073074.xlsx | dòng 16409</x:v>
      </x:c>
      <x:c r="J71" s="58" t="str">
        <x:v>Giữ nguyên tất cả hóa đơn liên quan.</x:v>
      </x:c>
    </x:row>
    <x:row r="72" ht="84" customHeight="1">
      <x:c r="A72" s="57" t="n">
        <x:v>65</x:v>
      </x:c>
      <x:c r="B72" s="57" t="str">
        <x:v>1C24TUV/00000452</x:v>
      </x:c>
      <x:c r="C72" s="59" t="d">
        <x:v>2024-09-09T00:00:00.000Z</x:v>
      </x:c>
      <x:c r="D72" s="57" t="str">
        <x:v>Ngoại lệ đã tách</x:v>
      </x:c>
      <x:c r="E72" s="57" t="str">
        <x:v>1C24TUV/00000452 – 09/09/2024</x:v>
      </x:c>
      <x:c r="F72" s="57" t="str">
        <x:v>TRƯỜNG TIỂU HỌC, TRUNG HỌC CƠ SỞ VÀ TRUNG HỌC PHỔ THÔNG QUỐC TẾ Á CHÂU</x:v>
      </x:c>
      <x:c r="G72" s="57" t="str">
        <x:v>1C24TUV/00000452</x:v>
      </x:c>
      <x:c r="H72" s="65" t="str">
        <x:v>0310883796</x:v>
      </x:c>
      <x:c r="I72" s="57" t="str">
        <x:v>Bang_ke_chi_tiet_hoa_don_da_su_dung_1791533073074.xlsx | dòng 16410</x:v>
      </x:c>
      <x:c r="J72" s="57" t="str">
        <x:v>Giữ nguyên tất cả hóa đơn liên quan.</x:v>
      </x:c>
    </x:row>
    <x:row r="73" ht="84" customHeight="1">
      <x:c r="A73" s="58" t="n">
        <x:v>66</x:v>
      </x:c>
      <x:c r="B73" s="58" t="str">
        <x:v>1C24TUV/00000453</x:v>
      </x:c>
      <x:c r="C73" s="60" t="d">
        <x:v>2024-09-09T00:00:00.000Z</x:v>
      </x:c>
      <x:c r="D73" s="58" t="str">
        <x:v>Ngoại lệ đã tách</x:v>
      </x:c>
      <x:c r="E73" s="58" t="str">
        <x:v>1C24TUV/00000453 – 09/09/2024</x:v>
      </x:c>
      <x:c r="F73" s="58" t="str">
        <x:v>CÔNG TY TNHH FLAMINPOP</x:v>
      </x:c>
      <x:c r="G73" s="58" t="str">
        <x:v>1C24TUV/00000453</x:v>
      </x:c>
      <x:c r="H73" s="66" t="str">
        <x:v>0317059605</x:v>
      </x:c>
      <x:c r="I73" s="58" t="str">
        <x:v>Bang_ke_chi_tiet_hoa_don_da_su_dung_1791533073074.xlsx | dòng 16411</x:v>
      </x:c>
      <x:c r="J73" s="58" t="str">
        <x:v>Giữ nguyên tất cả hóa đơn liên quan.</x:v>
      </x:c>
    </x:row>
    <x:row r="74" ht="84" customHeight="1">
      <x:c r="A74" s="57" t="n">
        <x:v>67</x:v>
      </x:c>
      <x:c r="B74" s="57" t="str">
        <x:v>1C24TUV/00000457</x:v>
      </x:c>
      <x:c r="C74" s="59" t="d">
        <x:v>2024-09-11T00:00:00.000Z</x:v>
      </x:c>
      <x:c r="D74" s="57" t="str">
        <x:v>Ngoại lệ đã tách</x:v>
      </x:c>
      <x:c r="E74" s="57" t="str">
        <x:v>1C24TUV/00000457 – 11/09/2024
1C25TUV/00002556 – 31/05/2025</x:v>
      </x:c>
      <x:c r="F74" s="57" t="str">
        <x:v>CÔNG TY TNHH THƯƠNG MẠI TRUNG PHONG</x:v>
      </x:c>
      <x:c r="G74" s="57" t="str">
        <x:v>1C24TUV/00000457</x:v>
      </x:c>
      <x:c r="H74" s="65" t="str">
        <x:v>0314873573</x:v>
      </x:c>
      <x:c r="I74" s="57" t="str">
        <x:v>Bang_ke_chi_tiet_hoa_don_da_su_dung_1791533073074.xlsx | dòng 16487</x:v>
      </x:c>
      <x:c r="J74" s="57" t="str">
        <x:v>Giữ nguyên tất cả hóa đơn liên quan.</x:v>
      </x:c>
    </x:row>
    <x:row r="75" ht="84" customHeight="1">
      <x:c r="A75" s="58" t="n">
        <x:v>68</x:v>
      </x:c>
      <x:c r="B75" s="58" t="str">
        <x:v>1C24TUV/00000458</x:v>
      </x:c>
      <x:c r="C75" s="60" t="d">
        <x:v>2024-09-12T00:00:00.000Z</x:v>
      </x:c>
      <x:c r="D75" s="58" t="str">
        <x:v>Ngoại lệ đã tách</x:v>
      </x:c>
      <x:c r="E75" s="58" t="str">
        <x:v>1C24TUV/00000458 – 12/09/2024</x:v>
      </x:c>
      <x:c r="F75" s="58" t="str">
        <x:v>CÔNG TY CỔ PHẦN WORK FLOW</x:v>
      </x:c>
      <x:c r="G75" s="58" t="str">
        <x:v>1C24TUV/00000458</x:v>
      </x:c>
      <x:c r="H75" s="66" t="str">
        <x:v>0317526049</x:v>
      </x:c>
      <x:c r="I75" s="58" t="str">
        <x:v>Bang_ke_chi_tiet_hoa_don_da_su_dung_1791533073074.xlsx | dòng 16488</x:v>
      </x:c>
      <x:c r="J75" s="58" t="str">
        <x:v>Giữ nguyên tất cả hóa đơn liên quan.</x:v>
      </x:c>
    </x:row>
    <x:row r="76" ht="84" customHeight="1">
      <x:c r="A76" s="57" t="n">
        <x:v>69</x:v>
      </x:c>
      <x:c r="B76" s="57" t="str">
        <x:v>1C24TUV/00000459</x:v>
      </x:c>
      <x:c r="C76" s="59" t="d">
        <x:v>2024-09-16T00:00:00.000Z</x:v>
      </x:c>
      <x:c r="D76" s="57" t="str">
        <x:v>Ngoại lệ đã tách</x:v>
      </x:c>
      <x:c r="E76" s="57" t="str">
        <x:v>1C24TUV/00000459 – 16/09/2024
1C25TUV/00002574 – 31/05/2025</x:v>
      </x:c>
      <x:c r="F76" s="57" t="str">
        <x:v>CÔNG TY TNHH SIM SOLUTION</x:v>
      </x:c>
      <x:c r="G76" s="57" t="str">
        <x:v>1C24TUV/00000459</x:v>
      </x:c>
      <x:c r="H76" s="65" t="str">
        <x:v>0316585210</x:v>
      </x:c>
      <x:c r="I76" s="57" t="str">
        <x:v>Bang_ke_chi_tiet_hoa_don_da_su_dung_1791533073074.xlsx | dòng 16490</x:v>
      </x:c>
      <x:c r="J76" s="57" t="str">
        <x:v>Giữ nguyên tất cả hóa đơn liên quan.</x:v>
      </x:c>
    </x:row>
    <x:row r="77" ht="84" customHeight="1">
      <x:c r="A77" s="58" t="n">
        <x:v>70</x:v>
      </x:c>
      <x:c r="B77" s="58" t="str">
        <x:v>1C24TUV/00000460</x:v>
      </x:c>
      <x:c r="C77" s="60" t="d">
        <x:v>2024-09-17T00:00:00.000Z</x:v>
      </x:c>
      <x:c r="D77" s="58" t="str">
        <x:v>Ngoại lệ đã tách</x:v>
      </x:c>
      <x:c r="E77" s="58" t="str">
        <x:v>1C24TUV/00000460 – 17/09/2024
1C25TUV/00002625 – 31/05/2025</x:v>
      </x:c>
      <x:c r="F77" s="58" t="str">
        <x:v>CÔNG TY TNHH MINH QUÂN MQB</x:v>
      </x:c>
      <x:c r="G77" s="58" t="str">
        <x:v>1C24TUV/00000460</x:v>
      </x:c>
      <x:c r="H77" s="66" t="str">
        <x:v>0313418500</x:v>
      </x:c>
      <x:c r="I77" s="58" t="str">
        <x:v>Bang_ke_chi_tiet_hoa_don_da_su_dung_1791533073074.xlsx | dòng 16491</x:v>
      </x:c>
      <x:c r="J77" s="58" t="str">
        <x:v>Giữ nguyên tất cả hóa đơn liên quan.</x:v>
      </x:c>
    </x:row>
    <x:row r="78" ht="84" customHeight="1">
      <x:c r="A78" s="57" t="n">
        <x:v>71</x:v>
      </x:c>
      <x:c r="B78" s="57" t="str">
        <x:v>1C24TUV/00000461</x:v>
      </x:c>
      <x:c r="C78" s="59" t="d">
        <x:v>2024-09-18T00:00:00.000Z</x:v>
      </x:c>
      <x:c r="D78" s="57" t="str">
        <x:v>Ngoại lệ đã tách</x:v>
      </x:c>
      <x:c r="E78" s="57" t="str">
        <x:v>1C24TUV/00000461 – 18/09/2024
1C25TUV/00002626 – 31/05/2025</x:v>
      </x:c>
      <x:c r="F78" s="57" t="str">
        <x:v>CÔNG TY TNHH THƯƠNG MẠI DỊCH VỤ TƯ VẤN ĐẦU TƯ XÂY DỰNG HUY PHÁT</x:v>
      </x:c>
      <x:c r="G78" s="57" t="str">
        <x:v>1C24TUV/00000461</x:v>
      </x:c>
      <x:c r="H78" s="65" t="str">
        <x:v>1801739475</x:v>
      </x:c>
      <x:c r="I78" s="57" t="str">
        <x:v>Bang_ke_chi_tiet_hoa_don_da_su_dung_1791533073074.xlsx | dòng 16493</x:v>
      </x:c>
      <x:c r="J78" s="57" t="str">
        <x:v>Giữ nguyên tất cả hóa đơn liên quan.</x:v>
      </x:c>
    </x:row>
    <x:row r="79" ht="84" customHeight="1">
      <x:c r="A79" s="58" t="n">
        <x:v>72</x:v>
      </x:c>
      <x:c r="B79" s="58" t="str">
        <x:v>1C24TUV/00000463</x:v>
      </x:c>
      <x:c r="C79" s="60" t="d">
        <x:v>2024-09-20T00:00:00.000Z</x:v>
      </x:c>
      <x:c r="D79" s="58" t="str">
        <x:v>Ngoại lệ đã tách</x:v>
      </x:c>
      <x:c r="E79" s="58" t="str">
        <x:v>1C24TUV/00000463 – 20/09/2024
1C25TUV/00002575 – 31/05/2025</x:v>
      </x:c>
      <x:c r="F79" s="58" t="str">
        <x:v>CÔNG TY TNHH BALOG MEDIA</x:v>
      </x:c>
      <x:c r="G79" s="58" t="str">
        <x:v>1C24TUV/00000463</x:v>
      </x:c>
      <x:c r="H79" s="66" t="str">
        <x:v>0402246807</x:v>
      </x:c>
      <x:c r="I79" s="58" t="str">
        <x:v>Bang_ke_chi_tiet_hoa_don_da_su_dung_1791533073074.xlsx | dòng 16572</x:v>
      </x:c>
      <x:c r="J79" s="58" t="str">
        <x:v>Giữ nguyên tất cả hóa đơn liên quan.</x:v>
      </x:c>
    </x:row>
    <x:row r="80" ht="84" customHeight="1">
      <x:c r="A80" s="57" t="n">
        <x:v>73</x:v>
      </x:c>
      <x:c r="B80" s="57" t="str">
        <x:v>1C24TUV/00000464</x:v>
      </x:c>
      <x:c r="C80" s="59" t="d">
        <x:v>2024-09-20T00:00:00.000Z</x:v>
      </x:c>
      <x:c r="D80" s="57" t="str">
        <x:v>Ngoại lệ đã tách</x:v>
      </x:c>
      <x:c r="E80" s="57" t="str">
        <x:v>1C24TUV/00000464 – 20/09/2024
1C25TUV/00002576 – 31/05/2025</x:v>
      </x:c>
      <x:c r="F80" s="57" t="str">
        <x:v>CÔNG TY TNHH LEE &amp; SUY VINA</x:v>
      </x:c>
      <x:c r="G80" s="57" t="str">
        <x:v>1C24TUV/00000464</x:v>
      </x:c>
      <x:c r="H80" s="65" t="str">
        <x:v>3700691189</x:v>
      </x:c>
      <x:c r="I80" s="57" t="str">
        <x:v>Bang_ke_chi_tiet_hoa_don_da_su_dung_1791533073074.xlsx | dòng 16574</x:v>
      </x:c>
      <x:c r="J80" s="57" t="str">
        <x:v>Giữ nguyên tất cả hóa đơn liên quan.</x:v>
      </x:c>
    </x:row>
    <x:row r="81" ht="84" customHeight="1">
      <x:c r="A81" s="58" t="n">
        <x:v>74</x:v>
      </x:c>
      <x:c r="B81" s="58" t="str">
        <x:v>1C24TUV/00000469</x:v>
      </x:c>
      <x:c r="C81" s="60" t="d">
        <x:v>2024-09-21T00:00:00.000Z</x:v>
      </x:c>
      <x:c r="D81" s="58" t="str">
        <x:v>Ngoại lệ đã tách</x:v>
      </x:c>
      <x:c r="E81" s="58" t="str">
        <x:v>1C24TUV/00000469 – 21/09/2024
1C25TUV/00002577 – 31/05/2025</x:v>
      </x:c>
      <x:c r="F81" s="58" t="str">
        <x:v>CÔNG TY TNHH MAI TRÀ</x:v>
      </x:c>
      <x:c r="G81" s="58" t="str">
        <x:v>1C24TUV/00000469</x:v>
      </x:c>
      <x:c r="H81" s="66" t="str">
        <x:v>4101510170</x:v>
      </x:c>
      <x:c r="I81" s="58" t="str">
        <x:v>Bang_ke_chi_tiet_hoa_don_da_su_dung_1791533073074.xlsx | dòng 16976</x:v>
      </x:c>
      <x:c r="J81" s="58" t="str">
        <x:v>Giữ nguyên tất cả hóa đơn liên quan.</x:v>
      </x:c>
    </x:row>
    <x:row r="82" ht="84" customHeight="1">
      <x:c r="A82" s="57" t="n">
        <x:v>75</x:v>
      </x:c>
      <x:c r="B82" s="57" t="str">
        <x:v>1C24TUV/00000470</x:v>
      </x:c>
      <x:c r="C82" s="59" t="d">
        <x:v>2024-09-24T00:00:00.000Z</x:v>
      </x:c>
      <x:c r="D82" s="57" t="str">
        <x:v>Ngoại lệ đã tách</x:v>
      </x:c>
      <x:c r="E82" s="57" t="str">
        <x:v>1C24TUV/00000470 – 24/09/2024</x:v>
      </x:c>
      <x:c r="F82" s="57" t="str">
        <x:v>CÔNG TY CỔ PHẦN PHÁT TRIỂN BỀN VỮNG OSHE</x:v>
      </x:c>
      <x:c r="G82" s="57" t="str">
        <x:v>1C24TUV/00000470</x:v>
      </x:c>
      <x:c r="H82" s="65" t="str">
        <x:v>0312183038</x:v>
      </x:c>
      <x:c r="I82" s="57" t="str">
        <x:v>Bang_ke_chi_tiet_hoa_don_da_su_dung_1791533073074.xlsx | dòng 16977</x:v>
      </x:c>
      <x:c r="J82" s="57" t="str">
        <x:v>Giữ nguyên tất cả hóa đơn liên quan.</x:v>
      </x:c>
    </x:row>
    <x:row r="83" ht="84" customHeight="1">
      <x:c r="A83" s="58" t="n">
        <x:v>76</x:v>
      </x:c>
      <x:c r="B83" s="58" t="str">
        <x:v>1C24TUV/00000471</x:v>
      </x:c>
      <x:c r="C83" s="60" t="d">
        <x:v>2024-09-24T00:00:00.000Z</x:v>
      </x:c>
      <x:c r="D83" s="58" t="str">
        <x:v>Ngoại lệ đã tách</x:v>
      </x:c>
      <x:c r="E83" s="58" t="str">
        <x:v>1C24TUV/00000471 – 24/09/2024
1C25TUV/00002627 – 31/05/2025</x:v>
      </x:c>
      <x:c r="F83" s="58" t="str">
        <x:v>CÔNG TY TNHH THƯƠNG MẠI &amp; DỊCH VỤ PHƯƠNG NAM THÀNH</x:v>
      </x:c>
      <x:c r="G83" s="58" t="str">
        <x:v>1C24TUV/00000471</x:v>
      </x:c>
      <x:c r="H83" s="66" t="str">
        <x:v>4001007661</x:v>
      </x:c>
      <x:c r="I83" s="58" t="str">
        <x:v>Bang_ke_chi_tiet_hoa_don_da_su_dung_1791533073074.xlsx | dòng 16979</x:v>
      </x:c>
      <x:c r="J83" s="58" t="str">
        <x:v>Giữ nguyên tất cả hóa đơn liên quan.</x:v>
      </x:c>
    </x:row>
    <x:row r="84" ht="84" customHeight="1">
      <x:c r="A84" s="57" t="n">
        <x:v>77</x:v>
      </x:c>
      <x:c r="B84" s="57" t="str">
        <x:v>1C24TUV/00000478</x:v>
      </x:c>
      <x:c r="C84" s="59" t="d">
        <x:v>2024-09-25T00:00:00.000Z</x:v>
      </x:c>
      <x:c r="D84" s="57" t="str">
        <x:v>Ngoại lệ đã tách</x:v>
      </x:c>
      <x:c r="E84" s="57" t="str">
        <x:v>1C24TUV/00000478 – 25/09/2024
1C25TUV/00002578 – 31/05/2025</x:v>
      </x:c>
      <x:c r="F84" s="57" t="str">
        <x:v>Đào Duy Tùng</x:v>
      </x:c>
      <x:c r="G84" s="57" t="str">
        <x:v>1C24TUV/00000478</x:v>
      </x:c>
      <x:c r="H84" s="65" t="str">
        <x:v>8823260350</x:v>
      </x:c>
      <x:c r="I84" s="57" t="str">
        <x:v>Bang_ke_chi_tiet_hoa_don_da_su_dung_1791533073074.xlsx | dòng 17579</x:v>
      </x:c>
      <x:c r="J84" s="57" t="str">
        <x:v>Giữ nguyên tất cả hóa đơn liên quan.</x:v>
      </x:c>
    </x:row>
    <x:row r="85" ht="84" customHeight="1">
      <x:c r="A85" s="58" t="n">
        <x:v>78</x:v>
      </x:c>
      <x:c r="B85" s="58" t="str">
        <x:v>1C24TUV/00000479</x:v>
      </x:c>
      <x:c r="C85" s="60" t="d">
        <x:v>2024-09-26T00:00:00.000Z</x:v>
      </x:c>
      <x:c r="D85" s="58" t="str">
        <x:v>Ngoại lệ đã tách</x:v>
      </x:c>
      <x:c r="E85" s="58" t="str">
        <x:v>1C24TUV/00000479 – 26/09/2024
1C25TUV/00002579 – 31/05/2025</x:v>
      </x:c>
      <x:c r="F85" s="58" t="str">
        <x:v>CÔNG TY TNHH XÂY DỰNG MINH KIM ANH</x:v>
      </x:c>
      <x:c r="G85" s="58" t="str">
        <x:v>1C24TUV/00000479</x:v>
      </x:c>
      <x:c r="H85" s="66" t="str">
        <x:v>0317762776</x:v>
      </x:c>
      <x:c r="I85" s="58" t="str">
        <x:v>Bang_ke_chi_tiet_hoa_don_da_su_dung_1791533073074.xlsx | dòng 17581</x:v>
      </x:c>
      <x:c r="J85" s="58" t="str">
        <x:v>Giữ nguyên tất cả hóa đơn liên quan.</x:v>
      </x:c>
    </x:row>
    <x:row r="86" ht="84" customHeight="1">
      <x:c r="A86" s="57" t="n">
        <x:v>79</x:v>
      </x:c>
      <x:c r="B86" s="57" t="str">
        <x:v>1C24TUV/00000498</x:v>
      </x:c>
      <x:c r="C86" s="59" t="d">
        <x:v>2024-09-30T00:00:00.000Z</x:v>
      </x:c>
      <x:c r="D86" s="57" t="str">
        <x:v>Giữ nguyên theo chốt</x:v>
      </x:c>
      <x:c r="E86" s="57" t="str">
        <x:v>1C24TUV/00000498 – 30/09/2024
1C25TUV/00002140 – 30/05/2025</x:v>
      </x:c>
      <x:c r="F86" s="57" t="str">
        <x:v>Người dùng chốt giữ cả cặp ngoài đợt xử lý (điểm 6)</x:v>
      </x:c>
      <x:c r="G86" s="57" t="str">
        <x:v>1C24TUV/00000498</x:v>
      </x:c>
      <x:c r="H86" s="65"/>
      <x:c r="I86" s="57" t="str">
        <x:v>Tin nhắn người dùng 11/10/2026</x:v>
      </x:c>
      <x:c r="J86" s="57" t="str">
        <x:v>Giữ nguyên tất cả hóa đơn liên quan.</x:v>
      </x:c>
    </x:row>
    <x:row r="87" ht="84" customHeight="1">
      <x:c r="A87" s="58" t="n">
        <x:v>80</x:v>
      </x:c>
      <x:c r="B87" s="58" t="str">
        <x:v>1C24TUV/00000501</x:v>
      </x:c>
      <x:c r="C87" s="60" t="d">
        <x:v>2024-10-01T00:00:00.000Z</x:v>
      </x:c>
      <x:c r="D87" s="58" t="str">
        <x:v>Ngoại lệ đã tách</x:v>
      </x:c>
      <x:c r="E87" s="58" t="str">
        <x:v>1C24TUV/00000501 – 01/10/2024
1C25TUV/00002580 – 31/05/2025</x:v>
      </x:c>
      <x:c r="F87" s="58" t="str">
        <x:v>CÔNG TY TNHH HANJOWON VINA</x:v>
      </x:c>
      <x:c r="G87" s="58" t="str">
        <x:v>1C24TUV/00000501</x:v>
      </x:c>
      <x:c r="H87" s="66" t="str">
        <x:v>1101938588</x:v>
      </x:c>
      <x:c r="I87" s="58" t="str">
        <x:v>Bang_ke_chi_tiet_hoa_don_da_su_dung_1791533073074.xlsx | dòng 19741</x:v>
      </x:c>
      <x:c r="J87" s="58" t="str">
        <x:v>Giữ nguyên tất cả hóa đơn liên quan.</x:v>
      </x:c>
    </x:row>
    <x:row r="88" ht="84" customHeight="1">
      <x:c r="A88" s="57" t="n">
        <x:v>81</x:v>
      </x:c>
      <x:c r="B88" s="57" t="str">
        <x:v>1C24TUV/00000509</x:v>
      </x:c>
      <x:c r="C88" s="59" t="d">
        <x:v>2024-10-03T00:00:00.000Z</x:v>
      </x:c>
      <x:c r="D88" s="57" t="str">
        <x:v>Ngoại lệ đã tách</x:v>
      </x:c>
      <x:c r="E88" s="57" t="str">
        <x:v>1C24TUV/00000509 – 03/10/2024
1C25TUV/00002581 – 31/05/2025</x:v>
      </x:c>
      <x:c r="F88" s="57" t="str">
        <x:v>CÔNG TY TNHH DỊCH VỤ VIỄN THÔNG TBQ VIỆT NAM</x:v>
      </x:c>
      <x:c r="G88" s="57" t="str">
        <x:v>1C24TUV/00000509</x:v>
      </x:c>
      <x:c r="H88" s="65" t="str">
        <x:v>0108110061</x:v>
      </x:c>
      <x:c r="I88" s="57" t="str">
        <x:v>Bang_ke_chi_tiet_hoa_don_da_su_dung_1791533073074.xlsx | dòng 20826</x:v>
      </x:c>
      <x:c r="J88" s="57" t="str">
        <x:v>Giữ nguyên tất cả hóa đơn liên quan.</x:v>
      </x:c>
    </x:row>
    <x:row r="89" ht="84" customHeight="1">
      <x:c r="A89" s="58" t="n">
        <x:v>82</x:v>
      </x:c>
      <x:c r="B89" s="58" t="str">
        <x:v>1C24TUV/00000510</x:v>
      </x:c>
      <x:c r="C89" s="60" t="d">
        <x:v>2024-10-03T00:00:00.000Z</x:v>
      </x:c>
      <x:c r="D89" s="58" t="str">
        <x:v>Ngoại lệ đã tách</x:v>
      </x:c>
      <x:c r="E89" s="58" t="str">
        <x:v>1C24TUV/00000510 – 03/10/2024
1C25TUV/00002582 – 31/05/2025</x:v>
      </x:c>
      <x:c r="F89" s="58" t="str">
        <x:v>CÔNG TY TNHH XÂY DỰNG VÀ SẢN XUẤT CAO MINH</x:v>
      </x:c>
      <x:c r="G89" s="58" t="str">
        <x:v>1C24TUV/00000510</x:v>
      </x:c>
      <x:c r="H89" s="66" t="str">
        <x:v>0313878152</x:v>
      </x:c>
      <x:c r="I89" s="58" t="str">
        <x:v>Bang_ke_chi_tiet_hoa_don_da_su_dung_1791533073074.xlsx | dòng 20827</x:v>
      </x:c>
      <x:c r="J89" s="58" t="str">
        <x:v>Giữ nguyên tất cả hóa đơn liên quan.</x:v>
      </x:c>
    </x:row>
    <x:row r="90" ht="84" customHeight="1">
      <x:c r="A90" s="57" t="n">
        <x:v>83</x:v>
      </x:c>
      <x:c r="B90" s="57" t="str">
        <x:v>1C24TUV/00000511</x:v>
      </x:c>
      <x:c r="C90" s="59" t="d">
        <x:v>2024-10-04T00:00:00.000Z</x:v>
      </x:c>
      <x:c r="D90" s="57" t="str">
        <x:v>Ngoại lệ đã tách</x:v>
      </x:c>
      <x:c r="E90" s="57" t="str">
        <x:v>1C24TUV/00000511 – 04/10/2024</x:v>
      </x:c>
      <x:c r="F90" s="57" t="str">
        <x:v>CÔNG TY TNHH SẢN XUẤT VÀ THƯƠNG MẠI DAVIMAX</x:v>
      </x:c>
      <x:c r="G90" s="57" t="str">
        <x:v>1C24TUV/00000511</x:v>
      </x:c>
      <x:c r="H90" s="65" t="str">
        <x:v>2300720588</x:v>
      </x:c>
      <x:c r="I90" s="57" t="str">
        <x:v>Bang_ke_chi_tiet_hoa_don_da_su_dung_1791533073074.xlsx | dòng 20828</x:v>
      </x:c>
      <x:c r="J90" s="57" t="str">
        <x:v>Giữ nguyên tất cả hóa đơn liên quan.</x:v>
      </x:c>
    </x:row>
    <x:row r="91" ht="84" customHeight="1">
      <x:c r="A91" s="58" t="n">
        <x:v>84</x:v>
      </x:c>
      <x:c r="B91" s="58" t="str">
        <x:v>1C24TUV/00000514</x:v>
      </x:c>
      <x:c r="C91" s="60" t="d">
        <x:v>2024-10-09T00:00:00.000Z</x:v>
      </x:c>
      <x:c r="D91" s="58" t="str">
        <x:v>Ngoại lệ đã tách</x:v>
      </x:c>
      <x:c r="E91" s="58" t="str">
        <x:v>1C24TUV/00000514 – 09/10/2024</x:v>
      </x:c>
      <x:c r="F91" s="58" t="str">
        <x:v>CÔNG TY TNHH SẢN XUẤT NAVIS VIỆT NAM</x:v>
      </x:c>
      <x:c r="G91" s="58" t="str">
        <x:v>1C24TUV/00000514</x:v>
      </x:c>
      <x:c r="H91" s="66" t="str">
        <x:v>0318008787</x:v>
      </x:c>
      <x:c r="I91" s="58" t="str">
        <x:v>Bang_ke_chi_tiet_hoa_don_da_su_dung_1791533073074.xlsx | dòng 20871</x:v>
      </x:c>
      <x:c r="J91" s="58" t="str">
        <x:v>Giữ nguyên tất cả hóa đơn liên quan.</x:v>
      </x:c>
    </x:row>
    <x:row r="92" ht="84" customHeight="1">
      <x:c r="A92" s="57" t="n">
        <x:v>85</x:v>
      </x:c>
      <x:c r="B92" s="57" t="str">
        <x:v>1C24TUV/00000515</x:v>
      </x:c>
      <x:c r="C92" s="59" t="d">
        <x:v>2024-10-09T00:00:00.000Z</x:v>
      </x:c>
      <x:c r="D92" s="57" t="str">
        <x:v>Ngoại lệ đã tách</x:v>
      </x:c>
      <x:c r="E92" s="57" t="str">
        <x:v>1C24TUV/00000515 – 09/10/2024
1C25TUV/00002583 – 31/05/2025</x:v>
      </x:c>
      <x:c r="F92" s="57" t="str">
        <x:v>CÔNG TY TNHH TÀI LINH LAND</x:v>
      </x:c>
      <x:c r="G92" s="57" t="str">
        <x:v>1C24TUV/00000515</x:v>
      </x:c>
      <x:c r="H92" s="65" t="str">
        <x:v>6001628711</x:v>
      </x:c>
      <x:c r="I92" s="57" t="str">
        <x:v>Bang_ke_chi_tiet_hoa_don_da_su_dung_1791533073074.xlsx | dòng 20872</x:v>
      </x:c>
      <x:c r="J92" s="57" t="str">
        <x:v>Giữ nguyên tất cả hóa đơn liên quan.</x:v>
      </x:c>
    </x:row>
    <x:row r="93" ht="84" customHeight="1">
      <x:c r="A93" s="58" t="n">
        <x:v>86</x:v>
      </x:c>
      <x:c r="B93" s="58" t="str">
        <x:v>1C24TUV/00000516</x:v>
      </x:c>
      <x:c r="C93" s="60" t="d">
        <x:v>2024-10-14T00:00:00.000Z</x:v>
      </x:c>
      <x:c r="D93" s="58" t="str">
        <x:v>Ngoại lệ đã tách</x:v>
      </x:c>
      <x:c r="E93" s="58" t="str">
        <x:v>1C24TUV/00000516 – 14/10/2024
1C25TUV/00002628 – 31/05/2025</x:v>
      </x:c>
      <x:c r="F93" s="58" t="str">
        <x:v>CÔNG TY TNHH SX VÀ TMDV ĐỒNG XU KỶ NIỆM ZINO</x:v>
      </x:c>
      <x:c r="G93" s="58" t="str">
        <x:v>1C24TUV/00000516</x:v>
      </x:c>
      <x:c r="H93" s="66" t="str">
        <x:v>0318522093</x:v>
      </x:c>
      <x:c r="I93" s="58" t="str">
        <x:v>Bang_ke_chi_tiet_hoa_don_da_su_dung_1791533073074.xlsx | dòng 20874</x:v>
      </x:c>
      <x:c r="J93" s="58" t="str">
        <x:v>Giữ nguyên tất cả hóa đơn liên quan.</x:v>
      </x:c>
    </x:row>
    <x:row r="94" ht="84" customHeight="1">
      <x:c r="A94" s="57" t="n">
        <x:v>87</x:v>
      </x:c>
      <x:c r="B94" s="57" t="str">
        <x:v>1C24TUV/00000517</x:v>
      </x:c>
      <x:c r="C94" s="59" t="d">
        <x:v>2024-10-14T00:00:00.000Z</x:v>
      </x:c>
      <x:c r="D94" s="57" t="str">
        <x:v>Ngoại lệ đã tách</x:v>
      </x:c>
      <x:c r="E94" s="57" t="str">
        <x:v>1C24TUV/00000517 – 14/10/2024</x:v>
      </x:c>
      <x:c r="F94" s="57" t="str">
        <x:v>CÔNG TY TNHH THIẾT KẾ VÀ THI CÔNG CÔNG TRÌNH AHA HUẾ</x:v>
      </x:c>
      <x:c r="G94" s="57" t="str">
        <x:v>1C24TUV/00000517</x:v>
      </x:c>
      <x:c r="H94" s="65" t="str">
        <x:v>3301719675</x:v>
      </x:c>
      <x:c r="I94" s="57" t="str">
        <x:v>Bang_ke_chi_tiet_hoa_don_da_su_dung_1791533073074.xlsx | dòng 20876</x:v>
      </x:c>
      <x:c r="J94" s="57" t="str">
        <x:v>Giữ nguyên tất cả hóa đơn liên quan.</x:v>
      </x:c>
    </x:row>
    <x:row r="95" ht="84" customHeight="1">
      <x:c r="A95" s="58" t="n">
        <x:v>88</x:v>
      </x:c>
      <x:c r="B95" s="58" t="str">
        <x:v>1C24TUV/00000518</x:v>
      </x:c>
      <x:c r="C95" s="60" t="d">
        <x:v>2024-10-14T00:00:00.000Z</x:v>
      </x:c>
      <x:c r="D95" s="58" t="str">
        <x:v>Ngoại lệ đã tách</x:v>
      </x:c>
      <x:c r="E95" s="58" t="str">
        <x:v>1C24TUV/00000518 – 14/10/2024
1C25TUV/00002584 – 31/05/2025</x:v>
      </x:c>
      <x:c r="F95" s="58" t="str">
        <x:v>CÔNG TY CỔ PHẦN TẬP ĐOÀN SUNHOUSE</x:v>
      </x:c>
      <x:c r="G95" s="58" t="str">
        <x:v>1C24TUV/00000518</x:v>
      </x:c>
      <x:c r="H95" s="66" t="str">
        <x:v>0101976905</x:v>
      </x:c>
      <x:c r="I95" s="58" t="str">
        <x:v>Bang_ke_chi_tiet_hoa_don_da_su_dung_1791533073074.xlsx | dòng 20877</x:v>
      </x:c>
      <x:c r="J95" s="58" t="str">
        <x:v>Giữ nguyên tất cả hóa đơn liên quan.</x:v>
      </x:c>
    </x:row>
    <x:row r="96" ht="84" customHeight="1">
      <x:c r="A96" s="57" t="n">
        <x:v>89</x:v>
      </x:c>
      <x:c r="B96" s="57" t="str">
        <x:v>1C24TUV/00000523</x:v>
      </x:c>
      <x:c r="C96" s="59" t="d">
        <x:v>2024-10-16T00:00:00.000Z</x:v>
      </x:c>
      <x:c r="D96" s="57" t="str">
        <x:v>Ngoại lệ đã tách</x:v>
      </x:c>
      <x:c r="E96" s="57" t="str">
        <x:v>1C24TUV/00000523 – 16/10/2024
1C25TUV/00002586 – 31/05/2025</x:v>
      </x:c>
      <x:c r="F96" s="57" t="str">
        <x:v>CÔNG TY TNHH THƯƠNG MẠI DỊCH VỤ DIGI-TRAN</x:v>
      </x:c>
      <x:c r="G96" s="57" t="str">
        <x:v>1C24TUV/00000523</x:v>
      </x:c>
      <x:c r="H96" s="65" t="str">
        <x:v>0314404490</x:v>
      </x:c>
      <x:c r="I96" s="57" t="str">
        <x:v>Bang_ke_chi_tiet_hoa_don_da_su_dung_1791533073074.xlsx | dòng 21211</x:v>
      </x:c>
      <x:c r="J96" s="57" t="str">
        <x:v>Giữ nguyên tất cả hóa đơn liên quan.</x:v>
      </x:c>
    </x:row>
    <x:row r="97" ht="84" customHeight="1">
      <x:c r="A97" s="58" t="n">
        <x:v>90</x:v>
      </x:c>
      <x:c r="B97" s="58" t="str">
        <x:v>1C24TUV/00000524</x:v>
      </x:c>
      <x:c r="C97" s="60" t="d">
        <x:v>2024-10-16T00:00:00.000Z</x:v>
      </x:c>
      <x:c r="D97" s="58" t="str">
        <x:v>Ngoại lệ đã tách</x:v>
      </x:c>
      <x:c r="E97" s="58" t="str">
        <x:v>1C24TUV/00000524 – 16/10/2024
1C25TUV/00002629 – 31/05/2025</x:v>
      </x:c>
      <x:c r="F97" s="58" t="str">
        <x:v>CÔNG TY TNHH THƯƠNG MẠI DỊCH VỤ DU LỊCH TÀI PHƯỚC THÀNH</x:v>
      </x:c>
      <x:c r="G97" s="58" t="str">
        <x:v>1C24TUV/00000524</x:v>
      </x:c>
      <x:c r="H97" s="66" t="str">
        <x:v>1801510068</x:v>
      </x:c>
      <x:c r="I97" s="58" t="str">
        <x:v>Bang_ke_chi_tiet_hoa_don_da_su_dung_1791533073074.xlsx | dòng 21212</x:v>
      </x:c>
      <x:c r="J97" s="58" t="str">
        <x:v>Giữ nguyên tất cả hóa đơn liên quan.</x:v>
      </x:c>
    </x:row>
    <x:row r="98" ht="84" customHeight="1">
      <x:c r="A98" s="57" t="n">
        <x:v>91</x:v>
      </x:c>
      <x:c r="B98" s="57" t="str">
        <x:v>1C24TUV/00000526</x:v>
      </x:c>
      <x:c r="C98" s="59" t="d">
        <x:v>2024-10-17T00:00:00.000Z</x:v>
      </x:c>
      <x:c r="D98" s="57" t="str">
        <x:v>Ngoại lệ đã tách</x:v>
      </x:c>
      <x:c r="E98" s="57" t="str">
        <x:v>1C24TUV/00000526 – 17/10/2024
1C25TUV/00002630 – 31/05/2025</x:v>
      </x:c>
      <x:c r="F98" s="57" t="str">
        <x:v>CÔNG TY TNHH DU LỊCH &amp; SỰ KIỆN PHƯỢNG HOÀNG</x:v>
      </x:c>
      <x:c r="G98" s="57" t="str">
        <x:v>1C24TUV/00000526</x:v>
      </x:c>
      <x:c r="H98" s="65" t="str">
        <x:v>0315568491</x:v>
      </x:c>
      <x:c r="I98" s="57" t="str">
        <x:v>Bang_ke_chi_tiet_hoa_don_da_su_dung_1791533073074.xlsx | dòng 21215</x:v>
      </x:c>
      <x:c r="J98" s="57" t="str">
        <x:v>Giữ nguyên tất cả hóa đơn liên quan.</x:v>
      </x:c>
    </x:row>
    <x:row r="99" ht="84" customHeight="1">
      <x:c r="A99" s="58" t="n">
        <x:v>92</x:v>
      </x:c>
      <x:c r="B99" s="58" t="str">
        <x:v>1C24TUV/00000530</x:v>
      </x:c>
      <x:c r="C99" s="60" t="d">
        <x:v>2024-10-21T00:00:00.000Z</x:v>
      </x:c>
      <x:c r="D99" s="58" t="str">
        <x:v>Ngoại lệ đã tách</x:v>
      </x:c>
      <x:c r="E99" s="58" t="str">
        <x:v>1C24TUV/00000530 – 21/10/2024
1C25TUV/00002631 – 31/05/2025</x:v>
      </x:c>
      <x:c r="F99" s="58" t="str">
        <x:v>CÔNG TY CỔ PHẦN DU LỊCH VÀ ĐẦU TƯ MELI CLUB</x:v>
      </x:c>
      <x:c r="G99" s="58" t="str">
        <x:v>1C24TUV/00000530</x:v>
      </x:c>
      <x:c r="H99" s="66" t="str">
        <x:v>0318344789</x:v>
      </x:c>
      <x:c r="I99" s="58" t="str">
        <x:v>Bang_ke_chi_tiet_hoa_don_da_su_dung_1791533073074.xlsx | dòng 21248</x:v>
      </x:c>
      <x:c r="J99" s="58" t="str">
        <x:v>Giữ nguyên tất cả hóa đơn liên quan.</x:v>
      </x:c>
    </x:row>
    <x:row r="100" ht="84" customHeight="1">
      <x:c r="A100" s="57" t="n">
        <x:v>93</x:v>
      </x:c>
      <x:c r="B100" s="57" t="str">
        <x:v>1C24TUV/00000531</x:v>
      </x:c>
      <x:c r="C100" s="59" t="d">
        <x:v>2024-10-21T00:00:00.000Z</x:v>
      </x:c>
      <x:c r="D100" s="57" t="str">
        <x:v>Ngoại lệ đã tách</x:v>
      </x:c>
      <x:c r="E100" s="57" t="str">
        <x:v>1C24TUV/00000531 – 21/10/2024
1C25TUV/00002587 – 31/05/2025</x:v>
      </x:c>
      <x:c r="F100" s="57" t="str">
        <x:v>CÔNG TY TNHH THƯƠNG MẠI DỊCH VỤ DIGI-TRAN</x:v>
      </x:c>
      <x:c r="G100" s="57" t="str">
        <x:v>1C24TUV/00000531</x:v>
      </x:c>
      <x:c r="H100" s="65" t="str">
        <x:v>0314404490</x:v>
      </x:c>
      <x:c r="I100" s="57" t="str">
        <x:v>Bang_ke_chi_tiet_hoa_don_da_su_dung_1791533073074.xlsx | dòng 21249</x:v>
      </x:c>
      <x:c r="J100" s="57" t="str">
        <x:v>Giữ nguyên tất cả hóa đơn liên quan.</x:v>
      </x:c>
    </x:row>
    <x:row r="101" ht="84" customHeight="1">
      <x:c r="A101" s="58" t="n">
        <x:v>94</x:v>
      </x:c>
      <x:c r="B101" s="58" t="str">
        <x:v>1C24TUV/00000534</x:v>
      </x:c>
      <x:c r="C101" s="60" t="d">
        <x:v>2024-10-22T00:00:00.000Z</x:v>
      </x:c>
      <x:c r="D101" s="58" t="str">
        <x:v>Ngoại lệ đã tách</x:v>
      </x:c>
      <x:c r="E101" s="58" t="str">
        <x:v>1C24TUV/00000534 – 22/10/2024
1C25TUV/00002642 – 31/05/2025</x:v>
      </x:c>
      <x:c r="F101" s="58" t="str">
        <x:v>CÔNG TY TNHH DỊCH VỤ TRUYỀN THÔNG DTC</x:v>
      </x:c>
      <x:c r="G101" s="58" t="str">
        <x:v>1C24TUV/00000534</x:v>
      </x:c>
      <x:c r="H101" s="66" t="str">
        <x:v>0109997537</x:v>
      </x:c>
      <x:c r="I101" s="58" t="str">
        <x:v>Bang_ke_chi_tiet_hoa_don_da_su_dung_1791533073074.xlsx | dòng 21387</x:v>
      </x:c>
      <x:c r="J101" s="58" t="str">
        <x:v>Giữ nguyên tất cả hóa đơn liên quan.</x:v>
      </x:c>
    </x:row>
    <x:row r="102" ht="84" customHeight="1">
      <x:c r="A102" s="57" t="n">
        <x:v>95</x:v>
      </x:c>
      <x:c r="B102" s="57" t="str">
        <x:v>1C24TUV/00000538</x:v>
      </x:c>
      <x:c r="C102" s="59" t="d">
        <x:v>2024-10-26T00:00:00.000Z</x:v>
      </x:c>
      <x:c r="D102" s="57" t="str">
        <x:v>Ngoại lệ đã tách</x:v>
      </x:c>
      <x:c r="E102" s="57" t="str">
        <x:v>1C24TUV/00000538 – 26/10/2024
1C25TUV/00002588 – 31/05/2025</x:v>
      </x:c>
      <x:c r="F102" s="57" t="str">
        <x:v>CÔNG TY TNHH INTEL PRODUCTS VIỆT NAM</x:v>
      </x:c>
      <x:c r="G102" s="57" t="str">
        <x:v>1C24TUV/00000538</x:v>
      </x:c>
      <x:c r="H102" s="65" t="str">
        <x:v>0304295429</x:v>
      </x:c>
      <x:c r="I102" s="57" t="str">
        <x:v>Bang_ke_chi_tiet_hoa_don_da_su_dung_1791533073074.xlsx | dòng 21781</x:v>
      </x:c>
      <x:c r="J102" s="57" t="str">
        <x:v>Giữ nguyên tất cả hóa đơn liên quan.</x:v>
      </x:c>
    </x:row>
    <x:row r="103" ht="84" customHeight="1">
      <x:c r="A103" s="58" t="n">
        <x:v>96</x:v>
      </x:c>
      <x:c r="B103" s="58" t="str">
        <x:v>1C24TUV/00000539</x:v>
      </x:c>
      <x:c r="C103" s="60" t="d">
        <x:v>2024-10-30T00:00:00.000Z</x:v>
      </x:c>
      <x:c r="D103" s="58" t="str">
        <x:v>Ngoại lệ đã tách</x:v>
      </x:c>
      <x:c r="E103" s="58" t="str">
        <x:v>1C24TUV/00000539 – 30/10/2024
1C25TUV/00002633 – 31/05/2025</x:v>
      </x:c>
      <x:c r="F103" s="58" t="str">
        <x:v>CÔNG TY TNHH TRUYỀN THÔNG VÀ SỰ KIỆN NEW SKY</x:v>
      </x:c>
      <x:c r="G103" s="58" t="str">
        <x:v>1C24TUV/00000539</x:v>
      </x:c>
      <x:c r="H103" s="66" t="str">
        <x:v>0318232274</x:v>
      </x:c>
      <x:c r="I103" s="58" t="str">
        <x:v>Bang_ke_chi_tiet_hoa_don_da_su_dung_1791533073074.xlsx | dòng 21782</x:v>
      </x:c>
      <x:c r="J103" s="58" t="str">
        <x:v>Giữ nguyên tất cả hóa đơn liên quan.</x:v>
      </x:c>
    </x:row>
    <x:row r="104" ht="84" customHeight="1">
      <x:c r="A104" s="57" t="n">
        <x:v>97</x:v>
      </x:c>
      <x:c r="B104" s="57" t="str">
        <x:v>1C24TUV/00000540</x:v>
      </x:c>
      <x:c r="C104" s="59" t="d">
        <x:v>2024-10-30T00:00:00.000Z</x:v>
      </x:c>
      <x:c r="D104" s="57" t="str">
        <x:v>Ngoại lệ đã tách</x:v>
      </x:c>
      <x:c r="E104" s="57" t="str">
        <x:v>1C24TUV/00000540 – 30/10/2024</x:v>
      </x:c>
      <x:c r="F104" s="57" t="str">
        <x:v>CÔNG TY TNHH HUGE-FAM</x:v>
      </x:c>
      <x:c r="G104" s="57" t="str">
        <x:v>1C24TUV/00000540</x:v>
      </x:c>
      <x:c r="H104" s="65" t="str">
        <x:v>0315259091</x:v>
      </x:c>
      <x:c r="I104" s="57" t="str">
        <x:v>Bang_ke_chi_tiet_hoa_don_da_su_dung_1791533073074.xlsx | dòng 21783</x:v>
      </x:c>
      <x:c r="J104" s="57" t="str">
        <x:v>Giữ nguyên tất cả hóa đơn liên quan.</x:v>
      </x:c>
    </x:row>
    <x:row r="105" ht="84" customHeight="1">
      <x:c r="A105" s="58" t="n">
        <x:v>98</x:v>
      </x:c>
      <x:c r="B105" s="58" t="str">
        <x:v>1C24TUV/00000541</x:v>
      </x:c>
      <x:c r="C105" s="60" t="d">
        <x:v>2024-10-30T00:00:00.000Z</x:v>
      </x:c>
      <x:c r="D105" s="58" t="str">
        <x:v>Ngoại lệ đã tách</x:v>
      </x:c>
      <x:c r="E105" s="58" t="str">
        <x:v>1C24TUV/00000541 – 30/10/2024
1C25TUV/00002634 – 31/05/2025</x:v>
      </x:c>
      <x:c r="F105" s="58" t="str">
        <x:v>CÔNG TY TNHH HI-LEVEL ENTERPRISE</x:v>
      </x:c>
      <x:c r="G105" s="58" t="str">
        <x:v>1C24TUV/00000541</x:v>
      </x:c>
      <x:c r="H105" s="66" t="str">
        <x:v>3702501637</x:v>
      </x:c>
      <x:c r="I105" s="58" t="str">
        <x:v>Bang_ke_chi_tiet_hoa_don_da_su_dung_1791533073074.xlsx | dòng 21784</x:v>
      </x:c>
      <x:c r="J105" s="58" t="str">
        <x:v>Giữ nguyên tất cả hóa đơn liên quan.</x:v>
      </x:c>
    </x:row>
    <x:row r="106" ht="84" customHeight="1">
      <x:c r="A106" s="57" t="n">
        <x:v>99</x:v>
      </x:c>
      <x:c r="B106" s="57" t="str">
        <x:v>1C24TUV/00000542</x:v>
      </x:c>
      <x:c r="C106" s="59" t="d">
        <x:v>2024-10-30T00:00:00.000Z</x:v>
      </x:c>
      <x:c r="D106" s="57" t="str">
        <x:v>Ngoại lệ đã tách</x:v>
      </x:c>
      <x:c r="E106" s="57" t="str">
        <x:v>1C24TUV/00000542 – 30/10/2024</x:v>
      </x:c>
      <x:c r="F106" s="57" t="str">
        <x:v>CÔNG TY TNHH MỘT THÀNH VIÊN PHẠM NGÂN NHI</x:v>
      </x:c>
      <x:c r="G106" s="57" t="str">
        <x:v>1C24TUV/00000542</x:v>
      </x:c>
      <x:c r="H106" s="65" t="str">
        <x:v>0401699508</x:v>
      </x:c>
      <x:c r="I106" s="57" t="str">
        <x:v>Bang_ke_chi_tiet_hoa_don_da_su_dung_1791533073074.xlsx | dòng 21785</x:v>
      </x:c>
      <x:c r="J106" s="57" t="str">
        <x:v>Giữ nguyên tất cả hóa đơn liên quan.</x:v>
      </x:c>
    </x:row>
    <x:row r="107" ht="84" customHeight="1">
      <x:c r="A107" s="58" t="n">
        <x:v>100</x:v>
      </x:c>
      <x:c r="B107" s="58" t="str">
        <x:v>1C24TUV/00000563</x:v>
      </x:c>
      <x:c r="C107" s="60" t="d">
        <x:v>2024-11-07T00:00:00.000Z</x:v>
      </x:c>
      <x:c r="D107" s="58" t="str">
        <x:v>Ngoại lệ đã tách</x:v>
      </x:c>
      <x:c r="E107" s="58" t="str">
        <x:v>1C24TUV/00000563 – 07/11/2024
1C25TUV/00002171 – 30/05/2025</x:v>
      </x:c>
      <x:c r="F107" s="58" t="str">
        <x:v>CÔNG TY TNHH XUẤT NHẬP KHẨU GOLDEN SUCCESS</x:v>
      </x:c>
      <x:c r="G107" s="58" t="str">
        <x:v>1C24TUV/00000563</x:v>
      </x:c>
      <x:c r="H107" s="66" t="str">
        <x:v>0318401003</x:v>
      </x:c>
      <x:c r="I107" s="58" t="str">
        <x:v>Bang_ke_chi_tiet_hoa_don_da_su_dung_1791533073074.xlsx | dòng 23401</x:v>
      </x:c>
      <x:c r="J107" s="58" t="str">
        <x:v>Giữ nguyên tất cả hóa đơn liên quan.</x:v>
      </x:c>
    </x:row>
    <x:row r="108" ht="84" customHeight="1">
      <x:c r="A108" s="57" t="n">
        <x:v>101</x:v>
      </x:c>
      <x:c r="B108" s="57" t="str">
        <x:v>1C24TUV/00000564</x:v>
      </x:c>
      <x:c r="C108" s="59" t="d">
        <x:v>2024-11-07T00:00:00.000Z</x:v>
      </x:c>
      <x:c r="D108" s="57" t="str">
        <x:v>Ngoại lệ đã tách</x:v>
      </x:c>
      <x:c r="E108" s="57" t="str">
        <x:v>1C24TUV/00000564 – 07/11/2024
1C25TUV/00002172 – 30/05/2025</x:v>
      </x:c>
      <x:c r="F108" s="57" t="str">
        <x:v>VIỆN KHOA HỌC CÔNG NGHỆ VÀ KINH TẾ XÂY DỰNG HÀ NỘI</x:v>
      </x:c>
      <x:c r="G108" s="57" t="str">
        <x:v>1C24TUV/00000564</x:v>
      </x:c>
      <x:c r="H108" s="65" t="str">
        <x:v>0100731483</x:v>
      </x:c>
      <x:c r="I108" s="57" t="str">
        <x:v>Bang_ke_chi_tiet_hoa_don_da_su_dung_1791533073074.xlsx | dòng 23403</x:v>
      </x:c>
      <x:c r="J108" s="57" t="str">
        <x:v>Giữ nguyên tất cả hóa đơn liên quan.</x:v>
      </x:c>
    </x:row>
    <x:row r="109" ht="84" customHeight="1">
      <x:c r="A109" s="58" t="n">
        <x:v>102</x:v>
      </x:c>
      <x:c r="B109" s="58" t="str">
        <x:v>1C24TUV/00000566</x:v>
      </x:c>
      <x:c r="C109" s="60" t="d">
        <x:v>2024-11-12T00:00:00.000Z</x:v>
      </x:c>
      <x:c r="D109" s="58" t="str">
        <x:v>Ngoại lệ đã tách</x:v>
      </x:c>
      <x:c r="E109" s="58" t="str">
        <x:v>1C24TUV/00000566 – 12/11/2024
1C25TUV/00002174 – 30/05/2025</x:v>
      </x:c>
      <x:c r="F109" s="58" t="str">
        <x:v>VIỆN KHOA HỌC CÔNG NGHỆ VÀ KINH TẾ XÂY DỰNG HÀ NỘI</x:v>
      </x:c>
      <x:c r="G109" s="58" t="str">
        <x:v>1C24TUV/00000566</x:v>
      </x:c>
      <x:c r="H109" s="66" t="str">
        <x:v>0100731483</x:v>
      </x:c>
      <x:c r="I109" s="58" t="str">
        <x:v>Bang_ke_chi_tiet_hoa_don_da_su_dung_1791533073074.xlsx | dòng 23578</x:v>
      </x:c>
      <x:c r="J109" s="58" t="str">
        <x:v>Giữ nguyên tất cả hóa đơn liên quan.</x:v>
      </x:c>
    </x:row>
    <x:row r="110" ht="84" customHeight="1">
      <x:c r="A110" s="57" t="n">
        <x:v>103</x:v>
      </x:c>
      <x:c r="B110" s="57" t="str">
        <x:v>1C24TUV/00000567</x:v>
      </x:c>
      <x:c r="C110" s="59" t="d">
        <x:v>2024-11-12T00:00:00.000Z</x:v>
      </x:c>
      <x:c r="D110" s="57" t="str">
        <x:v>Ngoại lệ đã tách</x:v>
      </x:c>
      <x:c r="E110" s="57" t="str">
        <x:v>1C24TUV/00000567 – 12/11/2024
1C25TUV/00002635 – 31/05/2025</x:v>
      </x:c>
      <x:c r="F110" s="57" t="str">
        <x:v>CÔNG TY TNHH KHÁCH SẠN NỮ HOÀNG ELIZABETH</x:v>
      </x:c>
      <x:c r="G110" s="57" t="str">
        <x:v>1C24TUV/00000567</x:v>
      </x:c>
      <x:c r="H110" s="65" t="str">
        <x:v>3702483628</x:v>
      </x:c>
      <x:c r="I110" s="57" t="str">
        <x:v>Bang_ke_chi_tiet_hoa_don_da_su_dung_1791533073074.xlsx | dòng 23580</x:v>
      </x:c>
      <x:c r="J110" s="57" t="str">
        <x:v>Giữ nguyên tất cả hóa đơn liên quan.</x:v>
      </x:c>
    </x:row>
    <x:row r="111" ht="84" customHeight="1">
      <x:c r="A111" s="58" t="n">
        <x:v>104</x:v>
      </x:c>
      <x:c r="B111" s="58" t="str">
        <x:v>1C24TUV/00000568</x:v>
      </x:c>
      <x:c r="C111" s="60" t="d">
        <x:v>2024-11-13T00:00:00.000Z</x:v>
      </x:c>
      <x:c r="D111" s="58" t="str">
        <x:v>Ngoại lệ đã tách</x:v>
      </x:c>
      <x:c r="E111" s="58" t="str">
        <x:v>1C24TUV/00000568 – 13/11/2024
1C25TUV/00002636 – 31/05/2025</x:v>
      </x:c>
      <x:c r="F111" s="58" t="str">
        <x:v>CÔNG TY TNHH MỘT THÀNH VIÊN XÂY DỰNG XUÂN TRƯỜNG ĐẮK NÔNG</x:v>
      </x:c>
      <x:c r="G111" s="58" t="str">
        <x:v>1C24TUV/00000568</x:v>
      </x:c>
      <x:c r="H111" s="66" t="str">
        <x:v>6400397008</x:v>
      </x:c>
      <x:c r="I111" s="58" t="str">
        <x:v>Bang_ke_chi_tiet_hoa_don_da_su_dung_1791533073074.xlsx | dòng 23581</x:v>
      </x:c>
      <x:c r="J111" s="58" t="str">
        <x:v>Giữ nguyên tất cả hóa đơn liên quan.</x:v>
      </x:c>
    </x:row>
    <x:row r="112" ht="84" customHeight="1">
      <x:c r="A112" s="57" t="n">
        <x:v>105</x:v>
      </x:c>
      <x:c r="B112" s="57" t="str">
        <x:v>1C24TUV/00000574</x:v>
      </x:c>
      <x:c r="C112" s="59" t="d">
        <x:v>2024-11-15T00:00:00.000Z</x:v>
      </x:c>
      <x:c r="D112" s="57" t="str">
        <x:v>Giữ nguyên theo chốt</x:v>
      </x:c>
      <x:c r="E112" s="57" t="str">
        <x:v>1C24TUV/00000574 – 15/11/2024
1C25TUV/00002189 – 30/05/2025</x:v>
      </x:c>
      <x:c r="F112" s="57" t="str">
        <x:v>Người dùng chốt giữ cả cặp ngoài đợt xử lý (điểm 6)</x:v>
      </x:c>
      <x:c r="G112" s="57" t="str">
        <x:v>1C24TUV/00000574</x:v>
      </x:c>
      <x:c r="H112" s="65"/>
      <x:c r="I112" s="57" t="str">
        <x:v>Tin nhắn người dùng 11/10/2026</x:v>
      </x:c>
      <x:c r="J112" s="57" t="str">
        <x:v>Giữ nguyên tất cả hóa đơn liên quan.</x:v>
      </x:c>
    </x:row>
    <x:row r="113" ht="84" customHeight="1">
      <x:c r="A113" s="58" t="n">
        <x:v>106</x:v>
      </x:c>
      <x:c r="B113" s="58" t="str">
        <x:v>1C24TUV/00000579</x:v>
      </x:c>
      <x:c r="C113" s="60" t="d">
        <x:v>2024-11-18T00:00:00.000Z</x:v>
      </x:c>
      <x:c r="D113" s="58" t="str">
        <x:v>Ngoại lệ đã tách</x:v>
      </x:c>
      <x:c r="E113" s="58" t="str">
        <x:v>1C24TUV/00000579 – 18/11/2024
1C25TUV/00002589 – 31/05/2025</x:v>
      </x:c>
      <x:c r="F113" s="58" t="str">
        <x:v>CÔNG TY CỔ PHẦN QUẢNG CÁO VÀ THƯƠNG MẠI GSOLUTION</x:v>
      </x:c>
      <x:c r="G113" s="58" t="str">
        <x:v>1C24TUV/00000579</x:v>
      </x:c>
      <x:c r="H113" s="66" t="str">
        <x:v>0311950572</x:v>
      </x:c>
      <x:c r="I113" s="58" t="str">
        <x:v>Bang_ke_chi_tiet_hoa_don_da_su_dung_1791533073074.xlsx | dòng 23769</x:v>
      </x:c>
      <x:c r="J113" s="58" t="str">
        <x:v>Giữ nguyên tất cả hóa đơn liên quan.</x:v>
      </x:c>
    </x:row>
    <x:row r="114" ht="84" customHeight="1">
      <x:c r="A114" s="57" t="n">
        <x:v>107</x:v>
      </x:c>
      <x:c r="B114" s="57" t="str">
        <x:v>1C24TUV/00000599</x:v>
      </x:c>
      <x:c r="C114" s="59" t="d">
        <x:v>2024-11-25T00:00:00.000Z</x:v>
      </x:c>
      <x:c r="D114" s="57" t="str">
        <x:v>Ngoại lệ đã tách</x:v>
      </x:c>
      <x:c r="E114" s="57" t="str">
        <x:v>1C24TUV/00000599 – 25/11/2024
1C25TUV/00002196 – 30/05/2025</x:v>
      </x:c>
      <x:c r="F114" s="57" t="str">
        <x:v>CÔNG TY TNHH XUẤT NHẬP KHẨU MACA HILLS</x:v>
      </x:c>
      <x:c r="G114" s="57" t="str">
        <x:v>1C24TUV/00000599</x:v>
      </x:c>
      <x:c r="H114" s="65" t="str">
        <x:v>6400448686</x:v>
      </x:c>
      <x:c r="I114" s="57" t="str">
        <x:v>Bang_ke_chi_tiet_hoa_don_da_su_dung_1791533073074.xlsx | dòng 24187</x:v>
      </x:c>
      <x:c r="J114" s="57" t="str">
        <x:v>Giữ nguyên tất cả hóa đơn liên quan.</x:v>
      </x:c>
    </x:row>
    <x:row r="115" ht="84" customHeight="1">
      <x:c r="A115" s="58" t="n">
        <x:v>108</x:v>
      </x:c>
      <x:c r="B115" s="58" t="str">
        <x:v>1C24TUV/00000603</x:v>
      </x:c>
      <x:c r="C115" s="60" t="d">
        <x:v>2024-11-26T00:00:00.000Z</x:v>
      </x:c>
      <x:c r="D115" s="58" t="str">
        <x:v>Ngoại lệ đã tách</x:v>
      </x:c>
      <x:c r="E115" s="58" t="str">
        <x:v>1C24TUV/00000603 – 26/11/2024
1C25TUV/00002179 – 30/05/2025</x:v>
      </x:c>
      <x:c r="F115" s="58" t="str">
        <x:v>CÔNG TY TNHH THƯƠNG MẠI DỊCH VỤ VẬT TƯ TRẦN LÂM</x:v>
      </x:c>
      <x:c r="G115" s="58" t="str">
        <x:v>1C24TUV/00000603</x:v>
      </x:c>
      <x:c r="H115" s="66" t="str">
        <x:v>0317749976</x:v>
      </x:c>
      <x:c r="I115" s="58" t="str">
        <x:v>Bang_ke_chi_tiet_hoa_don_da_su_dung_1791533073074.xlsx | dòng 24541</x:v>
      </x:c>
      <x:c r="J115" s="58" t="str">
        <x:v>Giữ nguyên tất cả hóa đơn liên quan.</x:v>
      </x:c>
    </x:row>
    <x:row r="116" ht="84" customHeight="1">
      <x:c r="A116" s="57" t="n">
        <x:v>109</x:v>
      </x:c>
      <x:c r="B116" s="57" t="str">
        <x:v>1C24TUV/00000609</x:v>
      </x:c>
      <x:c r="C116" s="59" t="d">
        <x:v>2024-11-27T00:00:00.000Z</x:v>
      </x:c>
      <x:c r="D116" s="57" t="str">
        <x:v>Ngoại lệ đã tách</x:v>
      </x:c>
      <x:c r="E116" s="57" t="str">
        <x:v>1C24TUV/00000609 – 27/11/2024
1C25TUV/00002638 – 31/05/2025</x:v>
      </x:c>
      <x:c r="F116" s="57" t="str">
        <x:v>TỔNG CÔNG TY BẢO VIỆT NHÂN THỌ</x:v>
      </x:c>
      <x:c r="G116" s="57" t="str">
        <x:v>1C24TUV/00000609</x:v>
      </x:c>
      <x:c r="H116" s="65" t="str">
        <x:v>0102641429</x:v>
      </x:c>
      <x:c r="I116" s="57" t="str">
        <x:v>Bang_ke_hoa_don_da_su_dung_1791532882546.xlsx | dòng 614</x:v>
      </x:c>
      <x:c r="J116" s="57" t="str">
        <x:v>Giữ nguyên tất cả hóa đơn liên quan.</x:v>
      </x:c>
    </x:row>
    <x:row r="117" ht="84" customHeight="1">
      <x:c r="A117" s="58" t="n">
        <x:v>110</x:v>
      </x:c>
      <x:c r="B117" s="58" t="str">
        <x:v>1C24TUV/00000634</x:v>
      </x:c>
      <x:c r="C117" s="60" t="d">
        <x:v>2024-12-03T00:00:00.000Z</x:v>
      </x:c>
      <x:c r="D117" s="58" t="str">
        <x:v>Ngoại lệ đã tách</x:v>
      </x:c>
      <x:c r="E117" s="58" t="str">
        <x:v>1C24TUV/00000634 – 03/12/2024
1C25TUV/00002591 – 31/05/2025</x:v>
      </x:c>
      <x:c r="F117" s="58" t="str">
        <x:v>DOANH NGHIỆP TƯ NHÂN DU LỊCH AN PHÁT</x:v>
      </x:c>
      <x:c r="G117" s="58" t="str">
        <x:v>1C24TUV/00000634</x:v>
      </x:c>
      <x:c r="H117" s="66" t="str">
        <x:v>4001091085</x:v>
      </x:c>
      <x:c r="I117" s="58" t="str">
        <x:v>Bang_ke_chi_tiet_hoa_don_da_su_dung_1791533073074.xlsx | dòng 24543</x:v>
      </x:c>
      <x:c r="J117" s="58" t="str">
        <x:v>Giữ nguyên tất cả hóa đơn liên quan.</x:v>
      </x:c>
    </x:row>
    <x:row r="118" ht="84" customHeight="1">
      <x:c r="A118" s="57" t="n">
        <x:v>111</x:v>
      </x:c>
      <x:c r="B118" s="57" t="str">
        <x:v>1C24TUV/00000642</x:v>
      </x:c>
      <x:c r="C118" s="59" t="d">
        <x:v>2024-12-04T00:00:00.000Z</x:v>
      </x:c>
      <x:c r="D118" s="57" t="str">
        <x:v>Ngoại lệ đã tách</x:v>
      </x:c>
      <x:c r="E118" s="57" t="str">
        <x:v>1C24TUV/00000642 – 04/12/2024
1C25TUV/00002592 – 31/05/2025</x:v>
      </x:c>
      <x:c r="F118" s="57" t="str">
        <x:v>CÔNG TY TNHH MỘT THÀNH VIÊN XĂNG DẦU SONG ĐĂNG</x:v>
      </x:c>
      <x:c r="G118" s="57" t="str">
        <x:v>1C24TUV/00000642</x:v>
      </x:c>
      <x:c r="H118" s="65" t="str">
        <x:v>0312239812</x:v>
      </x:c>
      <x:c r="I118" s="57" t="str">
        <x:v>Bang_ke_chi_tiet_hoa_don_da_su_dung_1791533073074.xlsx | dòng 25477</x:v>
      </x:c>
      <x:c r="J118" s="57" t="str">
        <x:v>Giữ nguyên tất cả hóa đơn liên quan.</x:v>
      </x:c>
    </x:row>
    <x:row r="119" ht="84" customHeight="1">
      <x:c r="A119" s="58" t="n">
        <x:v>112</x:v>
      </x:c>
      <x:c r="B119" s="58" t="str">
        <x:v>1C24TUV/00000650</x:v>
      </x:c>
      <x:c r="C119" s="60" t="d">
        <x:v>2024-12-05T00:00:00.000Z</x:v>
      </x:c>
      <x:c r="D119" s="58" t="str">
        <x:v>Ngoại lệ đã tách</x:v>
      </x:c>
      <x:c r="E119" s="58" t="str">
        <x:v>1C24TUV/00000650 – 05/12/2024</x:v>
      </x:c>
      <x:c r="F119" s="58" t="str">
        <x:v>CÔNG TY TNHH CHÚ CÁ</x:v>
      </x:c>
      <x:c r="G119" s="58" t="str">
        <x:v>1C24TUV/00000650</x:v>
      </x:c>
      <x:c r="H119" s="66" t="str">
        <x:v>0318588954</x:v>
      </x:c>
      <x:c r="I119" s="58" t="str">
        <x:v>Bang_ke_chi_tiet_hoa_don_da_su_dung_1791533073074.xlsx | dòng 25544</x:v>
      </x:c>
      <x:c r="J119" s="58" t="str">
        <x:v>Giữ nguyên tất cả hóa đơn liên quan.</x:v>
      </x:c>
    </x:row>
    <x:row r="120" ht="84" customHeight="1">
      <x:c r="A120" s="57" t="n">
        <x:v>113</x:v>
      </x:c>
      <x:c r="B120" s="57" t="str">
        <x:v>1C24TUV/00000651</x:v>
      </x:c>
      <x:c r="C120" s="59" t="d">
        <x:v>2024-12-09T00:00:00.000Z</x:v>
      </x:c>
      <x:c r="D120" s="57" t="str">
        <x:v>Ngoại lệ đã tách</x:v>
      </x:c>
      <x:c r="E120" s="57" t="str">
        <x:v>1C24TUV/00000651 – 09/12/2024</x:v>
      </x:c>
      <x:c r="F120" s="57" t="str">
        <x:v>CÔNG TY TNHH THƯƠNG MẠI DỊCH VỤ VÀ VẬN CHUYỂN AECP</x:v>
      </x:c>
      <x:c r="G120" s="57" t="str">
        <x:v>1C24TUV/00000651</x:v>
      </x:c>
      <x:c r="H120" s="65" t="str">
        <x:v>0202232740</x:v>
      </x:c>
      <x:c r="I120" s="57" t="str">
        <x:v>Bang_ke_chi_tiet_hoa_don_da_su_dung_1791533073074.xlsx | dòng 25545</x:v>
      </x:c>
      <x:c r="J120" s="57" t="str">
        <x:v>Giữ nguyên tất cả hóa đơn liên quan.</x:v>
      </x:c>
    </x:row>
    <x:row r="121" ht="84" customHeight="1">
      <x:c r="A121" s="58" t="n">
        <x:v>114</x:v>
      </x:c>
      <x:c r="B121" s="58" t="str">
        <x:v>1C24TUV/00000659</x:v>
      </x:c>
      <x:c r="C121" s="60" t="d">
        <x:v>2024-12-11T00:00:00.000Z</x:v>
      </x:c>
      <x:c r="D121" s="58" t="str">
        <x:v>Ngoại lệ đã tách</x:v>
      </x:c>
      <x:c r="E121" s="58" t="str">
        <x:v>1C24TUV/00000659 – 11/12/2024
1C25TUV/00002639 – 31/05/2025
1C25TUV/00012764 – 15/07/2025</x:v>
      </x:c>
      <x:c r="F121" s="58" t="str">
        <x:v>CÔNG TY CỔ PHẦN VGENTECH</x:v>
      </x:c>
      <x:c r="G121" s="58" t="str">
        <x:v>1C24TUV/00000659</x:v>
      </x:c>
      <x:c r="H121" s="66" t="str">
        <x:v>0109724748</x:v>
      </x:c>
      <x:c r="I121" s="58" t="str">
        <x:v>Bang_ke_chi_tiet_hoa_don_da_su_dung_1791533073074.xlsx | dòng 25662</x:v>
      </x:c>
      <x:c r="J121" s="58" t="str">
        <x:v>Giữ nguyên tất cả hóa đơn liên quan.</x:v>
      </x:c>
    </x:row>
    <x:row r="122" ht="84" customHeight="1">
      <x:c r="A122" s="57" t="n">
        <x:v>115</x:v>
      </x:c>
      <x:c r="B122" s="57" t="str">
        <x:v>1C24TUV/00000660</x:v>
      </x:c>
      <x:c r="C122" s="59" t="d">
        <x:v>2024-12-13T00:00:00.000Z</x:v>
      </x:c>
      <x:c r="D122" s="57" t="str">
        <x:v>Ngoại lệ đã tách</x:v>
      </x:c>
      <x:c r="E122" s="57" t="str">
        <x:v>1C24TUV/00000660 – 13/12/2024
1C25TUV/00002219 – 30/05/2025</x:v>
      </x:c>
      <x:c r="F122" s="57" t="str">
        <x:v>CÔNG TY TNHH THỰC PHẨM TOÀN CẦU HUY HOÀNG</x:v>
      </x:c>
      <x:c r="G122" s="57" t="str">
        <x:v>1C24TUV/00000660</x:v>
      </x:c>
      <x:c r="H122" s="65" t="str">
        <x:v>0315729798</x:v>
      </x:c>
      <x:c r="I122" s="57" t="str">
        <x:v>Bang_ke_chi_tiet_hoa_don_da_su_dung_1791533073074.xlsx | dòng 25664</x:v>
      </x:c>
      <x:c r="J122" s="57" t="str">
        <x:v>Giữ nguyên tất cả hóa đơn liên quan.</x:v>
      </x:c>
    </x:row>
    <x:row r="123" ht="84" customHeight="1">
      <x:c r="A123" s="58" t="n">
        <x:v>116</x:v>
      </x:c>
      <x:c r="B123" s="58" t="str">
        <x:v>1C24TUV/00000661</x:v>
      </x:c>
      <x:c r="C123" s="60" t="d">
        <x:v>2024-12-16T00:00:00.000Z</x:v>
      </x:c>
      <x:c r="D123" s="58" t="str">
        <x:v>Ngoại lệ đã tách</x:v>
      </x:c>
      <x:c r="E123" s="58" t="str">
        <x:v>1C24TUV/00000661 – 16/12/2024
1C25TUV/00002220 – 30/05/2025</x:v>
      </x:c>
      <x:c r="F123" s="58" t="str">
        <x:v>CÔNG TY TNHH TIẾP VẬN VẬN TẢI QUỐC TẾ VÕ LƯƠNG</x:v>
      </x:c>
      <x:c r="G123" s="58" t="str">
        <x:v>1C24TUV/00000661</x:v>
      </x:c>
      <x:c r="H123" s="66" t="str">
        <x:v>0303427866</x:v>
      </x:c>
      <x:c r="I123" s="58" t="str">
        <x:v>Bang_ke_chi_tiet_hoa_don_da_su_dung_1791533073074.xlsx | dòng 25666</x:v>
      </x:c>
      <x:c r="J123" s="58" t="str">
        <x:v>Giữ nguyên tất cả hóa đơn liên quan.</x:v>
      </x:c>
    </x:row>
    <x:row r="124" ht="84" customHeight="1">
      <x:c r="A124" s="57" t="n">
        <x:v>117</x:v>
      </x:c>
      <x:c r="B124" s="57" t="str">
        <x:v>1C24TUV/00000668</x:v>
      </x:c>
      <x:c r="C124" s="59" t="d">
        <x:v>2024-12-17T00:00:00.000Z</x:v>
      </x:c>
      <x:c r="D124" s="57" t="str">
        <x:v>Ngoại lệ đã tách</x:v>
      </x:c>
      <x:c r="E124" s="57" t="str">
        <x:v>1C24TUV/00000668 – 17/12/2024
1C25TUV/00002595 – 31/05/2025</x:v>
      </x:c>
      <x:c r="F124" s="57" t="str">
        <x:v>CÔNG TY CỔ PHẦN SÀI GÒN DƯƠNG ĐÔNG</x:v>
      </x:c>
      <x:c r="G124" s="57" t="str">
        <x:v>1C24TUV/00000668</x:v>
      </x:c>
      <x:c r="H124" s="65" t="str">
        <x:v>1701239486</x:v>
      </x:c>
      <x:c r="I124" s="57" t="str">
        <x:v>Bang_ke_chi_tiet_hoa_don_da_su_dung_1791533073074.xlsx | dòng 25872</x:v>
      </x:c>
      <x:c r="J124" s="57" t="str">
        <x:v>Giữ nguyên tất cả hóa đơn liên quan.</x:v>
      </x:c>
    </x:row>
    <x:row r="125" ht="84" customHeight="1">
      <x:c r="A125" s="58" t="n">
        <x:v>118</x:v>
      </x:c>
      <x:c r="B125" s="58" t="str">
        <x:v>1C24TUV/00000696</x:v>
      </x:c>
      <x:c r="C125" s="60" t="d">
        <x:v>2024-12-21T00:00:00.000Z</x:v>
      </x:c>
      <x:c r="D125" s="58" t="str">
        <x:v>Ngoại lệ đã tách</x:v>
      </x:c>
      <x:c r="E125" s="58" t="str">
        <x:v>1C24TUV/00000696 – 21/12/2024</x:v>
      </x:c>
      <x:c r="F125" s="58" t="str">
        <x:v>CÔNG TY TRÁCH NHIỆM HỮU HẠN YEOU LIH SILICA SAND VIỆT NAM</x:v>
      </x:c>
      <x:c r="G125" s="58" t="str">
        <x:v>1C24TUV/00000696</x:v>
      </x:c>
      <x:c r="H125" s="66" t="str">
        <x:v>4000394369</x:v>
      </x:c>
      <x:c r="I125" s="58" t="str">
        <x:v>Bang_ke_chi_tiet_hoa_don_da_su_dung_1791533073074.xlsx | dòng 27035</x:v>
      </x:c>
      <x:c r="J125" s="58" t="str">
        <x:v>Giữ nguyên tất cả hóa đơn liên quan.</x:v>
      </x:c>
    </x:row>
    <x:row r="126" ht="84" customHeight="1">
      <x:c r="A126" s="57" t="n">
        <x:v>119</x:v>
      </x:c>
      <x:c r="B126" s="57" t="str">
        <x:v>1C24TUV/00000698</x:v>
      </x:c>
      <x:c r="C126" s="59" t="d">
        <x:v>2024-12-21T00:00:00.000Z</x:v>
      </x:c>
      <x:c r="D126" s="57" t="str">
        <x:v>Ngoại lệ đã tách</x:v>
      </x:c>
      <x:c r="E126" s="57" t="str">
        <x:v>1C24TUV/00000698 – 21/12/2024
1C25TUV/00002596 – 31/05/2025</x:v>
      </x:c>
      <x:c r="F126" s="57" t="str">
        <x:v>CÔNG TY TNHH LANDO</x:v>
      </x:c>
      <x:c r="G126" s="57" t="str">
        <x:v>1C24TUV/00000698</x:v>
      </x:c>
      <x:c r="H126" s="65" t="str">
        <x:v>0314069690</x:v>
      </x:c>
      <x:c r="I126" s="57" t="str">
        <x:v>Bang_ke_chi_tiet_hoa_don_da_su_dung_1791533073074.xlsx | dòng 27100</x:v>
      </x:c>
      <x:c r="J126" s="57" t="str">
        <x:v>Giữ nguyên tất cả hóa đơn liên quan.</x:v>
      </x:c>
    </x:row>
    <x:row r="127" ht="84" customHeight="1">
      <x:c r="A127" s="58" t="n">
        <x:v>120</x:v>
      </x:c>
      <x:c r="B127" s="58" t="str">
        <x:v>1C24TUV/00000718</x:v>
      </x:c>
      <x:c r="C127" s="60" t="d">
        <x:v>2024-12-25T00:00:00.000Z</x:v>
      </x:c>
      <x:c r="D127" s="58" t="str">
        <x:v>Ngoại lệ đã tách</x:v>
      </x:c>
      <x:c r="E127" s="58" t="str">
        <x:v>1C24TUV/00000718 – 25/12/2024
1C25TUV/00002597 – 31/05/2025</x:v>
      </x:c>
      <x:c r="F127" s="58" t="str">
        <x:v>CÔNG TY TNHH MTV ECOMDY</x:v>
      </x:c>
      <x:c r="G127" s="58" t="str">
        <x:v>1C24TUV/00000718</x:v>
      </x:c>
      <x:c r="H127" s="66" t="str">
        <x:v>0402181645</x:v>
      </x:c>
      <x:c r="I127" s="58" t="str">
        <x:v>Bang_ke_chi_tiet_hoa_don_da_su_dung_1791533073074.xlsx | dòng 29016</x:v>
      </x:c>
      <x:c r="J127" s="58" t="str">
        <x:v>Giữ nguyên tất cả hóa đơn liên quan.</x:v>
      </x:c>
    </x:row>
    <x:row r="128" ht="84" customHeight="1">
      <x:c r="A128" s="57" t="n">
        <x:v>121</x:v>
      </x:c>
      <x:c r="B128" s="57" t="str">
        <x:v>1C24TUV/00000719</x:v>
      </x:c>
      <x:c r="C128" s="59" t="d">
        <x:v>2024-12-25T00:00:00.000Z</x:v>
      </x:c>
      <x:c r="D128" s="57" t="str">
        <x:v>Ngoại lệ đã tách</x:v>
      </x:c>
      <x:c r="E128" s="57" t="str">
        <x:v>1C24TUV/00000719 – 25/12/2024
1C25TUV/00002275 – 30/05/2025</x:v>
      </x:c>
      <x:c r="F128" s="57" t="str">
        <x:v>CÔNG TY TNHH HOURENSOU VIỆT NAM</x:v>
      </x:c>
      <x:c r="G128" s="57" t="str">
        <x:v>1C24TUV/00000719</x:v>
      </x:c>
      <x:c r="H128" s="65" t="str">
        <x:v>0700836294</x:v>
      </x:c>
      <x:c r="I128" s="57" t="str">
        <x:v>Bang_ke_chi_tiet_hoa_don_da_su_dung_1791533073074.xlsx | dòng 29017</x:v>
      </x:c>
      <x:c r="J128" s="57" t="str">
        <x:v>Giữ nguyên tất cả hóa đơn liên quan.</x:v>
      </x:c>
    </x:row>
    <x:row r="129" ht="84" customHeight="1">
      <x:c r="A129" s="58" t="n">
        <x:v>122</x:v>
      </x:c>
      <x:c r="B129" s="58" t="str">
        <x:v>1C25TUV/00000001</x:v>
      </x:c>
      <x:c r="C129" s="60" t="d">
        <x:v>2025-01-07T00:00:00.000Z</x:v>
      </x:c>
      <x:c r="D129" s="58" t="str">
        <x:v>Ngoại lệ đã tách</x:v>
      </x:c>
      <x:c r="E129" s="58" t="str">
        <x:v>1C25TUV/00000001 – 07/01/2025
1C25TUV/00000654 – 05/05/2025</x:v>
      </x:c>
      <x:c r="F129" s="58" t="str">
        <x:v>CÔNG TY TNHH ABILITY LOGISTICS</x:v>
      </x:c>
      <x:c r="G129" s="58" t="str">
        <x:v>1C25TUV/00000001</x:v>
      </x:c>
      <x:c r="H129" s="66" t="str">
        <x:v>0316248977</x:v>
      </x:c>
      <x:c r="I129" s="58" t="str">
        <x:v> Bang_ke_chi_tiet_hoa_don_da_su_dung_20261009_150742.xlsx | dòng 6</x:v>
      </x:c>
      <x:c r="J129" s="58" t="str">
        <x:v>Giữ nguyên tất cả hóa đơn liên quan.</x:v>
      </x:c>
    </x:row>
    <x:row r="130" ht="84" customHeight="1">
      <x:c r="A130" s="57" t="n">
        <x:v>123</x:v>
      </x:c>
      <x:c r="B130" s="57" t="str">
        <x:v>1C25TUV/00000014</x:v>
      </x:c>
      <x:c r="C130" s="59" t="d">
        <x:v>2025-01-08T00:00:00.000Z</x:v>
      </x:c>
      <x:c r="D130" s="57" t="str">
        <x:v>Ngoại lệ đã tách</x:v>
      </x:c>
      <x:c r="E130" s="57" t="str">
        <x:v>1C25TUV/00000014 – 08/01/2025</x:v>
      </x:c>
      <x:c r="F130" s="57" t="str">
        <x:v>CÔNG TY CỔ PHẦN KOLIA PHAN</x:v>
      </x:c>
      <x:c r="G130" s="57" t="str">
        <x:v>1C25TUV/00000014</x:v>
      </x:c>
      <x:c r="H130" s="65" t="str">
        <x:v>0110432891</x:v>
      </x:c>
      <x:c r="I130" s="57" t="str">
        <x:v> Bang_ke_chi_tiet_hoa_don_da_su_dung_20261009_150742.xlsx | dòng 29</x:v>
      </x:c>
      <x:c r="J130" s="57" t="str">
        <x:v>Giữ nguyên tất cả hóa đơn liên quan.</x:v>
      </x:c>
    </x:row>
    <x:row r="131" ht="84" customHeight="1">
      <x:c r="A131" s="58" t="n">
        <x:v>124</x:v>
      </x:c>
      <x:c r="B131" s="58" t="str">
        <x:v>1C25TUV/00000015</x:v>
      </x:c>
      <x:c r="C131" s="60" t="d">
        <x:v>2025-01-13T00:00:00.000Z</x:v>
      </x:c>
      <x:c r="D131" s="58" t="str">
        <x:v>Ngoại lệ đã tách</x:v>
      </x:c>
      <x:c r="E131" s="58" t="str">
        <x:v>1C25TUV/00000015 – 13/01/2025
1C25TUV/00000656 – 05/05/2025</x:v>
      </x:c>
      <x:c r="F131" s="58" t="str">
        <x:v>CÔNG TY TNHH ĐẦU TƯ Y TẾ TRẦN DIỆP KHANH</x:v>
      </x:c>
      <x:c r="G131" s="58" t="str">
        <x:v>1C25TUV/00000015</x:v>
      </x:c>
      <x:c r="H131" s="66" t="str">
        <x:v>0309271950</x:v>
      </x:c>
      <x:c r="I131" s="58" t="str">
        <x:v> Bang_ke_chi_tiet_hoa_don_da_su_dung_20261009_150742.xlsx | dòng 32</x:v>
      </x:c>
      <x:c r="J131" s="58" t="str">
        <x:v>Giữ nguyên tất cả hóa đơn liên quan.</x:v>
      </x:c>
    </x:row>
    <x:row r="132" ht="84" customHeight="1">
      <x:c r="A132" s="57" t="n">
        <x:v>125</x:v>
      </x:c>
      <x:c r="B132" s="57" t="str">
        <x:v>1C25TUV/00000027</x:v>
      </x:c>
      <x:c r="C132" s="59" t="d">
        <x:v>2025-01-15T00:00:00.000Z</x:v>
      </x:c>
      <x:c r="D132" s="57" t="str">
        <x:v>Ngoại lệ đã tách</x:v>
      </x:c>
      <x:c r="E132" s="57" t="str">
        <x:v>1C25TUV/00000027 – 15/01/2025</x:v>
      </x:c>
      <x:c r="F132" s="57" t="str">
        <x:v>CÔNG TY TNHH SẢN XUẤT VÀ ĐẦU TƯ AKIA</x:v>
      </x:c>
      <x:c r="G132" s="57" t="str">
        <x:v>1C25TUV/00000027</x:v>
      </x:c>
      <x:c r="H132" s="65" t="str">
        <x:v>0315793560</x:v>
      </x:c>
      <x:c r="I132" s="57" t="str">
        <x:v> Bang_ke_chi_tiet_hoa_don_da_su_dung_20261009_150742.xlsx | dòng 49</x:v>
      </x:c>
      <x:c r="J132" s="57" t="str">
        <x:v>Giữ nguyên tất cả hóa đơn liên quan.</x:v>
      </x:c>
    </x:row>
    <x:row r="133" ht="84" customHeight="1">
      <x:c r="A133" s="58" t="n">
        <x:v>126</x:v>
      </x:c>
      <x:c r="B133" s="58" t="str">
        <x:v>1C25TUV/00000028</x:v>
      </x:c>
      <x:c r="C133" s="60" t="d">
        <x:v>2025-01-18T00:00:00.000Z</x:v>
      </x:c>
      <x:c r="D133" s="58" t="str">
        <x:v>Ngoại lệ đã tách</x:v>
      </x:c>
      <x:c r="E133" s="58" t="str">
        <x:v>1C25TUV/00000028 – 18/01/2025
1C25TUV/00000652 – 05/05/2025</x:v>
      </x:c>
      <x:c r="F133" s="58" t="str">
        <x:v>CÔNG TY TRÁCH NHIỆM HỮU HẠN NHỰA ĐƯỜNG HT</x:v>
      </x:c>
      <x:c r="G133" s="58" t="str">
        <x:v>1C25TUV/00000028</x:v>
      </x:c>
      <x:c r="H133" s="66" t="str">
        <x:v>0316337306</x:v>
      </x:c>
      <x:c r="I133" s="58" t="str">
        <x:v> Bang_ke_chi_tiet_hoa_don_da_su_dung_20261009_150742.xlsx | dòng 50</x:v>
      </x:c>
      <x:c r="J133" s="58" t="str">
        <x:v>Giữ nguyên tất cả hóa đơn liên quan.</x:v>
      </x:c>
    </x:row>
    <x:row r="134" ht="84" customHeight="1">
      <x:c r="A134" s="57" t="n">
        <x:v>127</x:v>
      </x:c>
      <x:c r="B134" s="57" t="str">
        <x:v>1C25TUV/00000029</x:v>
      </x:c>
      <x:c r="C134" s="59" t="d">
        <x:v>2025-01-20T00:00:00.000Z</x:v>
      </x:c>
      <x:c r="D134" s="57" t="str">
        <x:v>Ngoại lệ đã tách</x:v>
      </x:c>
      <x:c r="E134" s="57" t="str">
        <x:v>1C25TUV/00000029 – 20/01/2025
1C25TUV/00000658 – 05/05/2025</x:v>
      </x:c>
      <x:c r="F134" s="57" t="str">
        <x:v>CÔNG TY CỔ PHẦN KIẾN TRÚC VÀ XÂY DỰNG KIẾN BIÊN</x:v>
      </x:c>
      <x:c r="G134" s="57" t="str">
        <x:v>1C25TUV/00000029</x:v>
      </x:c>
      <x:c r="H134" s="65" t="str">
        <x:v>3603216011</x:v>
      </x:c>
      <x:c r="I134" s="57" t="str">
        <x:v> Bang_ke_chi_tiet_hoa_don_da_su_dung_20261009_150742.xlsx | dòng 52</x:v>
      </x:c>
      <x:c r="J134" s="57" t="str">
        <x:v>Giữ nguyên tất cả hóa đơn liên quan.</x:v>
      </x:c>
    </x:row>
    <x:row r="135" ht="84" customHeight="1">
      <x:c r="A135" s="58" t="n">
        <x:v>128</x:v>
      </x:c>
      <x:c r="B135" s="58" t="str">
        <x:v>1C25TUV/00000030</x:v>
      </x:c>
      <x:c r="C135" s="60" t="d">
        <x:v>2025-01-21T00:00:00.000Z</x:v>
      </x:c>
      <x:c r="D135" s="58" t="str">
        <x:v>Ngoại lệ đã tách</x:v>
      </x:c>
      <x:c r="E135" s="58" t="str">
        <x:v>1C25TUV/00000030 – 21/01/2025
1C25TUV/00000659 – 05/05/2025</x:v>
      </x:c>
      <x:c r="F135" s="58" t="str">
        <x:v>CÔNG TY TNHH KIỂM TOÁN ĐỊNH GIÁ ĐẠI DƯƠNG</x:v>
      </x:c>
      <x:c r="G135" s="58" t="str">
        <x:v>1C25TUV/00000030</x:v>
      </x:c>
      <x:c r="H135" s="66" t="str">
        <x:v>0102078485</x:v>
      </x:c>
      <x:c r="I135" s="58" t="str">
        <x:v> Bang_ke_chi_tiet_hoa_don_da_su_dung_20261009_150742.xlsx | dòng 53</x:v>
      </x:c>
      <x:c r="J135" s="58" t="str">
        <x:v>Giữ nguyên tất cả hóa đơn liên quan.</x:v>
      </x:c>
    </x:row>
    <x:row r="136" ht="84" customHeight="1">
      <x:c r="A136" s="57" t="n">
        <x:v>129</x:v>
      </x:c>
      <x:c r="B136" s="57" t="str">
        <x:v>1C25TUV/00000031</x:v>
      </x:c>
      <x:c r="C136" s="59" t="d">
        <x:v>2025-01-21T00:00:00.000Z</x:v>
      </x:c>
      <x:c r="D136" s="57" t="str">
        <x:v>Ngoại lệ đã tách</x:v>
      </x:c>
      <x:c r="E136" s="57" t="str">
        <x:v>1C25TUV/00000031 – 21/01/2025
1C25TUV/00000660 – 05/05/2025</x:v>
      </x:c>
      <x:c r="F136" s="57" t="str">
        <x:v>CÔNG TY CỔ PHẦN ĐẦU TƯ BIZMAN SÀI GÒN</x:v>
      </x:c>
      <x:c r="G136" s="57" t="str">
        <x:v>1C25TUV/00000031</x:v>
      </x:c>
      <x:c r="H136" s="65" t="str">
        <x:v>0313942231</x:v>
      </x:c>
      <x:c r="I136" s="57" t="str">
        <x:v> Bang_ke_chi_tiet_hoa_don_da_su_dung_20261009_150742.xlsx | dòng 55</x:v>
      </x:c>
      <x:c r="J136" s="57" t="str">
        <x:v>Giữ nguyên tất cả hóa đơn liên quan.</x:v>
      </x:c>
    </x:row>
    <x:row r="137" ht="84" customHeight="1">
      <x:c r="A137" s="58" t="n">
        <x:v>130</x:v>
      </x:c>
      <x:c r="B137" s="58" t="str">
        <x:v>1C25TUV/00000032</x:v>
      </x:c>
      <x:c r="C137" s="60" t="d">
        <x:v>2025-01-22T00:00:00.000Z</x:v>
      </x:c>
      <x:c r="D137" s="58" t="str">
        <x:v>Ngoại lệ đã tách</x:v>
      </x:c>
      <x:c r="E137" s="58" t="str">
        <x:v>1C25TUV/00000032 – 22/01/2025</x:v>
      </x:c>
      <x:c r="F137" s="58" t="str">
        <x:v>CÔNG TY CỔ PHẦN PMAX</x:v>
      </x:c>
      <x:c r="G137" s="58" t="str">
        <x:v>1C25TUV/00000032</x:v>
      </x:c>
      <x:c r="H137" s="66" t="str">
        <x:v>0313968092</x:v>
      </x:c>
      <x:c r="I137" s="58" t="str">
        <x:v> Bang_ke_chi_tiet_hoa_don_da_su_dung_20261009_150742.xlsx | dòng 56</x:v>
      </x:c>
      <x:c r="J137" s="58" t="str">
        <x:v>Giữ nguyên tất cả hóa đơn liên quan.</x:v>
      </x:c>
    </x:row>
    <x:row r="138" ht="84" customHeight="1">
      <x:c r="A138" s="57" t="n">
        <x:v>131</x:v>
      </x:c>
      <x:c r="B138" s="57" t="str">
        <x:v>1C25TUV/00000033</x:v>
      </x:c>
      <x:c r="C138" s="59" t="d">
        <x:v>2025-01-23T00:00:00.000Z</x:v>
      </x:c>
      <x:c r="D138" s="57" t="str">
        <x:v>Ngoại lệ đã tách</x:v>
      </x:c>
      <x:c r="E138" s="57" t="str">
        <x:v>1C25TUV/00000033 – 23/01/2025
1C25TUV/00000661 – 05/05/2025</x:v>
      </x:c>
      <x:c r="F138" s="57" t="str">
        <x:v>CÔNG TY TNHH CÔNG NGHỆ VNIDEAS</x:v>
      </x:c>
      <x:c r="G138" s="57" t="str">
        <x:v>1C25TUV/00000033</x:v>
      </x:c>
      <x:c r="H138" s="65" t="str">
        <x:v>0317575046</x:v>
      </x:c>
      <x:c r="I138" s="57" t="str">
        <x:v> Bang_ke_chi_tiet_hoa_don_da_su_dung_20261009_150742.xlsx | dòng 57</x:v>
      </x:c>
      <x:c r="J138" s="57" t="str">
        <x:v>Giữ nguyên tất cả hóa đơn liên quan.</x:v>
      </x:c>
    </x:row>
    <x:row r="139" ht="84" customHeight="1">
      <x:c r="A139" s="58" t="n">
        <x:v>132</x:v>
      </x:c>
      <x:c r="B139" s="58" t="str">
        <x:v>1C25TUV/00000034</x:v>
      </x:c>
      <x:c r="C139" s="60" t="d">
        <x:v>2025-01-23T00:00:00.000Z</x:v>
      </x:c>
      <x:c r="D139" s="58" t="str">
        <x:v>Ngoại lệ đã tách</x:v>
      </x:c>
      <x:c r="E139" s="58" t="str">
        <x:v>1C25TUV/00000034 – 23/01/2025</x:v>
      </x:c>
      <x:c r="F139" s="58" t="str">
        <x:v>CÔNG TY TNHH THƯƠNG MẠI VÀ DỊCH VỤ Ô TÔ HYUNDAI ĐÔNG SÀI GÒN</x:v>
      </x:c>
      <x:c r="G139" s="58" t="str">
        <x:v>1C25TUV/00000034</x:v>
      </x:c>
      <x:c r="H139" s="66" t="str">
        <x:v>0316147908</x:v>
      </x:c>
      <x:c r="I139" s="58" t="str">
        <x:v> Bang_ke_chi_tiet_hoa_don_da_su_dung_20261009_150742.xlsx | dòng 58</x:v>
      </x:c>
      <x:c r="J139" s="58" t="str">
        <x:v>Giữ nguyên tất cả hóa đơn liên quan.</x:v>
      </x:c>
    </x:row>
    <x:row r="140" ht="84" customHeight="1">
      <x:c r="A140" s="57" t="n">
        <x:v>133</x:v>
      </x:c>
      <x:c r="B140" s="57" t="str">
        <x:v>1C25TUV/00000040</x:v>
      </x:c>
      <x:c r="C140" s="59" t="d">
        <x:v>2025-01-26T00:00:00.000Z</x:v>
      </x:c>
      <x:c r="D140" s="57" t="str">
        <x:v>Ngoại lệ đã tách</x:v>
      </x:c>
      <x:c r="E140" s="57" t="str">
        <x:v>1C25TUV/00000040 – 26/01/2025
1C25TUV/00000662 – 05/05/2025</x:v>
      </x:c>
      <x:c r="F140" s="57" t="str">
        <x:v>Trần Thị Kim Phụng</x:v>
      </x:c>
      <x:c r="G140" s="57" t="str">
        <x:v>1C25TUV/00000040</x:v>
      </x:c>
      <x:c r="H140" s="65" t="str">
        <x:v>8743683287</x:v>
      </x:c>
      <x:c r="I140" s="57" t="str">
        <x:v> Bang_ke_chi_tiet_hoa_don_da_su_dung_20261009_150742.xlsx | dòng 232</x:v>
      </x:c>
      <x:c r="J140" s="57" t="str">
        <x:v>Giữ nguyên tất cả hóa đơn liên quan.</x:v>
      </x:c>
    </x:row>
    <x:row r="141" ht="84" customHeight="1">
      <x:c r="A141" s="58" t="n">
        <x:v>134</x:v>
      </x:c>
      <x:c r="B141" s="58" t="str">
        <x:v>1C25TUV/00000058</x:v>
      </x:c>
      <x:c r="C141" s="60" t="d">
        <x:v>2025-01-27T00:00:00.000Z</x:v>
      </x:c>
      <x:c r="D141" s="58" t="str">
        <x:v>Ngoại lệ đã tách</x:v>
      </x:c>
      <x:c r="E141" s="58" t="str">
        <x:v>1C25TUV/00000058 – 27/01/2025
1C25TUV/00000663 – 05/05/2025</x:v>
      </x:c>
      <x:c r="F141" s="58" t="str">
        <x:v>CÔNG TY TNHH QUY HOẠCH XÂY DỰNG MIỀN BẮC</x:v>
      </x:c>
      <x:c r="G141" s="58" t="str">
        <x:v>1C25TUV/00000058</x:v>
      </x:c>
      <x:c r="H141" s="66" t="str">
        <x:v>2802527683</x:v>
      </x:c>
      <x:c r="I141" s="58" t="str">
        <x:v> Bang_ke_chi_tiet_hoa_don_da_su_dung_20261009_150742.xlsx | dòng 932</x:v>
      </x:c>
      <x:c r="J141" s="58" t="str">
        <x:v>Giữ nguyên tất cả hóa đơn liên quan.</x:v>
      </x:c>
    </x:row>
    <x:row r="142" ht="84" customHeight="1">
      <x:c r="A142" s="57" t="n">
        <x:v>135</x:v>
      </x:c>
      <x:c r="B142" s="57" t="str">
        <x:v>1C25TUV/00000060</x:v>
      </x:c>
      <x:c r="C142" s="59" t="d">
        <x:v>2025-01-27T00:00:00.000Z</x:v>
      </x:c>
      <x:c r="D142" s="57" t="str">
        <x:v>Ngoại lệ đã tách</x:v>
      </x:c>
      <x:c r="E142" s="57" t="str">
        <x:v>1C25TUV/00000060 – 27/01/2025
1C25TUV/00000664 – 05/05/2025</x:v>
      </x:c>
      <x:c r="F142" s="57" t="str">
        <x:v>CÔNG TY TNHH LU APARTMENT</x:v>
      </x:c>
      <x:c r="G142" s="57" t="str">
        <x:v>1C25TUV/00000060</x:v>
      </x:c>
      <x:c r="H142" s="65" t="str">
        <x:v>0317567415</x:v>
      </x:c>
      <x:c r="I142" s="57" t="str">
        <x:v> Bang_ke_chi_tiet_hoa_don_da_su_dung_20261009_150742.xlsx | dòng 1000</x:v>
      </x:c>
      <x:c r="J142" s="57" t="str">
        <x:v>Giữ nguyên tất cả hóa đơn liên quan.</x:v>
      </x:c>
    </x:row>
    <x:row r="143" ht="84" customHeight="1">
      <x:c r="A143" s="58" t="n">
        <x:v>136</x:v>
      </x:c>
      <x:c r="B143" s="58" t="str">
        <x:v>1C25TUV/00000073</x:v>
      </x:c>
      <x:c r="C143" s="60" t="d">
        <x:v>2025-02-06T00:00:00.000Z</x:v>
      </x:c>
      <x:c r="D143" s="58" t="str">
        <x:v>Ngoại lệ đã tách</x:v>
      </x:c>
      <x:c r="E143" s="58" t="str">
        <x:v>1C25TUV/00000073 – 06/02/2025
1C25TUV/00000665 – 05/05/2025</x:v>
      </x:c>
      <x:c r="F143" s="58" t="str">
        <x:v>CÔNG TY CỔ PHẦN TƯ VẤN VÀ ĐẦU TƯ XÂY DỰNG BETA</x:v>
      </x:c>
      <x:c r="G143" s="58" t="str">
        <x:v>1C25TUV/00000073</x:v>
      </x:c>
      <x:c r="H143" s="66" t="str">
        <x:v>2803060634</x:v>
      </x:c>
      <x:c r="I143" s="58" t="str">
        <x:v> Bang_ke_chi_tiet_hoa_don_da_su_dung_20261009_150742.xlsx | dòng 1681</x:v>
      </x:c>
      <x:c r="J143" s="58" t="str">
        <x:v>Giữ nguyên tất cả hóa đơn liên quan.</x:v>
      </x:c>
    </x:row>
    <x:row r="144" ht="84" customHeight="1">
      <x:c r="A144" s="57" t="n">
        <x:v>137</x:v>
      </x:c>
      <x:c r="B144" s="57" t="str">
        <x:v>1C25TUV/00000085</x:v>
      </x:c>
      <x:c r="C144" s="59" t="d">
        <x:v>2025-02-10T00:00:00.000Z</x:v>
      </x:c>
      <x:c r="D144" s="57" t="str">
        <x:v>Ngoại lệ đã tách</x:v>
      </x:c>
      <x:c r="E144" s="57" t="str">
        <x:v>1C25TUV/00000085 – 10/02/2025</x:v>
      </x:c>
      <x:c r="F144" s="57" t="str">
        <x:v>CÔNG TY TNHH SẢN XUẤT VÀ ĐẦU TƯ AKIA</x:v>
      </x:c>
      <x:c r="G144" s="57" t="str">
        <x:v>1C25TUV/00000085</x:v>
      </x:c>
      <x:c r="H144" s="65" t="str">
        <x:v>0315793560</x:v>
      </x:c>
      <x:c r="I144" s="57" t="str">
        <x:v> Bang_ke_chi_tiet_hoa_don_da_su_dung_20261009_150742.xlsx | dòng 2577</x:v>
      </x:c>
      <x:c r="J144" s="57" t="str">
        <x:v>Giữ nguyên tất cả hóa đơn liên quan.</x:v>
      </x:c>
    </x:row>
    <x:row r="145" ht="84" customHeight="1">
      <x:c r="A145" s="58" t="n">
        <x:v>138</x:v>
      </x:c>
      <x:c r="B145" s="58" t="str">
        <x:v>1C25TUV/00000086</x:v>
      </x:c>
      <x:c r="C145" s="60" t="d">
        <x:v>2025-02-10T00:00:00.000Z</x:v>
      </x:c>
      <x:c r="D145" s="58" t="str">
        <x:v>Ngoại lệ đã tách</x:v>
      </x:c>
      <x:c r="E145" s="58" t="str">
        <x:v>1C25TUV/00000086 – 10/02/2025</x:v>
      </x:c>
      <x:c r="F145" s="58" t="str">
        <x:v>CÔNG TY TNHH SẢN XUẤT VÀ ĐẦU TƯ AKIA</x:v>
      </x:c>
      <x:c r="G145" s="58" t="str">
        <x:v>1C25TUV/00000086</x:v>
      </x:c>
      <x:c r="H145" s="66" t="str">
        <x:v>0315793560</x:v>
      </x:c>
      <x:c r="I145" s="58" t="str">
        <x:v> Bang_ke_chi_tiet_hoa_don_da_su_dung_20261009_150742.xlsx | dòng 2578</x:v>
      </x:c>
      <x:c r="J145" s="58" t="str">
        <x:v>Giữ nguyên tất cả hóa đơn liên quan.</x:v>
      </x:c>
    </x:row>
    <x:row r="146" ht="84" customHeight="1">
      <x:c r="A146" s="57" t="n">
        <x:v>139</x:v>
      </x:c>
      <x:c r="B146" s="57" t="str">
        <x:v>1C25TUV/00000087</x:v>
      </x:c>
      <x:c r="C146" s="59" t="d">
        <x:v>2025-02-11T00:00:00.000Z</x:v>
      </x:c>
      <x:c r="D146" s="57" t="str">
        <x:v>Ngoại lệ đã tách</x:v>
      </x:c>
      <x:c r="E146" s="57" t="str">
        <x:v>1C25TUV/00000087 – 11/02/2025</x:v>
      </x:c>
      <x:c r="F146" s="57" t="str">
        <x:v>CÔNG TY TNHH SẢN XUẤT VÀ ĐẦU TƯ AKIA</x:v>
      </x:c>
      <x:c r="G146" s="57" t="str">
        <x:v>1C25TUV/00000087</x:v>
      </x:c>
      <x:c r="H146" s="65" t="str">
        <x:v>0315793560</x:v>
      </x:c>
      <x:c r="I146" s="57" t="str">
        <x:v> Bang_ke_chi_tiet_hoa_don_da_su_dung_20261009_150742.xlsx | dòng 2579</x:v>
      </x:c>
      <x:c r="J146" s="57" t="str">
        <x:v>Giữ nguyên tất cả hóa đơn liên quan.</x:v>
      </x:c>
    </x:row>
    <x:row r="147" ht="84" customHeight="1">
      <x:c r="A147" s="58" t="n">
        <x:v>140</x:v>
      </x:c>
      <x:c r="B147" s="58" t="str">
        <x:v>1C25TUV/00000088</x:v>
      </x:c>
      <x:c r="C147" s="60" t="d">
        <x:v>2025-02-11T00:00:00.000Z</x:v>
      </x:c>
      <x:c r="D147" s="58" t="str">
        <x:v>Ngoại lệ đã tách</x:v>
      </x:c>
      <x:c r="E147" s="58" t="str">
        <x:v>1C25TUV/00000088 – 11/02/2025</x:v>
      </x:c>
      <x:c r="F147" s="58" t="str">
        <x:v>CÔNG TY TNHH HOÀNG THÀNH F&amp;B</x:v>
      </x:c>
      <x:c r="G147" s="58" t="str">
        <x:v>1C25TUV/00000088</x:v>
      </x:c>
      <x:c r="H147" s="66" t="str">
        <x:v>0317873765</x:v>
      </x:c>
      <x:c r="I147" s="58" t="str">
        <x:v> Bang_ke_chi_tiet_hoa_don_da_su_dung_20261009_150742.xlsx | dòng 2585</x:v>
      </x:c>
      <x:c r="J147" s="58" t="str">
        <x:v>Giữ nguyên tất cả hóa đơn liên quan.</x:v>
      </x:c>
    </x:row>
    <x:row r="148" ht="84" customHeight="1">
      <x:c r="A148" s="57" t="n">
        <x:v>141</x:v>
      </x:c>
      <x:c r="B148" s="57" t="str">
        <x:v>1C25TUV/00000093</x:v>
      </x:c>
      <x:c r="C148" s="59" t="d">
        <x:v>2025-02-13T00:00:00.000Z</x:v>
      </x:c>
      <x:c r="D148" s="57" t="str">
        <x:v>Ngoại lệ đã tách</x:v>
      </x:c>
      <x:c r="E148" s="57" t="str">
        <x:v>1C25TUV/00000093 – 13/02/2025</x:v>
      </x:c>
      <x:c r="F148" s="57" t="str">
        <x:v>CÔNG TY TNHH SẢN XUẤT VÀ ĐẦU TƯ AKIA</x:v>
      </x:c>
      <x:c r="G148" s="57" t="str">
        <x:v>1C25TUV/00000093</x:v>
      </x:c>
      <x:c r="H148" s="65" t="str">
        <x:v>0315793560</x:v>
      </x:c>
      <x:c r="I148" s="57" t="str">
        <x:v> Bang_ke_chi_tiet_hoa_don_da_su_dung_20261009_150742.xlsx | dòng 2604</x:v>
      </x:c>
      <x:c r="J148" s="57" t="str">
        <x:v>Giữ nguyên tất cả hóa đơn liên quan.</x:v>
      </x:c>
    </x:row>
    <x:row r="149" ht="84" customHeight="1">
      <x:c r="A149" s="58" t="n">
        <x:v>142</x:v>
      </x:c>
      <x:c r="B149" s="58" t="str">
        <x:v>1C25TUV/00000094</x:v>
      </x:c>
      <x:c r="C149" s="60" t="d">
        <x:v>2025-02-14T00:00:00.000Z</x:v>
      </x:c>
      <x:c r="D149" s="58" t="str">
        <x:v>Ngoại lệ đã tách</x:v>
      </x:c>
      <x:c r="E149" s="58" t="str">
        <x:v>1C25TUV/00000094 – 14/02/2025</x:v>
      </x:c>
      <x:c r="F149" s="58" t="str">
        <x:v>CÔNG TY TNHH SẢN XUẤT VÀ ĐẦU TƯ AKIA</x:v>
      </x:c>
      <x:c r="G149" s="58" t="str">
        <x:v>1C25TUV/00000094</x:v>
      </x:c>
      <x:c r="H149" s="66" t="str">
        <x:v>0315793560</x:v>
      </x:c>
      <x:c r="I149" s="58" t="str">
        <x:v> Bang_ke_chi_tiet_hoa_don_da_su_dung_20261009_150742.xlsx | dòng 2606</x:v>
      </x:c>
      <x:c r="J149" s="58" t="str">
        <x:v>Giữ nguyên tất cả hóa đơn liên quan.</x:v>
      </x:c>
    </x:row>
    <x:row r="150" ht="84" customHeight="1">
      <x:c r="A150" s="57" t="n">
        <x:v>143</x:v>
      </x:c>
      <x:c r="B150" s="57" t="str">
        <x:v>1C25TUV/00000095</x:v>
      </x:c>
      <x:c r="C150" s="59" t="d">
        <x:v>2025-02-14T00:00:00.000Z</x:v>
      </x:c>
      <x:c r="D150" s="57" t="str">
        <x:v>Ngoại lệ đã tách</x:v>
      </x:c>
      <x:c r="E150" s="57" t="str">
        <x:v>1C25TUV/00000095 – 14/02/2025</x:v>
      </x:c>
      <x:c r="F150" s="57" t="str">
        <x:v>CÔNG TY CỔ PHẦN SUPERKIDS PRE-SCHOOL</x:v>
      </x:c>
      <x:c r="G150" s="57" t="str">
        <x:v>1C25TUV/00000095</x:v>
      </x:c>
      <x:c r="H150" s="65" t="str">
        <x:v>0313033645</x:v>
      </x:c>
      <x:c r="I150" s="57" t="str">
        <x:v> Bang_ke_chi_tiet_hoa_don_da_su_dung_20261009_150742.xlsx | dòng 2608</x:v>
      </x:c>
      <x:c r="J150" s="57" t="str">
        <x:v>Giữ nguyên tất cả hóa đơn liên quan.</x:v>
      </x:c>
    </x:row>
    <x:row r="151" ht="84" customHeight="1">
      <x:c r="A151" s="58" t="n">
        <x:v>144</x:v>
      </x:c>
      <x:c r="B151" s="58" t="str">
        <x:v>1C25TUV/00000096</x:v>
      </x:c>
      <x:c r="C151" s="60" t="d">
        <x:v>2025-02-15T00:00:00.000Z</x:v>
      </x:c>
      <x:c r="D151" s="58" t="str">
        <x:v>Ngoại lệ đã tách</x:v>
      </x:c>
      <x:c r="E151" s="58" t="str">
        <x:v>1C25TUV/00000096 – 15/02/2025
1C25TUV/00000666 – 05/05/2025</x:v>
      </x:c>
      <x:c r="F151" s="58" t="str">
        <x:v>CÔNG TY TNHH THƯƠNG MẠI DƯỢC PHẨM MINH QUÂN</x:v>
      </x:c>
      <x:c r="G151" s="58" t="str">
        <x:v>1C25TUV/00000096</x:v>
      </x:c>
      <x:c r="H151" s="66" t="str">
        <x:v>0104867284</x:v>
      </x:c>
      <x:c r="I151" s="58" t="str">
        <x:v> Bang_ke_chi_tiet_hoa_don_da_su_dung_20261009_150742.xlsx | dòng 2609</x:v>
      </x:c>
      <x:c r="J151" s="58" t="str">
        <x:v>Giữ nguyên tất cả hóa đơn liên quan.</x:v>
      </x:c>
    </x:row>
    <x:row r="152" ht="84" customHeight="1">
      <x:c r="A152" s="57" t="n">
        <x:v>145</x:v>
      </x:c>
      <x:c r="B152" s="57" t="str">
        <x:v>1C25TUV/00000097</x:v>
      </x:c>
      <x:c r="C152" s="59" t="d">
        <x:v>2025-02-17T00:00:00.000Z</x:v>
      </x:c>
      <x:c r="D152" s="57" t="str">
        <x:v>Ngoại lệ đã tách</x:v>
      </x:c>
      <x:c r="E152" s="57" t="str">
        <x:v>1C25TUV/00000097 – 17/02/2025
1C25TUV/00000653 – 05/05/2025</x:v>
      </x:c>
      <x:c r="F152" s="57" t="str">
        <x:v>CÔNG TY TNHH VẬT LIỆU XÂY DỰNG THỜI THƯỢNG</x:v>
      </x:c>
      <x:c r="G152" s="57" t="str">
        <x:v>1C25TUV/00000097</x:v>
      </x:c>
      <x:c r="H152" s="65" t="str">
        <x:v>0402220245</x:v>
      </x:c>
      <x:c r="I152" s="57" t="str">
        <x:v> Bang_ke_chi_tiet_hoa_don_da_su_dung_20261009_150742.xlsx | dòng 2610</x:v>
      </x:c>
      <x:c r="J152" s="57" t="str">
        <x:v>Giữ nguyên tất cả hóa đơn liên quan.</x:v>
      </x:c>
    </x:row>
    <x:row r="153" ht="84" customHeight="1">
      <x:c r="A153" s="58" t="n">
        <x:v>146</x:v>
      </x:c>
      <x:c r="B153" s="58" t="str">
        <x:v>1C25TUV/00000104</x:v>
      </x:c>
      <x:c r="C153" s="60" t="d">
        <x:v>2025-02-19T00:00:00.000Z</x:v>
      </x:c>
      <x:c r="D153" s="58" t="str">
        <x:v>Ngoại lệ đã tách</x:v>
      </x:c>
      <x:c r="E153" s="58" t="str">
        <x:v>1C25TUV/00000104 – 19/02/2025</x:v>
      </x:c>
      <x:c r="F153" s="58" t="str">
        <x:v>CÔNG TY TNHH SẢN XUẤT VÀ ĐẦU TƯ AKIA</x:v>
      </x:c>
      <x:c r="G153" s="58" t="str">
        <x:v>1C25TUV/00000104</x:v>
      </x:c>
      <x:c r="H153" s="66" t="str">
        <x:v>0315793560</x:v>
      </x:c>
      <x:c r="I153" s="58" t="str">
        <x:v> Bang_ke_chi_tiet_hoa_don_da_su_dung_20261009_150742.xlsx | dòng 2835</x:v>
      </x:c>
      <x:c r="J153" s="58" t="str">
        <x:v>Giữ nguyên tất cả hóa đơn liên quan.</x:v>
      </x:c>
    </x:row>
    <x:row r="154" ht="84" customHeight="1">
      <x:c r="A154" s="57" t="n">
        <x:v>147</x:v>
      </x:c>
      <x:c r="B154" s="57" t="str">
        <x:v>1C25TUV/00000109</x:v>
      </x:c>
      <x:c r="C154" s="59" t="d">
        <x:v>2025-02-19T00:00:00.000Z</x:v>
      </x:c>
      <x:c r="D154" s="57" t="str">
        <x:v>Ngoại lệ đã tách</x:v>
      </x:c>
      <x:c r="E154" s="57" t="str">
        <x:v>1C25TUV/00000109 – 19/02/2025</x:v>
      </x:c>
      <x:c r="F154" s="57" t="str">
        <x:v>CÔNG TY TNHH SẢN XUẤT VÀ ĐẦU TƯ AKIA</x:v>
      </x:c>
      <x:c r="G154" s="57" t="str">
        <x:v>1C25TUV/00000109</x:v>
      </x:c>
      <x:c r="H154" s="65" t="str">
        <x:v>0315793560</x:v>
      </x:c>
      <x:c r="I154" s="57" t="str">
        <x:v> Bang_ke_chi_tiet_hoa_don_da_su_dung_20261009_150742.xlsx | dòng 3365</x:v>
      </x:c>
      <x:c r="J154" s="57" t="str">
        <x:v>Giữ nguyên tất cả hóa đơn liên quan.</x:v>
      </x:c>
    </x:row>
    <x:row r="155" ht="84" customHeight="1">
      <x:c r="A155" s="58" t="n">
        <x:v>148</x:v>
      </x:c>
      <x:c r="B155" s="58" t="str">
        <x:v>1C25TUV/00000118</x:v>
      </x:c>
      <x:c r="C155" s="60" t="d">
        <x:v>2025-02-21T00:00:00.000Z</x:v>
      </x:c>
      <x:c r="D155" s="58" t="str">
        <x:v>Ngoại lệ đã tách</x:v>
      </x:c>
      <x:c r="E155" s="58" t="str">
        <x:v>1C25TUV/00000118 – 21/02/2025
1C25TUV/00000667 – 05/05/2025</x:v>
      </x:c>
      <x:c r="F155" s="58" t="str">
        <x:v>CÔNG TY TNHH CÔNG NGHỆ DỊCH VỤ THẾ KỶ 21</x:v>
      </x:c>
      <x:c r="G155" s="58" t="str">
        <x:v>1C25TUV/00000118</x:v>
      </x:c>
      <x:c r="H155" s="66" t="str">
        <x:v>0314471377</x:v>
      </x:c>
      <x:c r="I155" s="58" t="str">
        <x:v> Bang_ke_chi_tiet_hoa_don_da_su_dung_20261009_150742.xlsx | dòng 3748</x:v>
      </x:c>
      <x:c r="J155" s="58" t="str">
        <x:v>Giữ nguyên tất cả hóa đơn liên quan.</x:v>
      </x:c>
    </x:row>
    <x:row r="156" ht="84" customHeight="1">
      <x:c r="A156" s="57" t="n">
        <x:v>149</x:v>
      </x:c>
      <x:c r="B156" s="57" t="str">
        <x:v>1C25TUV/00000119</x:v>
      </x:c>
      <x:c r="C156" s="59" t="d">
        <x:v>2025-02-21T00:00:00.000Z</x:v>
      </x:c>
      <x:c r="D156" s="57" t="str">
        <x:v>Ngoại lệ đã tách</x:v>
      </x:c>
      <x:c r="E156" s="57" t="str">
        <x:v>1C25TUV/00000119 – 21/02/2025</x:v>
      </x:c>
      <x:c r="F156" s="57" t="str">
        <x:v>CÔNG TY TNHH SẢN XUẤT VÀ ĐẦU TƯ AKIA</x:v>
      </x:c>
      <x:c r="G156" s="57" t="str">
        <x:v>1C25TUV/00000119</x:v>
      </x:c>
      <x:c r="H156" s="65" t="str">
        <x:v>0315793560</x:v>
      </x:c>
      <x:c r="I156" s="57" t="str">
        <x:v> Bang_ke_chi_tiet_hoa_don_da_su_dung_20261009_150742.xlsx | dòng 3749</x:v>
      </x:c>
      <x:c r="J156" s="57" t="str">
        <x:v>Giữ nguyên tất cả hóa đơn liên quan.</x:v>
      </x:c>
    </x:row>
    <x:row r="157" ht="84" customHeight="1">
      <x:c r="A157" s="58" t="n">
        <x:v>150</x:v>
      </x:c>
      <x:c r="B157" s="58" t="str">
        <x:v>1C25TUV/00000120</x:v>
      </x:c>
      <x:c r="C157" s="60" t="d">
        <x:v>2025-02-22T00:00:00.000Z</x:v>
      </x:c>
      <x:c r="D157" s="58" t="str">
        <x:v>Ngoại lệ đã tách</x:v>
      </x:c>
      <x:c r="E157" s="58" t="str">
        <x:v>1C25TUV/00000120 – 22/02/2025</x:v>
      </x:c>
      <x:c r="F157" s="58" t="str">
        <x:v>CÔNG TY TNHH SẢN XUẤT VÀ ĐẦU TƯ AKIA</x:v>
      </x:c>
      <x:c r="G157" s="58" t="str">
        <x:v>1C25TUV/00000120</x:v>
      </x:c>
      <x:c r="H157" s="66" t="str">
        <x:v>0315793560</x:v>
      </x:c>
      <x:c r="I157" s="58" t="str">
        <x:v> Bang_ke_chi_tiet_hoa_don_da_su_dung_20261009_150742.xlsx | dòng 3752</x:v>
      </x:c>
      <x:c r="J157" s="58" t="str">
        <x:v>Giữ nguyên tất cả hóa đơn liên quan.</x:v>
      </x:c>
    </x:row>
    <x:row r="158" ht="84" customHeight="1">
      <x:c r="A158" s="57" t="n">
        <x:v>151</x:v>
      </x:c>
      <x:c r="B158" s="57" t="str">
        <x:v>1C25TUV/00000121</x:v>
      </x:c>
      <x:c r="C158" s="59" t="d">
        <x:v>2025-02-25T00:00:00.000Z</x:v>
      </x:c>
      <x:c r="D158" s="57" t="str">
        <x:v>Ngoại lệ đã tách</x:v>
      </x:c>
      <x:c r="E158" s="57" t="str">
        <x:v>1C25TUV/00000121 – 25/02/2025
1C25TUV/00000668 – 05/05/2025</x:v>
      </x:c>
      <x:c r="F158" s="57" t="str">
        <x:v>CÔNG TY TNHH ĐẦU TƯ Y TẾ TRẦN DIỆP KHANH</x:v>
      </x:c>
      <x:c r="G158" s="57" t="str">
        <x:v>1C25TUV/00000121</x:v>
      </x:c>
      <x:c r="H158" s="65" t="str">
        <x:v>0309271950</x:v>
      </x:c>
      <x:c r="I158" s="57" t="str">
        <x:v> Bang_ke_chi_tiet_hoa_don_da_su_dung_20261009_150742.xlsx | dòng 3753</x:v>
      </x:c>
      <x:c r="J158" s="57" t="str">
        <x:v>Giữ nguyên tất cả hóa đơn liên quan.</x:v>
      </x:c>
    </x:row>
    <x:row r="159" ht="84" customHeight="1">
      <x:c r="A159" s="58" t="n">
        <x:v>152</x:v>
      </x:c>
      <x:c r="B159" s="58" t="str">
        <x:v>1C25TUV/00000122</x:v>
      </x:c>
      <x:c r="C159" s="60" t="d">
        <x:v>2025-02-25T00:00:00.000Z</x:v>
      </x:c>
      <x:c r="D159" s="58" t="str">
        <x:v>Ngoại lệ đã tách</x:v>
      </x:c>
      <x:c r="E159" s="58" t="str">
        <x:v>1C25TUV/00000122 – 25/02/2025
1C25TUV/00000669 – 05/05/2025</x:v>
      </x:c>
      <x:c r="F159" s="58" t="str">
        <x:v>CÔNG TY TNHH CÔNG NGHỆ DỊCH VỤ THẾ KỶ 21</x:v>
      </x:c>
      <x:c r="G159" s="58" t="str">
        <x:v>1C25TUV/00000122</x:v>
      </x:c>
      <x:c r="H159" s="66" t="str">
        <x:v>0314471377</x:v>
      </x:c>
      <x:c r="I159" s="58" t="str">
        <x:v> Bang_ke_chi_tiet_hoa_don_da_su_dung_20261009_150742.xlsx | dòng 3754</x:v>
      </x:c>
      <x:c r="J159" s="58" t="str">
        <x:v>Giữ nguyên tất cả hóa đơn liên quan.</x:v>
      </x:c>
    </x:row>
    <x:row r="160" ht="84" customHeight="1">
      <x:c r="A160" s="57" t="n">
        <x:v>153</x:v>
      </x:c>
      <x:c r="B160" s="57" t="str">
        <x:v>1C25TUV/00000166</x:v>
      </x:c>
      <x:c r="C160" s="59" t="d">
        <x:v>2025-03-03T00:00:00.000Z</x:v>
      </x:c>
      <x:c r="D160" s="57" t="str">
        <x:v>Ngoại lệ đã tách</x:v>
      </x:c>
      <x:c r="E160" s="57" t="str">
        <x:v>1C25TUV/00000166 – 03/03/2025</x:v>
      </x:c>
      <x:c r="F160" s="57" t="str">
        <x:v>CÔNG TY TNHH CÔNG NGHỆ ÁNH DƯƠNG VN</x:v>
      </x:c>
      <x:c r="G160" s="57" t="str">
        <x:v>1C25TUV/00000166</x:v>
      </x:c>
      <x:c r="H160" s="65" t="str">
        <x:v>0109366443</x:v>
      </x:c>
      <x:c r="I160" s="57" t="str">
        <x:v> Bang_ke_chi_tiet_hoa_don_da_su_dung_20261009_150742.xlsx | dòng 4896</x:v>
      </x:c>
      <x:c r="J160" s="57" t="str">
        <x:v>Giữ nguyên tất cả hóa đơn liên quan.</x:v>
      </x:c>
    </x:row>
    <x:row r="161" ht="84" customHeight="1">
      <x:c r="A161" s="58" t="n">
        <x:v>154</x:v>
      </x:c>
      <x:c r="B161" s="58" t="str">
        <x:v>1C25TUV/00000167</x:v>
      </x:c>
      <x:c r="C161" s="60" t="d">
        <x:v>2025-03-03T00:00:00.000Z</x:v>
      </x:c>
      <x:c r="D161" s="58" t="str">
        <x:v>Ngoại lệ đã tách</x:v>
      </x:c>
      <x:c r="E161" s="58" t="str">
        <x:v>1C25TUV/00000167 – 03/03/2025</x:v>
      </x:c>
      <x:c r="F161" s="58" t="str">
        <x:v>CÔNG TY TNHH SẢN XUẤT VÀ ĐẦU TƯ AKIA</x:v>
      </x:c>
      <x:c r="G161" s="58" t="str">
        <x:v>1C25TUV/00000167</x:v>
      </x:c>
      <x:c r="H161" s="66" t="str">
        <x:v>0315793560</x:v>
      </x:c>
      <x:c r="I161" s="58" t="str">
        <x:v> Bang_ke_chi_tiet_hoa_don_da_su_dung_20261009_150742.xlsx | dòng 4897</x:v>
      </x:c>
      <x:c r="J161" s="58" t="str">
        <x:v>Giữ nguyên tất cả hóa đơn liên quan.</x:v>
      </x:c>
    </x:row>
    <x:row r="162" ht="84" customHeight="1">
      <x:c r="A162" s="57" t="n">
        <x:v>155</x:v>
      </x:c>
      <x:c r="B162" s="57" t="str">
        <x:v>1C25TUV/00000168</x:v>
      </x:c>
      <x:c r="C162" s="59" t="d">
        <x:v>2025-03-03T00:00:00.000Z</x:v>
      </x:c>
      <x:c r="D162" s="57" t="str">
        <x:v>Ngoại lệ đã tách</x:v>
      </x:c>
      <x:c r="E162" s="57" t="str">
        <x:v>1C25TUV/00000168 – 03/03/2025</x:v>
      </x:c>
      <x:c r="F162" s="57" t="str">
        <x:v>CÔNG TY TNHH SẢN XUẤT VÀ ĐẦU TƯ AKIA</x:v>
      </x:c>
      <x:c r="G162" s="57" t="str">
        <x:v>1C25TUV/00000168</x:v>
      </x:c>
      <x:c r="H162" s="65" t="str">
        <x:v>0315793560</x:v>
      </x:c>
      <x:c r="I162" s="57" t="str">
        <x:v> Bang_ke_chi_tiet_hoa_don_da_su_dung_20261009_150742.xlsx | dòng 4899</x:v>
      </x:c>
      <x:c r="J162" s="57" t="str">
        <x:v>Giữ nguyên tất cả hóa đơn liên quan.</x:v>
      </x:c>
    </x:row>
    <x:row r="163" ht="84" customHeight="1">
      <x:c r="A163" s="58" t="n">
        <x:v>156</x:v>
      </x:c>
      <x:c r="B163" s="58" t="str">
        <x:v>1C25TUV/00000169</x:v>
      </x:c>
      <x:c r="C163" s="60" t="d">
        <x:v>2025-03-05T00:00:00.000Z</x:v>
      </x:c>
      <x:c r="D163" s="58" t="str">
        <x:v>Ngoại lệ đã tách</x:v>
      </x:c>
      <x:c r="E163" s="58" t="str">
        <x:v>1C25TUV/00000169 – 05/03/2025</x:v>
      </x:c>
      <x:c r="F163" s="58" t="str">
        <x:v>CÔNG TY TNHH SẢN XUẤT VÀ ĐẦU TƯ AKIA</x:v>
      </x:c>
      <x:c r="G163" s="58" t="str">
        <x:v>1C25TUV/00000169</x:v>
      </x:c>
      <x:c r="H163" s="66" t="str">
        <x:v>0315793560</x:v>
      </x:c>
      <x:c r="I163" s="58" t="str">
        <x:v> Bang_ke_chi_tiet_hoa_don_da_su_dung_20261009_150742.xlsx | dòng 4902</x:v>
      </x:c>
      <x:c r="J163" s="58" t="str">
        <x:v>Giữ nguyên tất cả hóa đơn liên quan.</x:v>
      </x:c>
    </x:row>
    <x:row r="164" ht="84" customHeight="1">
      <x:c r="A164" s="57" t="n">
        <x:v>157</x:v>
      </x:c>
      <x:c r="B164" s="57" t="str">
        <x:v>1C25TUV/00000200</x:v>
      </x:c>
      <x:c r="C164" s="59" t="d">
        <x:v>2025-03-07T00:00:00.000Z</x:v>
      </x:c>
      <x:c r="D164" s="57" t="str">
        <x:v>Ngoại lệ đã tách</x:v>
      </x:c>
      <x:c r="E164" s="57" t="str">
        <x:v>1C25TUV/00000200 – 07/03/2025</x:v>
      </x:c>
      <x:c r="F164" s="57" t="str">
        <x:v>CÔNG TY TNHH KIẾN HOÀN</x:v>
      </x:c>
      <x:c r="G164" s="57" t="str">
        <x:v>1C25TUV/00000200</x:v>
      </x:c>
      <x:c r="H164" s="65" t="str">
        <x:v>0317968128</x:v>
      </x:c>
      <x:c r="I164" s="57" t="str">
        <x:v> Bang_ke_chi_tiet_hoa_don_da_su_dung_20261009_150742.xlsx | dòng 4936</x:v>
      </x:c>
      <x:c r="J164" s="57" t="str">
        <x:v>Giữ nguyên tất cả hóa đơn liên quan.</x:v>
      </x:c>
    </x:row>
    <x:row r="165" ht="84" customHeight="1">
      <x:c r="A165" s="58" t="n">
        <x:v>158</x:v>
      </x:c>
      <x:c r="B165" s="58" t="str">
        <x:v>1C25TUV/00000201</x:v>
      </x:c>
      <x:c r="C165" s="60" t="d">
        <x:v>2025-03-07T00:00:00.000Z</x:v>
      </x:c>
      <x:c r="D165" s="58" t="str">
        <x:v>Ngoại lệ đã tách</x:v>
      </x:c>
      <x:c r="E165" s="58" t="str">
        <x:v>1C25TUV/00000201 – 07/03/2025</x:v>
      </x:c>
      <x:c r="F165" s="58" t="str">
        <x:v>CÔNG TY TNHH SẢN XUẤT VÀ ĐẦU TƯ AKIA</x:v>
      </x:c>
      <x:c r="G165" s="58" t="str">
        <x:v>1C25TUV/00000201</x:v>
      </x:c>
      <x:c r="H165" s="66" t="str">
        <x:v>0315793560</x:v>
      </x:c>
      <x:c r="I165" s="58" t="str">
        <x:v> Bang_ke_chi_tiet_hoa_don_da_su_dung_20261009_150742.xlsx | dòng 4938</x:v>
      </x:c>
      <x:c r="J165" s="58" t="str">
        <x:v>Giữ nguyên tất cả hóa đơn liên quan.</x:v>
      </x:c>
    </x:row>
    <x:row r="166" ht="84" customHeight="1">
      <x:c r="A166" s="57" t="n">
        <x:v>159</x:v>
      </x:c>
      <x:c r="B166" s="57" t="str">
        <x:v>1C25TUV/00000288</x:v>
      </x:c>
      <x:c r="C166" s="59" t="d">
        <x:v>2025-03-10T00:00:00.000Z</x:v>
      </x:c>
      <x:c r="D166" s="57" t="str">
        <x:v>Ngoại lệ đã tách</x:v>
      </x:c>
      <x:c r="E166" s="57" t="str">
        <x:v>1C25TUV/00000288 – 10/03/2025</x:v>
      </x:c>
      <x:c r="F166" s="57" t="str">
        <x:v>CÔNG TY TNHH SẢN XUẤT VÀ ĐẦU TƯ AKIA</x:v>
      </x:c>
      <x:c r="G166" s="57" t="str">
        <x:v>1C25TUV/00000288</x:v>
      </x:c>
      <x:c r="H166" s="65" t="str">
        <x:v>0315793560</x:v>
      </x:c>
      <x:c r="I166" s="57" t="str">
        <x:v> Bang_ke_chi_tiet_hoa_don_da_su_dung_20261009_150742.xlsx | dòng 5298</x:v>
      </x:c>
      <x:c r="J166" s="57" t="str">
        <x:v>Giữ nguyên tất cả hóa đơn liên quan.</x:v>
      </x:c>
    </x:row>
    <x:row r="167" ht="84" customHeight="1">
      <x:c r="A167" s="58" t="n">
        <x:v>160</x:v>
      </x:c>
      <x:c r="B167" s="58" t="str">
        <x:v>1C25TUV/00000296</x:v>
      </x:c>
      <x:c r="C167" s="60" t="d">
        <x:v>2025-03-13T00:00:00.000Z</x:v>
      </x:c>
      <x:c r="D167" s="58" t="str">
        <x:v>Ngoại lệ đã tách</x:v>
      </x:c>
      <x:c r="E167" s="58" t="str">
        <x:v>1C25TUV/00000296 – 13/03/2025</x:v>
      </x:c>
      <x:c r="F167" s="58" t="str">
        <x:v>CÔNG TY TNHH SẢN XUẤT VÀ ĐẦU TƯ AKIA</x:v>
      </x:c>
      <x:c r="G167" s="58" t="str">
        <x:v>1C25TUV/00000296</x:v>
      </x:c>
      <x:c r="H167" s="66" t="str">
        <x:v>0315793560</x:v>
      </x:c>
      <x:c r="I167" s="58" t="str">
        <x:v> Bang_ke_chi_tiet_hoa_don_da_su_dung_20261009_150742.xlsx | dòng 5536</x:v>
      </x:c>
      <x:c r="J167" s="58" t="str">
        <x:v>Giữ nguyên tất cả hóa đơn liên quan.</x:v>
      </x:c>
    </x:row>
    <x:row r="168" ht="84" customHeight="1">
      <x:c r="A168" s="57" t="n">
        <x:v>161</x:v>
      </x:c>
      <x:c r="B168" s="57" t="str">
        <x:v>1C25TUV/00000304</x:v>
      </x:c>
      <x:c r="C168" s="59" t="d">
        <x:v>2025-03-15T00:00:00.000Z</x:v>
      </x:c>
      <x:c r="D168" s="57" t="str">
        <x:v>Ngoại lệ đã tách</x:v>
      </x:c>
      <x:c r="E168" s="57" t="str">
        <x:v>1C25TUV/00000304 – 15/03/2025</x:v>
      </x:c>
      <x:c r="F168" s="57" t="str">
        <x:v>CÔNG TY TNHH KHÁCH SẠN Y&amp;Y</x:v>
      </x:c>
      <x:c r="G168" s="57" t="str">
        <x:v>1C25TUV/00000304</x:v>
      </x:c>
      <x:c r="H168" s="65" t="str">
        <x:v>0317745996</x:v>
      </x:c>
      <x:c r="I168" s="57" t="str">
        <x:v> Bang_ke_chi_tiet_hoa_don_da_su_dung_20261009_150742.xlsx | dòng 5842</x:v>
      </x:c>
      <x:c r="J168" s="57" t="str">
        <x:v>Giữ nguyên tất cả hóa đơn liên quan.</x:v>
      </x:c>
    </x:row>
    <x:row r="169" ht="84" customHeight="1">
      <x:c r="A169" s="58" t="n">
        <x:v>162</x:v>
      </x:c>
      <x:c r="B169" s="58" t="str">
        <x:v>1C25TUV/00000320</x:v>
      </x:c>
      <x:c r="C169" s="60" t="d">
        <x:v>2025-03-18T00:00:00.000Z</x:v>
      </x:c>
      <x:c r="D169" s="58" t="str">
        <x:v>Ngoại lệ đã tách</x:v>
      </x:c>
      <x:c r="E169" s="58" t="str">
        <x:v>1C25TUV/00000320 – 18/03/2025</x:v>
      </x:c>
      <x:c r="F169" s="58" t="str">
        <x:v>CÔNG TY TNHH SẢN XUẤT VÀ ĐẦU TƯ AKIA</x:v>
      </x:c>
      <x:c r="G169" s="58" t="str">
        <x:v>1C25TUV/00000320</x:v>
      </x:c>
      <x:c r="H169" s="66" t="str">
        <x:v>0315793560</x:v>
      </x:c>
      <x:c r="I169" s="58" t="str">
        <x:v> Bang_ke_chi_tiet_hoa_don_da_su_dung_20261009_150742.xlsx | dòng 6707</x:v>
      </x:c>
      <x:c r="J169" s="58" t="str">
        <x:v>Giữ nguyên tất cả hóa đơn liên quan.</x:v>
      </x:c>
    </x:row>
    <x:row r="170" ht="84" customHeight="1">
      <x:c r="A170" s="57" t="n">
        <x:v>163</x:v>
      </x:c>
      <x:c r="B170" s="57" t="str">
        <x:v>1C25TUV/00000321</x:v>
      </x:c>
      <x:c r="C170" s="59" t="d">
        <x:v>2025-03-18T00:00:00.000Z</x:v>
      </x:c>
      <x:c r="D170" s="57" t="str">
        <x:v>Ngoại lệ đã tách</x:v>
      </x:c>
      <x:c r="E170" s="57" t="str">
        <x:v>1C25TUV/00000321 – 18/03/2025</x:v>
      </x:c>
      <x:c r="F170" s="57" t="str">
        <x:v>CÔNG TY TNHH SẢN XUẤT VÀ ĐẦU TƯ AKIA</x:v>
      </x:c>
      <x:c r="G170" s="57" t="str">
        <x:v>1C25TUV/00000321</x:v>
      </x:c>
      <x:c r="H170" s="65" t="str">
        <x:v>0315793560</x:v>
      </x:c>
      <x:c r="I170" s="57" t="str">
        <x:v> Bang_ke_chi_tiet_hoa_don_da_su_dung_20261009_150742.xlsx | dòng 6710</x:v>
      </x:c>
      <x:c r="J170" s="57" t="str">
        <x:v>Giữ nguyên tất cả hóa đơn liên quan.</x:v>
      </x:c>
    </x:row>
    <x:row r="171" ht="84" customHeight="1">
      <x:c r="A171" s="58" t="n">
        <x:v>164</x:v>
      </x:c>
      <x:c r="B171" s="58" t="str">
        <x:v>1C25TUV/00000325</x:v>
      </x:c>
      <x:c r="C171" s="60" t="d">
        <x:v>2025-03-19T00:00:00.000Z</x:v>
      </x:c>
      <x:c r="D171" s="58" t="str">
        <x:v>Ngoại lệ đã tách</x:v>
      </x:c>
      <x:c r="E171" s="58" t="str">
        <x:v>1C25TUV/00000325 – 19/03/2025</x:v>
      </x:c>
      <x:c r="F171" s="58" t="str">
        <x:v>CÔNG TY TNHH SẢN XUẤT VÀ ĐẦU TƯ AKIA</x:v>
      </x:c>
      <x:c r="G171" s="58" t="str">
        <x:v>1C25TUV/00000325</x:v>
      </x:c>
      <x:c r="H171" s="66" t="str">
        <x:v>0315793560</x:v>
      </x:c>
      <x:c r="I171" s="58" t="str">
        <x:v> Bang_ke_chi_tiet_hoa_don_da_su_dung_20261009_150742.xlsx | dòng 6989</x:v>
      </x:c>
      <x:c r="J171" s="58" t="str">
        <x:v>Giữ nguyên tất cả hóa đơn liên quan.</x:v>
      </x:c>
    </x:row>
    <x:row r="172" ht="84" customHeight="1">
      <x:c r="A172" s="57" t="n">
        <x:v>165</x:v>
      </x:c>
      <x:c r="B172" s="57" t="str">
        <x:v>1C25TUV/00000326</x:v>
      </x:c>
      <x:c r="C172" s="59" t="d">
        <x:v>2025-03-21T00:00:00.000Z</x:v>
      </x:c>
      <x:c r="D172" s="57" t="str">
        <x:v>Ngoại lệ đã tách</x:v>
      </x:c>
      <x:c r="E172" s="57" t="str">
        <x:v>1C25TUV/00000326 – 21/03/2025</x:v>
      </x:c>
      <x:c r="F172" s="57" t="str">
        <x:v>CÔNG TY TNHH PHÁT TRIỂN CÔNG NGHỆ VÂN PHƯƠNG</x:v>
      </x:c>
      <x:c r="G172" s="57" t="str">
        <x:v>1C25TUV/00000326</x:v>
      </x:c>
      <x:c r="H172" s="65" t="str">
        <x:v>0104629240</x:v>
      </x:c>
      <x:c r="I172" s="57" t="str">
        <x:v> Bang_ke_chi_tiet_hoa_don_da_su_dung_20261009_150742.xlsx | dòng 6991</x:v>
      </x:c>
      <x:c r="J172" s="57" t="str">
        <x:v>Giữ nguyên tất cả hóa đơn liên quan.</x:v>
      </x:c>
    </x:row>
    <x:row r="173" ht="84" customHeight="1">
      <x:c r="A173" s="58" t="n">
        <x:v>166</x:v>
      </x:c>
      <x:c r="B173" s="58" t="str">
        <x:v>1C25TUV/00000329</x:v>
      </x:c>
      <x:c r="C173" s="60" t="d">
        <x:v>2025-03-24T00:00:00.000Z</x:v>
      </x:c>
      <x:c r="D173" s="58" t="str">
        <x:v>Ngoại lệ đã tách</x:v>
      </x:c>
      <x:c r="E173" s="58" t="str">
        <x:v>1C25TUV/00000329 – 24/03/2025</x:v>
      </x:c>
      <x:c r="F173" s="58" t="str">
        <x:v>CÔNG TY TNHH SẢN XUẤT VÀ ĐẦU TƯ AKIA</x:v>
      </x:c>
      <x:c r="G173" s="58" t="str">
        <x:v>1C25TUV/00000329</x:v>
      </x:c>
      <x:c r="H173" s="66" t="str">
        <x:v>0315793560</x:v>
      </x:c>
      <x:c r="I173" s="58" t="str">
        <x:v> Bang_ke_chi_tiet_hoa_don_da_su_dung_20261009_150742.xlsx | dòng 7184</x:v>
      </x:c>
      <x:c r="J173" s="58" t="str">
        <x:v>Giữ nguyên tất cả hóa đơn liên quan.</x:v>
      </x:c>
    </x:row>
    <x:row r="174" ht="84" customHeight="1">
      <x:c r="A174" s="57" t="n">
        <x:v>167</x:v>
      </x:c>
      <x:c r="B174" s="57" t="str">
        <x:v>1C25TUV/00000330</x:v>
      </x:c>
      <x:c r="C174" s="59" t="d">
        <x:v>2025-03-27T00:00:00.000Z</x:v>
      </x:c>
      <x:c r="D174" s="57" t="str">
        <x:v>Ngoại lệ đã tách</x:v>
      </x:c>
      <x:c r="E174" s="57" t="str">
        <x:v>1C25TUV/00000330 – 27/03/2025</x:v>
      </x:c>
      <x:c r="F174" s="57" t="str">
        <x:v>CÔNG TY TNHH SẢN XUẤT VÀ ĐẦU TƯ AKIA</x:v>
      </x:c>
      <x:c r="G174" s="57" t="str">
        <x:v>1C25TUV/00000330</x:v>
      </x:c>
      <x:c r="H174" s="65" t="str">
        <x:v>0315793560</x:v>
      </x:c>
      <x:c r="I174" s="57" t="str">
        <x:v> Bang_ke_chi_tiet_hoa_don_da_su_dung_20261009_150742.xlsx | dòng 7186</x:v>
      </x:c>
      <x:c r="J174" s="57" t="str">
        <x:v>Giữ nguyên tất cả hóa đơn liên quan.</x:v>
      </x:c>
    </x:row>
    <x:row r="175" ht="84" customHeight="1">
      <x:c r="A175" s="58" t="n">
        <x:v>168</x:v>
      </x:c>
      <x:c r="B175" s="58" t="str">
        <x:v>1C25TUV/00000397</x:v>
      </x:c>
      <x:c r="C175" s="60" t="d">
        <x:v>2025-03-31T00:00:00.000Z</x:v>
      </x:c>
      <x:c r="D175" s="58" t="str">
        <x:v>Ngoại lệ đã tách</x:v>
      </x:c>
      <x:c r="E175" s="58" t="str">
        <x:v>1C25TUV/00000397 – 31/03/2025</x:v>
      </x:c>
      <x:c r="F175" s="58" t="str">
        <x:v>CÔNG TY TNHH SẢN XUẤT VÀ ĐẦU TƯ AKIA</x:v>
      </x:c>
      <x:c r="G175" s="58" t="str">
        <x:v>1C25TUV/00000397</x:v>
      </x:c>
      <x:c r="H175" s="66" t="str">
        <x:v>0315793560</x:v>
      </x:c>
      <x:c r="I175" s="58" t="str">
        <x:v> Bang_ke_chi_tiet_hoa_don_da_su_dung_20261009_150742.xlsx | dòng 8089</x:v>
      </x:c>
      <x:c r="J175" s="58" t="str">
        <x:v>Giữ nguyên tất cả hóa đơn liên quan.</x:v>
      </x:c>
    </x:row>
    <x:row r="176" ht="84" customHeight="1">
      <x:c r="A176" s="57" t="n">
        <x:v>169</x:v>
      </x:c>
      <x:c r="B176" s="57" t="str">
        <x:v>1C25TUV/00000406</x:v>
      </x:c>
      <x:c r="C176" s="59" t="d">
        <x:v>2025-04-01T00:00:00.000Z</x:v>
      </x:c>
      <x:c r="D176" s="57" t="str">
        <x:v>Ngoại lệ đã tách</x:v>
      </x:c>
      <x:c r="E176" s="57" t="str">
        <x:v>1C25TUV/00000406 – 01/04/2025</x:v>
      </x:c>
      <x:c r="F176" s="57" t="str">
        <x:v>CÔNG TY TNHH SẢN XUẤT VÀ ĐẦU TƯ AKIA</x:v>
      </x:c>
      <x:c r="G176" s="57" t="str">
        <x:v>1C25TUV/00000406</x:v>
      </x:c>
      <x:c r="H176" s="65" t="str">
        <x:v>0315793560</x:v>
      </x:c>
      <x:c r="I176" s="57" t="str">
        <x:v> Bang_ke_chi_tiet_hoa_don_da_su_dung_20261009_150742.xlsx | dòng 8422</x:v>
      </x:c>
      <x:c r="J176" s="57" t="str">
        <x:v>Giữ nguyên tất cả hóa đơn liên quan.</x:v>
      </x:c>
    </x:row>
    <x:row r="177" ht="84" customHeight="1">
      <x:c r="A177" s="58" t="n">
        <x:v>170</x:v>
      </x:c>
      <x:c r="B177" s="58" t="str">
        <x:v>1C25TUV/00000408</x:v>
      </x:c>
      <x:c r="C177" s="60" t="d">
        <x:v>2025-04-02T00:00:00.000Z</x:v>
      </x:c>
      <x:c r="D177" s="58" t="str">
        <x:v>Ngoại lệ đã tách</x:v>
      </x:c>
      <x:c r="E177" s="58" t="str">
        <x:v>1C25TUV/00000408 – 02/04/2025</x:v>
      </x:c>
      <x:c r="F177" s="58" t="str">
        <x:v>CÔNG TY CP THƯƠNG MẠI DƯỢC LIỆU MƯỜNG THANH TỈNH ĐIỆN BIÊN</x:v>
      </x:c>
      <x:c r="G177" s="58" t="str">
        <x:v>1C25TUV/00000408</x:v>
      </x:c>
      <x:c r="H177" s="66" t="str">
        <x:v>5600231449</x:v>
      </x:c>
      <x:c r="I177" s="58" t="str">
        <x:v> Bang_ke_chi_tiet_hoa_don_da_su_dung_20261009_150742.xlsx | dòng 8478</x:v>
      </x:c>
      <x:c r="J177" s="58" t="str">
        <x:v>Giữ nguyên tất cả hóa đơn liên quan.</x:v>
      </x:c>
    </x:row>
    <x:row r="178" ht="84" customHeight="1">
      <x:c r="A178" s="57" t="n">
        <x:v>171</x:v>
      </x:c>
      <x:c r="B178" s="57" t="str">
        <x:v>1C25TUV/00000433</x:v>
      </x:c>
      <x:c r="C178" s="59" t="d">
        <x:v>2025-04-09T00:00:00.000Z</x:v>
      </x:c>
      <x:c r="D178" s="57" t="str">
        <x:v>Ngoại lệ đã tách</x:v>
      </x:c>
      <x:c r="E178" s="57" t="str">
        <x:v>1C25TUV/00000433 – 09/04/2025</x:v>
      </x:c>
      <x:c r="F178" s="57" t="str">
        <x:v>CÔNG TY TNHH SẢN XUẤT VÀ ĐẦU TƯ AKIA</x:v>
      </x:c>
      <x:c r="G178" s="57" t="str">
        <x:v>1C25TUV/00000433</x:v>
      </x:c>
      <x:c r="H178" s="65" t="str">
        <x:v>0315793560</x:v>
      </x:c>
      <x:c r="I178" s="57" t="str">
        <x:v> Bang_ke_chi_tiet_hoa_don_da_su_dung_20261009_150742.xlsx | dòng 9543</x:v>
      </x:c>
      <x:c r="J178" s="57" t="str">
        <x:v>Giữ nguyên tất cả hóa đơn liên quan.</x:v>
      </x:c>
    </x:row>
    <x:row r="179" ht="84" customHeight="1">
      <x:c r="A179" s="58" t="n">
        <x:v>172</x:v>
      </x:c>
      <x:c r="B179" s="58" t="str">
        <x:v>1C25TUV/00000436</x:v>
      </x:c>
      <x:c r="C179" s="60" t="d">
        <x:v>2025-04-10T00:00:00.000Z</x:v>
      </x:c>
      <x:c r="D179" s="58" t="str">
        <x:v>Ngoại lệ đã tách</x:v>
      </x:c>
      <x:c r="E179" s="58" t="str">
        <x:v>1C25TUV/00000436 – 10/04/2025</x:v>
      </x:c>
      <x:c r="F179" s="58" t="str">
        <x:v>CÔNG TY TNHH SẢN XUẤT VÀ ĐẦU TƯ AKIA</x:v>
      </x:c>
      <x:c r="G179" s="58" t="str">
        <x:v>1C25TUV/00000436</x:v>
      </x:c>
      <x:c r="H179" s="66" t="str">
        <x:v>0315793560</x:v>
      </x:c>
      <x:c r="I179" s="58" t="str">
        <x:v> Bang_ke_chi_tiet_hoa_don_da_su_dung_20261009_150742.xlsx | dòng 9630</x:v>
      </x:c>
      <x:c r="J179" s="58" t="str">
        <x:v>Giữ nguyên tất cả hóa đơn liên quan.</x:v>
      </x:c>
    </x:row>
    <x:row r="180" ht="84" customHeight="1">
      <x:c r="A180" s="57" t="n">
        <x:v>173</x:v>
      </x:c>
      <x:c r="B180" s="57" t="str">
        <x:v>1C25TUV/00000446</x:v>
      </x:c>
      <x:c r="C180" s="59" t="d">
        <x:v>2025-04-15T00:00:00.000Z</x:v>
      </x:c>
      <x:c r="D180" s="57" t="str">
        <x:v>Ngoại lệ đã tách</x:v>
      </x:c>
      <x:c r="E180" s="57" t="str">
        <x:v>1C25TUV/00000446 – 15/04/2025</x:v>
      </x:c>
      <x:c r="F180" s="57" t="str">
        <x:v>CÔNG TY TNHH SẢN XUẤT VÀ ĐẦU TƯ AKIA</x:v>
      </x:c>
      <x:c r="G180" s="57" t="str">
        <x:v>1C25TUV/00000446</x:v>
      </x:c>
      <x:c r="H180" s="65" t="str">
        <x:v>0315793560</x:v>
      </x:c>
      <x:c r="I180" s="57" t="str">
        <x:v> Bang_ke_chi_tiet_hoa_don_da_su_dung_20261009_150742.xlsx | dòng 9756</x:v>
      </x:c>
      <x:c r="J180" s="57" t="str">
        <x:v>Giữ nguyên tất cả hóa đơn liên quan.</x:v>
      </x:c>
    </x:row>
    <x:row r="181" ht="84" customHeight="1">
      <x:c r="A181" s="58" t="n">
        <x:v>174</x:v>
      </x:c>
      <x:c r="B181" s="58" t="str">
        <x:v>1C25TUV/00000456</x:v>
      </x:c>
      <x:c r="C181" s="60" t="d">
        <x:v>2025-04-16T00:00:00.000Z</x:v>
      </x:c>
      <x:c r="D181" s="58" t="str">
        <x:v>Ngoại lệ đã tách</x:v>
      </x:c>
      <x:c r="E181" s="58" t="str">
        <x:v>1C25TUV/00000456 – 16/04/2025</x:v>
      </x:c>
      <x:c r="F181" s="58" t="str">
        <x:v>CÔNG TY CỔ PHẦN TƯ VẤN XÂY DỰNG ĐIỆN 2</x:v>
      </x:c>
      <x:c r="G181" s="58" t="str">
        <x:v>1C25TUV/00000456</x:v>
      </x:c>
      <x:c r="H181" s="66" t="str">
        <x:v>0300420157</x:v>
      </x:c>
      <x:c r="I181" s="58" t="str">
        <x:v> Bang_ke_chi_tiet_hoa_don_da_su_dung_20261009_150742.xlsx | dòng 9807</x:v>
      </x:c>
      <x:c r="J181" s="58" t="str">
        <x:v>Giữ nguyên tất cả hóa đơn liên quan.</x:v>
      </x:c>
    </x:row>
    <x:row r="182" ht="84" customHeight="1">
      <x:c r="A182" s="57" t="n">
        <x:v>175</x:v>
      </x:c>
      <x:c r="B182" s="57" t="str">
        <x:v>1C25TUV/00000477</x:v>
      </x:c>
      <x:c r="C182" s="59" t="d">
        <x:v>2025-04-18T00:00:00.000Z</x:v>
      </x:c>
      <x:c r="D182" s="57" t="str">
        <x:v>Ngoại lệ đã tách</x:v>
      </x:c>
      <x:c r="E182" s="57" t="str">
        <x:v>1C25TUV/00000477 – 18/04/2025</x:v>
      </x:c>
      <x:c r="F182" s="57" t="str">
        <x:v>CÔNG TY TNHH SẢN XUẤT VÀ ĐẦU TƯ AKIA</x:v>
      </x:c>
      <x:c r="G182" s="57" t="str">
        <x:v>1C25TUV/00000477</x:v>
      </x:c>
      <x:c r="H182" s="65" t="str">
        <x:v>0315793560</x:v>
      </x:c>
      <x:c r="I182" s="57" t="str">
        <x:v> Bang_ke_chi_tiet_hoa_don_da_su_dung_20261009_150742.xlsx | dòng 10245</x:v>
      </x:c>
      <x:c r="J182" s="57" t="str">
        <x:v>Giữ nguyên tất cả hóa đơn liên quan.</x:v>
      </x:c>
    </x:row>
    <x:row r="183" ht="84" customHeight="1">
      <x:c r="A183" s="58" t="n">
        <x:v>176</x:v>
      </x:c>
      <x:c r="B183" s="58" t="str">
        <x:v>1C25TUV/00000486</x:v>
      </x:c>
      <x:c r="C183" s="60" t="d">
        <x:v>2025-04-21T00:00:00.000Z</x:v>
      </x:c>
      <x:c r="D183" s="58" t="str">
        <x:v>Ngoại lệ đã tách</x:v>
      </x:c>
      <x:c r="E183" s="58" t="str">
        <x:v>1C25TUV/00000486 – 21/04/2025</x:v>
      </x:c>
      <x:c r="F183" s="58" t="str">
        <x:v>CÔNG TY TNHH SẢN XUẤT VÀ ĐẦU TƯ AKIA</x:v>
      </x:c>
      <x:c r="G183" s="58" t="str">
        <x:v>1C25TUV/00000486</x:v>
      </x:c>
      <x:c r="H183" s="66" t="str">
        <x:v>0315793560</x:v>
      </x:c>
      <x:c r="I183" s="58" t="str">
        <x:v> Bang_ke_chi_tiet_hoa_don_da_su_dung_20261009_150742.xlsx | dòng 10445</x:v>
      </x:c>
      <x:c r="J183" s="58" t="str">
        <x:v>Giữ nguyên tất cả hóa đơn liên quan.</x:v>
      </x:c>
    </x:row>
    <x:row r="184" ht="84" customHeight="1">
      <x:c r="A184" s="57" t="n">
        <x:v>177</x:v>
      </x:c>
      <x:c r="B184" s="57" t="str">
        <x:v>1C25TUV/00000487</x:v>
      </x:c>
      <x:c r="C184" s="59" t="d">
        <x:v>2025-04-21T00:00:00.000Z</x:v>
      </x:c>
      <x:c r="D184" s="57" t="str">
        <x:v>Ngoại lệ đã tách</x:v>
      </x:c>
      <x:c r="E184" s="57" t="str">
        <x:v>1C25TUV/00000487 – 21/04/2025</x:v>
      </x:c>
      <x:c r="F184" s="57" t="str">
        <x:v>CÔNG TY TNHH SẢN XUẤT VÀ ĐẦU TƯ AKIA</x:v>
      </x:c>
      <x:c r="G184" s="57" t="str">
        <x:v>1C25TUV/00000487</x:v>
      </x:c>
      <x:c r="H184" s="65" t="str">
        <x:v>0315793560</x:v>
      </x:c>
      <x:c r="I184" s="57" t="str">
        <x:v> Bang_ke_chi_tiet_hoa_don_da_su_dung_20261009_150742.xlsx | dòng 10446</x:v>
      </x:c>
      <x:c r="J184" s="57" t="str">
        <x:v>Giữ nguyên tất cả hóa đơn liên quan.</x:v>
      </x:c>
    </x:row>
    <x:row r="185" ht="84" customHeight="1">
      <x:c r="A185" s="58" t="n">
        <x:v>178</x:v>
      </x:c>
      <x:c r="B185" s="58" t="str">
        <x:v>1C25TUV/00000491</x:v>
      </x:c>
      <x:c r="C185" s="60" t="d">
        <x:v>2025-04-22T00:00:00.000Z</x:v>
      </x:c>
      <x:c r="D185" s="58" t="str">
        <x:v>Ngoại lệ đã tách</x:v>
      </x:c>
      <x:c r="E185" s="58" t="str">
        <x:v>1C25TUV/00000491 – 22/04/2025</x:v>
      </x:c>
      <x:c r="F185" s="58" t="str">
        <x:v>CÔNG TY TNHH DU LỊCH &amp; SỰ KIỆN PHƯỢNG HOÀNG</x:v>
      </x:c>
      <x:c r="G185" s="58" t="str">
        <x:v>1C25TUV/00000491</x:v>
      </x:c>
      <x:c r="H185" s="66" t="str">
        <x:v>0315568491</x:v>
      </x:c>
      <x:c r="I185" s="58" t="str">
        <x:v> Bang_ke_chi_tiet_hoa_don_da_su_dung_20261009_150742.xlsx | dòng 10499</x:v>
      </x:c>
      <x:c r="J185" s="58" t="str">
        <x:v>Giữ nguyên tất cả hóa đơn liên quan.</x:v>
      </x:c>
    </x:row>
    <x:row r="186" ht="84" customHeight="1">
      <x:c r="A186" s="57" t="n">
        <x:v>179</x:v>
      </x:c>
      <x:c r="B186" s="57" t="str">
        <x:v>1C25TUV/00000492</x:v>
      </x:c>
      <x:c r="C186" s="59" t="d">
        <x:v>2025-04-22T00:00:00.000Z</x:v>
      </x:c>
      <x:c r="D186" s="57" t="str">
        <x:v>Ngoại lệ đã tách</x:v>
      </x:c>
      <x:c r="E186" s="57" t="str">
        <x:v>1C25TUV/00000492 – 22/04/2025</x:v>
      </x:c>
      <x:c r="F186" s="57" t="str">
        <x:v>CÔNG TY TNHH SẢN XUẤT VÀ ĐẦU TƯ AKIA</x:v>
      </x:c>
      <x:c r="G186" s="57" t="str">
        <x:v>1C25TUV/00000492</x:v>
      </x:c>
      <x:c r="H186" s="65" t="str">
        <x:v>0315793560</x:v>
      </x:c>
      <x:c r="I186" s="57" t="str">
        <x:v> Bang_ke_chi_tiet_hoa_don_da_su_dung_20261009_150742.xlsx | dòng 10500</x:v>
      </x:c>
      <x:c r="J186" s="57" t="str">
        <x:v>Giữ nguyên tất cả hóa đơn liên quan.</x:v>
      </x:c>
    </x:row>
    <x:row r="187" ht="84" customHeight="1">
      <x:c r="A187" s="58" t="n">
        <x:v>180</x:v>
      </x:c>
      <x:c r="B187" s="58" t="str">
        <x:v>1C25TUV/00000505</x:v>
      </x:c>
      <x:c r="C187" s="60" t="d">
        <x:v>2025-04-25T00:00:00.000Z</x:v>
      </x:c>
      <x:c r="D187" s="58" t="str">
        <x:v>Ngoại lệ đã tách</x:v>
      </x:c>
      <x:c r="E187" s="58" t="str">
        <x:v>1C25TUV/00000505 – 25/04/2025</x:v>
      </x:c>
      <x:c r="F187" s="58" t="str">
        <x:v>CÔNG TY TNHH SẢN XUẤT VÀ ĐẦU TƯ AKIA</x:v>
      </x:c>
      <x:c r="G187" s="58" t="str">
        <x:v>1C25TUV/00000505</x:v>
      </x:c>
      <x:c r="H187" s="66" t="str">
        <x:v>0315793560</x:v>
      </x:c>
      <x:c r="I187" s="58" t="str">
        <x:v> Bang_ke_chi_tiet_hoa_don_da_su_dung_20261009_150742.xlsx | dòng 10753</x:v>
      </x:c>
      <x:c r="J187" s="58" t="str">
        <x:v>Giữ nguyên tất cả hóa đơn liên quan.</x:v>
      </x:c>
    </x:row>
    <x:row r="188" ht="84" customHeight="1">
      <x:c r="A188" s="57" t="n">
        <x:v>181</x:v>
      </x:c>
      <x:c r="B188" s="57" t="str">
        <x:v>1C25TUV/00000507</x:v>
      </x:c>
      <x:c r="C188" s="59" t="d">
        <x:v>2025-04-26T00:00:00.000Z</x:v>
      </x:c>
      <x:c r="D188" s="57" t="str">
        <x:v>Ngoại lệ đã tách</x:v>
      </x:c>
      <x:c r="E188" s="57" t="str">
        <x:v>1C25TUV/00000507 – 26/04/2025</x:v>
      </x:c>
      <x:c r="F188" s="57" t="str">
        <x:v>CÔNG TY CỔ PHẦN WORK FLOW</x:v>
      </x:c>
      <x:c r="G188" s="57" t="str">
        <x:v>1C25TUV/00000507</x:v>
      </x:c>
      <x:c r="H188" s="65" t="str">
        <x:v>0317526049</x:v>
      </x:c>
      <x:c r="I188" s="57" t="str">
        <x:v> Bang_ke_chi_tiet_hoa_don_da_su_dung_20261009_150742.xlsx | dòng 10756</x:v>
      </x:c>
      <x:c r="J188" s="57" t="str">
        <x:v>Giữ nguyên tất cả hóa đơn liên quan.</x:v>
      </x:c>
    </x:row>
    <x:row r="189" ht="84" customHeight="1">
      <x:c r="A189" s="58" t="n">
        <x:v>182</x:v>
      </x:c>
      <x:c r="B189" s="58" t="str">
        <x:v>1C25TUV/00000520</x:v>
      </x:c>
      <x:c r="C189" s="60" t="d">
        <x:v>2025-04-28T00:00:00.000Z</x:v>
      </x:c>
      <x:c r="D189" s="58" t="str">
        <x:v>Ngoại lệ đã tách</x:v>
      </x:c>
      <x:c r="E189" s="58" t="str">
        <x:v>1C25TUV/00000520 – 28/04/2025</x:v>
      </x:c>
      <x:c r="F189" s="58" t="str">
        <x:v>CÔNG TY TNHH SẢN XUẤT VÀ ĐẦU TƯ AKIA</x:v>
      </x:c>
      <x:c r="G189" s="58" t="str">
        <x:v>1C25TUV/00000520</x:v>
      </x:c>
      <x:c r="H189" s="66" t="str">
        <x:v>0315793560</x:v>
      </x:c>
      <x:c r="I189" s="58" t="str">
        <x:v> Bang_ke_chi_tiet_hoa_don_da_su_dung_20261009_150742.xlsx | dòng 10854</x:v>
      </x:c>
      <x:c r="J189" s="58" t="str">
        <x:v>Giữ nguyên tất cả hóa đơn liên quan.</x:v>
      </x:c>
    </x:row>
    <x:row r="190" ht="84" customHeight="1">
      <x:c r="A190" s="57" t="n">
        <x:v>183</x:v>
      </x:c>
      <x:c r="B190" s="57" t="str">
        <x:v>1C25TUV/00000521</x:v>
      </x:c>
      <x:c r="C190" s="59" t="d">
        <x:v>2025-04-28T00:00:00.000Z</x:v>
      </x:c>
      <x:c r="D190" s="57" t="str">
        <x:v>Ngoại lệ đã tách</x:v>
      </x:c>
      <x:c r="E190" s="57" t="str">
        <x:v>1C25TUV/00000521 – 28/04/2025</x:v>
      </x:c>
      <x:c r="F190" s="57" t="str">
        <x:v>CÔNG TY TNHH SẢN XUẤT VÀ ĐẦU TƯ AKIA</x:v>
      </x:c>
      <x:c r="G190" s="57" t="str">
        <x:v>1C25TUV/00000521</x:v>
      </x:c>
      <x:c r="H190" s="65" t="str">
        <x:v>0315793560</x:v>
      </x:c>
      <x:c r="I190" s="57" t="str">
        <x:v> Bang_ke_chi_tiet_hoa_don_da_su_dung_20261009_150742.xlsx | dòng 10856</x:v>
      </x:c>
      <x:c r="J190" s="57" t="str">
        <x:v>Giữ nguyên tất cả hóa đơn liên quan.</x:v>
      </x:c>
    </x:row>
    <x:row r="191" ht="84" customHeight="1">
      <x:c r="A191" s="58" t="n">
        <x:v>184</x:v>
      </x:c>
      <x:c r="B191" s="58" t="str">
        <x:v>1C25TUV/00000537</x:v>
      </x:c>
      <x:c r="C191" s="60" t="d">
        <x:v>2025-05-03T00:00:00.000Z</x:v>
      </x:c>
      <x:c r="D191" s="58" t="str">
        <x:v>Ngoại lệ đã tách</x:v>
      </x:c>
      <x:c r="E191" s="58" t="str">
        <x:v>1C25TUV/00000537 – 03/05/2025</x:v>
      </x:c>
      <x:c r="F191" s="58" t="str">
        <x:v>CÔNG TY TNHH SẢN XUẤT VÀ ĐẦU TƯ AKIA</x:v>
      </x:c>
      <x:c r="G191" s="58" t="str">
        <x:v>1C25TUV/00000537</x:v>
      </x:c>
      <x:c r="H191" s="66" t="str">
        <x:v>0315793560</x:v>
      </x:c>
      <x:c r="I191" s="58" t="str">
        <x:v> Bang_ke_chi_tiet_hoa_don_da_su_dung_20261009_150742.xlsx | dòng 11057</x:v>
      </x:c>
      <x:c r="J191" s="58" t="str">
        <x:v>Giữ nguyên tất cả hóa đơn liên quan.</x:v>
      </x:c>
    </x:row>
    <x:row r="192" ht="84" customHeight="1">
      <x:c r="A192" s="57" t="n">
        <x:v>185</x:v>
      </x:c>
      <x:c r="B192" s="57" t="str">
        <x:v>1C25TUV/00000704</x:v>
      </x:c>
      <x:c r="C192" s="59" t="d">
        <x:v>2025-05-06T00:00:00.000Z</x:v>
      </x:c>
      <x:c r="D192" s="57" t="str">
        <x:v>Ngoại lệ đã tách</x:v>
      </x:c>
      <x:c r="E192" s="57" t="str">
        <x:v>1C25TUV/00000704 – 06/05/2025</x:v>
      </x:c>
      <x:c r="F192" s="57" t="str">
        <x:v>CÔNG TY TNHH HMK AUTO</x:v>
      </x:c>
      <x:c r="G192" s="57" t="str">
        <x:v>1C25TUV/00000704</x:v>
      </x:c>
      <x:c r="H192" s="65" t="str">
        <x:v>0318652021</x:v>
      </x:c>
      <x:c r="I192" s="57" t="str">
        <x:v> Bang_ke_chi_tiet_hoa_don_da_su_dung_20261009_150742.xlsx | dòng 11358</x:v>
      </x:c>
      <x:c r="J192" s="57" t="str">
        <x:v>Giữ nguyên tất cả hóa đơn liên quan.</x:v>
      </x:c>
    </x:row>
    <x:row r="193" ht="84" customHeight="1">
      <x:c r="A193" s="58" t="n">
        <x:v>186</x:v>
      </x:c>
      <x:c r="B193" s="58" t="str">
        <x:v>1C25TUV/00000705</x:v>
      </x:c>
      <x:c r="C193" s="60" t="d">
        <x:v>2025-05-06T00:00:00.000Z</x:v>
      </x:c>
      <x:c r="D193" s="58" t="str">
        <x:v>Ngoại lệ đã tách</x:v>
      </x:c>
      <x:c r="E193" s="58" t="str">
        <x:v>1C25TUV/00000705 – 06/05/2025</x:v>
      </x:c>
      <x:c r="F193" s="58" t="str">
        <x:v>CÔNG TY TNHH SẢN XUẤT VÀ ĐẦU TƯ AKIA</x:v>
      </x:c>
      <x:c r="G193" s="58" t="str">
        <x:v>1C25TUV/00000705</x:v>
      </x:c>
      <x:c r="H193" s="66" t="str">
        <x:v>0315793560</x:v>
      </x:c>
      <x:c r="I193" s="58" t="str">
        <x:v> Bang_ke_chi_tiet_hoa_don_da_su_dung_20261009_150742.xlsx | dòng 11359</x:v>
      </x:c>
      <x:c r="J193" s="58" t="str">
        <x:v>Giữ nguyên tất cả hóa đơn liên quan.</x:v>
      </x:c>
    </x:row>
    <x:row r="194" ht="84" customHeight="1">
      <x:c r="A194" s="57" t="n">
        <x:v>187</x:v>
      </x:c>
      <x:c r="B194" s="57" t="str">
        <x:v>1C25TUV/00000711</x:v>
      </x:c>
      <x:c r="C194" s="59" t="d">
        <x:v>2025-05-07T00:00:00.000Z</x:v>
      </x:c>
      <x:c r="D194" s="57" t="str">
        <x:v>Ngoại lệ đã tách</x:v>
      </x:c>
      <x:c r="E194" s="57" t="str">
        <x:v>1C25TUV/00000711 – 07/05/2025</x:v>
      </x:c>
      <x:c r="F194" s="57" t="str">
        <x:v>CÔNG TY TNHH MỘT THÀNH VIÊN ĐẦU TƯ VÀ PHÁT TRIỂN DB</x:v>
      </x:c>
      <x:c r="G194" s="57" t="str">
        <x:v>1C25TUV/00000711</x:v>
      </x:c>
      <x:c r="H194" s="65" t="str">
        <x:v>0107501760</x:v>
      </x:c>
      <x:c r="I194" s="57" t="str">
        <x:v> Bang_ke_chi_tiet_hoa_don_da_su_dung_20261009_150742.xlsx | dòng 11528</x:v>
      </x:c>
      <x:c r="J194" s="57" t="str">
        <x:v>Giữ nguyên tất cả hóa đơn liên quan.</x:v>
      </x:c>
    </x:row>
    <x:row r="195" ht="84" customHeight="1">
      <x:c r="A195" s="58" t="n">
        <x:v>188</x:v>
      </x:c>
      <x:c r="B195" s="58" t="str">
        <x:v>1C25TUV/00000715</x:v>
      </x:c>
      <x:c r="C195" s="60" t="d">
        <x:v>2025-05-08T00:00:00.000Z</x:v>
      </x:c>
      <x:c r="D195" s="58" t="str">
        <x:v>Ngoại lệ đã tách</x:v>
      </x:c>
      <x:c r="E195" s="58" t="str">
        <x:v>1C25TUV/00000715 – 08/05/2025</x:v>
      </x:c>
      <x:c r="F195" s="58" t="str">
        <x:v>CÔNG TY TNHH TRẮC ĐỊA XÂY DỰNG BÁCH KHOA</x:v>
      </x:c>
      <x:c r="G195" s="58" t="str">
        <x:v>1C25TUV/00000715</x:v>
      </x:c>
      <x:c r="H195" s="66" t="str">
        <x:v>0316584400</x:v>
      </x:c>
      <x:c r="I195" s="58" t="str">
        <x:v> Bang_ke_chi_tiet_hoa_don_da_su_dung_20261009_150742.xlsx | dòng 11532</x:v>
      </x:c>
      <x:c r="J195" s="58" t="str">
        <x:v>Giữ nguyên tất cả hóa đơn liên quan.</x:v>
      </x:c>
    </x:row>
    <x:row r="196" ht="84" customHeight="1">
      <x:c r="A196" s="57" t="n">
        <x:v>189</x:v>
      </x:c>
      <x:c r="B196" s="57" t="str">
        <x:v>1C25TUV/00000722</x:v>
      </x:c>
      <x:c r="C196" s="59" t="d">
        <x:v>2025-05-10T00:00:00.000Z</x:v>
      </x:c>
      <x:c r="D196" s="57" t="str">
        <x:v>Ngoại lệ đã tách</x:v>
      </x:c>
      <x:c r="E196" s="57" t="str">
        <x:v>1C25TUV/00000722 – 10/05/2025</x:v>
      </x:c>
      <x:c r="F196" s="57" t="str">
        <x:v>CÔNG TY TNHH SẢN XUẤT VÀ ĐẦU TƯ AKIA</x:v>
      </x:c>
      <x:c r="G196" s="57" t="str">
        <x:v>1C25TUV/00000722</x:v>
      </x:c>
      <x:c r="H196" s="65" t="str">
        <x:v>0315793560</x:v>
      </x:c>
      <x:c r="I196" s="57" t="str">
        <x:v> Bang_ke_chi_tiet_hoa_don_da_su_dung_20261009_150742.xlsx | dòng 11702</x:v>
      </x:c>
      <x:c r="J196" s="57" t="str">
        <x:v>Giữ nguyên tất cả hóa đơn liên quan.</x:v>
      </x:c>
    </x:row>
    <x:row r="197" ht="84" customHeight="1">
      <x:c r="A197" s="58" t="n">
        <x:v>190</x:v>
      </x:c>
      <x:c r="B197" s="58" t="str">
        <x:v>1C25TUV/00000723</x:v>
      </x:c>
      <x:c r="C197" s="60" t="d">
        <x:v>2025-05-10T00:00:00.000Z</x:v>
      </x:c>
      <x:c r="D197" s="58" t="str">
        <x:v>Ngoại lệ đã tách</x:v>
      </x:c>
      <x:c r="E197" s="58" t="str">
        <x:v>1C25TUV/00000723 – 10/05/2025</x:v>
      </x:c>
      <x:c r="F197" s="58" t="str">
        <x:v>CÔNG TY TNHH FLAMINPOP</x:v>
      </x:c>
      <x:c r="G197" s="58" t="str">
        <x:v>1C25TUV/00000723</x:v>
      </x:c>
      <x:c r="H197" s="66" t="str">
        <x:v>0317059605</x:v>
      </x:c>
      <x:c r="I197" s="58" t="str">
        <x:v> Bang_ke_chi_tiet_hoa_don_da_su_dung_20261009_150742.xlsx | dòng 11705</x:v>
      </x:c>
      <x:c r="J197" s="58" t="str">
        <x:v>Giữ nguyên tất cả hóa đơn liên quan.</x:v>
      </x:c>
    </x:row>
    <x:row r="198" ht="84" customHeight="1">
      <x:c r="A198" s="57" t="n">
        <x:v>191</x:v>
      </x:c>
      <x:c r="B198" s="57" t="str">
        <x:v>1C25TUV/00000733</x:v>
      </x:c>
      <x:c r="C198" s="59" t="d">
        <x:v>2025-05-13T00:00:00.000Z</x:v>
      </x:c>
      <x:c r="D198" s="57" t="str">
        <x:v>Ngoại lệ đã tách</x:v>
      </x:c>
      <x:c r="E198" s="57" t="str">
        <x:v>1C25TUV/00000733 – 13/05/2025</x:v>
      </x:c>
      <x:c r="F198" s="57" t="str">
        <x:v>CÔNG TY TNHH ENKEI VIỆT NAM</x:v>
      </x:c>
      <x:c r="G198" s="57" t="str">
        <x:v>1C25TUV/00000733</x:v>
      </x:c>
      <x:c r="H198" s="65" t="str">
        <x:v>0102359020</x:v>
      </x:c>
      <x:c r="I198" s="57" t="str">
        <x:v> Bang_ke_chi_tiet_hoa_don_da_su_dung_20261009_150742.xlsx | dòng 11906</x:v>
      </x:c>
      <x:c r="J198" s="57" t="str">
        <x:v>Giữ nguyên tất cả hóa đơn liên quan.</x:v>
      </x:c>
    </x:row>
    <x:row r="199" ht="84" customHeight="1">
      <x:c r="A199" s="58" t="n">
        <x:v>192</x:v>
      </x:c>
      <x:c r="B199" s="58" t="str">
        <x:v>1C25TUV/00000734</x:v>
      </x:c>
      <x:c r="C199" s="60" t="d">
        <x:v>2025-05-13T00:00:00.000Z</x:v>
      </x:c>
      <x:c r="D199" s="58" t="str">
        <x:v>Ngoại lệ đã tách</x:v>
      </x:c>
      <x:c r="E199" s="58" t="str">
        <x:v>1C25TUV/00000734 – 13/05/2025</x:v>
      </x:c>
      <x:c r="F199" s="58" t="str">
        <x:v>CÔNG TY TNHH SẢN XUẤT VÀ ĐẦU TƯ AKIA</x:v>
      </x:c>
      <x:c r="G199" s="58" t="str">
        <x:v>1C25TUV/00000734</x:v>
      </x:c>
      <x:c r="H199" s="66" t="str">
        <x:v>0315793560</x:v>
      </x:c>
      <x:c r="I199" s="58" t="str">
        <x:v> Bang_ke_chi_tiet_hoa_don_da_su_dung_20261009_150742.xlsx | dòng 11907</x:v>
      </x:c>
      <x:c r="J199" s="58" t="str">
        <x:v>Giữ nguyên tất cả hóa đơn liên quan.</x:v>
      </x:c>
    </x:row>
    <x:row r="200" ht="84" customHeight="1">
      <x:c r="A200" s="57" t="n">
        <x:v>193</x:v>
      </x:c>
      <x:c r="B200" s="57" t="str">
        <x:v>1C25TUV/00000740</x:v>
      </x:c>
      <x:c r="C200" s="59" t="d">
        <x:v>2025-05-15T00:00:00.000Z</x:v>
      </x:c>
      <x:c r="D200" s="57" t="str">
        <x:v>Ngoại lệ đã tách</x:v>
      </x:c>
      <x:c r="E200" s="57" t="str">
        <x:v>1C25TUV/00000740 – 15/05/2025</x:v>
      </x:c>
      <x:c r="F200" s="57" t="str">
        <x:v>CÔNG TY TNHH SẢN XUẤT VÀ ĐẦU TƯ AKIA</x:v>
      </x:c>
      <x:c r="G200" s="57" t="str">
        <x:v>1C25TUV/00000740</x:v>
      </x:c>
      <x:c r="H200" s="65" t="str">
        <x:v>0315793560</x:v>
      </x:c>
      <x:c r="I200" s="57" t="str">
        <x:v> Bang_ke_chi_tiet_hoa_don_da_su_dung_20261009_150742.xlsx | dòng 12013</x:v>
      </x:c>
      <x:c r="J200" s="57" t="str">
        <x:v>Giữ nguyên tất cả hóa đơn liên quan.</x:v>
      </x:c>
    </x:row>
    <x:row r="201" ht="84" customHeight="1">
      <x:c r="A201" s="58" t="n">
        <x:v>194</x:v>
      </x:c>
      <x:c r="B201" s="58" t="str">
        <x:v>1C25TUV/00000764</x:v>
      </x:c>
      <x:c r="C201" s="60" t="d">
        <x:v>2025-05-20T00:00:00.000Z</x:v>
      </x:c>
      <x:c r="D201" s="58" t="str">
        <x:v>Ngoại lệ đã tách</x:v>
      </x:c>
      <x:c r="E201" s="58" t="str">
        <x:v>1C25TUV/00000764 – 20/05/2025</x:v>
      </x:c>
      <x:c r="F201" s="58" t="str">
        <x:v>CÔNG TY TNHH CÔNG NGHỆ ÁNH DƯƠNG VN</x:v>
      </x:c>
      <x:c r="G201" s="58" t="str">
        <x:v>1C25TUV/00000764</x:v>
      </x:c>
      <x:c r="H201" s="66" t="str">
        <x:v>0109366443</x:v>
      </x:c>
      <x:c r="I201" s="58" t="str">
        <x:v> Bang_ke_chi_tiet_hoa_don_da_su_dung_20261009_150742.xlsx | dòng 12309</x:v>
      </x:c>
      <x:c r="J201" s="58" t="str">
        <x:v>Giữ nguyên tất cả hóa đơn liên quan.</x:v>
      </x:c>
    </x:row>
    <x:row r="202" ht="84" customHeight="1">
      <x:c r="A202" s="57" t="n">
        <x:v>195</x:v>
      </x:c>
      <x:c r="B202" s="57" t="str">
        <x:v>1C25TUV/00000773</x:v>
      </x:c>
      <x:c r="C202" s="59" t="d">
        <x:v>2025-05-22T00:00:00.000Z</x:v>
      </x:c>
      <x:c r="D202" s="57" t="str">
        <x:v>Ngoại lệ đã tách</x:v>
      </x:c>
      <x:c r="E202" s="57" t="str">
        <x:v>1C25TUV/00000773 – 22/05/2025</x:v>
      </x:c>
      <x:c r="F202" s="57" t="str">
        <x:v>CÔNG TY TNHH SẢN XUẤT VÀ ĐẦU TƯ AKIA</x:v>
      </x:c>
      <x:c r="G202" s="57" t="str">
        <x:v>1C25TUV/00000773</x:v>
      </x:c>
      <x:c r="H202" s="65" t="str">
        <x:v>0315793560</x:v>
      </x:c>
      <x:c r="I202" s="57" t="str">
        <x:v> Bang_ke_chi_tiet_hoa_don_da_su_dung_20261009_150742.xlsx | dòng 12433</x:v>
      </x:c>
      <x:c r="J202" s="57" t="str">
        <x:v>Giữ nguyên tất cả hóa đơn liên quan.</x:v>
      </x:c>
    </x:row>
    <x:row r="203" ht="84" customHeight="1">
      <x:c r="A203" s="58" t="n">
        <x:v>196</x:v>
      </x:c>
      <x:c r="B203" s="58" t="str">
        <x:v>1C25TUV/00000783</x:v>
      </x:c>
      <x:c r="C203" s="60" t="d">
        <x:v>2025-05-24T00:00:00.000Z</x:v>
      </x:c>
      <x:c r="D203" s="58" t="str">
        <x:v>Ngoại lệ đã tách</x:v>
      </x:c>
      <x:c r="E203" s="58" t="str">
        <x:v>1C25TUV/00000783 – 24/05/2025</x:v>
      </x:c>
      <x:c r="F203" s="58" t="str">
        <x:v>CÔNG TY TNHH SẢN XUẤT VÀ ĐẦU TƯ AKIA</x:v>
      </x:c>
      <x:c r="G203" s="58" t="str">
        <x:v>1C25TUV/00000783</x:v>
      </x:c>
      <x:c r="H203" s="66" t="str">
        <x:v>0315793560</x:v>
      </x:c>
      <x:c r="I203" s="58" t="str">
        <x:v> Bang_ke_chi_tiet_hoa_don_da_su_dung_20261009_150742.xlsx | dòng 12565</x:v>
      </x:c>
      <x:c r="J203" s="58" t="str">
        <x:v>Giữ nguyên tất cả hóa đơn liên quan.</x:v>
      </x:c>
    </x:row>
    <x:row r="204" ht="84" customHeight="1">
      <x:c r="A204" s="57" t="n">
        <x:v>197</x:v>
      </x:c>
      <x:c r="B204" s="57" t="str">
        <x:v>1C25TUV/00001037</x:v>
      </x:c>
      <x:c r="C204" s="59" t="d">
        <x:v>2025-05-26T00:00:00.000Z</x:v>
      </x:c>
      <x:c r="D204" s="57" t="str">
        <x:v>Ngoại lệ đã tách</x:v>
      </x:c>
      <x:c r="E204" s="57" t="str">
        <x:v>1C25TUV/00001037 – 26/05/2025</x:v>
      </x:c>
      <x:c r="F204" s="57" t="str">
        <x:v>CÔNG TY TNHH SẢN XUẤT VÀ ĐẦU TƯ AKIA</x:v>
      </x:c>
      <x:c r="G204" s="57" t="str">
        <x:v>1C25TUV/00001037</x:v>
      </x:c>
      <x:c r="H204" s="65" t="str">
        <x:v>0315793560</x:v>
      </x:c>
      <x:c r="I204" s="57" t="str">
        <x:v> Bang_ke_chi_tiet_hoa_don_da_su_dung_20261009_150742.xlsx | dòng 12946</x:v>
      </x:c>
      <x:c r="J204" s="57" t="str">
        <x:v>Giữ nguyên tất cả hóa đơn liên quan.</x:v>
      </x:c>
    </x:row>
    <x:row r="205" ht="84" customHeight="1">
      <x:c r="A205" s="58" t="n">
        <x:v>198</x:v>
      </x:c>
      <x:c r="B205" s="58" t="str">
        <x:v>1C25TUV/00001220</x:v>
      </x:c>
      <x:c r="C205" s="60" t="d">
        <x:v>2025-05-27T00:00:00.000Z</x:v>
      </x:c>
      <x:c r="D205" s="58" t="str">
        <x:v>Ngoại lệ đã tách</x:v>
      </x:c>
      <x:c r="E205" s="58" t="str">
        <x:v>1C25TUV/00001220 – 27/05/2025</x:v>
      </x:c>
      <x:c r="F205" s="58" t="str">
        <x:v>CÔNG TY TNHH SMC PHÚ LONG</x:v>
      </x:c>
      <x:c r="G205" s="58" t="str">
        <x:v>1C25TUV/00001220</x:v>
      </x:c>
      <x:c r="H205" s="66" t="str">
        <x:v>0312000887</x:v>
      </x:c>
      <x:c r="I205" s="58" t="str">
        <x:v> Bang_ke_chi_tiet_hoa_don_da_su_dung_20261009_150742.xlsx | dòng 13171</x:v>
      </x:c>
      <x:c r="J205" s="58" t="str">
        <x:v>Giữ nguyên tất cả hóa đơn liên quan.</x:v>
      </x:c>
    </x:row>
    <x:row r="206" ht="84" customHeight="1">
      <x:c r="A206" s="57" t="n">
        <x:v>199</x:v>
      </x:c>
      <x:c r="B206" s="57" t="str">
        <x:v>1C25TUV/00001258</x:v>
      </x:c>
      <x:c r="C206" s="59" t="d">
        <x:v>2025-05-27T00:00:00.000Z</x:v>
      </x:c>
      <x:c r="D206" s="57" t="str">
        <x:v>Ngoại lệ đã tách</x:v>
      </x:c>
      <x:c r="E206" s="57" t="str">
        <x:v>1C25TUV/00001258 – 27/05/2025</x:v>
      </x:c>
      <x:c r="F206" s="57" t="str">
        <x:v>CÔNG TY TNHH SX VÀ TMDV ĐỒNG XU KỶ NIỆM ZINO</x:v>
      </x:c>
      <x:c r="G206" s="57" t="str">
        <x:v>1C25TUV/00001258</x:v>
      </x:c>
      <x:c r="H206" s="65" t="str">
        <x:v>0318522093</x:v>
      </x:c>
      <x:c r="I206" s="57" t="str">
        <x:v> Bang_ke_chi_tiet_hoa_don_da_su_dung_20261009_150742.xlsx | dòng 13210</x:v>
      </x:c>
      <x:c r="J206" s="57" t="str">
        <x:v>Giữ nguyên tất cả hóa đơn liên quan.</x:v>
      </x:c>
    </x:row>
    <x:row r="207" ht="84" customHeight="1">
      <x:c r="A207" s="58" t="n">
        <x:v>200</x:v>
      </x:c>
      <x:c r="B207" s="58" t="str">
        <x:v>1C25TUV/00001348</x:v>
      </x:c>
      <x:c r="C207" s="60" t="d">
        <x:v>2025-05-27T00:00:00.000Z</x:v>
      </x:c>
      <x:c r="D207" s="58" t="str">
        <x:v>Giữ nguyên theo chốt</x:v>
      </x:c>
      <x:c r="E207" s="58" t="str">
        <x:v>1C25TUV/00001348 – 27/05/2025
1C25TUV/00006108 – 17/06/2025</x:v>
      </x:c>
      <x:c r="F207" s="58" t="str">
        <x:v>Người dùng chốt giữ cả cặp ngoài đợt xử lý (điểm 6)</x:v>
      </x:c>
      <x:c r="G207" s="58" t="str">
        <x:v>1C25TUV/00001348</x:v>
      </x:c>
      <x:c r="H207" s="66"/>
      <x:c r="I207" s="58" t="str">
        <x:v>Tin nhắn người dùng 11/10/2026</x:v>
      </x:c>
      <x:c r="J207" s="58" t="str">
        <x:v>Giữ nguyên tất cả hóa đơn liên quan.</x:v>
      </x:c>
    </x:row>
    <x:row r="208" ht="84" customHeight="1">
      <x:c r="A208" s="57" t="n">
        <x:v>201</x:v>
      </x:c>
      <x:c r="B208" s="57" t="str">
        <x:v>1C25TUV/00001746</x:v>
      </x:c>
      <x:c r="C208" s="59" t="d">
        <x:v>2025-05-29T00:00:00.000Z</x:v>
      </x:c>
      <x:c r="D208" s="57" t="str">
        <x:v>Ngoại lệ đã tách</x:v>
      </x:c>
      <x:c r="E208" s="57" t="str">
        <x:v>1C25TUV/00001746 – 29/05/2025</x:v>
      </x:c>
      <x:c r="F208" s="57" t="str">
        <x:v>CÔNG TY TNHH SẢN XUẤT VÀ ĐẦU TƯ AKIA</x:v>
      </x:c>
      <x:c r="G208" s="57" t="str">
        <x:v>1C25TUV/00001746</x:v>
      </x:c>
      <x:c r="H208" s="65" t="str">
        <x:v>0315793560</x:v>
      </x:c>
      <x:c r="I208" s="57" t="str">
        <x:v> Bang_ke_chi_tiet_hoa_don_da_su_dung_20261009_150742.xlsx | dòng 13896</x:v>
      </x:c>
      <x:c r="J208" s="57" t="str">
        <x:v>Giữ nguyên tất cả hóa đơn liên quan.</x:v>
      </x:c>
    </x:row>
    <x:row r="209" ht="84" customHeight="1">
      <x:c r="A209" s="58" t="n">
        <x:v>202</x:v>
      </x:c>
      <x:c r="B209" s="58" t="str">
        <x:v>1C25TUV/00001795</x:v>
      </x:c>
      <x:c r="C209" s="60" t="d">
        <x:v>2025-05-29T00:00:00.000Z</x:v>
      </x:c>
      <x:c r="D209" s="58" t="str">
        <x:v>Ngoại lệ đã tách</x:v>
      </x:c>
      <x:c r="E209" s="58" t="str">
        <x:v>1C25TUV/00001795 – 29/05/2025</x:v>
      </x:c>
      <x:c r="F209" s="58" t="str">
        <x:v>CÔNG TY TNHH THÉP KHÔNG GỈ Á CHÂU</x:v>
      </x:c>
      <x:c r="G209" s="58" t="str">
        <x:v>1C25TUV/00001795</x:v>
      </x:c>
      <x:c r="H209" s="66" t="str">
        <x:v>0317558435</x:v>
      </x:c>
      <x:c r="I209" s="58" t="str">
        <x:v> Bang_ke_chi_tiet_hoa_don_da_su_dung_20261009_150742.xlsx | dòng 13999</x:v>
      </x:c>
      <x:c r="J209" s="58" t="str">
        <x:v>Giữ nguyên tất cả hóa đơn liên quan.</x:v>
      </x:c>
    </x:row>
    <x:row r="210" ht="84" customHeight="1">
      <x:c r="A210" s="57" t="n">
        <x:v>203</x:v>
      </x:c>
      <x:c r="B210" s="57" t="str">
        <x:v>1C25TUV/00002169</x:v>
      </x:c>
      <x:c r="C210" s="59" t="d">
        <x:v>2025-05-30T00:00:00.000Z</x:v>
      </x:c>
      <x:c r="D210" s="57" t="str">
        <x:v>Ngoại lệ đã tách</x:v>
      </x:c>
      <x:c r="E210" s="57" t="str">
        <x:v>1C25TUV/00002169 – 30/05/2025</x:v>
      </x:c>
      <x:c r="F210" s="57" t="str">
        <x:v>CÔNG TY TNHH SẢN XUẤT VÀ ĐẦU TƯ AKIA</x:v>
      </x:c>
      <x:c r="G210" s="57" t="str">
        <x:v>1C25TUV/00002169</x:v>
      </x:c>
      <x:c r="H210" s="65" t="str">
        <x:v>0315793560</x:v>
      </x:c>
      <x:c r="I210" s="57" t="str">
        <x:v> Bang_ke_chi_tiet_hoa_don_da_su_dung_20261009_150742.xlsx | dòng 14452</x:v>
      </x:c>
      <x:c r="J210" s="57" t="str">
        <x:v>Giữ nguyên tất cả hóa đơn liên quan.</x:v>
      </x:c>
    </x:row>
    <x:row r="211" ht="84" customHeight="1">
      <x:c r="A211" s="58" t="n">
        <x:v>204</x:v>
      </x:c>
      <x:c r="B211" s="58" t="str">
        <x:v>1C25TUV/00002287</x:v>
      </x:c>
      <x:c r="C211" s="60" t="d">
        <x:v>2025-05-30T00:00:00.000Z</x:v>
      </x:c>
      <x:c r="D211" s="58" t="str">
        <x:v>Ngoại lệ đã tách</x:v>
      </x:c>
      <x:c r="E211" s="58" t="str">
        <x:v>1C25TUV/00002287 – 30/05/2025</x:v>
      </x:c>
      <x:c r="F211" s="58" t="str">
        <x:v>CÔNG TY TNHH SẢN XUẤT VÀ ĐẦU TƯ AKIA</x:v>
      </x:c>
      <x:c r="G211" s="58" t="str">
        <x:v>1C25TUV/00002287</x:v>
      </x:c>
      <x:c r="H211" s="66" t="str">
        <x:v>0315793560</x:v>
      </x:c>
      <x:c r="I211" s="58" t="str">
        <x:v> Bang_ke_chi_tiet_hoa_don_da_su_dung_20261009_150742.xlsx | dòng 14572</x:v>
      </x:c>
      <x:c r="J211" s="58" t="str">
        <x:v>Giữ nguyên tất cả hóa đơn liên quan.</x:v>
      </x:c>
    </x:row>
    <x:row r="212" ht="84" customHeight="1">
      <x:c r="A212" s="57" t="n">
        <x:v>205</x:v>
      </x:c>
      <x:c r="B212" s="57" t="str">
        <x:v>1C25TUV/00002377</x:v>
      </x:c>
      <x:c r="C212" s="59" t="d">
        <x:v>2025-05-30T00:00:00.000Z</x:v>
      </x:c>
      <x:c r="D212" s="57" t="str">
        <x:v>Giữ nguyên theo chốt</x:v>
      </x:c>
      <x:c r="E212" s="57" t="str">
        <x:v>1C25TUV/00002377 – 30/05/2025
1C25TUV/00004203 – 09/06/2025</x:v>
      </x:c>
      <x:c r="F212" s="57" t="str">
        <x:v>Người dùng chốt giữ cả cặp ngoài đợt xử lý (điểm 6)</x:v>
      </x:c>
      <x:c r="G212" s="57" t="str">
        <x:v>1C25TUV/00002377</x:v>
      </x:c>
      <x:c r="H212" s="65"/>
      <x:c r="I212" s="57" t="str">
        <x:v>Tin nhắn người dùng 11/10/2026</x:v>
      </x:c>
      <x:c r="J212" s="57" t="str">
        <x:v>Giữ nguyên tất cả hóa đơn liên quan.</x:v>
      </x:c>
    </x:row>
    <x:row r="213" ht="84" customHeight="1">
      <x:c r="A213" s="58" t="n">
        <x:v>206</x:v>
      </x:c>
      <x:c r="B213" s="58" t="str">
        <x:v>1C25TUV/00002378</x:v>
      </x:c>
      <x:c r="C213" s="60" t="d">
        <x:v>2025-05-30T00:00:00.000Z</x:v>
      </x:c>
      <x:c r="D213" s="58" t="str">
        <x:v>Giữ nguyên theo chốt</x:v>
      </x:c>
      <x:c r="E213" s="58" t="str">
        <x:v>1C25TUV/00002378 – 30/05/2025
1C25TUV/00004204 – 09/06/2025</x:v>
      </x:c>
      <x:c r="F213" s="58" t="str">
        <x:v>Người dùng chốt giữ cả cặp ngoài đợt xử lý (điểm 6)</x:v>
      </x:c>
      <x:c r="G213" s="58" t="str">
        <x:v>1C25TUV/00002378</x:v>
      </x:c>
      <x:c r="H213" s="66"/>
      <x:c r="I213" s="58" t="str">
        <x:v>Tin nhắn người dùng 11/10/2026</x:v>
      </x:c>
      <x:c r="J213" s="58" t="str">
        <x:v>Giữ nguyên tất cả hóa đơn liên quan.</x:v>
      </x:c>
    </x:row>
    <x:row r="214" ht="84" customHeight="1">
      <x:c r="A214" s="57" t="n">
        <x:v>207</x:v>
      </x:c>
      <x:c r="B214" s="57" t="str">
        <x:v>1C25TUV/00002647</x:v>
      </x:c>
      <x:c r="C214" s="59" t="d">
        <x:v>2025-05-31T00:00:00.000Z</x:v>
      </x:c>
      <x:c r="D214" s="57" t="str">
        <x:v>Ngoại lệ đã tách</x:v>
      </x:c>
      <x:c r="E214" s="57" t="str">
        <x:v>1C25TUV/00002647 – 31/05/2025</x:v>
      </x:c>
      <x:c r="F214" s="57" t="str">
        <x:v>CÔNG TY TNHH NHỰA KING LUN</x:v>
      </x:c>
      <x:c r="G214" s="57" t="str">
        <x:v>1C25TUV/00002647</x:v>
      </x:c>
      <x:c r="H214" s="65" t="str">
        <x:v>0201925238</x:v>
      </x:c>
      <x:c r="I214" s="57" t="str">
        <x:v> Bang_ke_chi_tiet_hoa_don_da_su_dung_20261009_150742.xlsx | dòng 15177</x:v>
      </x:c>
      <x:c r="J214" s="57" t="str">
        <x:v>Giữ nguyên tất cả hóa đơn liên quan.</x:v>
      </x:c>
    </x:row>
    <x:row r="215" ht="84" customHeight="1">
      <x:c r="A215" s="58" t="n">
        <x:v>208</x:v>
      </x:c>
      <x:c r="B215" s="58" t="str">
        <x:v>1C25TUV/00002832</x:v>
      </x:c>
      <x:c r="C215" s="60" t="d">
        <x:v>2025-06-02T00:00:00.000Z</x:v>
      </x:c>
      <x:c r="D215" s="58" t="str">
        <x:v>Ngoại lệ đã tách</x:v>
      </x:c>
      <x:c r="E215" s="58" t="str">
        <x:v>1C25TUV/00002832 – 02/06/2025</x:v>
      </x:c>
      <x:c r="F215" s="58" t="str">
        <x:v>CÔNG TY TNHH THƯƠNG MẠI DỊCH VỤ PHÁT NHẬT NGUYÊN</x:v>
      </x:c>
      <x:c r="G215" s="58" t="str">
        <x:v>1C25TUV/00002832</x:v>
      </x:c>
      <x:c r="H215" s="66" t="str">
        <x:v>0315905179</x:v>
      </x:c>
      <x:c r="I215" s="58" t="str">
        <x:v> Bang_ke_chi_tiet_hoa_don_da_su_dung_20261009_150742.xlsx | dòng 15386</x:v>
      </x:c>
      <x:c r="J215" s="58" t="str">
        <x:v>Giữ nguyên tất cả hóa đơn liên quan.</x:v>
      </x:c>
    </x:row>
    <x:row r="216" ht="84" customHeight="1">
      <x:c r="A216" s="57" t="n">
        <x:v>209</x:v>
      </x:c>
      <x:c r="B216" s="57" t="str">
        <x:v>1C25TUV/00002926</x:v>
      </x:c>
      <x:c r="C216" s="59" t="d">
        <x:v>2025-06-03T00:00:00.000Z</x:v>
      </x:c>
      <x:c r="D216" s="57" t="str">
        <x:v>Ngoại lệ đã tách</x:v>
      </x:c>
      <x:c r="E216" s="57" t="str">
        <x:v>1C25TUV/00002926 – 03/06/2025</x:v>
      </x:c>
      <x:c r="F216" s="57" t="str">
        <x:v>CÔNG TY TNHH THƯƠNG MẠI DỊCH VỤ HUY HÙNG PHÁT</x:v>
      </x:c>
      <x:c r="G216" s="57" t="str">
        <x:v>1C25TUV/00002926</x:v>
      </x:c>
      <x:c r="H216" s="65" t="str">
        <x:v>3603598642</x:v>
      </x:c>
      <x:c r="I216" s="57" t="str">
        <x:v> Bang_ke_chi_tiet_hoa_don_da_su_dung_20261009_150742.xlsx | dòng 15490</x:v>
      </x:c>
      <x:c r="J216" s="57" t="str">
        <x:v>Giữ nguyên tất cả hóa đơn liên quan.</x:v>
      </x:c>
    </x:row>
    <x:row r="217" ht="84" customHeight="1">
      <x:c r="A217" s="58" t="n">
        <x:v>210</x:v>
      </x:c>
      <x:c r="B217" s="58" t="str">
        <x:v>1C25TUV/00003063</x:v>
      </x:c>
      <x:c r="C217" s="60" t="d">
        <x:v>2025-06-03T00:00:00.000Z</x:v>
      </x:c>
      <x:c r="D217" s="58" t="str">
        <x:v>Ngoại lệ đã tách</x:v>
      </x:c>
      <x:c r="E217" s="58" t="str">
        <x:v>1C25TUV/00003063 – 03/06/2025</x:v>
      </x:c>
      <x:c r="F217" s="58" t="str">
        <x:v>CÔNG TY TNHH SẢN XUẤT VÀ ĐẦU TƯ AKIA</x:v>
      </x:c>
      <x:c r="G217" s="58" t="str">
        <x:v>1C25TUV/00003063</x:v>
      </x:c>
      <x:c r="H217" s="66" t="str">
        <x:v>0315793560</x:v>
      </x:c>
      <x:c r="I217" s="58" t="str">
        <x:v> Bang_ke_chi_tiet_hoa_don_da_su_dung_20261009_150742.xlsx | dòng 15632</x:v>
      </x:c>
      <x:c r="J217" s="58" t="str">
        <x:v>Giữ nguyên tất cả hóa đơn liên quan.</x:v>
      </x:c>
    </x:row>
    <x:row r="218" ht="84" customHeight="1">
      <x:c r="A218" s="57" t="n">
        <x:v>211</x:v>
      </x:c>
      <x:c r="B218" s="57" t="str">
        <x:v>1C25TUV/00003066</x:v>
      </x:c>
      <x:c r="C218" s="59" t="d">
        <x:v>2025-06-04T00:00:00.000Z</x:v>
      </x:c>
      <x:c r="D218" s="57" t="str">
        <x:v>Ngoại lệ đã tách</x:v>
      </x:c>
      <x:c r="E218" s="57" t="str">
        <x:v>1C25TUV/00003066 – 04/06/2025</x:v>
      </x:c>
      <x:c r="F218" s="57" t="str">
        <x:v>CÔNG TY TNHH SẢN XUẤT VÀ ĐẦU TƯ AKIA</x:v>
      </x:c>
      <x:c r="G218" s="57" t="str">
        <x:v>1C25TUV/00003066</x:v>
      </x:c>
      <x:c r="H218" s="65" t="str">
        <x:v>0315793560</x:v>
      </x:c>
      <x:c r="I218" s="57" t="str">
        <x:v> Bang_ke_chi_tiet_hoa_don_da_su_dung_20261009_150742.xlsx | dòng 15638</x:v>
      </x:c>
      <x:c r="J218" s="57" t="str">
        <x:v>Giữ nguyên tất cả hóa đơn liên quan.</x:v>
      </x:c>
    </x:row>
    <x:row r="219" ht="84" customHeight="1">
      <x:c r="A219" s="58" t="n">
        <x:v>212</x:v>
      </x:c>
      <x:c r="B219" s="58" t="str">
        <x:v>1C25TUV/00003221</x:v>
      </x:c>
      <x:c r="C219" s="60" t="d">
        <x:v>2025-06-05T00:00:00.000Z</x:v>
      </x:c>
      <x:c r="D219" s="58" t="str">
        <x:v>Ngoại lệ đã tách</x:v>
      </x:c>
      <x:c r="E219" s="58" t="str">
        <x:v>1C25TUV/00003221 – 05/06/2025</x:v>
      </x:c>
      <x:c r="F219" s="58" t="str">
        <x:v>CÔNG TY CỔ PHẦN THƯƠNG MẠI DỊCH VỤ - VẬN TẢI HƯNG PHÁT THỊNH</x:v>
      </x:c>
      <x:c r="G219" s="58" t="str">
        <x:v>1C25TUV/00003221</x:v>
      </x:c>
      <x:c r="H219" s="66" t="str">
        <x:v>3602357362</x:v>
      </x:c>
      <x:c r="I219" s="58" t="str">
        <x:v> Bang_ke_chi_tiet_hoa_don_da_su_dung_20261009_150742.xlsx | dòng 15802</x:v>
      </x:c>
      <x:c r="J219" s="58" t="str">
        <x:v>Giữ nguyên tất cả hóa đơn liên quan.</x:v>
      </x:c>
    </x:row>
    <x:row r="220" ht="84" customHeight="1">
      <x:c r="A220" s="57" t="n">
        <x:v>213</x:v>
      </x:c>
      <x:c r="B220" s="57" t="str">
        <x:v>1C25TUV/00003833</x:v>
      </x:c>
      <x:c r="C220" s="59" t="d">
        <x:v>2025-06-07T00:00:00.000Z</x:v>
      </x:c>
      <x:c r="D220" s="57" t="str">
        <x:v>Ngoại lệ đã tách</x:v>
      </x:c>
      <x:c r="E220" s="57" t="str">
        <x:v>1C25TUV/00003833 – 07/06/2025</x:v>
      </x:c>
      <x:c r="F220" s="57" t="str">
        <x:v>CÔNG TY TNHH KỸ THUẬT CÔNG NGHIỆP PHÚ SĨ</x:v>
      </x:c>
      <x:c r="G220" s="57" t="str">
        <x:v>1C25TUV/00003833</x:v>
      </x:c>
      <x:c r="H220" s="65" t="str">
        <x:v>3702966456</x:v>
      </x:c>
      <x:c r="I220" s="57" t="str">
        <x:v> Bang_ke_chi_tiet_hoa_don_da_su_dung_20261009_150742.xlsx | dòng 16462</x:v>
      </x:c>
      <x:c r="J220" s="57" t="str">
        <x:v>Giữ nguyên tất cả hóa đơn liên quan.</x:v>
      </x:c>
    </x:row>
    <x:row r="221" ht="84" customHeight="1">
      <x:c r="A221" s="58" t="n">
        <x:v>214</x:v>
      </x:c>
      <x:c r="B221" s="58" t="str">
        <x:v>1C25TUV/00004389</x:v>
      </x:c>
      <x:c r="C221" s="60" t="d">
        <x:v>2025-06-09T00:00:00.000Z</x:v>
      </x:c>
      <x:c r="D221" s="58" t="str">
        <x:v>Ngoại lệ đã tách</x:v>
      </x:c>
      <x:c r="E221" s="58" t="str">
        <x:v>1C25TUV/00004389 – 09/06/2025</x:v>
      </x:c>
      <x:c r="F221" s="58" t="str">
        <x:v>CÔNG TY TNHH SẢN XUẤT VÀ ĐẦU TƯ AKIA</x:v>
      </x:c>
      <x:c r="G221" s="58" t="str">
        <x:v>1C25TUV/00004389</x:v>
      </x:c>
      <x:c r="H221" s="66" t="str">
        <x:v>0315793560</x:v>
      </x:c>
      <x:c r="I221" s="58" t="str">
        <x:v> Bang_ke_chi_tiet_hoa_don_da_su_dung_20261009_150742.xlsx | dòng 17084</x:v>
      </x:c>
      <x:c r="J221" s="58" t="str">
        <x:v>Giữ nguyên tất cả hóa đơn liên quan.</x:v>
      </x:c>
    </x:row>
    <x:row r="222" ht="84" customHeight="1">
      <x:c r="A222" s="57" t="n">
        <x:v>215</x:v>
      </x:c>
      <x:c r="B222" s="57" t="str">
        <x:v>1C25TUV/00004714</x:v>
      </x:c>
      <x:c r="C222" s="59" t="d">
        <x:v>2025-06-11T00:00:00.000Z</x:v>
      </x:c>
      <x:c r="D222" s="57" t="str">
        <x:v>Ngoại lệ đã tách</x:v>
      </x:c>
      <x:c r="E222" s="57" t="str">
        <x:v>1C25TUV/00004714 – 11/06/2025</x:v>
      </x:c>
      <x:c r="F222" s="57" t="str">
        <x:v>CÔNG TY TNHH SẢN XUẤT VÀ ĐẦU TƯ AKIA</x:v>
      </x:c>
      <x:c r="G222" s="57" t="str">
        <x:v>1C25TUV/00004714</x:v>
      </x:c>
      <x:c r="H222" s="65" t="str">
        <x:v>0315793560</x:v>
      </x:c>
      <x:c r="I222" s="57" t="str">
        <x:v> Bang_ke_chi_tiet_hoa_don_da_su_dung_20261009_150742.xlsx | dòng 17504</x:v>
      </x:c>
      <x:c r="J222" s="57" t="str">
        <x:v>Giữ nguyên tất cả hóa đơn liên quan.</x:v>
      </x:c>
    </x:row>
    <x:row r="223" ht="84" customHeight="1">
      <x:c r="A223" s="58" t="n">
        <x:v>216</x:v>
      </x:c>
      <x:c r="B223" s="58" t="str">
        <x:v>1C25TUV/00004913</x:v>
      </x:c>
      <x:c r="C223" s="60" t="d">
        <x:v>2025-06-11T00:00:00.000Z</x:v>
      </x:c>
      <x:c r="D223" s="58" t="str">
        <x:v>Ngoại lệ đã tách</x:v>
      </x:c>
      <x:c r="E223" s="58" t="str">
        <x:v>1C25TUV/00004913 – 11/06/2025</x:v>
      </x:c>
      <x:c r="F223" s="58" t="str">
        <x:v>CÔNG TY TNHH SẢN XUẤT VÀ ĐẦU TƯ AKIA</x:v>
      </x:c>
      <x:c r="G223" s="58" t="str">
        <x:v>1C25TUV/00004913</x:v>
      </x:c>
      <x:c r="H223" s="66" t="str">
        <x:v>0315793560</x:v>
      </x:c>
      <x:c r="I223" s="58" t="str">
        <x:v> Bang_ke_chi_tiet_hoa_don_da_su_dung_20261009_150742.xlsx | dòng 17725</x:v>
      </x:c>
      <x:c r="J223" s="58" t="str">
        <x:v>Giữ nguyên tất cả hóa đơn liên quan.</x:v>
      </x:c>
    </x:row>
    <x:row r="224" ht="84" customHeight="1">
      <x:c r="A224" s="57" t="n">
        <x:v>217</x:v>
      </x:c>
      <x:c r="B224" s="57" t="str">
        <x:v>1C25TUV/00005138</x:v>
      </x:c>
      <x:c r="C224" s="59" t="d">
        <x:v>2025-06-12T00:00:00.000Z</x:v>
      </x:c>
      <x:c r="D224" s="57" t="str">
        <x:v>Ngoại lệ đã tách</x:v>
      </x:c>
      <x:c r="E224" s="57" t="str">
        <x:v>1C25TUV/00005138 – 12/06/2025</x:v>
      </x:c>
      <x:c r="F224" s="57" t="str">
        <x:v>CÔNG TY CỔ PHẦN KAPLA VIETNAM</x:v>
      </x:c>
      <x:c r="G224" s="57" t="str">
        <x:v>1C25TUV/00005138</x:v>
      </x:c>
      <x:c r="H224" s="65" t="str">
        <x:v>0317328664</x:v>
      </x:c>
      <x:c r="I224" s="57" t="str">
        <x:v> Bang_ke_chi_tiet_hoa_don_da_su_dung_20261009_150742.xlsx | dòng 17963</x:v>
      </x:c>
      <x:c r="J224" s="57" t="str">
        <x:v>Giữ nguyên tất cả hóa đơn liên quan.</x:v>
      </x:c>
    </x:row>
    <x:row r="225" ht="84" customHeight="1">
      <x:c r="A225" s="58" t="n">
        <x:v>218</x:v>
      </x:c>
      <x:c r="B225" s="58" t="str">
        <x:v>1C25TUV/00005152</x:v>
      </x:c>
      <x:c r="C225" s="60" t="d">
        <x:v>2025-06-13T00:00:00.000Z</x:v>
      </x:c>
      <x:c r="D225" s="58" t="str">
        <x:v>Ngoại lệ đã tách</x:v>
      </x:c>
      <x:c r="E225" s="58" t="str">
        <x:v>1C25TUV/00005152 – 13/06/2025</x:v>
      </x:c>
      <x:c r="F225" s="58" t="str">
        <x:v>CÔNG TY TNHH SẢN XUẤT VÀ ĐẦU TƯ AKIA</x:v>
      </x:c>
      <x:c r="G225" s="58" t="str">
        <x:v>1C25TUV/00005152</x:v>
      </x:c>
      <x:c r="H225" s="66" t="str">
        <x:v>0315793560</x:v>
      </x:c>
      <x:c r="I225" s="58" t="str">
        <x:v> Bang_ke_chi_tiet_hoa_don_da_su_dung_20261009_150742.xlsx | dòng 17987</x:v>
      </x:c>
      <x:c r="J225" s="58" t="str">
        <x:v>Giữ nguyên tất cả hóa đơn liên quan.</x:v>
      </x:c>
    </x:row>
    <x:row r="226" ht="84" customHeight="1">
      <x:c r="A226" s="57" t="n">
        <x:v>219</x:v>
      </x:c>
      <x:c r="B226" s="57" t="str">
        <x:v>1C25TUV/00005537</x:v>
      </x:c>
      <x:c r="C226" s="59" t="d">
        <x:v>2025-06-14T00:00:00.000Z</x:v>
      </x:c>
      <x:c r="D226" s="57" t="str">
        <x:v>Ngoại lệ đã tách</x:v>
      </x:c>
      <x:c r="E226" s="57" t="str">
        <x:v>1C25TUV/00005537 – 14/06/2025</x:v>
      </x:c>
      <x:c r="F226" s="57" t="str">
        <x:v>CÔNG TY CỔ PHẦN TƯ VẤN ĐẦU TƯ XÂY DỰNG HÀ THÀNH</x:v>
      </x:c>
      <x:c r="G226" s="57" t="str">
        <x:v>1C25TUV/00005537</x:v>
      </x:c>
      <x:c r="H226" s="65" t="str">
        <x:v>0102252101</x:v>
      </x:c>
      <x:c r="I226" s="57" t="str">
        <x:v> Bang_ke_chi_tiet_hoa_don_da_su_dung_20261009_150742.xlsx | dòng 18410</x:v>
      </x:c>
      <x:c r="J226" s="57" t="str">
        <x:v>Giữ nguyên tất cả hóa đơn liên quan.</x:v>
      </x:c>
    </x:row>
    <x:row r="227" ht="84" customHeight="1">
      <x:c r="A227" s="58" t="n">
        <x:v>220</x:v>
      </x:c>
      <x:c r="B227" s="58" t="str">
        <x:v>1C25TUV/00005538</x:v>
      </x:c>
      <x:c r="C227" s="60" t="d">
        <x:v>2025-06-14T00:00:00.000Z</x:v>
      </x:c>
      <x:c r="D227" s="58" t="str">
        <x:v>Ngoại lệ đã tách</x:v>
      </x:c>
      <x:c r="E227" s="58" t="str">
        <x:v>1C25TUV/00005538 – 14/06/2025</x:v>
      </x:c>
      <x:c r="F227" s="58" t="str">
        <x:v>CÔNG TY CỔ PHẦN TẬP ĐOÀN MERAP</x:v>
      </x:c>
      <x:c r="G227" s="58" t="str">
        <x:v>1C25TUV/00005538</x:v>
      </x:c>
      <x:c r="H227" s="66" t="str">
        <x:v>0101400572</x:v>
      </x:c>
      <x:c r="I227" s="58" t="str">
        <x:v> Bang_ke_chi_tiet_hoa_don_da_su_dung_20261009_150742.xlsx | dòng 18411</x:v>
      </x:c>
      <x:c r="J227" s="58" t="str">
        <x:v>Giữ nguyên tất cả hóa đơn liên quan.</x:v>
      </x:c>
    </x:row>
    <x:row r="228" ht="84" customHeight="1">
      <x:c r="A228" s="57" t="n">
        <x:v>221</x:v>
      </x:c>
      <x:c r="B228" s="57" t="str">
        <x:v>1C25TUV/00005659</x:v>
      </x:c>
      <x:c r="C228" s="59" t="d">
        <x:v>2025-06-14T00:00:00.000Z</x:v>
      </x:c>
      <x:c r="D228" s="57" t="str">
        <x:v>Ngoại lệ đã tách</x:v>
      </x:c>
      <x:c r="E228" s="57" t="str">
        <x:v>1C25TUV/00005659 – 14/06/2025</x:v>
      </x:c>
      <x:c r="F228" s="57" t="str">
        <x:v>CÔNG TY TNHH SẢN XUẤT VÀ ĐẦU TƯ AKIA</x:v>
      </x:c>
      <x:c r="G228" s="57" t="str">
        <x:v>1C25TUV/00005659</x:v>
      </x:c>
      <x:c r="H228" s="65" t="str">
        <x:v>0315793560</x:v>
      </x:c>
      <x:c r="I228" s="57" t="str">
        <x:v> Bang_ke_chi_tiet_hoa_don_da_su_dung_20261009_150742.xlsx | dòng 18537</x:v>
      </x:c>
      <x:c r="J228" s="57" t="str">
        <x:v>Giữ nguyên tất cả hóa đơn liên quan.</x:v>
      </x:c>
    </x:row>
    <x:row r="229" ht="84" customHeight="1">
      <x:c r="A229" s="58" t="n">
        <x:v>222</x:v>
      </x:c>
      <x:c r="B229" s="58" t="str">
        <x:v>1C25TUV/00005660</x:v>
      </x:c>
      <x:c r="C229" s="60" t="d">
        <x:v>2025-06-14T00:00:00.000Z</x:v>
      </x:c>
      <x:c r="D229" s="58" t="str">
        <x:v>Ngoại lệ đã tách</x:v>
      </x:c>
      <x:c r="E229" s="58" t="str">
        <x:v>1C25TUV/00005660 – 14/06/2025</x:v>
      </x:c>
      <x:c r="F229" s="58" t="str">
        <x:v>CÔNG TY TNHH SẢN XUẤT VÀ ĐẦU TƯ AKIA</x:v>
      </x:c>
      <x:c r="G229" s="58" t="str">
        <x:v>1C25TUV/00005660</x:v>
      </x:c>
      <x:c r="H229" s="66" t="str">
        <x:v>0315793560</x:v>
      </x:c>
      <x:c r="I229" s="58" t="str">
        <x:v> Bang_ke_chi_tiet_hoa_don_da_su_dung_20261009_150742.xlsx | dòng 18541</x:v>
      </x:c>
      <x:c r="J229" s="58" t="str">
        <x:v>Giữ nguyên tất cả hóa đơn liên quan.</x:v>
      </x:c>
    </x:row>
    <x:row r="230" ht="84" customHeight="1">
      <x:c r="A230" s="57" t="n">
        <x:v>223</x:v>
      </x:c>
      <x:c r="B230" s="57" t="str">
        <x:v>1C25TUV/00005662</x:v>
      </x:c>
      <x:c r="C230" s="59" t="d">
        <x:v>2025-06-14T00:00:00.000Z</x:v>
      </x:c>
      <x:c r="D230" s="57" t="str">
        <x:v>Ngoại lệ đã tách</x:v>
      </x:c>
      <x:c r="E230" s="57" t="str">
        <x:v>1C25TUV/00005662 – 14/06/2025</x:v>
      </x:c>
      <x:c r="F230" s="57" t="str">
        <x:v>CÔNG TY TNHH VANG NGON SAIGON NO.1</x:v>
      </x:c>
      <x:c r="G230" s="57" t="str">
        <x:v>1C25TUV/00005662</x:v>
      </x:c>
      <x:c r="H230" s="65" t="str">
        <x:v>0315202754</x:v>
      </x:c>
      <x:c r="I230" s="57" t="str">
        <x:v> Bang_ke_chi_tiet_hoa_don_da_su_dung_20261009_150742.xlsx | dòng 18544</x:v>
      </x:c>
      <x:c r="J230" s="57" t="str">
        <x:v>Giữ nguyên tất cả hóa đơn liên quan.</x:v>
      </x:c>
    </x:row>
    <x:row r="231" ht="84" customHeight="1">
      <x:c r="A231" s="58" t="n">
        <x:v>224</x:v>
      </x:c>
      <x:c r="B231" s="58" t="str">
        <x:v>1C25TUV/00005880</x:v>
      </x:c>
      <x:c r="C231" s="60" t="d">
        <x:v>2025-06-16T00:00:00.000Z</x:v>
      </x:c>
      <x:c r="D231" s="58" t="str">
        <x:v>Ngoại lệ đã tách</x:v>
      </x:c>
      <x:c r="E231" s="58" t="str">
        <x:v>1C25TUV/00005880 – 16/06/2025</x:v>
      </x:c>
      <x:c r="F231" s="58" t="str">
        <x:v>CÔNG TY CỔ PHẦN ĐẦU TƯ NUWA HOLDING</x:v>
      </x:c>
      <x:c r="G231" s="58" t="str">
        <x:v>1C25TUV/00005880</x:v>
      </x:c>
      <x:c r="H231" s="66" t="str">
        <x:v>0110888243</x:v>
      </x:c>
      <x:c r="I231" s="58" t="str">
        <x:v> Bang_ke_chi_tiet_hoa_don_da_su_dung_20261009_150742.xlsx | dòng 18771</x:v>
      </x:c>
      <x:c r="J231" s="58" t="str">
        <x:v>Giữ nguyên tất cả hóa đơn liên quan.</x:v>
      </x:c>
    </x:row>
    <x:row r="232" ht="84" customHeight="1">
      <x:c r="A232" s="57" t="n">
        <x:v>225</x:v>
      </x:c>
      <x:c r="B232" s="57" t="str">
        <x:v>1C25TUV/00006109</x:v>
      </x:c>
      <x:c r="C232" s="59" t="d">
        <x:v>2025-06-17T00:00:00.000Z</x:v>
      </x:c>
      <x:c r="D232" s="57" t="str">
        <x:v>Ngoại lệ đã tách</x:v>
      </x:c>
      <x:c r="E232" s="57" t="str">
        <x:v>1C25TUV/00006109 – 17/06/2025</x:v>
      </x:c>
      <x:c r="F232" s="57" t="str">
        <x:v>CÔNG TY TNHH THƯƠNG MẠI - DỊCH VỤ NGỌC KỲ ANH</x:v>
      </x:c>
      <x:c r="G232" s="57" t="str">
        <x:v>1C25TUV/00006109</x:v>
      </x:c>
      <x:c r="H232" s="65" t="str">
        <x:v>3502234945</x:v>
      </x:c>
      <x:c r="I232" s="57" t="str">
        <x:v> Bang_ke_chi_tiet_hoa_don_da_su_dung_20261009_150742.xlsx | dòng 19022</x:v>
      </x:c>
      <x:c r="J232" s="57" t="str">
        <x:v>Giữ nguyên tất cả hóa đơn liên quan.</x:v>
      </x:c>
    </x:row>
    <x:row r="233" ht="84" customHeight="1">
      <x:c r="A233" s="58" t="n">
        <x:v>226</x:v>
      </x:c>
      <x:c r="B233" s="58" t="str">
        <x:v>1C25TUV/00006110</x:v>
      </x:c>
      <x:c r="C233" s="60" t="d">
        <x:v>2025-06-17T00:00:00.000Z</x:v>
      </x:c>
      <x:c r="D233" s="58" t="str">
        <x:v>Ngoại lệ đã tách</x:v>
      </x:c>
      <x:c r="E233" s="58" t="str">
        <x:v>1C25TUV/00006110 – 17/06/2025</x:v>
      </x:c>
      <x:c r="F233" s="58" t="str">
        <x:v>CÔNG TY TNHH SẢN XUẤT VÀ ĐẦU TƯ AKIA</x:v>
      </x:c>
      <x:c r="G233" s="58" t="str">
        <x:v>1C25TUV/00006110</x:v>
      </x:c>
      <x:c r="H233" s="66" t="str">
        <x:v>0315793560</x:v>
      </x:c>
      <x:c r="I233" s="58" t="str">
        <x:v> Bang_ke_chi_tiet_hoa_don_da_su_dung_20261009_150742.xlsx | dòng 19023</x:v>
      </x:c>
      <x:c r="J233" s="58" t="str">
        <x:v>Giữ nguyên tất cả hóa đơn liên quan.</x:v>
      </x:c>
    </x:row>
    <x:row r="234" ht="84" customHeight="1">
      <x:c r="A234" s="57" t="n">
        <x:v>227</x:v>
      </x:c>
      <x:c r="B234" s="57" t="str">
        <x:v>1C25TUV/00006111</x:v>
      </x:c>
      <x:c r="C234" s="59" t="d">
        <x:v>2025-06-17T00:00:00.000Z</x:v>
      </x:c>
      <x:c r="D234" s="57" t="str">
        <x:v>Ngoại lệ đã tách</x:v>
      </x:c>
      <x:c r="E234" s="57" t="str">
        <x:v>1C25TUV/00006111 – 17/06/2025</x:v>
      </x:c>
      <x:c r="F234" s="57" t="str">
        <x:v>CÔNG TY TNHH SẢN XUẤT VÀ ĐẦU TƯ AKIA</x:v>
      </x:c>
      <x:c r="G234" s="57" t="str">
        <x:v>1C25TUV/00006111</x:v>
      </x:c>
      <x:c r="H234" s="65" t="str">
        <x:v>0315793560</x:v>
      </x:c>
      <x:c r="I234" s="57" t="str">
        <x:v> Bang_ke_chi_tiet_hoa_don_da_su_dung_20261009_150742.xlsx | dòng 19029</x:v>
      </x:c>
      <x:c r="J234" s="57" t="str">
        <x:v>Giữ nguyên tất cả hóa đơn liên quan.</x:v>
      </x:c>
    </x:row>
    <x:row r="235" ht="84" customHeight="1">
      <x:c r="A235" s="58" t="n">
        <x:v>228</x:v>
      </x:c>
      <x:c r="B235" s="58" t="str">
        <x:v>1C25TUV/00007037</x:v>
      </x:c>
      <x:c r="C235" s="60" t="d">
        <x:v>2025-06-20T00:00:00.000Z</x:v>
      </x:c>
      <x:c r="D235" s="58" t="str">
        <x:v>Ngoại lệ đã tách</x:v>
      </x:c>
      <x:c r="E235" s="58" t="str">
        <x:v>1C25TUV/00007037 – 20/06/2025</x:v>
      </x:c>
      <x:c r="F235" s="58" t="str">
        <x:v>CÔNG TY LUẬT TNHH VTN VÀ CỘNG SỰ</x:v>
      </x:c>
      <x:c r="G235" s="58" t="str">
        <x:v>1C25TUV/00007037</x:v>
      </x:c>
      <x:c r="H235" s="66" t="str">
        <x:v>0110302571</x:v>
      </x:c>
      <x:c r="I235" s="58" t="str">
        <x:v> Bang_ke_chi_tiet_hoa_don_da_su_dung_20261009_150742.xlsx | dòng 20059</x:v>
      </x:c>
      <x:c r="J235" s="58" t="str">
        <x:v>Giữ nguyên tất cả hóa đơn liên quan.</x:v>
      </x:c>
    </x:row>
    <x:row r="236" ht="84" customHeight="1">
      <x:c r="A236" s="57" t="n">
        <x:v>229</x:v>
      </x:c>
      <x:c r="B236" s="57" t="str">
        <x:v>1C25TUV/00007038</x:v>
      </x:c>
      <x:c r="C236" s="59" t="d">
        <x:v>2025-06-20T00:00:00.000Z</x:v>
      </x:c>
      <x:c r="D236" s="57" t="str">
        <x:v>Ngoại lệ đã tách</x:v>
      </x:c>
      <x:c r="E236" s="57" t="str">
        <x:v>1C25TUV/00007038 – 20/06/2025</x:v>
      </x:c>
      <x:c r="F236" s="57" t="str">
        <x:v>CÔNG TY TNHH JVG - BỆNH VIỆN THÚ Y NHẬT BẢN</x:v>
      </x:c>
      <x:c r="G236" s="57" t="str">
        <x:v>1C25TUV/00007038</x:v>
      </x:c>
      <x:c r="H236" s="65" t="str">
        <x:v>0316843581</x:v>
      </x:c>
      <x:c r="I236" s="57" t="str">
        <x:v> Bang_ke_chi_tiet_hoa_don_da_su_dung_20261009_150742.xlsx | dòng 20060</x:v>
      </x:c>
      <x:c r="J236" s="57" t="str">
        <x:v>Giữ nguyên tất cả hóa đơn liên quan.</x:v>
      </x:c>
    </x:row>
    <x:row r="237" ht="84" customHeight="1">
      <x:c r="A237" s="58" t="n">
        <x:v>230</x:v>
      </x:c>
      <x:c r="B237" s="58" t="str">
        <x:v>1C25TUV/00007039</x:v>
      </x:c>
      <x:c r="C237" s="60" t="d">
        <x:v>2025-06-20T00:00:00.000Z</x:v>
      </x:c>
      <x:c r="D237" s="58" t="str">
        <x:v>Ngoại lệ đã tách</x:v>
      </x:c>
      <x:c r="E237" s="58" t="str">
        <x:v>1C25TUV/00007039 – 20/06/2025</x:v>
      </x:c>
      <x:c r="F237" s="58" t="str">
        <x:v>CÔNG TY TNHH THƯƠNG MẠI DỊCH VỤ CHÁNH VINH</x:v>
      </x:c>
      <x:c r="G237" s="58" t="str">
        <x:v>1C25TUV/00007039</x:v>
      </x:c>
      <x:c r="H237" s="66" t="str">
        <x:v>0318951134</x:v>
      </x:c>
      <x:c r="I237" s="58" t="str">
        <x:v> Bang_ke_chi_tiet_hoa_don_da_su_dung_20261009_150742.xlsx | dòng 20061</x:v>
      </x:c>
      <x:c r="J237" s="58" t="str">
        <x:v>Giữ nguyên tất cả hóa đơn liên quan.</x:v>
      </x:c>
    </x:row>
    <x:row r="238" ht="84" customHeight="1">
      <x:c r="A238" s="57" t="n">
        <x:v>231</x:v>
      </x:c>
      <x:c r="B238" s="57" t="str">
        <x:v>1C25TUV/00007340</x:v>
      </x:c>
      <x:c r="C238" s="59" t="d">
        <x:v>2025-06-21T00:00:00.000Z</x:v>
      </x:c>
      <x:c r="D238" s="57" t="str">
        <x:v>Ngoại lệ đã tách</x:v>
      </x:c>
      <x:c r="E238" s="57" t="str">
        <x:v>1C25TUV/00007340 – 21/06/2025</x:v>
      </x:c>
      <x:c r="F238" s="57" t="str">
        <x:v>Công Ty Cổ Phần Quảng Cáo và Thương Mại Gsolution</x:v>
      </x:c>
      <x:c r="G238" s="57" t="str">
        <x:v>1C25TUV/00007340</x:v>
      </x:c>
      <x:c r="H238" s="65" t="str">
        <x:v>0311950572</x:v>
      </x:c>
      <x:c r="I238" s="57" t="str">
        <x:v> Bang_ke_chi_tiet_hoa_don_da_su_dung_20261009_150742.xlsx | dòng 20368</x:v>
      </x:c>
      <x:c r="J238" s="57" t="str">
        <x:v>Giữ nguyên tất cả hóa đơn liên quan.</x:v>
      </x:c>
    </x:row>
    <x:row r="239" ht="84" customHeight="1">
      <x:c r="A239" s="58" t="n">
        <x:v>232</x:v>
      </x:c>
      <x:c r="B239" s="58" t="str">
        <x:v>1C25TUV/00007602</x:v>
      </x:c>
      <x:c r="C239" s="60" t="d">
        <x:v>2025-06-22T00:00:00.000Z</x:v>
      </x:c>
      <x:c r="D239" s="58" t="str">
        <x:v>Ngoại lệ đã tách</x:v>
      </x:c>
      <x:c r="E239" s="58" t="str">
        <x:v>1C25TUV/00007602 – 22/06/2025</x:v>
      </x:c>
      <x:c r="F239" s="58" t="str">
        <x:v>CÔNG TY CỔ PHẦN THƯƠNG MẠI DỊCH VỤ BÌNH THUẬN XANH</x:v>
      </x:c>
      <x:c r="G239" s="58" t="str">
        <x:v>1C25TUV/00007602</x:v>
      </x:c>
      <x:c r="H239" s="66" t="str">
        <x:v>3401257047</x:v>
      </x:c>
      <x:c r="I239" s="58" t="str">
        <x:v> Bang_ke_chi_tiet_hoa_don_da_su_dung_20261009_150742.xlsx | dòng 20638</x:v>
      </x:c>
      <x:c r="J239" s="58" t="str">
        <x:v>Giữ nguyên tất cả hóa đơn liên quan.</x:v>
      </x:c>
    </x:row>
    <x:row r="240" ht="84" customHeight="1">
      <x:c r="A240" s="57" t="n">
        <x:v>233</x:v>
      </x:c>
      <x:c r="B240" s="57" t="str">
        <x:v>1C25TUV/00007875</x:v>
      </x:c>
      <x:c r="C240" s="59" t="d">
        <x:v>2025-06-23T00:00:00.000Z</x:v>
      </x:c>
      <x:c r="D240" s="57" t="str">
        <x:v>Ngoại lệ đã tách</x:v>
      </x:c>
      <x:c r="E240" s="57" t="str">
        <x:v>1C25TUV/00007875 – 23/06/2025</x:v>
      </x:c>
      <x:c r="F240" s="57" t="str">
        <x:v>CÔNG TY TNHH SẢN XUẤT VÀ ĐẦU TƯ AKIA</x:v>
      </x:c>
      <x:c r="G240" s="57" t="str">
        <x:v>1C25TUV/00007875</x:v>
      </x:c>
      <x:c r="H240" s="65" t="str">
        <x:v>0315793560</x:v>
      </x:c>
      <x:c r="I240" s="57" t="str">
        <x:v> Bang_ke_chi_tiet_hoa_don_da_su_dung_20261009_150742.xlsx | dòng 20917</x:v>
      </x:c>
      <x:c r="J240" s="57" t="str">
        <x:v>Giữ nguyên tất cả hóa đơn liên quan.</x:v>
      </x:c>
    </x:row>
    <x:row r="241" ht="84" customHeight="1">
      <x:c r="A241" s="58" t="n">
        <x:v>234</x:v>
      </x:c>
      <x:c r="B241" s="58" t="str">
        <x:v>1C25TUV/00007876</x:v>
      </x:c>
      <x:c r="C241" s="60" t="d">
        <x:v>2025-06-23T00:00:00.000Z</x:v>
      </x:c>
      <x:c r="D241" s="58" t="str">
        <x:v>Ngoại lệ đã tách</x:v>
      </x:c>
      <x:c r="E241" s="58" t="str">
        <x:v>1C25TUV/00007876 – 23/06/2025</x:v>
      </x:c>
      <x:c r="F241" s="58" t="str">
        <x:v>CÔNG TY CỔ PHẦN ĐẦU TƯ NUWA HOLDING</x:v>
      </x:c>
      <x:c r="G241" s="58" t="str">
        <x:v>1C25TUV/00007876</x:v>
      </x:c>
      <x:c r="H241" s="66" t="str">
        <x:v>0110888243</x:v>
      </x:c>
      <x:c r="I241" s="58" t="str">
        <x:v> Bang_ke_chi_tiet_hoa_don_da_su_dung_20261009_150742.xlsx | dòng 20921</x:v>
      </x:c>
      <x:c r="J241" s="58" t="str">
        <x:v>Giữ nguyên tất cả hóa đơn liên quan.</x:v>
      </x:c>
    </x:row>
    <x:row r="242" ht="84" customHeight="1">
      <x:c r="A242" s="57" t="n">
        <x:v>235</x:v>
      </x:c>
      <x:c r="B242" s="57" t="str">
        <x:v>1C25TUV/00008384</x:v>
      </x:c>
      <x:c r="C242" s="59" t="d">
        <x:v>2025-06-25T00:00:00.000Z</x:v>
      </x:c>
      <x:c r="D242" s="57" t="str">
        <x:v>Ngoại lệ đã tách</x:v>
      </x:c>
      <x:c r="E242" s="57" t="str">
        <x:v>1C25TUV/00008384 – 25/06/2025</x:v>
      </x:c>
      <x:c r="F242" s="57" t="str">
        <x:v>CÔNG TY TNHH SẢN XUẤT VÀ ĐẦU TƯ AKIA</x:v>
      </x:c>
      <x:c r="G242" s="57" t="str">
        <x:v>1C25TUV/00008384</x:v>
      </x:c>
      <x:c r="H242" s="65" t="str">
        <x:v>0315793560</x:v>
      </x:c>
      <x:c r="I242" s="57" t="str">
        <x:v> Bang_ke_chi_tiet_hoa_don_da_su_dung_20261009_150742.xlsx | dòng 21439</x:v>
      </x:c>
      <x:c r="J242" s="57" t="str">
        <x:v>Giữ nguyên tất cả hóa đơn liên quan.</x:v>
      </x:c>
    </x:row>
    <x:row r="243" ht="84" customHeight="1">
      <x:c r="A243" s="58" t="n">
        <x:v>236</x:v>
      </x:c>
      <x:c r="B243" s="58" t="str">
        <x:v>1C25TUV/00008387</x:v>
      </x:c>
      <x:c r="C243" s="60" t="d">
        <x:v>2025-06-25T00:00:00.000Z</x:v>
      </x:c>
      <x:c r="D243" s="58" t="str">
        <x:v>Ngoại lệ đã tách</x:v>
      </x:c>
      <x:c r="E243" s="58" t="str">
        <x:v>1C25TUV/00008387 – 25/06/2025</x:v>
      </x:c>
      <x:c r="F243" s="58" t="str">
        <x:v>CÔNG TY TNHH THƯƠNG MẠI DỊCH VỤ CHÁNH VINH</x:v>
      </x:c>
      <x:c r="G243" s="58" t="str">
        <x:v>1C25TUV/00008387</x:v>
      </x:c>
      <x:c r="H243" s="66" t="str">
        <x:v>0318951134</x:v>
      </x:c>
      <x:c r="I243" s="58" t="str">
        <x:v> Bang_ke_chi_tiet_hoa_don_da_su_dung_20261009_150742.xlsx | dòng 21445</x:v>
      </x:c>
      <x:c r="J243" s="58" t="str">
        <x:v>Giữ nguyên tất cả hóa đơn liên quan.</x:v>
      </x:c>
    </x:row>
    <x:row r="244" ht="84" customHeight="1">
      <x:c r="A244" s="57" t="n">
        <x:v>237</x:v>
      </x:c>
      <x:c r="B244" s="57" t="str">
        <x:v>1C25TUV/00008388</x:v>
      </x:c>
      <x:c r="C244" s="59" t="d">
        <x:v>2025-06-25T00:00:00.000Z</x:v>
      </x:c>
      <x:c r="D244" s="57" t="str">
        <x:v>Ngoại lệ đã tách</x:v>
      </x:c>
      <x:c r="E244" s="57" t="str">
        <x:v>1C25TUV/00008388 – 25/06/2025</x:v>
      </x:c>
      <x:c r="F244" s="57" t="str">
        <x:v>CÔNG TY TNHH NHÀ HÀNG CHEER HOUSE</x:v>
      </x:c>
      <x:c r="G244" s="57" t="str">
        <x:v>1C25TUV/00008388</x:v>
      </x:c>
      <x:c r="H244" s="65" t="str">
        <x:v>0314116679</x:v>
      </x:c>
      <x:c r="I244" s="57" t="str">
        <x:v> Bang_ke_chi_tiet_hoa_don_da_su_dung_20261009_150742.xlsx | dòng 21446</x:v>
      </x:c>
      <x:c r="J244" s="57" t="str">
        <x:v>Giữ nguyên tất cả hóa đơn liên quan.</x:v>
      </x:c>
    </x:row>
    <x:row r="245" ht="84" customHeight="1">
      <x:c r="A245" s="58" t="n">
        <x:v>238</x:v>
      </x:c>
      <x:c r="B245" s="58" t="str">
        <x:v>1C25TUV/00008406</x:v>
      </x:c>
      <x:c r="C245" s="60" t="d">
        <x:v>2025-06-25T00:00:00.000Z</x:v>
      </x:c>
      <x:c r="D245" s="58" t="str">
        <x:v>Ngoại lệ đã tách</x:v>
      </x:c>
      <x:c r="E245" s="58" t="str">
        <x:v>1C25TUV/00008406 – 25/06/2025</x:v>
      </x:c>
      <x:c r="F245" s="58" t="str">
        <x:v>CÔNG TY TNHH CÔNG NGHỆ THÔNG TIN C.S.C</x:v>
      </x:c>
      <x:c r="G245" s="58" t="str">
        <x:v>1C25TUV/00008406</x:v>
      </x:c>
      <x:c r="H245" s="66" t="str">
        <x:v>3502168266</x:v>
      </x:c>
      <x:c r="I245" s="58" t="str">
        <x:v> Bang_ke_chi_tiet_hoa_don_da_su_dung_20261009_150742.xlsx | dòng 21484</x:v>
      </x:c>
      <x:c r="J245" s="58" t="str">
        <x:v>Giữ nguyên tất cả hóa đơn liên quan.</x:v>
      </x:c>
    </x:row>
    <x:row r="246" ht="84" customHeight="1">
      <x:c r="A246" s="57" t="n">
        <x:v>239</x:v>
      </x:c>
      <x:c r="B246" s="57" t="str">
        <x:v>1C25TUV/00008586</x:v>
      </x:c>
      <x:c r="C246" s="59" t="d">
        <x:v>2025-06-26T00:00:00.000Z</x:v>
      </x:c>
      <x:c r="D246" s="57" t="str">
        <x:v>Ngoại lệ đã tách</x:v>
      </x:c>
      <x:c r="E246" s="57" t="str">
        <x:v>1C25TUV/00008586 – 26/06/2025</x:v>
      </x:c>
      <x:c r="F246" s="57" t="str">
        <x:v>CÔNG TY TNHH LUX PRO</x:v>
      </x:c>
      <x:c r="G246" s="57" t="str">
        <x:v>1C25TUV/00008586</x:v>
      </x:c>
      <x:c r="H246" s="65" t="str">
        <x:v>3703336591</x:v>
      </x:c>
      <x:c r="I246" s="57" t="str">
        <x:v> Bang_ke_chi_tiet_hoa_don_da_su_dung_20261009_150742.xlsx | dòng 21672</x:v>
      </x:c>
      <x:c r="J246" s="57" t="str">
        <x:v>Giữ nguyên tất cả hóa đơn liên quan.</x:v>
      </x:c>
    </x:row>
    <x:row r="247" ht="84" customHeight="1">
      <x:c r="A247" s="58" t="n">
        <x:v>240</x:v>
      </x:c>
      <x:c r="B247" s="58" t="str">
        <x:v>1C25TUV/00008769</x:v>
      </x:c>
      <x:c r="C247" s="60" t="d">
        <x:v>2025-06-27T00:00:00.000Z</x:v>
      </x:c>
      <x:c r="D247" s="58" t="str">
        <x:v>Ngoại lệ đã tách</x:v>
      </x:c>
      <x:c r="E247" s="58" t="str">
        <x:v>1C25TUV/00008769 – 27/06/2025</x:v>
      </x:c>
      <x:c r="F247" s="58" t="str">
        <x:v>CÔNG TY TNHH SẢN XUẤT VÀ ĐẦU TƯ AKIA</x:v>
      </x:c>
      <x:c r="G247" s="58" t="str">
        <x:v>1C25TUV/00008769</x:v>
      </x:c>
      <x:c r="H247" s="66" t="str">
        <x:v>0315793560</x:v>
      </x:c>
      <x:c r="I247" s="58" t="str">
        <x:v> Bang_ke_chi_tiet_hoa_don_da_su_dung_20261009_150742.xlsx | dòng 21885</x:v>
      </x:c>
      <x:c r="J247" s="58" t="str">
        <x:v>Giữ nguyên tất cả hóa đơn liên quan.</x:v>
      </x:c>
    </x:row>
    <x:row r="248" ht="84" customHeight="1">
      <x:c r="A248" s="57" t="n">
        <x:v>241</x:v>
      </x:c>
      <x:c r="B248" s="57" t="str">
        <x:v>1C25TUV/00008770</x:v>
      </x:c>
      <x:c r="C248" s="59" t="d">
        <x:v>2025-06-27T00:00:00.000Z</x:v>
      </x:c>
      <x:c r="D248" s="57" t="str">
        <x:v>Ngoại lệ đã tách</x:v>
      </x:c>
      <x:c r="E248" s="57" t="str">
        <x:v>1C25TUV/00008770 – 27/06/2025</x:v>
      </x:c>
      <x:c r="F248" s="57" t="str">
        <x:v>CÔNG TY TNHH MTV ĐẦU TƯ PHÁT TRIỂN THE ONE</x:v>
      </x:c>
      <x:c r="G248" s="57" t="str">
        <x:v>1C25TUV/00008770</x:v>
      </x:c>
      <x:c r="H248" s="65" t="str">
        <x:v>4500653879</x:v>
      </x:c>
      <x:c r="I248" s="57" t="str">
        <x:v> Bang_ke_chi_tiet_hoa_don_da_su_dung_20261009_150742.xlsx | dòng 21886</x:v>
      </x:c>
      <x:c r="J248" s="57" t="str">
        <x:v>Giữ nguyên tất cả hóa đơn liên quan.</x:v>
      </x:c>
    </x:row>
    <x:row r="249" ht="84" customHeight="1">
      <x:c r="A249" s="58" t="n">
        <x:v>242</x:v>
      </x:c>
      <x:c r="B249" s="58" t="str">
        <x:v>1C25TUV/00008988</x:v>
      </x:c>
      <x:c r="C249" s="60" t="d">
        <x:v>2025-06-28T00:00:00.000Z</x:v>
      </x:c>
      <x:c r="D249" s="58" t="str">
        <x:v>Ngoại lệ đã tách</x:v>
      </x:c>
      <x:c r="E249" s="58" t="str">
        <x:v>1C25TUV/00008988 – 28/06/2025</x:v>
      </x:c>
      <x:c r="F249" s="58" t="str">
        <x:v>CÔNG TY TNHH SẢN XUẤT VÀ ĐẦU TƯ AKIA</x:v>
      </x:c>
      <x:c r="G249" s="58" t="str">
        <x:v>1C25TUV/00008988</x:v>
      </x:c>
      <x:c r="H249" s="66" t="str">
        <x:v>0315793560</x:v>
      </x:c>
      <x:c r="I249" s="58" t="str">
        <x:v> Bang_ke_chi_tiet_hoa_don_da_su_dung_20261009_150742.xlsx | dòng 22130</x:v>
      </x:c>
      <x:c r="J249" s="58" t="str">
        <x:v>Giữ nguyên tất cả hóa đơn liên quan.</x:v>
      </x:c>
    </x:row>
    <x:row r="250" ht="84" customHeight="1">
      <x:c r="A250" s="57" t="n">
        <x:v>243</x:v>
      </x:c>
      <x:c r="B250" s="57" t="str">
        <x:v>1C25TUV/00008989</x:v>
      </x:c>
      <x:c r="C250" s="59" t="d">
        <x:v>2025-06-28T00:00:00.000Z</x:v>
      </x:c>
      <x:c r="D250" s="57" t="str">
        <x:v>Ngoại lệ đã tách</x:v>
      </x:c>
      <x:c r="E250" s="57" t="str">
        <x:v>1C25TUV/00008989 – 28/06/2025</x:v>
      </x:c>
      <x:c r="F250" s="57" t="str">
        <x:v>CÔNG TY TNHH SẢN XUẤT VÀ ĐẦU TƯ AKIA</x:v>
      </x:c>
      <x:c r="G250" s="57" t="str">
        <x:v>1C25TUV/00008989</x:v>
      </x:c>
      <x:c r="H250" s="65" t="str">
        <x:v>0315793560</x:v>
      </x:c>
      <x:c r="I250" s="57" t="str">
        <x:v> Bang_ke_chi_tiet_hoa_don_da_su_dung_20261009_150742.xlsx | dòng 22133</x:v>
      </x:c>
      <x:c r="J250" s="57" t="str">
        <x:v>Giữ nguyên tất cả hóa đơn liên quan.</x:v>
      </x:c>
    </x:row>
    <x:row r="251" ht="84" customHeight="1">
      <x:c r="A251" s="58" t="n">
        <x:v>244</x:v>
      </x:c>
      <x:c r="B251" s="58" t="str">
        <x:v>1C25TUV/00009455</x:v>
      </x:c>
      <x:c r="C251" s="60" t="d">
        <x:v>2025-06-30T00:00:00.000Z</x:v>
      </x:c>
      <x:c r="D251" s="58" t="str">
        <x:v>Ngoại lệ đã tách</x:v>
      </x:c>
      <x:c r="E251" s="58" t="str">
        <x:v>1C25TUV/00009455 – 30/06/2025</x:v>
      </x:c>
      <x:c r="F251" s="58" t="str">
        <x:v>CÔNG TY TNHH SẢN XUẤT VÀ ĐẦU TƯ AKIA</x:v>
      </x:c>
      <x:c r="G251" s="58" t="str">
        <x:v>1C25TUV/00009455</x:v>
      </x:c>
      <x:c r="H251" s="66" t="str">
        <x:v>0315793560</x:v>
      </x:c>
      <x:c r="I251" s="58" t="str">
        <x:v> Bang_ke_chi_tiet_hoa_don_da_su_dung_20261009_150742.xlsx | dòng 22857</x:v>
      </x:c>
      <x:c r="J251" s="58" t="str">
        <x:v>Giữ nguyên tất cả hóa đơn liên quan.</x:v>
      </x:c>
    </x:row>
  </x:sheetData>
  <x:pageMargins left="0.7" right="0.7" top="0.75" bottom="0.75" header="0.3" footer="0.3"/>
  <x:tableParts count="1">
    <x:tablePart xmlns:r="http://schemas.openxmlformats.org/officeDocument/2006/relationships" r:id="R7e16b6446bf24834"/>
  </x:tableParts>
</x:worksheet>
</file>