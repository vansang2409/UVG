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d0e83e62604af7" /></Relationships>
</file>

<file path=xl/workbook.xml><?xml version="1.0" encoding="utf-8"?>
<x:workbook xmlns:x="http://schemas.openxmlformats.org/spreadsheetml/2006/main">
  <x:sheets>
    <x:sheet xmlns:r="http://schemas.openxmlformats.org/officeDocument/2006/relationships" name="Tong hop" sheetId="1" r:id="R8fbbf2276dfb40a6"/>
    <x:sheet xmlns:r="http://schemas.openxmlformats.org/officeDocument/2006/relationships" name="Lech tien" sheetId="2" r:id="Rabaa3b19a3d04c91"/>
    <x:sheet xmlns:r="http://schemas.openxmlformats.org/officeDocument/2006/relationships" name="So luong can kiem" sheetId="3" r:id="Rad26b85e747b4200"/>
    <x:sheet xmlns:r="http://schemas.openxmlformats.org/officeDocument/2006/relationships" name="Thanh toan trong" sheetId="4" r:id="R1f04741bf0f245d5"/>
    <x:sheet xmlns:r="http://schemas.openxmlformats.org/officeDocument/2006/relationships" name="Hang va mo ta" sheetId="5" r:id="R55c5408d39424461"/>
    <x:sheet xmlns:r="http://schemas.openxmlformats.org/officeDocument/2006/relationships" name="Cach ghi dieu chinh" sheetId="6" r:id="Rbfadd9c1af9848bc"/>
    <x:sheet xmlns:r="http://schemas.openxmlformats.org/officeDocument/2006/relationships" name="Da co can cu" sheetId="7" r:id="R961295453ff94beb"/>
    <x:sheet xmlns:r="http://schemas.openxmlformats.org/officeDocument/2006/relationships" name="Hoa don lien quan" sheetId="8" r:id="R87191cfdcc69462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dd/mm/yyyy"/>
    <x:numFmt numFmtId="201" formatCode="@"/>
    <x:numFmt numFmtId="202" formatCode="#,##0;[Red](#,##0);0"/>
    <x:numFmt numFmtId="203" formatCode="0"/>
  </x:numFmts>
  <x:fonts count="7">
    <x:font>
      <x:sz val="11"/>
      <x:name val="Carlito"/>
    </x:font>
    <x:font>
      <x:sz val="10"/>
      <x:color rgb="FF172B4D"/>
      <x:name val="Arial"/>
    </x:font>
    <x:font>
      <x:b/>
      <x:sz val="14"/>
      <x:color rgb="FF23374D"/>
      <x:name val="Arial"/>
    </x:font>
    <x:font>
      <x:sz val="10"/>
      <x:color rgb="FF52606D"/>
      <x:name val="Arial"/>
    </x:font>
    <x:font>
      <x:b/>
      <x:sz val="10"/>
      <x:color rgb="FFFFFFFF"/>
      <x:name val="Arial"/>
    </x:font>
    <x:font>
      <x:sz val="10"/>
      <x:color rgb="FF1D4ED8"/>
      <x:name val="Arial"/>
    </x:font>
    <x:font>
      <x:b/>
      <x:sz val="10"/>
      <x:color rgb="FF172B4D"/>
      <x:name val="Arial"/>
    </x:font>
  </x:fonts>
  <x:fills count="7">
    <x:fill>
      <x:patternFill patternType="none"/>
    </x:fill>
    <x:fill>
      <x:patternFill patternType="gray125"/>
    </x:fill>
    <x:fill>
      <x:patternFill patternType="solid">
        <x:fgColor rgb="FF23374D"/>
      </x:patternFill>
    </x:fill>
    <x:fill>
      <x:patternFill patternType="solid">
        <x:fgColor rgb="FFF3F6FA"/>
      </x:patternFill>
    </x:fill>
    <x:fill>
      <x:patternFill patternType="solid">
        <x:fgColor rgb="FF806525"/>
      </x:patternFill>
    </x:fill>
    <x:fill>
      <x:patternFill patternType="solid">
        <x:fgColor rgb="FFFFF4CC"/>
      </x:patternFill>
    </x:fill>
    <x:fill>
      <x:patternFill patternType="solid">
        <x:fgColor rgb="FFE5EDF4"/>
      </x:patternFill>
    </x:fill>
  </x:fills>
  <x:borders count="5">
    <x:border>
      <x:left/>
      <x:right/>
      <x:top/>
      <x:bottom/>
      <x:diagonal/>
    </x:border>
    <x:border>
      <x:left/>
      <x:right/>
      <x:top/>
      <x:bottom style="thin">
        <x:color rgb="FF23374D"/>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4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2" fontId="1" fillId="0" borderId="0" xfId="0" applyNumberFormat="1" applyFont="1" applyFill="1" applyBorder="1" applyAlignment="1">
      <x:alignment horizontal="right" vertical="top" wrapText="1"/>
    </x:xf>
    <x:xf numFmtId="202" fontId="1" fillId="3" borderId="0" xfId="0" applyNumberFormat="1" applyFont="1" applyFill="1" applyBorder="1" applyAlignment="1">
      <x:alignment horizontal="right" vertical="top" wrapText="1"/>
    </x:xf>
    <x:xf numFmtId="0" fontId="4" fillId="4" borderId="3" xfId="0" applyNumberFormat="1" applyFont="1" applyFill="1" applyBorder="1" applyAlignment="1">
      <x:alignment horizontal="center" vertical="center" wrapText="1"/>
    </x:xf>
    <x:xf numFmtId="0" fontId="1"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200" fontId="5" fillId="5" borderId="0" xfId="0" applyNumberFormat="1" applyFont="1" applyFill="1" applyBorder="1" applyAlignment="1">
      <x:alignment vertical="top" wrapText="1"/>
    </x:xf>
    <x:xf numFmtId="0" fontId="1" fillId="6" borderId="0" xfId="0" applyNumberFormat="1" applyFont="1" applyFill="1" applyBorder="1" applyAlignment="1">
      <x:alignment vertical="center"/>
    </x:xf>
    <x:xf numFmtId="0" fontId="6" fillId="6" borderId="0" xfId="0" applyNumberFormat="1" applyFont="1" applyFill="1" applyBorder="1" applyAlignment="1">
      <x:alignment vertical="center"/>
    </x:xf>
    <x:xf numFmtId="203" fontId="1" fillId="0"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3" fontId="1" fillId="0" borderId="0" xfId="0" applyNumberFormat="1" applyFont="1" applyFill="1" applyBorder="1" applyAlignment="1">
      <x:alignment vertical="center"/>
    </x:xf>
    <x:xf numFmtId="203" fontId="6" fillId="6" borderId="0" xfId="0" applyNumberFormat="1" applyFont="1" applyFill="1" applyBorder="1" applyAlignment="1">
      <x:alignment vertical="center"/>
    </x:xf>
    <x:xf numFmtId="0" fontId="6" fillId="0" borderId="0" xfId="0" applyNumberFormat="1" applyFont="1" applyFill="1" applyBorder="1" applyAlignment="1">
      <x:alignment vertical="center"/>
    </x:xf>
  </x:cellXfs>
  <x:cellStyles count="1">
    <x:cellStyle name="Normal" xfId="0"/>
  </x:cellStyles>
  <x:dxfs count="6">
    <x:dxf>
      <x:font>
        <x:b/>
        <x:color rgb="FF9C2424"/>
      </x:font>
      <x:fill>
        <x:patternFill patternType="solid">
          <x:bgColor rgb="FFFDE7E7"/>
        </x:patternFill>
      </x:fill>
    </x:dxf>
    <x:dxf>
      <x:font>
        <x:color rgb="FF9C2424"/>
      </x:font>
      <x:fill>
        <x:patternFill patternType="solid">
          <x:bgColor rgb="FFFDE7E7"/>
        </x:patternFill>
      </x:fill>
    </x:dxf>
    <x:dxf>
      <x:font>
        <x:color rgb="FF9C2424"/>
      </x:font>
      <x:fill>
        <x:patternFill patternType="solid">
          <x:bgColor rgb="FFFDE7E7"/>
        </x:patternFill>
      </x:fill>
    </x:dxf>
    <x:dxf>
      <x:font>
        <x:color rgb="FF9C2424"/>
      </x:font>
      <x:fill>
        <x:patternFill patternType="solid">
          <x:bgColor rgb="FFFDE7E7"/>
        </x:patternFill>
      </x:fill>
    </x:dxf>
    <x:dxf>
      <x:font>
        <x:color rgb="FF9C2424"/>
      </x:font>
      <x:fill>
        <x:patternFill patternType="solid">
          <x:bgColor rgb="FFFDE7E7"/>
        </x:patternFill>
      </x:fill>
    </x:dxf>
    <x:dxf>
      <x:font>
        <x:color rgb="FF9C2424"/>
      </x:font>
      <x:fill>
        <x:patternFill patternType="solid">
          <x:bgColor rgb="FFFDE7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6de6af3b6940b6" /><Relationship Type="http://schemas.openxmlformats.org/officeDocument/2006/relationships/theme" Target="/xl/theme/theme1.xml" Id="R8241b1443dd54f2f" /><Relationship Type="http://schemas.openxmlformats.org/officeDocument/2006/relationships/sharedStrings" Target="/xl/sharedStrings.xml" Id="R006264e42da34c5e" /><Relationship Type="http://schemas.openxmlformats.org/officeDocument/2006/relationships/worksheet" Target="/xl/worksheets/sheet1.xml" Id="R8fbbf2276dfb40a6" /><Relationship Type="http://schemas.openxmlformats.org/officeDocument/2006/relationships/worksheet" Target="/xl/worksheets/sheet2.xml" Id="Rabaa3b19a3d04c91" /><Relationship Type="http://schemas.openxmlformats.org/officeDocument/2006/relationships/worksheet" Target="/xl/worksheets/sheet3.xml" Id="Rad26b85e747b4200" /><Relationship Type="http://schemas.openxmlformats.org/officeDocument/2006/relationships/worksheet" Target="/xl/worksheets/sheet4.xml" Id="R1f04741bf0f245d5" /><Relationship Type="http://schemas.openxmlformats.org/officeDocument/2006/relationships/worksheet" Target="/xl/worksheets/sheet5.xml" Id="R55c5408d39424461" /><Relationship Type="http://schemas.openxmlformats.org/officeDocument/2006/relationships/worksheet" Target="/xl/worksheets/sheet6.xml" Id="Rbfadd9c1af9848bc" /><Relationship Type="http://schemas.openxmlformats.org/officeDocument/2006/relationships/worksheet" Target="/xl/worksheets/sheet7.xml" Id="R961295453ff94beb" /><Relationship Type="http://schemas.openxmlformats.org/officeDocument/2006/relationships/worksheet" Target="/xl/worksheets/sheet8.xml" Id="R87191cfdcc694628" /></Relationships>
</file>

<file path=xl/tables/table1.xml><?xml version="1.0" encoding="utf-8"?>
<x:table xmlns:x="http://schemas.openxmlformats.org/spreadsheetml/2006/main" id="6" name="ReviewSummary" displayName="ReviewSummary" ref="A7:G12" headerRowCount="1" totalsRowCount="0" totalsRowShown="0">
  <x:autoFilter ref="A7:G12"/>
  <x:tableColumns count="7">
    <x:tableColumn id="1" name="Nhóm vấn đề"/>
    <x:tableColumn id="2" name="Sheet chi tiết"/>
    <x:tableColumn id="3" name="Hồ sơ"/>
    <x:tableColumn id="4" name="Chưa phản hồi"/>
    <x:tableColumn id="5" name="Cần bổ sung"/>
    <x:tableColumn id="6" name="Đủ trường phản hồi"/>
    <x:tableColumn id="7" name="Việc cần kế toán chốt"/>
  </x:tableColumns>
  <x:tableStyleInfo name="TableStyleLight1" showFirstColumn="0" showLastColumn="0" showRowStripes="1" showColumnStripes="0"/>
</x:table>
</file>

<file path=xl/tables/table2.xml><?xml version="1.0" encoding="utf-8"?>
<x:table xmlns:x="http://schemas.openxmlformats.org/spreadsheetml/2006/main" id="1" name="ReviewLT" displayName="ReviewLT" ref="A7:R15" headerRowCount="1" totalsRowCount="0" totalsRowShown="0">
  <x:autoFilter ref="A7:R15"/>
  <x:tableColumns count="18">
    <x:tableColumn id="1" name="Mã hồ sơ"/>
    <x:tableColumn id="2" name="Hóa đơn gốc"/>
    <x:tableColumn id="3" name="Ngày gốc"/>
    <x:tableColumn id="4" name="HĐ điều chỉnh liên quan"/>
    <x:tableColumn id="5" name="Ngày điều chỉnh"/>
    <x:tableColumn id="6" name="Tiền hàng XML (đ)"/>
    <x:tableColumn id="7" name="Thuế XML (đ)"/>
    <x:tableColumn id="8" name="Thanh toán XML (đ)"/>
    <x:tableColumn id="9" name="Hàng + thuế − thanh toán (đ)"/>
    <x:tableColumn id="10" name="Ghi nhận cần kiểm tra"/>
    <x:tableColumn id="11" name="Câu hỏi cần kế toán kết luận"/>
    <x:tableColumn id="12" name="Nguyên nhân (KT điền)"/>
    <x:tableColumn id="13" name="Hướng xử lý (KT điền)"/>
    <x:tableColumn id="14" name="Số liệu/nội dung đúng (KT điền)"/>
    <x:tableColumn id="15" name="Căn cứ/chứng từ (KT điền)"/>
    <x:tableColumn id="16" name="Người phản hồi"/>
    <x:tableColumn id="17" name="Ngày phản hồi"/>
    <x:tableColumn id="18" name="Theo dõi phản hồi"/>
  </x:tableColumns>
  <x:tableStyleInfo name="TableStyleLight1" showFirstColumn="0" showLastColumn="0" showRowStripes="1" showColumnStripes="0"/>
</x:table>
</file>

<file path=xl/tables/table3.xml><?xml version="1.0" encoding="utf-8"?>
<x:table xmlns:x="http://schemas.openxmlformats.org/spreadsheetml/2006/main" id="2" name="ReviewSL" displayName="ReviewSL" ref="A7:N15" headerRowCount="1" totalsRowCount="0" totalsRowShown="0">
  <x:autoFilter ref="A7:N15"/>
  <x:tableColumns count="14">
    <x:tableColumn id="1" name="Mã hồ sơ"/>
    <x:tableColumn id="2" name="Hóa đơn gốc"/>
    <x:tableColumn id="3" name="Ngày gốc"/>
    <x:tableColumn id="4" name="HĐ điều chỉnh liên quan"/>
    <x:tableColumn id="5" name="Ngày điều chỉnh"/>
    <x:tableColumn id="6" name="Ghi nhận cần kiểm tra"/>
    <x:tableColumn id="7" name="Câu hỏi cần kế toán kết luận"/>
    <x:tableColumn id="8" name="Nguyên nhân (KT điền)"/>
    <x:tableColumn id="9" name="Hướng xử lý (KT điền)"/>
    <x:tableColumn id="10" name="Số liệu/nội dung đúng (KT điền)"/>
    <x:tableColumn id="11" name="Căn cứ/chứng từ (KT điền)"/>
    <x:tableColumn id="12" name="Người phản hồi"/>
    <x:tableColumn id="13" name="Ngày phản hồi"/>
    <x:tableColumn id="14" name="Theo dõi phản hồi"/>
  </x:tableColumns>
  <x:tableStyleInfo name="TableStyleLight1" showFirstColumn="0" showLastColumn="0" showRowStripes="1" showColumnStripes="0"/>
</x:table>
</file>

<file path=xl/tables/table4.xml><?xml version="1.0" encoding="utf-8"?>
<x:table xmlns:x="http://schemas.openxmlformats.org/spreadsheetml/2006/main" id="3" name="ReviewTT" displayName="ReviewTT" ref="A7:N9" headerRowCount="1" totalsRowCount="0" totalsRowShown="0">
  <x:autoFilter ref="A7:N9"/>
  <x:tableColumns count="14">
    <x:tableColumn id="1" name="Mã hồ sơ"/>
    <x:tableColumn id="2" name="Hóa đơn gốc"/>
    <x:tableColumn id="3" name="Ngày gốc"/>
    <x:tableColumn id="4" name="HĐ điều chỉnh liên quan"/>
    <x:tableColumn id="5" name="Ngày điều chỉnh"/>
    <x:tableColumn id="6" name="Ghi nhận cần kiểm tra"/>
    <x:tableColumn id="7" name="Câu hỏi cần kế toán kết luận"/>
    <x:tableColumn id="8" name="Nguyên nhân (KT điền)"/>
    <x:tableColumn id="9" name="Hướng xử lý (KT điền)"/>
    <x:tableColumn id="10" name="Số liệu/nội dung đúng (KT điền)"/>
    <x:tableColumn id="11" name="Căn cứ/chứng từ (KT điền)"/>
    <x:tableColumn id="12" name="Người phản hồi"/>
    <x:tableColumn id="13" name="Ngày phản hồi"/>
    <x:tableColumn id="14" name="Theo dõi phản hồi"/>
  </x:tableColumns>
  <x:tableStyleInfo name="TableStyleLight1" showFirstColumn="0" showLastColumn="0" showRowStripes="1" showColumnStripes="0"/>
</x:table>
</file>

<file path=xl/tables/table5.xml><?xml version="1.0" encoding="utf-8"?>
<x:table xmlns:x="http://schemas.openxmlformats.org/spreadsheetml/2006/main" id="4" name="ReviewHH" displayName="ReviewHH" ref="A7:N12" headerRowCount="1" totalsRowCount="0" totalsRowShown="0">
  <x:autoFilter ref="A7:N12"/>
  <x:tableColumns count="14">
    <x:tableColumn id="1" name="Mã hồ sơ"/>
    <x:tableColumn id="2" name="Hóa đơn gốc"/>
    <x:tableColumn id="3" name="Ngày gốc"/>
    <x:tableColumn id="4" name="HĐ điều chỉnh liên quan"/>
    <x:tableColumn id="5" name="Ngày điều chỉnh"/>
    <x:tableColumn id="6" name="Ghi nhận cần kiểm tra"/>
    <x:tableColumn id="7" name="Câu hỏi cần kế toán kết luận"/>
    <x:tableColumn id="8" name="Nguyên nhân (KT điền)"/>
    <x:tableColumn id="9" name="Hướng xử lý (KT điền)"/>
    <x:tableColumn id="10" name="Số liệu/nội dung đúng (KT điền)"/>
    <x:tableColumn id="11" name="Căn cứ/chứng từ (KT điền)"/>
    <x:tableColumn id="12" name="Người phản hồi"/>
    <x:tableColumn id="13" name="Ngày phản hồi"/>
    <x:tableColumn id="14" name="Theo dõi phản hồi"/>
  </x:tableColumns>
  <x:tableStyleInfo name="TableStyleLight1" showFirstColumn="0" showLastColumn="0" showRowStripes="1" showColumnStripes="0"/>
</x:table>
</file>

<file path=xl/tables/table6.xml><?xml version="1.0" encoding="utf-8"?>
<x:table xmlns:x="http://schemas.openxmlformats.org/spreadsheetml/2006/main" id="5" name="ReviewDC" displayName="ReviewDC" ref="A7:N13" headerRowCount="1" totalsRowCount="0" totalsRowShown="0">
  <x:autoFilter ref="A7:N13"/>
  <x:tableColumns count="14">
    <x:tableColumn id="1" name="Mã hồ sơ"/>
    <x:tableColumn id="2" name="Hóa đơn gốc"/>
    <x:tableColumn id="3" name="Ngày gốc"/>
    <x:tableColumn id="4" name="HĐ điều chỉnh liên quan"/>
    <x:tableColumn id="5" name="Ngày điều chỉnh"/>
    <x:tableColumn id="6" name="Ghi nhận cần kiểm tra"/>
    <x:tableColumn id="7" name="Câu hỏi cần kế toán kết luận"/>
    <x:tableColumn id="8" name="Nguyên nhân (KT điền)"/>
    <x:tableColumn id="9" name="Hướng xử lý (KT điền)"/>
    <x:tableColumn id="10" name="Số liệu/nội dung đúng (KT điền)"/>
    <x:tableColumn id="11" name="Căn cứ/chứng từ (KT điền)"/>
    <x:tableColumn id="12" name="Người phản hồi"/>
    <x:tableColumn id="13" name="Ngày phản hồi"/>
    <x:tableColumn id="14" name="Theo dõi phản hồi"/>
  </x:tableColumns>
  <x:tableStyleInfo name="TableStyleLight1" showFirstColumn="0" showLastColumn="0" showRowStripes="1" showColumnStripes="0"/>
</x:table>
</file>

<file path=xl/tables/table7.xml><?xml version="1.0" encoding="utf-8"?>
<x:table xmlns:x="http://schemas.openxmlformats.org/spreadsheetml/2006/main" id="7" name="KnownCases" displayName="KnownCases" ref="A7:G14" headerRowCount="1" totalsRowCount="0" totalsRowShown="0">
  <x:autoFilter ref="A7:G14"/>
  <x:tableColumns count="7">
    <x:tableColumn id="1" name="Mã hồ sơ"/>
    <x:tableColumn id="2" name="Hóa đơn gốc"/>
    <x:tableColumn id="3" name="Ngày gốc"/>
    <x:tableColumn id="4" name="HĐ điều chỉnh liên quan"/>
    <x:tableColumn id="5" name="Ngày điều chỉnh"/>
    <x:tableColumn id="6" name="Nội dung đã làm rõ"/>
    <x:tableColumn id="7" name="Việc chuẩn bị tiếp"/>
  </x:tableColumns>
  <x:tableStyleInfo name="TableStyleLight1" showFirstColumn="0" showLastColumn="0" showRowStripes="1" showColumnStripes="0"/>
</x:table>
</file>

<file path=xl/tables/table8.xml><?xml version="1.0" encoding="utf-8"?>
<x:table xmlns:x="http://schemas.openxmlformats.org/spreadsheetml/2006/main" id="8" name="InvoiceEvidence" displayName="InvoiceEvidence" ref="A7:P74" headerRowCount="1" totalsRowCount="0" totalsRowShown="0">
  <x:autoFilter ref="A7:P74"/>
  <x:tableColumns count="16">
    <x:tableColumn id="1" name="Mã hồ sơ"/>
    <x:tableColumn id="2" name="Phạm vi công việc"/>
    <x:tableColumn id="3" name="Vai trò"/>
    <x:tableColumn id="4" name="Ký hiệu"/>
    <x:tableColumn id="5" name="Số hóa đơn"/>
    <x:tableColumn id="6" name="Ngày hóa đơn"/>
    <x:tableColumn id="7" name="Tiền hàng bảng kê (đ)"/>
    <x:tableColumn id="8" name="Thuế bảng kê (đ)"/>
    <x:tableColumn id="9" name="Thanh toán bảng kê (đ)"/>
    <x:tableColumn id="10" name="Tiền hàng XML (đ)"/>
    <x:tableColumn id="11" name="Thuế XML (đ)"/>
    <x:tableColumn id="12" name="Thanh toán XML (đ)"/>
    <x:tableColumn id="13" name="Nội dung dòng/ghi chú cần đối chiếu"/>
    <x:tableColumn id="14" name="Nguồn bảng kê"/>
    <x:tableColumn id="15" name="File XML"/>
    <x:tableColumn id="16" name="Ghi chú độ phủ nguồ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7a8492e809c4f78" /></Relationships>
</file>

<file path=xl/worksheets/_rels/sheet2.xml.rels>&#65279;<?xml version="1.0" encoding="utf-8"?><Relationships xmlns="http://schemas.openxmlformats.org/package/2006/relationships"><Relationship Type="http://schemas.openxmlformats.org/officeDocument/2006/relationships/table" Target="/xl/tables/table2.xml" Id="Rbfcf1c80591e4273" /></Relationships>
</file>

<file path=xl/worksheets/_rels/sheet3.xml.rels>&#65279;<?xml version="1.0" encoding="utf-8"?><Relationships xmlns="http://schemas.openxmlformats.org/package/2006/relationships"><Relationship Type="http://schemas.openxmlformats.org/officeDocument/2006/relationships/table" Target="/xl/tables/table3.xml" Id="R9ce412a31e654847" /></Relationships>
</file>

<file path=xl/worksheets/_rels/sheet4.xml.rels>&#65279;<?xml version="1.0" encoding="utf-8"?><Relationships xmlns="http://schemas.openxmlformats.org/package/2006/relationships"><Relationship Type="http://schemas.openxmlformats.org/officeDocument/2006/relationships/table" Target="/xl/tables/table4.xml" Id="Rd57ff63cb032431c" /></Relationships>
</file>

<file path=xl/worksheets/_rels/sheet5.xml.rels>&#65279;<?xml version="1.0" encoding="utf-8"?><Relationships xmlns="http://schemas.openxmlformats.org/package/2006/relationships"><Relationship Type="http://schemas.openxmlformats.org/officeDocument/2006/relationships/table" Target="/xl/tables/table5.xml" Id="R8638ddee80b9444d" /></Relationships>
</file>

<file path=xl/worksheets/_rels/sheet6.xml.rels>&#65279;<?xml version="1.0" encoding="utf-8"?><Relationships xmlns="http://schemas.openxmlformats.org/package/2006/relationships"><Relationship Type="http://schemas.openxmlformats.org/officeDocument/2006/relationships/table" Target="/xl/tables/table6.xml" Id="R0505bceb501640c6" /></Relationships>
</file>

<file path=xl/worksheets/_rels/sheet7.xml.rels>&#65279;<?xml version="1.0" encoding="utf-8"?><Relationships xmlns="http://schemas.openxmlformats.org/package/2006/relationships"><Relationship Type="http://schemas.openxmlformats.org/officeDocument/2006/relationships/table" Target="/xl/tables/table7.xml" Id="R0b366061d3a8406b" /></Relationships>
</file>

<file path=xl/worksheets/_rels/sheet8.xml.rels>&#65279;<?xml version="1.0" encoding="utf-8"?><Relationships xmlns="http://schemas.openxmlformats.org/package/2006/relationships"><Relationship Type="http://schemas.openxmlformats.org/officeDocument/2006/relationships/table" Target="/xl/tables/table8.xml" Id="R0c61c36a6ef14cf1" /></Relationships>
</file>

<file path=xl/worksheets/sheet1.xml><?xml version="1.0" encoding="utf-8"?>
<x:worksheet xmlns:x="http://schemas.openxmlformats.org/spreadsheetml/2006/main">
  <x:sheetPr>
    <x:tabColor rgb="FF23374D"/>
  </x:sheetPr>
  <x:sheetViews>
    <x:sheetView showGridLines="0" workbookViewId="0"/>
  </x:sheetViews>
  <x:sheetFormatPr defaultRowHeight="15"/>
  <x:cols>
    <x:col min="1" max="1" width="43" hidden="0" customWidth="1"/>
    <x:col min="2" max="2" width="26" hidden="0" customWidth="1"/>
    <x:col min="3" max="3" width="12" hidden="0" customWidth="1"/>
    <x:col min="4" max="4" width="19" hidden="0" customWidth="1"/>
    <x:col min="5" max="5" width="19" hidden="0" customWidth="1"/>
    <x:col min="6" max="6" width="24" hidden="0" customWidth="1"/>
    <x:col min="7" max="7" width="70" hidden="0" customWidth="1"/>
  </x:cols>
  <x:sheetData>
    <x:row r="1">
      <x:c r="A1" s="2"/>
      <x:c r="B1" s="2"/>
      <x:c r="C1" s="2"/>
      <x:c r="D1" s="2"/>
      <x:c r="E1" s="2"/>
      <x:c r="F1" s="2"/>
      <x:c r="G1" s="2"/>
    </x:row>
    <x:row r="2" ht="27" customHeight="1">
      <x:c r="A2" s="3" t="str">
        <x:v>UVG – Hồ sơ cần kế toán làm rõ</x:v>
      </x:c>
      <x:c r="B2" s="2"/>
      <x:c r="C2" s="2"/>
      <x:c r="D2" s="2"/>
      <x:c r="E2" s="2"/>
      <x:c r="F2" s="2"/>
      <x:c r="G2" s="2"/>
    </x:row>
    <x:row r="3">
      <x:c r="A3" s="2" t="str">
        <x:v>Cập nhật</x:v>
      </x:c>
      <x:c r="B3" s="4" t="d">
        <x:v>2026-10-11T00:00:00.000Z</x:v>
      </x:c>
      <x:c r="C3" s="2"/>
      <x:c r="D3" s="2"/>
      <x:c r="E3" s="2"/>
      <x:c r="F3" s="2"/>
      <x:c r="G3" s="2"/>
    </x:row>
    <x:row r="4">
      <x:c r="A4" s="2" t="str">
        <x:v>Mỗi dòng là một hồ sơ/chuỗi. 29 hồ sơ cần phản hồi, liên quan 53 hóa đơn.</x:v>
      </x:c>
      <x:c r="B4" s="2"/>
      <x:c r="C4" s="2"/>
      <x:c r="D4" s="2"/>
      <x:c r="E4" s="2"/>
      <x:c r="F4" s="2"/>
      <x:c r="G4" s="2"/>
    </x:row>
    <x:row r="5">
      <x:c r="A5" s="2" t="str">
        <x:v>Đủ trường phản hồi nghĩa là đã điền 4 mục chính; chưa đồng nghĩa đã xử lý hoặc nhập hóa đơn.</x:v>
      </x:c>
      <x:c r="B5" s="2"/>
      <x:c r="C5" s="2"/>
      <x:c r="D5" s="2"/>
      <x:c r="E5" s="2"/>
      <x:c r="F5" s="2"/>
      <x:c r="G5" s="2"/>
    </x:row>
    <x:row r="6">
      <x:c r="A6" s="5"/>
      <x:c r="B6" s="5"/>
      <x:c r="C6" s="5"/>
      <x:c r="D6" s="5"/>
      <x:c r="E6" s="5"/>
      <x:c r="F6" s="5"/>
      <x:c r="G6" s="5"/>
    </x:row>
    <x:row r="7" ht="46" customHeight="1">
      <x:c r="A7" s="15" t="str">
        <x:v>Nhóm vấn đề</x:v>
      </x:c>
      <x:c r="B7" s="16" t="str">
        <x:v>Sheet chi tiết</x:v>
      </x:c>
      <x:c r="C7" s="16" t="str">
        <x:v>Hồ sơ</x:v>
      </x:c>
      <x:c r="D7" s="16" t="str">
        <x:v>Chưa phản hồi</x:v>
      </x:c>
      <x:c r="E7" s="16" t="str">
        <x:v>Cần bổ sung</x:v>
      </x:c>
      <x:c r="F7" s="16" t="str">
        <x:v>Đủ trường phản hồi</x:v>
      </x:c>
      <x:c r="G7" s="17" t="str">
        <x:v>Việc cần kế toán chốt</x:v>
      </x:c>
    </x:row>
    <x:row r="8" ht="36" customHeight="1">
      <x:c r="A8" s="19" t="str">
        <x:v>Lệch tiền hàng, thuế và thanh toán</x:v>
      </x:c>
      <x:c r="B8" s="19" t="str">
        <x:v>Lech tien</x:v>
      </x:c>
      <x:c r="C8" s="35" t="n">
        <x:f>COUNTA('Lech tien'!A8:A15)</x:f>
        <x:v>8</x:v>
      </x:c>
      <x:c r="D8" s="35" t="n">
        <x:f>COUNTIFS('Lech tien'!R8:R15,"Chưa phản hồi")</x:f>
        <x:v>8</x:v>
      </x:c>
      <x:c r="E8" s="35" t="n">
        <x:f>COUNTIFS('Lech tien'!R8:R15,"Cần bổ sung")</x:f>
        <x:v>0</x:v>
      </x:c>
      <x:c r="F8" s="35" t="n">
        <x:f>COUNTIFS('Lech tien'!R8:R15,"Đủ trường phản hồi")</x:f>
        <x:v>0</x:v>
      </x:c>
      <x:c r="G8" s="19" t="str">
        <x:v>Chốt ba khoản tiền đúng, nguyên nhân chênh và hướng xử lý.</x:v>
      </x:c>
    </x:row>
    <x:row r="9" ht="36" customHeight="1">
      <x:c r="A9" s="20" t="str">
        <x:v>Số lượng bằng 0 hoặc để trống</x:v>
      </x:c>
      <x:c r="B9" s="20" t="str">
        <x:v>So luong can kiem</x:v>
      </x:c>
      <x:c r="C9" s="36" t="n">
        <x:f>COUNTA('So luong can kiem'!A8:A15)</x:f>
        <x:v>8</x:v>
      </x:c>
      <x:c r="D9" s="36" t="n">
        <x:f>COUNTIFS('So luong can kiem'!N8:N15,"Chưa phản hồi")</x:f>
        <x:v>8</x:v>
      </x:c>
      <x:c r="E9" s="36" t="n">
        <x:f>COUNTIFS('So luong can kiem'!N8:N15,"Cần bổ sung")</x:f>
        <x:v>0</x:v>
      </x:c>
      <x:c r="F9" s="36" t="n">
        <x:f>COUNTIFS('So luong can kiem'!N8:N15,"Đủ trường phản hồi")</x:f>
        <x:v>0</x:v>
      </x:c>
      <x:c r="G9" s="20" t="str">
        <x:v>Phân biệt dòng hàng và dòng diễn giải. Chốt số lượng, tính chất dòng.</x:v>
      </x:c>
    </x:row>
    <x:row r="10" ht="36" customHeight="1">
      <x:c r="A10" s="19" t="str">
        <x:v>Thanh toán gốc để trống</x:v>
      </x:c>
      <x:c r="B10" s="19" t="str">
        <x:v>Thanh toan trong</x:v>
      </x:c>
      <x:c r="C10" s="35" t="n">
        <x:f>COUNTA('Thanh toan trong'!A8:A9)</x:f>
        <x:v>2</x:v>
      </x:c>
      <x:c r="D10" s="35" t="n">
        <x:f>COUNTIFS('Thanh toan trong'!N8:N9,"Chưa phản hồi")</x:f>
        <x:v>2</x:v>
      </x:c>
      <x:c r="E10" s="35" t="n">
        <x:f>COUNTIFS('Thanh toan trong'!N8:N9,"Cần bổ sung")</x:f>
        <x:v>0</x:v>
      </x:c>
      <x:c r="F10" s="35" t="n">
        <x:f>COUNTIFS('Thanh toan trong'!N8:N9,"Đủ trường phản hồi")</x:f>
        <x:v>0</x:v>
      </x:c>
      <x:c r="G10" s="19" t="str">
        <x:v>Xác nhận thanh toán gốc bằng 0 hay đang thiếu số liệu.</x:v>
      </x:c>
    </x:row>
    <x:row r="11" ht="36" customHeight="1">
      <x:c r="A11" s="20" t="str">
        <x:v>Khác loại hàng hoặc mô tả</x:v>
      </x:c>
      <x:c r="B11" s="20" t="str">
        <x:v>Hang va mo ta</x:v>
      </x:c>
      <x:c r="C11" s="36" t="n">
        <x:f>COUNTA('Hang va mo ta'!A8:A12)</x:f>
        <x:v>5</x:v>
      </x:c>
      <x:c r="D11" s="36" t="n">
        <x:f>COUNTIFS('Hang va mo ta'!N8:N12,"Chưa phản hồi")</x:f>
        <x:v>5</x:v>
      </x:c>
      <x:c r="E11" s="36" t="n">
        <x:f>COUNTIFS('Hang va mo ta'!N8:N12,"Cần bổ sung")</x:f>
        <x:v>0</x:v>
      </x:c>
      <x:c r="F11" s="36" t="n">
        <x:f>COUNTIFS('Hang va mo ta'!N8:N12,"Đủ trường phản hồi")</x:f>
        <x:v>0</x:v>
      </x:c>
      <x:c r="G11" s="20" t="str">
        <x:v>Xác định hàng thực tế, mã hàng và cách xử lý nội dung điều chỉnh.</x:v>
      </x:c>
    </x:row>
    <x:row r="12" ht="36" customHeight="1">
      <x:c r="A12" s="19" t="str">
        <x:v>Cách ghi số lượng và giá trị điều chỉnh</x:v>
      </x:c>
      <x:c r="B12" s="19" t="str">
        <x:v>Cach ghi dieu chinh</x:v>
      </x:c>
      <x:c r="C12" s="35" t="n">
        <x:f>COUNTA('Cach ghi dieu chinh'!A8:A13)</x:f>
        <x:v>6</x:v>
      </x:c>
      <x:c r="D12" s="35" t="n">
        <x:f>COUNTIFS('Cach ghi dieu chinh'!N8:N13,"Chưa phản hồi")</x:f>
        <x:v>6</x:v>
      </x:c>
      <x:c r="E12" s="35" t="n">
        <x:f>COUNTIFS('Cach ghi dieu chinh'!N8:N13,"Cần bổ sung")</x:f>
        <x:v>0</x:v>
      </x:c>
      <x:c r="F12" s="35" t="n">
        <x:f>COUNTIFS('Cach ghi dieu chinh'!N8:N13,"Đủ trường phản hồi")</x:f>
        <x:v>0</x:v>
      </x:c>
      <x:c r="G12" s="19" t="str">
        <x:v>Chốt giảm giá, giảm số lượng hay giảm một khoản tổng.</x:v>
      </x:c>
    </x:row>
    <x:row r="13">
      <x:c r="A13" s="2"/>
      <x:c r="B13" s="2"/>
      <x:c r="C13" s="37"/>
      <x:c r="D13" s="37"/>
      <x:c r="E13" s="37"/>
      <x:c r="F13" s="37"/>
      <x:c r="G13" s="2"/>
    </x:row>
    <x:row r="14" ht="29" customHeight="1">
      <x:c r="A14" s="34" t="str">
        <x:v>Tổng cần phản hồi</x:v>
      </x:c>
      <x:c r="B14" s="34"/>
      <x:c r="C14" s="38" t="n">
        <x:f>SUM(C8:C12)</x:f>
        <x:v>29</x:v>
      </x:c>
      <x:c r="D14" s="38" t="n">
        <x:f>SUM(D8:D12)</x:f>
        <x:v>29</x:v>
      </x:c>
      <x:c r="E14" s="38" t="n">
        <x:f>SUM(E8:E12)</x:f>
        <x:v>0</x:v>
      </x:c>
      <x:c r="F14" s="38" t="n">
        <x:f>SUM(F8:F12)</x:f>
        <x:v>0</x:v>
      </x:c>
      <x:c r="G14" s="34"/>
    </x:row>
    <x:row r="15">
      <x:c r="A15" s="2"/>
      <x:c r="B15" s="2"/>
      <x:c r="C15" s="2"/>
      <x:c r="D15" s="2"/>
      <x:c r="E15" s="2"/>
      <x:c r="F15" s="2"/>
      <x:c r="G15" s="2"/>
    </x:row>
    <x:row r="16">
      <x:c r="A16" s="2"/>
      <x:c r="B16" s="2"/>
      <x:c r="C16" s="2"/>
      <x:c r="D16" s="2"/>
      <x:c r="E16" s="2"/>
      <x:c r="F16" s="2"/>
      <x:c r="G16" s="2"/>
    </x:row>
    <x:row r="17">
      <x:c r="A17" s="39" t="str">
        <x:v>Phạm vi bổ sung</x:v>
      </x:c>
      <x:c r="B17" s="2"/>
      <x:c r="C17" s="2"/>
      <x:c r="D17" s="2"/>
      <x:c r="E17" s="2"/>
      <x:c r="F17" s="2"/>
      <x:c r="G17" s="2"/>
    </x:row>
    <x:row r="18">
      <x:c r="A18" s="2" t="str">
        <x:v>Đã đưa thêm 6 hóa đơn chưa điều chỉnh có dòng SL 0 đang được giữ ngoài import vào nhóm số lượng.</x:v>
      </x:c>
      <x:c r="B18" s="2"/>
      <x:c r="C18" s="2"/>
      <x:c r="D18" s="2"/>
      <x:c r="E18" s="2"/>
      <x:c r="F18" s="2"/>
      <x:c r="G18" s="2"/>
    </x:row>
    <x:row r="19">
      <x:c r="A19" s="2"/>
      <x:c r="B19" s="2"/>
      <x:c r="C19" s="2"/>
      <x:c r="D19" s="2"/>
      <x:c r="E19" s="2"/>
      <x:c r="F19" s="2"/>
      <x:c r="G19" s="2"/>
    </x:row>
    <x:row r="20">
      <x:c r="A20" s="39" t="str">
        <x:v>Đã có căn cứ/quy ước</x:v>
      </x:c>
      <x:c r="B20" s="2"/>
      <x:c r="C20" s="2"/>
      <x:c r="D20" s="2"/>
      <x:c r="E20" s="2"/>
      <x:c r="F20" s="2"/>
      <x:c r="G20" s="2"/>
    </x:row>
    <x:row r="21">
      <x:c r="A21" s="2" t="str">
        <x:v>7 hồ sơ ở sheet Da co can cu được giữ riêng để không hỏi lại thông tin hoặc quyết định đã có.</x:v>
      </x:c>
      <x:c r="B21" s="2"/>
      <x:c r="C21" s="2"/>
      <x:c r="D21" s="2"/>
      <x:c r="E21" s="2"/>
      <x:c r="F21" s="2"/>
      <x:c r="G21" s="2"/>
    </x:row>
    <x:row r="22">
      <x:c r="A22" s="2"/>
      <x:c r="B22" s="2"/>
      <x:c r="C22" s="2"/>
      <x:c r="D22" s="2"/>
      <x:c r="E22" s="2"/>
      <x:c r="F22" s="2"/>
      <x:c r="G22" s="2"/>
    </x:row>
    <x:row r="23">
      <x:c r="A23" s="39" t="str">
        <x:v>Phạm vi đợt này</x:v>
      </x:c>
      <x:c r="B23" s="2"/>
      <x:c r="C23" s="2"/>
      <x:c r="D23" s="2"/>
      <x:c r="E23" s="2"/>
      <x:c r="F23" s="2"/>
      <x:c r="G23" s="2"/>
    </x:row>
    <x:row r="24">
      <x:c r="A24" s="2" t="str">
        <x:v>Các chuỗi thay thế chưa được mở xử lý trong đợt điều chỉnh này. File này tổng hợp các vấn đề đang chờ đã xác định.</x:v>
      </x:c>
      <x:c r="B24" s="2"/>
      <x:c r="C24" s="2"/>
      <x:c r="D24" s="2"/>
      <x:c r="E24" s="2"/>
      <x:c r="F24" s="2"/>
      <x:c r="G24" s="2"/>
    </x:row>
    <x:row r="25">
      <x:c r="A25" s="2"/>
      <x:c r="B25" s="2"/>
      <x:c r="C25" s="2"/>
      <x:c r="D25" s="2"/>
      <x:c r="E25" s="2"/>
      <x:c r="F25" s="2"/>
      <x:c r="G25" s="2"/>
    </x:row>
  </x:sheetData>
  <x:pageMargins left="0.7" right="0.7" top="0.75" bottom="0.75" header="0.3" footer="0.3"/>
  <x:tableParts count="1">
    <x:tablePart xmlns:r="http://schemas.openxmlformats.org/officeDocument/2006/relationships" r:id="Rc7a8492e809c4f78"/>
  </x:tableParts>
</x:worksheet>
</file>

<file path=xl/worksheets/sheet2.xml><?xml version="1.0" encoding="utf-8"?>
<x:worksheet xmlns:x="http://schemas.openxmlformats.org/spreadsheetml/2006/main">
  <x:sheetPr>
    <x:tabColor rgb="FFA43838"/>
  </x:sheetPr>
  <x:sheetViews>
    <x:sheetView showGridLines="0" workbookViewId="0">
      <x:pane xSplit="2" ySplit="7" topLeftCell="C8" activePane="bottomRight" state="frozen"/>
    </x:sheetView>
  </x:sheetViews>
  <x:sheetFormatPr defaultRowHeight="15"/>
  <x:cols>
    <x:col min="1" max="1" width="11" hidden="0" customWidth="1"/>
    <x:col min="2" max="2" width="25" hidden="0" customWidth="1"/>
    <x:col min="3" max="3" width="14" hidden="0" customWidth="1"/>
    <x:col min="4" max="4" width="25" hidden="0" customWidth="1"/>
    <x:col min="5" max="5" width="14" hidden="0" customWidth="1"/>
    <x:col min="6" max="6" width="18" hidden="0" customWidth="1"/>
    <x:col min="7" max="7" width="18" hidden="0" customWidth="1"/>
    <x:col min="8" max="8" width="19" hidden="0" customWidth="1"/>
    <x:col min="9" max="9" width="21" hidden="0" customWidth="1"/>
    <x:col min="10" max="10" width="57" hidden="0" customWidth="1"/>
    <x:col min="11" max="11" width="65" hidden="0" customWidth="1"/>
    <x:col min="12" max="12" width="40" hidden="0" customWidth="1"/>
    <x:col min="13" max="13" width="40" hidden="0" customWidth="1"/>
    <x:col min="14" max="14" width="40" hidden="0" customWidth="1"/>
    <x:col min="15" max="15" width="40" hidden="0" customWidth="1"/>
    <x:col min="16" max="16" width="21" hidden="0" customWidth="1"/>
    <x:col min="17" max="17" width="15" hidden="0" customWidth="1"/>
    <x:col min="18" max="18" width="25" hidden="0" customWidth="1"/>
  </x:cols>
  <x:sheetData>
    <x:row r="1">
      <x:c r="A1" s="2"/>
      <x:c r="B1" s="2"/>
      <x:c r="C1" s="2"/>
      <x:c r="D1" s="2"/>
      <x:c r="E1" s="2"/>
      <x:c r="F1" s="2"/>
      <x:c r="G1" s="2"/>
      <x:c r="H1" s="2"/>
      <x:c r="I1" s="2"/>
      <x:c r="J1" s="2"/>
      <x:c r="K1" s="2"/>
      <x:c r="L1" s="2"/>
      <x:c r="M1" s="2"/>
      <x:c r="N1" s="2"/>
      <x:c r="O1" s="2"/>
      <x:c r="P1" s="2"/>
      <x:c r="Q1" s="2"/>
      <x:c r="R1" s="2"/>
    </x:row>
    <x:row r="2" ht="27" customHeight="1">
      <x:c r="A2" s="3" t="str">
        <x:v>Lệch tiền hàng, thuế và thanh toán</x:v>
      </x:c>
      <x:c r="B2" s="2"/>
      <x:c r="C2" s="2"/>
      <x:c r="D2" s="2"/>
      <x:c r="E2" s="2"/>
      <x:c r="F2" s="2"/>
      <x:c r="G2" s="2"/>
      <x:c r="H2" s="2"/>
      <x:c r="I2" s="2"/>
      <x:c r="J2" s="2"/>
      <x:c r="K2" s="2"/>
      <x:c r="L2" s="2"/>
      <x:c r="M2" s="2"/>
      <x:c r="N2" s="2"/>
      <x:c r="O2" s="2"/>
      <x:c r="P2" s="2"/>
      <x:c r="Q2" s="2"/>
      <x:c r="R2" s="2"/>
    </x:row>
    <x:row r="3">
      <x:c r="A3" s="2" t="str">
        <x:v>Cập nhật</x:v>
      </x:c>
      <x:c r="B3" s="4" t="d">
        <x:v>2026-10-11T00:00:00.000Z</x:v>
      </x:c>
      <x:c r="C3" s="2"/>
      <x:c r="D3" s="2"/>
      <x:c r="E3" s="2"/>
      <x:c r="F3" s="2"/>
      <x:c r="G3" s="2"/>
      <x:c r="H3" s="2"/>
      <x:c r="I3" s="2"/>
      <x:c r="J3" s="2"/>
      <x:c r="K3" s="2"/>
      <x:c r="L3" s="2"/>
      <x:c r="M3" s="2"/>
      <x:c r="N3" s="2"/>
      <x:c r="O3" s="2"/>
      <x:c r="P3" s="2"/>
      <x:c r="Q3" s="2"/>
      <x:c r="R3" s="2"/>
    </x:row>
    <x:row r="4">
      <x:c r="A4" s="6" t="str">
        <x:v>Ô vàng: kế toán điền nguyên nhân, hướng xử lý, số liệu/nội dung đúng và căn cứ.</x:v>
      </x:c>
      <x:c r="B4" s="2"/>
      <x:c r="C4" s="2"/>
      <x:c r="D4" s="2"/>
      <x:c r="E4" s="2"/>
      <x:c r="F4" s="2"/>
      <x:c r="G4" s="2"/>
      <x:c r="H4" s="2"/>
      <x:c r="I4" s="2"/>
      <x:c r="J4" s="2"/>
      <x:c r="K4" s="2"/>
      <x:c r="L4" s="2"/>
      <x:c r="M4" s="2"/>
      <x:c r="N4" s="2"/>
      <x:c r="O4" s="2"/>
      <x:c r="P4" s="2"/>
      <x:c r="Q4" s="2"/>
      <x:c r="R4" s="2"/>
    </x:row>
    <x:row r="5">
      <x:c r="A5" s="6" t="str">
        <x:v>Số/ngày của mọi hóa đơn trong chuỗi và số tiền nguồn nằm tại sheet Hoa don lien quan.</x:v>
      </x:c>
      <x:c r="B5" s="2"/>
      <x:c r="C5" s="2"/>
      <x:c r="D5" s="2"/>
      <x:c r="E5" s="2"/>
      <x:c r="F5" s="2"/>
      <x:c r="G5" s="2"/>
      <x:c r="H5" s="2"/>
      <x:c r="I5" s="2"/>
      <x:c r="J5" s="2"/>
      <x:c r="K5" s="2"/>
      <x:c r="L5" s="2"/>
      <x:c r="M5" s="2"/>
      <x:c r="N5" s="2"/>
      <x:c r="O5" s="2"/>
      <x:c r="P5" s="2"/>
      <x:c r="Q5" s="2"/>
      <x:c r="R5" s="2"/>
    </x:row>
    <x:row r="6">
      <x:c r="A6" s="5"/>
      <x:c r="B6" s="5"/>
      <x:c r="C6" s="5"/>
      <x:c r="D6" s="5"/>
      <x:c r="E6" s="5"/>
      <x:c r="F6" s="5"/>
      <x:c r="G6" s="5"/>
      <x:c r="H6" s="5"/>
      <x:c r="I6" s="5"/>
      <x:c r="J6" s="5"/>
      <x:c r="K6" s="5"/>
      <x:c r="L6" s="5"/>
      <x:c r="M6" s="5"/>
      <x:c r="N6" s="5"/>
      <x:c r="O6" s="5"/>
      <x:c r="P6" s="5"/>
      <x:c r="Q6" s="5"/>
      <x:c r="R6" s="5"/>
    </x:row>
    <x:row r="7" ht="46" customHeight="1">
      <x:c r="A7" s="15" t="str">
        <x:v>Mã hồ sơ</x:v>
      </x:c>
      <x:c r="B7" s="16" t="str">
        <x:v>Hóa đơn gốc</x:v>
      </x:c>
      <x:c r="C7" s="16" t="str">
        <x:v>Ngày gốc</x:v>
      </x:c>
      <x:c r="D7" s="16" t="str">
        <x:v>HĐ điều chỉnh liên quan</x:v>
      </x:c>
      <x:c r="E7" s="16" t="str">
        <x:v>Ngày điều chỉnh</x:v>
      </x:c>
      <x:c r="F7" s="16" t="str">
        <x:v>Tiền hàng XML (đ)</x:v>
      </x:c>
      <x:c r="G7" s="16" t="str">
        <x:v>Thuế XML (đ)</x:v>
      </x:c>
      <x:c r="H7" s="16" t="str">
        <x:v>Thanh toán XML (đ)</x:v>
      </x:c>
      <x:c r="I7" s="16" t="str">
        <x:v>Hàng + thuế − thanh toán (đ)</x:v>
      </x:c>
      <x:c r="J7" s="16" t="str">
        <x:v>Ghi nhận cần kiểm tra</x:v>
      </x:c>
      <x:c r="K7" s="16" t="str">
        <x:v>Câu hỏi cần kế toán kết luận</x:v>
      </x:c>
      <x:c r="L7" s="29" t="str">
        <x:v>Nguyên nhân (KT điền)</x:v>
      </x:c>
      <x:c r="M7" s="29" t="str">
        <x:v>Hướng xử lý (KT điền)</x:v>
      </x:c>
      <x:c r="N7" s="29" t="str">
        <x:v>Số liệu/nội dung đúng (KT điền)</x:v>
      </x:c>
      <x:c r="O7" s="29" t="str">
        <x:v>Căn cứ/chứng từ (KT điền)</x:v>
      </x:c>
      <x:c r="P7" s="29" t="str">
        <x:v>Người phản hồi</x:v>
      </x:c>
      <x:c r="Q7" s="29" t="str">
        <x:v>Ngày phản hồi</x:v>
      </x:c>
      <x:c r="R7" s="17" t="str">
        <x:v>Theo dõi phản hồi</x:v>
      </x:c>
    </x:row>
    <x:row r="8" ht="72" customHeight="1">
      <x:c r="A8" s="19" t="str">
        <x:v>LT01</x:v>
      </x:c>
      <x:c r="B8" s="23" t="str">
        <x:v>1C25TUV/00000159</x:v>
      </x:c>
      <x:c r="C8" s="21" t="d">
        <x:v>2025-02-28T00:00:00.000Z</x:v>
      </x:c>
      <x:c r="D8" s="23" t="str">
        <x:v>1C25TUV/00000649</x:v>
      </x:c>
      <x:c r="E8" s="21" t="d">
        <x:v>2025-05-05T00:00:00.000Z</x:v>
      </x:c>
      <x:c r="F8" s="27" t="n">
        <x:v>-381481</x:v>
      </x:c>
      <x:c r="G8" s="27" t="n">
        <x:v>-30518</x:v>
      </x:c>
      <x:c r="H8" s="27" t="n">
        <x:v>411999</x:v>
      </x:c>
      <x:c r="I8" s="27" t="n">
        <x:f>F8+G8-H8</x:f>
        <x:v>-823998</x:v>
      </x:c>
      <x:c r="J8" s="19" t="str">
        <x:v>Tổng tiền trong XML khớp bảng kê nhưng tiền hàng + thuế khác thanh toán. Tiền hàng và thuế âm, thanh toán dương. Thành tiền dòng XML bằng 0 trong khi tổng tiền hàng khác 0. </x:v>
      </x:c>
      <x:c r="K8" s="19" t="str">
        <x:v>Xác định tiền hàng, thuế và thanh toán đúng, nguyên nhân chênh, căn cứ và hướng xử lý. Kiểm cả phần dòng và phần tổng. Nếu đã có chứng từ xử lý tiếp, ghi số/ngày.</x:v>
      </x:c>
      <x:c r="L8" s="31"/>
      <x:c r="M8" s="31"/>
      <x:c r="N8" s="31"/>
      <x:c r="O8" s="31"/>
      <x:c r="P8" s="31"/>
      <x:c r="Q8" s="32"/>
      <x:c r="R8" s="19" t="str">
        <x:f>IF(COUNTA(L8:Q8)=0,"Chưa phản hồi",IF(AND(L8&lt;&gt;"",M8&lt;&gt;"",N8&lt;&gt;"",O8&lt;&gt;""),"Đủ trường phản hồi","Cần bổ sung"))</x:f>
        <x:v>Chưa phản hồi</x:v>
      </x:c>
    </x:row>
    <x:row r="9" ht="72" customHeight="1">
      <x:c r="A9" s="20" t="str">
        <x:v>LT02</x:v>
      </x:c>
      <x:c r="B9" s="24" t="str">
        <x:v>1C25TUV/00000056</x:v>
      </x:c>
      <x:c r="C9" s="22" t="d">
        <x:v>2025-01-27T00:00:00.000Z</x:v>
      </x:c>
      <x:c r="D9" s="24" t="str">
        <x:v>1C25TUV/00000561</x:v>
      </x:c>
      <x:c r="E9" s="22" t="d">
        <x:v>2025-05-04T00:00:00.000Z</x:v>
      </x:c>
      <x:c r="F9" s="28" t="n">
        <x:v>196889</x:v>
      </x:c>
      <x:c r="G9" s="28" t="n">
        <x:v>151751</x:v>
      </x:c>
      <x:c r="H9" s="28" t="n">
        <x:v>212640</x:v>
      </x:c>
      <x:c r="I9" s="27" t="n">
        <x:f>F9+G9-H9</x:f>
        <x:v>136000</x:v>
      </x:c>
      <x:c r="J9" s="20" t="str">
        <x:v>Tổng tiền trong XML khớp bảng kê nhưng tiền hàng + thuế khác thanh toán. Thành tiền dòng XML bằng 0 trong khi tổng tiền hàng khác 0. </x:v>
      </x:c>
      <x:c r="K9" s="20" t="str">
        <x:v>Xác định tiền hàng, thuế và thanh toán đúng, nguyên nhân chênh, căn cứ và hướng xử lý. Kiểm cả phần dòng và phần tổng. Nếu đã có chứng từ xử lý tiếp, ghi số/ngày.</x:v>
      </x:c>
      <x:c r="L9" s="31"/>
      <x:c r="M9" s="31"/>
      <x:c r="N9" s="31"/>
      <x:c r="O9" s="31"/>
      <x:c r="P9" s="31"/>
      <x:c r="Q9" s="32"/>
      <x:c r="R9" s="19" t="str">
        <x:f>IF(COUNTA(L9:Q9)=0,"Chưa phản hồi",IF(AND(L9&lt;&gt;"",M9&lt;&gt;"",N9&lt;&gt;"",O9&lt;&gt;""),"Đủ trường phản hồi","Cần bổ sung"))</x:f>
        <x:v>Chưa phản hồi</x:v>
      </x:c>
    </x:row>
    <x:row r="10" ht="72" customHeight="1">
      <x:c r="A10" s="19" t="str">
        <x:v>LT03</x:v>
      </x:c>
      <x:c r="B10" s="23" t="str">
        <x:v>1C24TUV/00000283</x:v>
      </x:c>
      <x:c r="C10" s="21" t="d">
        <x:v>2024-06-14T00:00:00.000Z</x:v>
      </x:c>
      <x:c r="D10" s="23" t="str">
        <x:v>1C25TUV/00001819</x:v>
      </x:c>
      <x:c r="E10" s="21" t="d">
        <x:v>2025-05-29T00:00:00.000Z</x:v>
      </x:c>
      <x:c r="F10" s="27" t="n">
        <x:v>7599678</x:v>
      </x:c>
      <x:c r="G10" s="27" t="n">
        <x:v>609974</x:v>
      </x:c>
      <x:c r="H10" s="27" t="n">
        <x:v>8207652</x:v>
      </x:c>
      <x:c r="I10" s="27" t="n">
        <x:f>F10+G10-H10</x:f>
        <x:v>2000</x:v>
      </x:c>
      <x:c r="J10" s="19" t="str">
        <x:v>Tổng tiền trong XML khớp bảng kê nhưng tiền hàng + thuế khác thanh toán. Thành tiền dòng XML bằng 0 trong khi tổng tiền hàng khác 0. </x:v>
      </x:c>
      <x:c r="K10" s="19" t="str">
        <x:v>Xác định tiền hàng, thuế và thanh toán đúng, nguyên nhân chênh, căn cứ và hướng xử lý. Kiểm cả phần dòng và phần tổng. Nếu đã có chứng từ xử lý tiếp, ghi số/ngày.</x:v>
      </x:c>
      <x:c r="L10" s="31"/>
      <x:c r="M10" s="31"/>
      <x:c r="N10" s="31"/>
      <x:c r="O10" s="31"/>
      <x:c r="P10" s="31"/>
      <x:c r="Q10" s="32"/>
      <x:c r="R10" s="19" t="str">
        <x:f>IF(COUNTA(L10:Q10)=0,"Chưa phản hồi",IF(AND(L10&lt;&gt;"",M10&lt;&gt;"",N10&lt;&gt;"",O10&lt;&gt;""),"Đủ trường phản hồi","Cần bổ sung"))</x:f>
        <x:v>Chưa phản hồi</x:v>
      </x:c>
    </x:row>
    <x:row r="11" ht="72" customHeight="1">
      <x:c r="A11" s="20" t="str">
        <x:v>LT04</x:v>
      </x:c>
      <x:c r="B11" s="24" t="str">
        <x:v>1C24TUV/00000093</x:v>
      </x:c>
      <x:c r="C11" s="22" t="d">
        <x:v>2024-03-01T00:00:00.000Z</x:v>
      </x:c>
      <x:c r="D11" s="24" t="str">
        <x:v>1C25TUV/00001167</x:v>
      </x:c>
      <x:c r="E11" s="22" t="d">
        <x:v>2025-05-26T00:00:00.000Z</x:v>
      </x:c>
      <x:c r="F11" s="28" t="n">
        <x:v>621945</x:v>
      </x:c>
      <x:c r="G11" s="28" t="n">
        <x:v>49756</x:v>
      </x:c>
      <x:c r="H11" s="28" t="n">
        <x:v>670701</x:v>
      </x:c>
      <x:c r="I11" s="27" t="n">
        <x:f>F11+G11-H11</x:f>
        <x:v>1000</x:v>
      </x:c>
      <x:c r="J11" s="20" t="str">
        <x:v>Tổng tiền trong XML khớp bảng kê nhưng tiền hàng + thuế khác thanh toán. Thành tiền dòng XML bằng 0 trong khi tổng tiền hàng khác 0. </x:v>
      </x:c>
      <x:c r="K11" s="20" t="str">
        <x:v>Xác định tiền hàng, thuế và thanh toán đúng, nguyên nhân chênh, căn cứ và hướng xử lý. Kiểm cả phần dòng và phần tổng. Nếu đã có chứng từ xử lý tiếp, ghi số/ngày.</x:v>
      </x:c>
      <x:c r="L11" s="31"/>
      <x:c r="M11" s="31"/>
      <x:c r="N11" s="31"/>
      <x:c r="O11" s="31"/>
      <x:c r="P11" s="31"/>
      <x:c r="Q11" s="32"/>
      <x:c r="R11" s="19" t="str">
        <x:f>IF(COUNTA(L11:Q11)=0,"Chưa phản hồi",IF(AND(L11&lt;&gt;"",M11&lt;&gt;"",N11&lt;&gt;"",O11&lt;&gt;""),"Đủ trường phản hồi","Cần bổ sung"))</x:f>
        <x:v>Chưa phản hồi</x:v>
      </x:c>
    </x:row>
    <x:row r="12" ht="72" customHeight="1">
      <x:c r="A12" s="19" t="str">
        <x:v>LT05</x:v>
      </x:c>
      <x:c r="B12" s="23" t="str">
        <x:v>1C24TUV/00000535</x:v>
      </x:c>
      <x:c r="C12" s="21" t="d">
        <x:v>2024-10-22T00:00:00.000Z</x:v>
      </x:c>
      <x:c r="D12" s="23" t="str">
        <x:v>1C25TUV/00002145</x:v>
      </x:c>
      <x:c r="E12" s="21" t="d">
        <x:v>2025-05-30T00:00:00.000Z</x:v>
      </x:c>
      <x:c r="F12" s="27" t="n">
        <x:v>39194352</x:v>
      </x:c>
      <x:c r="G12" s="27" t="n">
        <x:v>3135548</x:v>
      </x:c>
      <x:c r="H12" s="27" t="n">
        <x:v>42329000</x:v>
      </x:c>
      <x:c r="I12" s="27" t="n">
        <x:f>F12+G12-H12</x:f>
        <x:v>900</x:v>
      </x:c>
      <x:c r="J12" s="19" t="str">
        <x:v>Tổng tiền trong XML khớp bảng kê nhưng tiền hàng + thuế khác thanh toán. Thành tiền dòng XML bằng 0 trong khi tổng tiền hàng khác 0. </x:v>
      </x:c>
      <x:c r="K12" s="19" t="str">
        <x:v>Xác định tiền hàng, thuế và thanh toán đúng, nguyên nhân chênh, căn cứ và hướng xử lý. Kiểm cả phần dòng và phần tổng. Nếu đã có chứng từ xử lý tiếp, ghi số/ngày.</x:v>
      </x:c>
      <x:c r="L12" s="31"/>
      <x:c r="M12" s="31"/>
      <x:c r="N12" s="31"/>
      <x:c r="O12" s="31"/>
      <x:c r="P12" s="31"/>
      <x:c r="Q12" s="32"/>
      <x:c r="R12" s="19" t="str">
        <x:f>IF(COUNTA(L12:Q12)=0,"Chưa phản hồi",IF(AND(L12&lt;&gt;"",M12&lt;&gt;"",N12&lt;&gt;"",O12&lt;&gt;""),"Đủ trường phản hồi","Cần bổ sung"))</x:f>
        <x:v>Chưa phản hồi</x:v>
      </x:c>
    </x:row>
    <x:row r="13" ht="72" customHeight="1">
      <x:c r="A13" s="20" t="str">
        <x:v>LT06</x:v>
      </x:c>
      <x:c r="B13" s="24" t="str">
        <x:v>1C24TUV/00000228</x:v>
      </x:c>
      <x:c r="C13" s="22" t="d">
        <x:v>2024-05-13T00:00:00.000Z</x:v>
      </x:c>
      <x:c r="D13" s="24" t="str">
        <x:v>1C25TUV/00002619</x:v>
      </x:c>
      <x:c r="E13" s="22" t="d">
        <x:v>2025-05-31T00:00:00.000Z</x:v>
      </x:c>
      <x:c r="F13" s="28" t="n">
        <x:v>-589554</x:v>
      </x:c>
      <x:c r="G13" s="28" t="n">
        <x:v>-47164</x:v>
      </x:c>
      <x:c r="H13" s="28" t="n">
        <x:v>-636719</x:v>
      </x:c>
      <x:c r="I13" s="27" t="n">
        <x:f>F13+G13-H13</x:f>
        <x:v>1</x:v>
      </x:c>
      <x:c r="J13" s="20" t="str">
        <x:v>Tổng tiền trong XML khớp bảng kê nhưng tiền hàng + thuế khác thanh toán. Thành tiền dòng XML bằng 0 trong khi tổng tiền hàng khác 0. Chuỗi còn điều chỉnh 1C25TUV/00002646 ngày 31/05/2025; xem Hoa don lien quan.</x:v>
      </x:c>
      <x:c r="K13" s="20" t="str">
        <x:v>Xác định tiền hàng, thuế và thanh toán đúng, nguyên nhân chênh, căn cứ và hướng xử lý. Kiểm cả phần dòng và phần tổng. Nếu đã có chứng từ xử lý tiếp, ghi số/ngày.</x:v>
      </x:c>
      <x:c r="L13" s="31"/>
      <x:c r="M13" s="31"/>
      <x:c r="N13" s="31"/>
      <x:c r="O13" s="31"/>
      <x:c r="P13" s="31"/>
      <x:c r="Q13" s="32"/>
      <x:c r="R13" s="19" t="str">
        <x:f>IF(COUNTA(L13:Q13)=0,"Chưa phản hồi",IF(AND(L13&lt;&gt;"",M13&lt;&gt;"",N13&lt;&gt;"",O13&lt;&gt;""),"Đủ trường phản hồi","Cần bổ sung"))</x:f>
        <x:v>Chưa phản hồi</x:v>
      </x:c>
    </x:row>
    <x:row r="14" ht="72" customHeight="1">
      <x:c r="A14" s="19" t="str">
        <x:v>LT07</x:v>
      </x:c>
      <x:c r="B14" s="23" t="str">
        <x:v>1C24TUV/00000285</x:v>
      </x:c>
      <x:c r="C14" s="21" t="d">
        <x:v>2024-06-15T00:00:00.000Z</x:v>
      </x:c>
      <x:c r="D14" s="23" t="str">
        <x:v>1C25TUV/00001821</x:v>
      </x:c>
      <x:c r="E14" s="21" t="d">
        <x:v>2025-05-29T00:00:00.000Z</x:v>
      </x:c>
      <x:c r="F14" s="27" t="n">
        <x:v>5701066</x:v>
      </x:c>
      <x:c r="G14" s="27" t="n">
        <x:v>456085</x:v>
      </x:c>
      <x:c r="H14" s="27" t="n">
        <x:v>6157152</x:v>
      </x:c>
      <x:c r="I14" s="27" t="n">
        <x:f>F14+G14-H14</x:f>
        <x:v>-1</x:v>
      </x:c>
      <x:c r="J14" s="19" t="str">
        <x:v>Tổng tiền trong XML khớp bảng kê nhưng tiền hàng + thuế khác thanh toán. Thành tiền dòng XML bằng 0 trong khi tổng tiền hàng khác 0. </x:v>
      </x:c>
      <x:c r="K14" s="19" t="str">
        <x:v>Xác định tiền hàng, thuế và thanh toán đúng, nguyên nhân chênh, căn cứ và hướng xử lý. Kiểm cả phần dòng và phần tổng. Nếu đã có chứng từ xử lý tiếp, ghi số/ngày.</x:v>
      </x:c>
      <x:c r="L14" s="31"/>
      <x:c r="M14" s="31"/>
      <x:c r="N14" s="31"/>
      <x:c r="O14" s="31"/>
      <x:c r="P14" s="31"/>
      <x:c r="Q14" s="32"/>
      <x:c r="R14" s="19" t="str">
        <x:f>IF(COUNTA(L14:Q14)=0,"Chưa phản hồi",IF(AND(L14&lt;&gt;"",M14&lt;&gt;"",N14&lt;&gt;"",O14&lt;&gt;""),"Đủ trường phản hồi","Cần bổ sung"))</x:f>
        <x:v>Chưa phản hồi</x:v>
      </x:c>
    </x:row>
    <x:row r="15" ht="72" customHeight="1">
      <x:c r="A15" s="20" t="str">
        <x:v>LT08</x:v>
      </x:c>
      <x:c r="B15" s="24" t="str">
        <x:v>1C25TUV/00000102</x:v>
      </x:c>
      <x:c r="C15" s="22" t="d">
        <x:v>2025-02-19T00:00:00.000Z</x:v>
      </x:c>
      <x:c r="D15" s="24" t="str">
        <x:v>1C25TUV/00000626</x:v>
      </x:c>
      <x:c r="E15" s="22" t="d">
        <x:v>2025-05-04T00:00:00.000Z</x:v>
      </x:c>
      <x:c r="F15" s="28" t="n">
        <x:v>4347265</x:v>
      </x:c>
      <x:c r="G15" s="28" t="n">
        <x:v>347781</x:v>
      </x:c>
      <x:c r="H15" s="28" t="n">
        <x:v>4695045</x:v>
      </x:c>
      <x:c r="I15" s="27" t="n">
        <x:f>F15+G15-H15</x:f>
        <x:v>1</x:v>
      </x:c>
      <x:c r="J15" s="20" t="str">
        <x:v>Tổng tiền trong XML khớp bảng kê nhưng tiền hàng + thuế khác thanh toán. Thành tiền dòng XML bằng 0 trong khi tổng tiền hàng khác 0. </x:v>
      </x:c>
      <x:c r="K15" s="20" t="str">
        <x:v>Xác định tiền hàng, thuế và thanh toán đúng, nguyên nhân chênh, căn cứ và hướng xử lý. Kiểm cả phần dòng và phần tổng. Nếu đã có chứng từ xử lý tiếp, ghi số/ngày.</x:v>
      </x:c>
      <x:c r="L15" s="31"/>
      <x:c r="M15" s="31"/>
      <x:c r="N15" s="31"/>
      <x:c r="O15" s="31"/>
      <x:c r="P15" s="31"/>
      <x:c r="Q15" s="32"/>
      <x:c r="R15" s="19" t="str">
        <x:f>IF(COUNTA(L15:Q15)=0,"Chưa phản hồi",IF(AND(L15&lt;&gt;"",M15&lt;&gt;"",N15&lt;&gt;"",O15&lt;&gt;""),"Đủ trường phản hồi","Cần bổ sung"))</x:f>
        <x:v>Chưa phản hồi</x:v>
      </x:c>
    </x:row>
  </x:sheetData>
  <x:conditionalFormatting sqref="I8:I15">
    <x:cfRule type="cellIs" dxfId="0" priority="1" operator="notEqual">
      <x:formula>0</x:formula>
    </x:cfRule>
  </x:conditionalFormatting>
  <x:conditionalFormatting sqref="R8:R15">
    <x:cfRule type="containsText" dxfId="1" priority="2" operator="containsText" text="Cần bổ sung"/>
  </x:conditionalFormatting>
  <x:pageMargins left="0.7" right="0.7" top="0.75" bottom="0.75" header="0.3" footer="0.3"/>
  <x:tableParts count="1">
    <x:tablePart xmlns:r="http://schemas.openxmlformats.org/officeDocument/2006/relationships" r:id="Rbfcf1c80591e4273"/>
  </x:tableParts>
</x:worksheet>
</file>

<file path=xl/worksheets/sheet3.xml><?xml version="1.0" encoding="utf-8"?>
<x:worksheet xmlns:x="http://schemas.openxmlformats.org/spreadsheetml/2006/main">
  <x:sheetPr>
    <x:tabColor rgb="FF496B8A"/>
  </x:sheetPr>
  <x:sheetViews>
    <x:sheetView showGridLines="0" workbookViewId="0">
      <x:pane xSplit="2" ySplit="7" topLeftCell="C8" activePane="bottomRight" state="frozen"/>
    </x:sheetView>
  </x:sheetViews>
  <x:sheetFormatPr defaultRowHeight="15"/>
  <x:cols>
    <x:col min="1" max="1" width="11" hidden="0" customWidth="1"/>
    <x:col min="2" max="2" width="25" hidden="0" customWidth="1"/>
    <x:col min="3" max="3" width="14" hidden="0" customWidth="1"/>
    <x:col min="4" max="4" width="25" hidden="0" customWidth="1"/>
    <x:col min="5" max="5" width="14" hidden="0" customWidth="1"/>
    <x:col min="6" max="6" width="57" hidden="0" customWidth="1"/>
    <x:col min="7" max="7" width="65" hidden="0" customWidth="1"/>
    <x:col min="8" max="8" width="40" hidden="0" customWidth="1"/>
    <x:col min="9" max="9" width="40" hidden="0" customWidth="1"/>
    <x:col min="10" max="10" width="40" hidden="0" customWidth="1"/>
    <x:col min="11" max="11" width="40" hidden="0" customWidth="1"/>
    <x:col min="12" max="12" width="21" hidden="0" customWidth="1"/>
    <x:col min="13" max="13" width="15" hidden="0" customWidth="1"/>
    <x:col min="14" max="14" width="25" hidden="0" customWidth="1"/>
  </x:cols>
  <x:sheetData>
    <x:row r="1">
      <x:c r="A1" s="2"/>
      <x:c r="B1" s="2"/>
      <x:c r="C1" s="2"/>
      <x:c r="D1" s="2"/>
      <x:c r="E1" s="2"/>
      <x:c r="F1" s="2"/>
      <x:c r="G1" s="2"/>
      <x:c r="H1" s="2"/>
      <x:c r="I1" s="2"/>
      <x:c r="J1" s="2"/>
      <x:c r="K1" s="2"/>
      <x:c r="L1" s="2"/>
      <x:c r="M1" s="2"/>
      <x:c r="N1" s="2"/>
    </x:row>
    <x:row r="2" ht="27" customHeight="1">
      <x:c r="A2" s="3" t="str">
        <x:v>Số lượng bằng 0 hoặc để trống</x:v>
      </x:c>
      <x:c r="B2" s="2"/>
      <x:c r="C2" s="2"/>
      <x:c r="D2" s="2"/>
      <x:c r="E2" s="2"/>
      <x:c r="F2" s="2"/>
      <x:c r="G2" s="2"/>
      <x:c r="H2" s="2"/>
      <x:c r="I2" s="2"/>
      <x:c r="J2" s="2"/>
      <x:c r="K2" s="2"/>
      <x:c r="L2" s="2"/>
      <x:c r="M2" s="2"/>
      <x:c r="N2" s="2"/>
    </x:row>
    <x:row r="3">
      <x:c r="A3" s="2" t="str">
        <x:v>Cập nhật</x:v>
      </x:c>
      <x:c r="B3" s="4" t="d">
        <x:v>2026-10-11T00:00:00.000Z</x:v>
      </x:c>
      <x:c r="C3" s="2"/>
      <x:c r="D3" s="2"/>
      <x:c r="E3" s="2"/>
      <x:c r="F3" s="2"/>
      <x:c r="G3" s="2"/>
      <x:c r="H3" s="2"/>
      <x:c r="I3" s="2"/>
      <x:c r="J3" s="2"/>
      <x:c r="K3" s="2"/>
      <x:c r="L3" s="2"/>
      <x:c r="M3" s="2"/>
      <x:c r="N3" s="2"/>
    </x:row>
    <x:row r="4">
      <x:c r="A4" s="6" t="str">
        <x:v>Ô vàng: kế toán điền nguyên nhân, hướng xử lý, số liệu/nội dung đúng và căn cứ.</x:v>
      </x:c>
      <x:c r="B4" s="2"/>
      <x:c r="C4" s="2"/>
      <x:c r="D4" s="2"/>
      <x:c r="E4" s="2"/>
      <x:c r="F4" s="2"/>
      <x:c r="G4" s="2"/>
      <x:c r="H4" s="2"/>
      <x:c r="I4" s="2"/>
      <x:c r="J4" s="2"/>
      <x:c r="K4" s="2"/>
      <x:c r="L4" s="2"/>
      <x:c r="M4" s="2"/>
      <x:c r="N4" s="2"/>
    </x:row>
    <x:row r="5">
      <x:c r="A5" s="6" t="str">
        <x:v>Số/ngày của mọi hóa đơn trong chuỗi và số tiền nguồn nằm tại sheet Hoa don lien quan.</x:v>
      </x:c>
      <x:c r="B5" s="2"/>
      <x:c r="C5" s="2"/>
      <x:c r="D5" s="2"/>
      <x:c r="E5" s="2"/>
      <x:c r="F5" s="2"/>
      <x:c r="G5" s="2"/>
      <x:c r="H5" s="2"/>
      <x:c r="I5" s="2"/>
      <x:c r="J5" s="2"/>
      <x:c r="K5" s="2"/>
      <x:c r="L5" s="2"/>
      <x:c r="M5" s="2"/>
      <x:c r="N5" s="2"/>
    </x:row>
    <x:row r="6">
      <x:c r="A6" s="5"/>
      <x:c r="B6" s="5"/>
      <x:c r="C6" s="5"/>
      <x:c r="D6" s="5"/>
      <x:c r="E6" s="5"/>
      <x:c r="F6" s="5"/>
      <x:c r="G6" s="5"/>
      <x:c r="H6" s="5"/>
      <x:c r="I6" s="5"/>
      <x:c r="J6" s="5"/>
      <x:c r="K6" s="5"/>
      <x:c r="L6" s="5"/>
      <x:c r="M6" s="5"/>
      <x:c r="N6" s="5"/>
    </x:row>
    <x:row r="7" ht="46" customHeight="1">
      <x:c r="A7" s="15" t="str">
        <x:v>Mã hồ sơ</x:v>
      </x:c>
      <x:c r="B7" s="16" t="str">
        <x:v>Hóa đơn gốc</x:v>
      </x:c>
      <x:c r="C7" s="16" t="str">
        <x:v>Ngày gốc</x:v>
      </x:c>
      <x:c r="D7" s="16" t="str">
        <x:v>HĐ điều chỉnh liên quan</x:v>
      </x:c>
      <x:c r="E7" s="16" t="str">
        <x:v>Ngày điều chỉnh</x:v>
      </x:c>
      <x:c r="F7" s="16" t="str">
        <x:v>Ghi nhận cần kiểm tra</x:v>
      </x:c>
      <x:c r="G7" s="16" t="str">
        <x:v>Câu hỏi cần kế toán kết luận</x:v>
      </x:c>
      <x:c r="H7" s="29" t="str">
        <x:v>Nguyên nhân (KT điền)</x:v>
      </x:c>
      <x:c r="I7" s="29" t="str">
        <x:v>Hướng xử lý (KT điền)</x:v>
      </x:c>
      <x:c r="J7" s="29" t="str">
        <x:v>Số liệu/nội dung đúng (KT điền)</x:v>
      </x:c>
      <x:c r="K7" s="29" t="str">
        <x:v>Căn cứ/chứng từ (KT điền)</x:v>
      </x:c>
      <x:c r="L7" s="29" t="str">
        <x:v>Người phản hồi</x:v>
      </x:c>
      <x:c r="M7" s="29" t="str">
        <x:v>Ngày phản hồi</x:v>
      </x:c>
      <x:c r="N7" s="17" t="str">
        <x:v>Theo dõi phản hồi</x:v>
      </x:c>
    </x:row>
    <x:row r="8" ht="72" customHeight="1">
      <x:c r="A8" s="19" t="str">
        <x:v>SL01</x:v>
      </x:c>
      <x:c r="B8" s="23" t="str">
        <x:v>1C24TUV/00000555</x:v>
      </x:c>
      <x:c r="C8" s="21" t="d">
        <x:v>2024-10-31T00:00:00.000Z</x:v>
      </x:c>
      <x:c r="D8" s="23" t="str">
        <x:v>1C25TUV/00002632</x:v>
      </x:c>
      <x:c r="E8" s="21" t="d">
        <x:v>2025-05-31T00:00:00.000Z</x:v>
      </x:c>
      <x:c r="F8" s="19" t="str">
        <x:v>Dòng màng lọc HEPA H13 KA350 FT (BS HĐ 547): số lượng và đơn giá trống. Tiền hàng 46.296, thuế 3.705, thanh toán dòng 50.001. Hóa đơn gốc có 6 dòng.</x:v>
      </x:c>
      <x:c r="G8" s="19" t="str">
        <x:v>Đối chiếu đúng dòng hàng trên XML gốc/bản hiển thị hoặc chứng từ bán. Chốt số lượng, đơn giá, tiền dòng và đây là hàng bán, khuyến mãi hay diễn giải. Ghi nguyên nhân thiếu số liệu và hướng chuẩn bị phần giảm chi tiết.</x:v>
      </x:c>
      <x:c r="H8" s="31"/>
      <x:c r="I8" s="31"/>
      <x:c r="J8" s="31"/>
      <x:c r="K8" s="31"/>
      <x:c r="L8" s="31"/>
      <x:c r="M8" s="32"/>
      <x:c r="N8" s="19" t="str">
        <x:f>IF(COUNTA(H8:M8)=0,"Chưa phản hồi",IF(AND(H8&lt;&gt;"",I8&lt;&gt;"",J8&lt;&gt;"",K8&lt;&gt;""),"Đủ trường phản hồi","Cần bổ sung"))</x:f>
        <x:v>Chưa phản hồi</x:v>
      </x:c>
    </x:row>
    <x:row r="9" ht="72" customHeight="1">
      <x:c r="A9" s="20" t="str">
        <x:v>SL02</x:v>
      </x:c>
      <x:c r="B9" s="24" t="str">
        <x:v>1C25TUV/00000113</x:v>
      </x:c>
      <x:c r="C9" s="22" t="d">
        <x:v>2025-02-19T00:00:00.000Z</x:v>
      </x:c>
      <x:c r="D9" s="24" t="str">
        <x:v>1C25TUV/00000635</x:v>
      </x:c>
      <x:c r="E9" s="22" t="d">
        <x:v>2025-05-05T00:00:00.000Z</x:v>
      </x:c>
      <x:c r="F9" s="20" t="str">
        <x:v>Dòng màng/lõi lọc HEPA H13 KA600 FT: số lượng, đơn giá và tiền dòng trống trong bảng xuất mới. Hóa đơn gốc có 48 dòng. Không tự coi các ô trống là 0.</x:v>
      </x:c>
      <x:c r="G9" s="20" t="str">
        <x:v>Đối chiếu đúng dòng hàng trên XML gốc/bản hiển thị hoặc chứng từ bán. Chốt số lượng, đơn giá, tiền dòng và đây là hàng bán, khuyến mãi hay diễn giải. Ghi nguyên nhân thiếu số liệu và hướng chuẩn bị phần giảm chi tiết.</x:v>
      </x:c>
      <x:c r="H9" s="31"/>
      <x:c r="I9" s="31"/>
      <x:c r="J9" s="31"/>
      <x:c r="K9" s="31"/>
      <x:c r="L9" s="31"/>
      <x:c r="M9" s="32"/>
      <x:c r="N9" s="19" t="str">
        <x:f>IF(COUNTA(H9:M9)=0,"Chưa phản hồi",IF(AND(H9&lt;&gt;"",I9&lt;&gt;"",J9&lt;&gt;"",K9&lt;&gt;""),"Đủ trường phản hồi","Cần bổ sung"))</x:f>
        <x:v>Chưa phản hồi</x:v>
      </x:c>
    </x:row>
    <x:row r="10" ht="72" customHeight="1">
      <x:c r="A10" s="19" t="str">
        <x:v>SL03</x:v>
      </x:c>
      <x:c r="B10" s="23" t="str">
        <x:v>1C24TUV/00000774</x:v>
      </x:c>
      <x:c r="C10" s="21" t="d">
        <x:v>2024-12-31T00:00:00.000Z</x:v>
      </x:c>
      <x:c r="D10" s="23"/>
      <x:c r="E10" s="21"/>
      <x:c r="F10" s="19" t="str">
        <x:v>Nhóm chưa điều chỉnh. Toàn bộ 2 dòng đã được giữ ngoài import vì dòng “( Hàng biếu, tặng không thu tiền)” lưu SL/đơn giá/thành tiền = 0 ở bảng kiểm. Bảng xuất mới: SL trống, đơn giá trống, thành tiền trống.</x:v>
      </x:c>
      <x:c r="G10" s="19" t="str">
        <x:v>Xác nhận dòng này là chú thích hàng tặng hay một mặt hàng có số lượng thực tế. Chốt tính chất và số lượng cần thể hiện khi chuẩn bị điều chỉnh toàn bộ hóa đơn. Không tự bỏ dòng hoặc đưa lại vào import.</x:v>
      </x:c>
      <x:c r="H10" s="31"/>
      <x:c r="I10" s="31"/>
      <x:c r="J10" s="31"/>
      <x:c r="K10" s="31"/>
      <x:c r="L10" s="31"/>
      <x:c r="M10" s="32"/>
      <x:c r="N10" s="19" t="str">
        <x:f>IF(COUNTA(H10:M10)=0,"Chưa phản hồi",IF(AND(H10&lt;&gt;"",I10&lt;&gt;"",J10&lt;&gt;"",K10&lt;&gt;""),"Đủ trường phản hồi","Cần bổ sung"))</x:f>
        <x:v>Chưa phản hồi</x:v>
      </x:c>
    </x:row>
    <x:row r="11" ht="72" customHeight="1">
      <x:c r="A11" s="20" t="str">
        <x:v>SL04</x:v>
      </x:c>
      <x:c r="B11" s="24" t="str">
        <x:v>1C24TUV/00000783</x:v>
      </x:c>
      <x:c r="C11" s="22" t="d">
        <x:v>2024-12-31T00:00:00.000Z</x:v>
      </x:c>
      <x:c r="D11" s="24"/>
      <x:c r="E11" s="22"/>
      <x:c r="F11" s="20" t="str">
        <x:v>Nhóm chưa điều chỉnh. Toàn bộ 3 dòng đã được giữ ngoài import vì dòng “( Hàng tặng không thu tiền)” lưu SL/đơn giá/thành tiền = 0 ở bảng kiểm. Bảng xuất mới: SL trống, đơn giá trống, thành tiền trống.</x:v>
      </x:c>
      <x:c r="G11" s="20" t="str">
        <x:v>Xác nhận dòng này là chú thích hàng tặng hay một mặt hàng có số lượng thực tế. Chốt tính chất và số lượng cần thể hiện khi chuẩn bị điều chỉnh toàn bộ hóa đơn. Không tự bỏ dòng hoặc đưa lại vào import.</x:v>
      </x:c>
      <x:c r="H11" s="31"/>
      <x:c r="I11" s="31"/>
      <x:c r="J11" s="31"/>
      <x:c r="K11" s="31"/>
      <x:c r="L11" s="31"/>
      <x:c r="M11" s="32"/>
      <x:c r="N11" s="19" t="str">
        <x:f>IF(COUNTA(H11:M11)=0,"Chưa phản hồi",IF(AND(H11&lt;&gt;"",I11&lt;&gt;"",J11&lt;&gt;"",K11&lt;&gt;""),"Đủ trường phản hồi","Cần bổ sung"))</x:f>
        <x:v>Chưa phản hồi</x:v>
      </x:c>
    </x:row>
    <x:row r="12" ht="72" customHeight="1">
      <x:c r="A12" s="19" t="str">
        <x:v>SL05</x:v>
      </x:c>
      <x:c r="B12" s="23" t="str">
        <x:v>1C24TUV/00000784</x:v>
      </x:c>
      <x:c r="C12" s="21" t="d">
        <x:v>2024-12-31T00:00:00.000Z</x:v>
      </x:c>
      <x:c r="D12" s="23"/>
      <x:c r="E12" s="21"/>
      <x:c r="F12" s="19" t="str">
        <x:v>Nhóm chưa điều chỉnh. Toàn bộ 3 dòng đã được giữ ngoài import vì dòng “( Hàng tặng không thu tiền)” lưu SL/đơn giá/thành tiền = 0 ở bảng kiểm. Bảng xuất mới: SL trống, đơn giá trống, thành tiền trống.</x:v>
      </x:c>
      <x:c r="G12" s="19" t="str">
        <x:v>Xác nhận dòng này là chú thích hàng tặng hay một mặt hàng có số lượng thực tế. Chốt tính chất và số lượng cần thể hiện khi chuẩn bị điều chỉnh toàn bộ hóa đơn. Không tự bỏ dòng hoặc đưa lại vào import.</x:v>
      </x:c>
      <x:c r="H12" s="31"/>
      <x:c r="I12" s="31"/>
      <x:c r="J12" s="31"/>
      <x:c r="K12" s="31"/>
      <x:c r="L12" s="31"/>
      <x:c r="M12" s="32"/>
      <x:c r="N12" s="19" t="str">
        <x:f>IF(COUNTA(H12:M12)=0,"Chưa phản hồi",IF(AND(H12&lt;&gt;"",I12&lt;&gt;"",J12&lt;&gt;"",K12&lt;&gt;""),"Đủ trường phản hồi","Cần bổ sung"))</x:f>
        <x:v>Chưa phản hồi</x:v>
      </x:c>
    </x:row>
    <x:row r="13" ht="72" customHeight="1">
      <x:c r="A13" s="20" t="str">
        <x:v>SL06</x:v>
      </x:c>
      <x:c r="B13" s="24" t="str">
        <x:v>1C24TUV/00000786</x:v>
      </x:c>
      <x:c r="C13" s="22" t="d">
        <x:v>2024-12-31T00:00:00.000Z</x:v>
      </x:c>
      <x:c r="D13" s="24"/>
      <x:c r="E13" s="22"/>
      <x:c r="F13" s="20" t="str">
        <x:v>Nhóm chưa điều chỉnh. Toàn bộ 15 dòng đã được giữ ngoài import vì dòng “( hàng tặng không thu tiền)” lưu SL/đơn giá/thành tiền = 0 ở bảng kiểm. Bảng xuất mới: SL trống, đơn giá trống, thành tiền trống.</x:v>
      </x:c>
      <x:c r="G13" s="20" t="str">
        <x:v>Xác nhận dòng này là chú thích hàng tặng hay một mặt hàng có số lượng thực tế. Chốt tính chất và số lượng cần thể hiện khi chuẩn bị điều chỉnh toàn bộ hóa đơn. Không tự bỏ dòng hoặc đưa lại vào import.</x:v>
      </x:c>
      <x:c r="H13" s="31"/>
      <x:c r="I13" s="31"/>
      <x:c r="J13" s="31"/>
      <x:c r="K13" s="31"/>
      <x:c r="L13" s="31"/>
      <x:c r="M13" s="32"/>
      <x:c r="N13" s="19" t="str">
        <x:f>IF(COUNTA(H13:M13)=0,"Chưa phản hồi",IF(AND(H13&lt;&gt;"",I13&lt;&gt;"",J13&lt;&gt;"",K13&lt;&gt;""),"Đủ trường phản hồi","Cần bổ sung"))</x:f>
        <x:v>Chưa phản hồi</x:v>
      </x:c>
    </x:row>
    <x:row r="14" ht="72" customHeight="1">
      <x:c r="A14" s="19" t="str">
        <x:v>SL07</x:v>
      </x:c>
      <x:c r="B14" s="23" t="str">
        <x:v>1C25TUV/00002796</x:v>
      </x:c>
      <x:c r="C14" s="21" t="d">
        <x:v>2025-06-01T00:00:00.000Z</x:v>
      </x:c>
      <x:c r="D14" s="23"/>
      <x:c r="E14" s="21"/>
      <x:c r="F14" s="19" t="str">
        <x:v>Nhóm chưa điều chỉnh. Toàn bộ 2 dòng đã được giữ ngoài import vì dòng “Vợt bắt muỗi tự động 2 trong 1 thu hút các loại côn trùng KM002” lưu SL/đơn giá/thành tiền = 0 ở bảng kiểm. Bảng xuất mới: SL trống, đơn giá trống, thành tiền trống.</x:v>
      </x:c>
      <x:c r="G14" s="19" t="str">
        <x:v>Đối chiếu mặt hàng tặng KM002/KM003 với chứng từ bán hoặc XML gốc. Chốt số lượng thực tế và tính chất dòng, giải thích vì sao SL/đơn giá/thành tiền bằng 0. Xác định cách thể hiện khi chuẩn bị điều chỉnh.</x:v>
      </x:c>
      <x:c r="H14" s="31"/>
      <x:c r="I14" s="31"/>
      <x:c r="J14" s="31"/>
      <x:c r="K14" s="31"/>
      <x:c r="L14" s="31"/>
      <x:c r="M14" s="32"/>
      <x:c r="N14" s="19" t="str">
        <x:f>IF(COUNTA(H14:M14)=0,"Chưa phản hồi",IF(AND(H14&lt;&gt;"",I14&lt;&gt;"",J14&lt;&gt;"",K14&lt;&gt;""),"Đủ trường phản hồi","Cần bổ sung"))</x:f>
        <x:v>Chưa phản hồi</x:v>
      </x:c>
    </x:row>
    <x:row r="15" ht="72" customHeight="1">
      <x:c r="A15" s="20" t="str">
        <x:v>SL08</x:v>
      </x:c>
      <x:c r="B15" s="24" t="str">
        <x:v>1C25TUV/00002797</x:v>
      </x:c>
      <x:c r="C15" s="22" t="d">
        <x:v>2025-06-01T00:00:00.000Z</x:v>
      </x:c>
      <x:c r="D15" s="24"/>
      <x:c r="E15" s="22"/>
      <x:c r="F15" s="20" t="str">
        <x:v>Nhóm chưa điều chỉnh. Toàn bộ 2 dòng đã được giữ ngoài import vì dòng “Vợt bắt muỗi tự động 2 trong 1 thu hút các loại côn trùng KM003” lưu SL/đơn giá/thành tiền = 0 ở bảng kiểm. Bảng xuất mới: SL trống, đơn giá trống, thành tiền trống.</x:v>
      </x:c>
      <x:c r="G15" s="20" t="str">
        <x:v>Đối chiếu mặt hàng tặng KM002/KM003 với chứng từ bán hoặc XML gốc. Chốt số lượng thực tế và tính chất dòng, giải thích vì sao SL/đơn giá/thành tiền bằng 0. Xác định cách thể hiện khi chuẩn bị điều chỉnh.</x:v>
      </x:c>
      <x:c r="H15" s="31"/>
      <x:c r="I15" s="31"/>
      <x:c r="J15" s="31"/>
      <x:c r="K15" s="31"/>
      <x:c r="L15" s="31"/>
      <x:c r="M15" s="32"/>
      <x:c r="N15" s="19" t="str">
        <x:f>IF(COUNTA(H15:M15)=0,"Chưa phản hồi",IF(AND(H15&lt;&gt;"",I15&lt;&gt;"",J15&lt;&gt;"",K15&lt;&gt;""),"Đủ trường phản hồi","Cần bổ sung"))</x:f>
        <x:v>Chưa phản hồi</x:v>
      </x:c>
    </x:row>
  </x:sheetData>
  <x:conditionalFormatting sqref="N8:N15">
    <x:cfRule type="containsText" dxfId="2" priority="1" operator="containsText" text="Cần bổ sung"/>
  </x:conditionalFormatting>
  <x:pageMargins left="0.7" right="0.7" top="0.75" bottom="0.75" header="0.3" footer="0.3"/>
  <x:tableParts count="1">
    <x:tablePart xmlns:r="http://schemas.openxmlformats.org/officeDocument/2006/relationships" r:id="R9ce412a31e654847"/>
  </x:tableParts>
</x:worksheet>
</file>

<file path=xl/worksheets/sheet4.xml><?xml version="1.0" encoding="utf-8"?>
<x:worksheet xmlns:x="http://schemas.openxmlformats.org/spreadsheetml/2006/main">
  <x:sheetPr>
    <x:tabColor rgb="FF496B8A"/>
  </x:sheetPr>
  <x:sheetViews>
    <x:sheetView showGridLines="0" workbookViewId="0">
      <x:pane xSplit="2" ySplit="7" topLeftCell="C8" activePane="bottomRight" state="frozen"/>
    </x:sheetView>
  </x:sheetViews>
  <x:sheetFormatPr defaultRowHeight="15"/>
  <x:cols>
    <x:col min="1" max="1" width="11" hidden="0" customWidth="1"/>
    <x:col min="2" max="2" width="25" hidden="0" customWidth="1"/>
    <x:col min="3" max="3" width="14" hidden="0" customWidth="1"/>
    <x:col min="4" max="4" width="25" hidden="0" customWidth="1"/>
    <x:col min="5" max="5" width="14" hidden="0" customWidth="1"/>
    <x:col min="6" max="6" width="57" hidden="0" customWidth="1"/>
    <x:col min="7" max="7" width="65" hidden="0" customWidth="1"/>
    <x:col min="8" max="8" width="40" hidden="0" customWidth="1"/>
    <x:col min="9" max="9" width="40" hidden="0" customWidth="1"/>
    <x:col min="10" max="10" width="40" hidden="0" customWidth="1"/>
    <x:col min="11" max="11" width="40" hidden="0" customWidth="1"/>
    <x:col min="12" max="12" width="21" hidden="0" customWidth="1"/>
    <x:col min="13" max="13" width="15" hidden="0" customWidth="1"/>
    <x:col min="14" max="14" width="25" hidden="0" customWidth="1"/>
  </x:cols>
  <x:sheetData>
    <x:row r="1">
      <x:c r="A1" s="2"/>
      <x:c r="B1" s="2"/>
      <x:c r="C1" s="2"/>
      <x:c r="D1" s="2"/>
      <x:c r="E1" s="2"/>
      <x:c r="F1" s="2"/>
      <x:c r="G1" s="2"/>
      <x:c r="H1" s="2"/>
      <x:c r="I1" s="2"/>
      <x:c r="J1" s="2"/>
      <x:c r="K1" s="2"/>
      <x:c r="L1" s="2"/>
      <x:c r="M1" s="2"/>
      <x:c r="N1" s="2"/>
    </x:row>
    <x:row r="2" ht="27" customHeight="1">
      <x:c r="A2" s="3" t="str">
        <x:v>Thanh toán gốc để trống</x:v>
      </x:c>
      <x:c r="B2" s="2"/>
      <x:c r="C2" s="2"/>
      <x:c r="D2" s="2"/>
      <x:c r="E2" s="2"/>
      <x:c r="F2" s="2"/>
      <x:c r="G2" s="2"/>
      <x:c r="H2" s="2"/>
      <x:c r="I2" s="2"/>
      <x:c r="J2" s="2"/>
      <x:c r="K2" s="2"/>
      <x:c r="L2" s="2"/>
      <x:c r="M2" s="2"/>
      <x:c r="N2" s="2"/>
    </x:row>
    <x:row r="3">
      <x:c r="A3" s="2" t="str">
        <x:v>Cập nhật</x:v>
      </x:c>
      <x:c r="B3" s="4" t="d">
        <x:v>2026-10-11T00:00:00.000Z</x:v>
      </x:c>
      <x:c r="C3" s="2"/>
      <x:c r="D3" s="2"/>
      <x:c r="E3" s="2"/>
      <x:c r="F3" s="2"/>
      <x:c r="G3" s="2"/>
      <x:c r="H3" s="2"/>
      <x:c r="I3" s="2"/>
      <x:c r="J3" s="2"/>
      <x:c r="K3" s="2"/>
      <x:c r="L3" s="2"/>
      <x:c r="M3" s="2"/>
      <x:c r="N3" s="2"/>
    </x:row>
    <x:row r="4">
      <x:c r="A4" s="6" t="str">
        <x:v>Ô vàng: kế toán điền nguyên nhân, hướng xử lý, số liệu/nội dung đúng và căn cứ.</x:v>
      </x:c>
      <x:c r="B4" s="2"/>
      <x:c r="C4" s="2"/>
      <x:c r="D4" s="2"/>
      <x:c r="E4" s="2"/>
      <x:c r="F4" s="2"/>
      <x:c r="G4" s="2"/>
      <x:c r="H4" s="2"/>
      <x:c r="I4" s="2"/>
      <x:c r="J4" s="2"/>
      <x:c r="K4" s="2"/>
      <x:c r="L4" s="2"/>
      <x:c r="M4" s="2"/>
      <x:c r="N4" s="2"/>
    </x:row>
    <x:row r="5">
      <x:c r="A5" s="6" t="str">
        <x:v>Số/ngày của mọi hóa đơn trong chuỗi và số tiền nguồn nằm tại sheet Hoa don lien quan.</x:v>
      </x:c>
      <x:c r="B5" s="2"/>
      <x:c r="C5" s="2"/>
      <x:c r="D5" s="2"/>
      <x:c r="E5" s="2"/>
      <x:c r="F5" s="2"/>
      <x:c r="G5" s="2"/>
      <x:c r="H5" s="2"/>
      <x:c r="I5" s="2"/>
      <x:c r="J5" s="2"/>
      <x:c r="K5" s="2"/>
      <x:c r="L5" s="2"/>
      <x:c r="M5" s="2"/>
      <x:c r="N5" s="2"/>
    </x:row>
    <x:row r="6">
      <x:c r="A6" s="5"/>
      <x:c r="B6" s="5"/>
      <x:c r="C6" s="5"/>
      <x:c r="D6" s="5"/>
      <x:c r="E6" s="5"/>
      <x:c r="F6" s="5"/>
      <x:c r="G6" s="5"/>
      <x:c r="H6" s="5"/>
      <x:c r="I6" s="5"/>
      <x:c r="J6" s="5"/>
      <x:c r="K6" s="5"/>
      <x:c r="L6" s="5"/>
      <x:c r="M6" s="5"/>
      <x:c r="N6" s="5"/>
    </x:row>
    <x:row r="7" ht="46" customHeight="1">
      <x:c r="A7" s="15" t="str">
        <x:v>Mã hồ sơ</x:v>
      </x:c>
      <x:c r="B7" s="16" t="str">
        <x:v>Hóa đơn gốc</x:v>
      </x:c>
      <x:c r="C7" s="16" t="str">
        <x:v>Ngày gốc</x:v>
      </x:c>
      <x:c r="D7" s="16" t="str">
        <x:v>HĐ điều chỉnh liên quan</x:v>
      </x:c>
      <x:c r="E7" s="16" t="str">
        <x:v>Ngày điều chỉnh</x:v>
      </x:c>
      <x:c r="F7" s="16" t="str">
        <x:v>Ghi nhận cần kiểm tra</x:v>
      </x:c>
      <x:c r="G7" s="16" t="str">
        <x:v>Câu hỏi cần kế toán kết luận</x:v>
      </x:c>
      <x:c r="H7" s="29" t="str">
        <x:v>Nguyên nhân (KT điền)</x:v>
      </x:c>
      <x:c r="I7" s="29" t="str">
        <x:v>Hướng xử lý (KT điền)</x:v>
      </x:c>
      <x:c r="J7" s="29" t="str">
        <x:v>Số liệu/nội dung đúng (KT điền)</x:v>
      </x:c>
      <x:c r="K7" s="29" t="str">
        <x:v>Căn cứ/chứng từ (KT điền)</x:v>
      </x:c>
      <x:c r="L7" s="29" t="str">
        <x:v>Người phản hồi</x:v>
      </x:c>
      <x:c r="M7" s="29" t="str">
        <x:v>Ngày phản hồi</x:v>
      </x:c>
      <x:c r="N7" s="17" t="str">
        <x:v>Theo dõi phản hồi</x:v>
      </x:c>
    </x:row>
    <x:row r="8" ht="72" customHeight="1">
      <x:c r="A8" s="19" t="str">
        <x:v>TT01</x:v>
      </x:c>
      <x:c r="B8" s="23" t="str">
        <x:v>1C25TUV/00000006</x:v>
      </x:c>
      <x:c r="C8" s="21" t="d">
        <x:v>2025-01-07T00:00:00.000Z</x:v>
      </x:c>
      <x:c r="D8" s="23" t="str">
        <x:v>1C25TUV/00000655</x:v>
      </x:c>
      <x:c r="E8" s="21" t="d">
        <x:v>2025-05-05T00:00:00.000Z</x:v>
      </x:c>
      <x:c r="F8" s="19" t="str">
        <x:v>Bảng tổng của hóa đơn gốc ghi tiền hàng = 0, thuế = 0 nhưng thanh toán để trống. Chưa có XML gốc trong phần nguồn đã lưu hiện tại để xác nhận giá trị thanh toán. Điều chỉnh liên quan đã có XML.</x:v>
      </x:c>
      <x:c r="G8" s="19" t="str">
        <x:v>Thanh toán gốc đúng là 0 hay bảng xuất đang thiếu? Nếu thiếu, chốt giá trị đúng và căn cứ. Nếu đúng 0, xác nhận rõ cho riêng hóa đơn này. Không áp dụng quy ước của gốc 1C24TUV/00000574 sang đây.</x:v>
      </x:c>
      <x:c r="H8" s="31"/>
      <x:c r="I8" s="31"/>
      <x:c r="J8" s="31"/>
      <x:c r="K8" s="31"/>
      <x:c r="L8" s="31"/>
      <x:c r="M8" s="32"/>
      <x:c r="N8" s="19" t="str">
        <x:f>IF(COUNTA(H8:M8)=0,"Chưa phản hồi",IF(AND(H8&lt;&gt;"",I8&lt;&gt;"",J8&lt;&gt;"",K8&lt;&gt;""),"Đủ trường phản hồi","Cần bổ sung"))</x:f>
        <x:v>Chưa phản hồi</x:v>
      </x:c>
    </x:row>
    <x:row r="9" ht="72" customHeight="1">
      <x:c r="A9" s="20" t="str">
        <x:v>TT02</x:v>
      </x:c>
      <x:c r="B9" s="24" t="str">
        <x:v>1C25TUV/00000016</x:v>
      </x:c>
      <x:c r="C9" s="22" t="d">
        <x:v>2025-01-14T00:00:00.000Z</x:v>
      </x:c>
      <x:c r="D9" s="24" t="str">
        <x:v>1C25TUV/00000657</x:v>
      </x:c>
      <x:c r="E9" s="22" t="d">
        <x:v>2025-05-05T00:00:00.000Z</x:v>
      </x:c>
      <x:c r="F9" s="20" t="str">
        <x:v>Bảng tổng của hóa đơn gốc ghi tiền hàng = 0, thuế = 0 nhưng thanh toán để trống. Chưa có XML gốc trong phần nguồn đã lưu hiện tại để xác nhận giá trị thanh toán. Điều chỉnh liên quan đã có XML.</x:v>
      </x:c>
      <x:c r="G9" s="20" t="str">
        <x:v>Thanh toán gốc đúng là 0 hay bảng xuất đang thiếu? Nếu thiếu, chốt giá trị đúng và căn cứ. Nếu đúng 0, xác nhận rõ cho riêng hóa đơn này. Không áp dụng quy ước của gốc 1C24TUV/00000574 sang đây.</x:v>
      </x:c>
      <x:c r="H9" s="31"/>
      <x:c r="I9" s="31"/>
      <x:c r="J9" s="31"/>
      <x:c r="K9" s="31"/>
      <x:c r="L9" s="31"/>
      <x:c r="M9" s="32"/>
      <x:c r="N9" s="19" t="str">
        <x:f>IF(COUNTA(H9:M9)=0,"Chưa phản hồi",IF(AND(H9&lt;&gt;"",I9&lt;&gt;"",J9&lt;&gt;"",K9&lt;&gt;""),"Đủ trường phản hồi","Cần bổ sung"))</x:f>
        <x:v>Chưa phản hồi</x:v>
      </x:c>
    </x:row>
  </x:sheetData>
  <x:conditionalFormatting sqref="N8:N9">
    <x:cfRule type="containsText" dxfId="3" priority="1" operator="containsText" text="Cần bổ sung"/>
  </x:conditionalFormatting>
  <x:pageMargins left="0.7" right="0.7" top="0.75" bottom="0.75" header="0.3" footer="0.3"/>
  <x:tableParts count="1">
    <x:tablePart xmlns:r="http://schemas.openxmlformats.org/officeDocument/2006/relationships" r:id="Rd57ff63cb032431c"/>
  </x:tableParts>
</x:worksheet>
</file>

<file path=xl/worksheets/sheet5.xml><?xml version="1.0" encoding="utf-8"?>
<x:worksheet xmlns:x="http://schemas.openxmlformats.org/spreadsheetml/2006/main">
  <x:sheetPr>
    <x:tabColor rgb="FF496B8A"/>
  </x:sheetPr>
  <x:sheetViews>
    <x:sheetView showGridLines="0" workbookViewId="0">
      <x:pane xSplit="2" ySplit="7" topLeftCell="C8" activePane="bottomRight" state="frozen"/>
    </x:sheetView>
  </x:sheetViews>
  <x:sheetFormatPr defaultRowHeight="15"/>
  <x:cols>
    <x:col min="1" max="1" width="11" hidden="0" customWidth="1"/>
    <x:col min="2" max="2" width="25" hidden="0" customWidth="1"/>
    <x:col min="3" max="3" width="14" hidden="0" customWidth="1"/>
    <x:col min="4" max="4" width="25" hidden="0" customWidth="1"/>
    <x:col min="5" max="5" width="14" hidden="0" customWidth="1"/>
    <x:col min="6" max="6" width="57" hidden="0" customWidth="1"/>
    <x:col min="7" max="7" width="65" hidden="0" customWidth="1"/>
    <x:col min="8" max="8" width="40" hidden="0" customWidth="1"/>
    <x:col min="9" max="9" width="40" hidden="0" customWidth="1"/>
    <x:col min="10" max="10" width="40" hidden="0" customWidth="1"/>
    <x:col min="11" max="11" width="40" hidden="0" customWidth="1"/>
    <x:col min="12" max="12" width="21" hidden="0" customWidth="1"/>
    <x:col min="13" max="13" width="15" hidden="0" customWidth="1"/>
    <x:col min="14" max="14" width="25" hidden="0" customWidth="1"/>
  </x:cols>
  <x:sheetData>
    <x:row r="1">
      <x:c r="A1" s="2"/>
      <x:c r="B1" s="2"/>
      <x:c r="C1" s="2"/>
      <x:c r="D1" s="2"/>
      <x:c r="E1" s="2"/>
      <x:c r="F1" s="2"/>
      <x:c r="G1" s="2"/>
      <x:c r="H1" s="2"/>
      <x:c r="I1" s="2"/>
      <x:c r="J1" s="2"/>
      <x:c r="K1" s="2"/>
      <x:c r="L1" s="2"/>
      <x:c r="M1" s="2"/>
      <x:c r="N1" s="2"/>
    </x:row>
    <x:row r="2" ht="27" customHeight="1">
      <x:c r="A2" s="3" t="str">
        <x:v>Khác loại hàng hoặc mô tả</x:v>
      </x:c>
      <x:c r="B2" s="2"/>
      <x:c r="C2" s="2"/>
      <x:c r="D2" s="2"/>
      <x:c r="E2" s="2"/>
      <x:c r="F2" s="2"/>
      <x:c r="G2" s="2"/>
      <x:c r="H2" s="2"/>
      <x:c r="I2" s="2"/>
      <x:c r="J2" s="2"/>
      <x:c r="K2" s="2"/>
      <x:c r="L2" s="2"/>
      <x:c r="M2" s="2"/>
      <x:c r="N2" s="2"/>
    </x:row>
    <x:row r="3">
      <x:c r="A3" s="2" t="str">
        <x:v>Cập nhật</x:v>
      </x:c>
      <x:c r="B3" s="4" t="d">
        <x:v>2026-10-11T00:00:00.000Z</x:v>
      </x:c>
      <x:c r="C3" s="2"/>
      <x:c r="D3" s="2"/>
      <x:c r="E3" s="2"/>
      <x:c r="F3" s="2"/>
      <x:c r="G3" s="2"/>
      <x:c r="H3" s="2"/>
      <x:c r="I3" s="2"/>
      <x:c r="J3" s="2"/>
      <x:c r="K3" s="2"/>
      <x:c r="L3" s="2"/>
      <x:c r="M3" s="2"/>
      <x:c r="N3" s="2"/>
    </x:row>
    <x:row r="4">
      <x:c r="A4" s="6" t="str">
        <x:v>Ô vàng: kế toán điền nguyên nhân, hướng xử lý, số liệu/nội dung đúng và căn cứ.</x:v>
      </x:c>
      <x:c r="B4" s="2"/>
      <x:c r="C4" s="2"/>
      <x:c r="D4" s="2"/>
      <x:c r="E4" s="2"/>
      <x:c r="F4" s="2"/>
      <x:c r="G4" s="2"/>
      <x:c r="H4" s="2"/>
      <x:c r="I4" s="2"/>
      <x:c r="J4" s="2"/>
      <x:c r="K4" s="2"/>
      <x:c r="L4" s="2"/>
      <x:c r="M4" s="2"/>
      <x:c r="N4" s="2"/>
    </x:row>
    <x:row r="5">
      <x:c r="A5" s="6" t="str">
        <x:v>Số/ngày của mọi hóa đơn trong chuỗi và số tiền nguồn nằm tại sheet Hoa don lien quan.</x:v>
      </x:c>
      <x:c r="B5" s="2"/>
      <x:c r="C5" s="2"/>
      <x:c r="D5" s="2"/>
      <x:c r="E5" s="2"/>
      <x:c r="F5" s="2"/>
      <x:c r="G5" s="2"/>
      <x:c r="H5" s="2"/>
      <x:c r="I5" s="2"/>
      <x:c r="J5" s="2"/>
      <x:c r="K5" s="2"/>
      <x:c r="L5" s="2"/>
      <x:c r="M5" s="2"/>
      <x:c r="N5" s="2"/>
    </x:row>
    <x:row r="6">
      <x:c r="A6" s="5"/>
      <x:c r="B6" s="5"/>
      <x:c r="C6" s="5"/>
      <x:c r="D6" s="5"/>
      <x:c r="E6" s="5"/>
      <x:c r="F6" s="5"/>
      <x:c r="G6" s="5"/>
      <x:c r="H6" s="5"/>
      <x:c r="I6" s="5"/>
      <x:c r="J6" s="5"/>
      <x:c r="K6" s="5"/>
      <x:c r="L6" s="5"/>
      <x:c r="M6" s="5"/>
      <x:c r="N6" s="5"/>
    </x:row>
    <x:row r="7" ht="46" customHeight="1">
      <x:c r="A7" s="15" t="str">
        <x:v>Mã hồ sơ</x:v>
      </x:c>
      <x:c r="B7" s="16" t="str">
        <x:v>Hóa đơn gốc</x:v>
      </x:c>
      <x:c r="C7" s="16" t="str">
        <x:v>Ngày gốc</x:v>
      </x:c>
      <x:c r="D7" s="16" t="str">
        <x:v>HĐ điều chỉnh liên quan</x:v>
      </x:c>
      <x:c r="E7" s="16" t="str">
        <x:v>Ngày điều chỉnh</x:v>
      </x:c>
      <x:c r="F7" s="16" t="str">
        <x:v>Ghi nhận cần kiểm tra</x:v>
      </x:c>
      <x:c r="G7" s="16" t="str">
        <x:v>Câu hỏi cần kế toán kết luận</x:v>
      </x:c>
      <x:c r="H7" s="29" t="str">
        <x:v>Nguyên nhân (KT điền)</x:v>
      </x:c>
      <x:c r="I7" s="29" t="str">
        <x:v>Hướng xử lý (KT điền)</x:v>
      </x:c>
      <x:c r="J7" s="29" t="str">
        <x:v>Số liệu/nội dung đúng (KT điền)</x:v>
      </x:c>
      <x:c r="K7" s="29" t="str">
        <x:v>Căn cứ/chứng từ (KT điền)</x:v>
      </x:c>
      <x:c r="L7" s="29" t="str">
        <x:v>Người phản hồi</x:v>
      </x:c>
      <x:c r="M7" s="29" t="str">
        <x:v>Ngày phản hồi</x:v>
      </x:c>
      <x:c r="N7" s="17" t="str">
        <x:v>Theo dõi phản hồi</x:v>
      </x:c>
    </x:row>
    <x:row r="8" ht="72" customHeight="1">
      <x:c r="A8" s="19" t="str">
        <x:v>HH01</x:v>
      </x:c>
      <x:c r="B8" s="23" t="str">
        <x:v>1C25TUV/00003548</x:v>
      </x:c>
      <x:c r="C8" s="21" t="d">
        <x:v>2025-06-06T00:00:00.000Z</x:v>
      </x:c>
      <x:c r="D8" s="23" t="str">
        <x:v>1C25TUV/00013072</x:v>
      </x:c>
      <x:c r="E8" s="21" t="d">
        <x:v>2025-09-30T00:00:00.000Z</x:v>
      </x:c>
      <x:c r="F8" s="19" t="str">
        <x:v>Khác loại hàng. Gốc: Máy lọc không khí diệt khuẩn bằng tia UVC KA150S. Điều chỉnh: Lõi lọc diệt khuẩn - Filter - KA150S. Cộng dồn tiền hàng, thuế, thanh toán đã bằng 0.</x:v>
      </x:c>
      <x:c r="G8" s="19" t="str">
        <x:v>Xác định hàng thực tế bán/trả, tên và mã hàng đúng. Bên nào ghi sai giữa gốc và điều chỉnh? Chốt hướng xử lý lần điều chỉnh cũ và dữ liệu cần chuẩn bị tiếp.</x:v>
      </x:c>
      <x:c r="H8" s="31"/>
      <x:c r="I8" s="31"/>
      <x:c r="J8" s="31"/>
      <x:c r="K8" s="31"/>
      <x:c r="L8" s="31"/>
      <x:c r="M8" s="32"/>
      <x:c r="N8" s="19" t="str">
        <x:f>IF(COUNTA(H8:M8)=0,"Chưa phản hồi",IF(AND(H8&lt;&gt;"",I8&lt;&gt;"",J8&lt;&gt;"",K8&lt;&gt;""),"Đủ trường phản hồi","Cần bổ sung"))</x:f>
        <x:v>Chưa phản hồi</x:v>
      </x:c>
    </x:row>
    <x:row r="9" ht="72" customHeight="1">
      <x:c r="A9" s="20" t="str">
        <x:v>HH02</x:v>
      </x:c>
      <x:c r="B9" s="24" t="str">
        <x:v>1C25TUV/00004026</x:v>
      </x:c>
      <x:c r="C9" s="22" t="d">
        <x:v>2025-06-08T00:00:00.000Z</x:v>
      </x:c>
      <x:c r="D9" s="24" t="str">
        <x:v>1C25TUV/00013079</x:v>
      </x:c>
      <x:c r="E9" s="22" t="d">
        <x:v>2025-09-30T00:00:00.000Z</x:v>
      </x:c>
      <x:c r="F9" s="20" t="str">
        <x:v>Khác mô tả. Gốc: Máy phun sương tạo độ ẩm không khí diệt khuẩn bằng tia UVC KH100. Điều chỉnh: Máy phun sương tạo độ ẩm không khí diệt khuẩn bằng tia UVC với màn hình LCD - KH100. Cộng dồn tiền hàng, thuế, thanh toán đã bằng 0.</x:v>
      </x:c>
      <x:c r="G9" s="20" t="str">
        <x:v>Hai mô tả có cùng mã hàng/sản phẩm thực tế không? Xác nhận rõ cùng hàng hoặc chỉ ra khác biệt. Chốt mô tả đúng và hướng xử lý nội dung điều chỉnh.</x:v>
      </x:c>
      <x:c r="H9" s="31"/>
      <x:c r="I9" s="31"/>
      <x:c r="J9" s="31"/>
      <x:c r="K9" s="31"/>
      <x:c r="L9" s="31"/>
      <x:c r="M9" s="32"/>
      <x:c r="N9" s="19" t="str">
        <x:f>IF(COUNTA(H9:M9)=0,"Chưa phản hồi",IF(AND(H9&lt;&gt;"",I9&lt;&gt;"",J9&lt;&gt;"",K9&lt;&gt;""),"Đủ trường phản hồi","Cần bổ sung"))</x:f>
        <x:v>Chưa phản hồi</x:v>
      </x:c>
    </x:row>
    <x:row r="10" ht="72" customHeight="1">
      <x:c r="A10" s="19" t="str">
        <x:v>HH03</x:v>
      </x:c>
      <x:c r="B10" s="23" t="str">
        <x:v>1C25TUV/00004953</x:v>
      </x:c>
      <x:c r="C10" s="21" t="d">
        <x:v>2025-06-12T00:00:00.000Z</x:v>
      </x:c>
      <x:c r="D10" s="23" t="str">
        <x:v>1C25TUV/00013089</x:v>
      </x:c>
      <x:c r="E10" s="21" t="d">
        <x:v>2025-09-30T00:00:00.000Z</x:v>
      </x:c>
      <x:c r="F10" s="19" t="str">
        <x:v>Khác mô tả. Gốc: Máy lọc không khí diệt khuẩn bằng tia UVC KA350 ProUpgrade. Điều chỉnh: Máy lọc không khí diệt khuẩn bằng tia UVC - KA350 Pro-Upgrade. Cộng dồn tiền hàng, thuế, thanh toán đã bằng 0.</x:v>
      </x:c>
      <x:c r="G10" s="19" t="str">
        <x:v>Hai mô tả có cùng mã hàng/sản phẩm thực tế không? Xác nhận rõ cùng hàng hoặc chỉ ra khác biệt. Chốt mô tả đúng và hướng xử lý nội dung điều chỉnh.</x:v>
      </x:c>
      <x:c r="H10" s="31"/>
      <x:c r="I10" s="31"/>
      <x:c r="J10" s="31"/>
      <x:c r="K10" s="31"/>
      <x:c r="L10" s="31"/>
      <x:c r="M10" s="32"/>
      <x:c r="N10" s="19" t="str">
        <x:f>IF(COUNTA(H10:M10)=0,"Chưa phản hồi",IF(AND(H10&lt;&gt;"",I10&lt;&gt;"",J10&lt;&gt;"",K10&lt;&gt;""),"Đủ trường phản hồi","Cần bổ sung"))</x:f>
        <x:v>Chưa phản hồi</x:v>
      </x:c>
    </x:row>
    <x:row r="11" ht="72" customHeight="1">
      <x:c r="A11" s="20" t="str">
        <x:v>HH04</x:v>
      </x:c>
      <x:c r="B11" s="24" t="str">
        <x:v>1C25TUV/00005905</x:v>
      </x:c>
      <x:c r="C11" s="22" t="d">
        <x:v>2025-06-16T00:00:00.000Z</x:v>
      </x:c>
      <x:c r="D11" s="24" t="str">
        <x:v>1C25TUV/00013095</x:v>
      </x:c>
      <x:c r="E11" s="22" t="d">
        <x:v>2025-09-30T00:00:00.000Z</x:v>
      </x:c>
      <x:c r="F11" s="20" t="str">
        <x:v>Khác loại hàng. Gốc: Lõi lọc diệt khuẩn  Filter KA600. Điều chỉnh: Máy lọc không khí diệt khuẩn bằng tia UVC - KA600. Cộng dồn tiền hàng, thuế, thanh toán đã bằng 0.</x:v>
      </x:c>
      <x:c r="G11" s="20" t="str">
        <x:v>Xác định hàng thực tế bán/trả, tên và mã hàng đúng. Bên nào ghi sai giữa gốc và điều chỉnh? Chốt hướng xử lý lần điều chỉnh cũ và dữ liệu cần chuẩn bị tiếp.</x:v>
      </x:c>
      <x:c r="H11" s="31"/>
      <x:c r="I11" s="31"/>
      <x:c r="J11" s="31"/>
      <x:c r="K11" s="31"/>
      <x:c r="L11" s="31"/>
      <x:c r="M11" s="32"/>
      <x:c r="N11" s="19" t="str">
        <x:f>IF(COUNTA(H11:M11)=0,"Chưa phản hồi",IF(AND(H11&lt;&gt;"",I11&lt;&gt;"",J11&lt;&gt;"",K11&lt;&gt;""),"Đủ trường phản hồi","Cần bổ sung"))</x:f>
        <x:v>Chưa phản hồi</x:v>
      </x:c>
    </x:row>
    <x:row r="12" ht="72" customHeight="1">
      <x:c r="A12" s="19" t="str">
        <x:v>HH05</x:v>
      </x:c>
      <x:c r="B12" s="23" t="str">
        <x:v>1C25TUV/00007766</x:v>
      </x:c>
      <x:c r="C12" s="21" t="d">
        <x:v>2025-06-22T00:00:00.000Z</x:v>
      </x:c>
      <x:c r="D12" s="23" t="str">
        <x:v>1C25TUV/00013099</x:v>
      </x:c>
      <x:c r="E12" s="21" t="d">
        <x:v>2025-09-30T00:00:00.000Z</x:v>
      </x:c>
      <x:c r="F12" s="19" t="str">
        <x:v>Khác mô tả. Gốc: Máy phun sương tạo độ ẩm không khí diệt khuẩn bằng tia UVC KH100. Điều chỉnh: Máy phun sương tạo độ ẩm không khí diệt khuẩn bằng tia UVC với màn hình LCD - KH100. Cộng dồn tiền hàng, thuế, thanh toán đã bằng 0.</x:v>
      </x:c>
      <x:c r="G12" s="19" t="str">
        <x:v>Hai mô tả có cùng mã hàng/sản phẩm thực tế không? Xác nhận rõ cùng hàng hoặc chỉ ra khác biệt. Chốt mô tả đúng và hướng xử lý nội dung điều chỉnh.</x:v>
      </x:c>
      <x:c r="H12" s="31"/>
      <x:c r="I12" s="31"/>
      <x:c r="J12" s="31"/>
      <x:c r="K12" s="31"/>
      <x:c r="L12" s="31"/>
      <x:c r="M12" s="32"/>
      <x:c r="N12" s="19" t="str">
        <x:f>IF(COUNTA(H12:M12)=0,"Chưa phản hồi",IF(AND(H12&lt;&gt;"",I12&lt;&gt;"",J12&lt;&gt;"",K12&lt;&gt;""),"Đủ trường phản hồi","Cần bổ sung"))</x:f>
        <x:v>Chưa phản hồi</x:v>
      </x:c>
    </x:row>
  </x:sheetData>
  <x:conditionalFormatting sqref="N8:N12">
    <x:cfRule type="containsText" dxfId="4" priority="1" operator="containsText" text="Cần bổ sung"/>
  </x:conditionalFormatting>
  <x:pageMargins left="0.7" right="0.7" top="0.75" bottom="0.75" header="0.3" footer="0.3"/>
  <x:tableParts count="1">
    <x:tablePart xmlns:r="http://schemas.openxmlformats.org/officeDocument/2006/relationships" r:id="R8638ddee80b9444d"/>
  </x:tableParts>
</x:worksheet>
</file>

<file path=xl/worksheets/sheet6.xml><?xml version="1.0" encoding="utf-8"?>
<x:worksheet xmlns:x="http://schemas.openxmlformats.org/spreadsheetml/2006/main">
  <x:sheetPr>
    <x:tabColor rgb="FF496B8A"/>
  </x:sheetPr>
  <x:sheetViews>
    <x:sheetView showGridLines="0" workbookViewId="0">
      <x:pane xSplit="2" ySplit="7" topLeftCell="C8" activePane="bottomRight" state="frozen"/>
    </x:sheetView>
  </x:sheetViews>
  <x:sheetFormatPr defaultRowHeight="15"/>
  <x:cols>
    <x:col min="1" max="1" width="11" hidden="0" customWidth="1"/>
    <x:col min="2" max="2" width="25" hidden="0" customWidth="1"/>
    <x:col min="3" max="3" width="14" hidden="0" customWidth="1"/>
    <x:col min="4" max="4" width="25" hidden="0" customWidth="1"/>
    <x:col min="5" max="5" width="14" hidden="0" customWidth="1"/>
    <x:col min="6" max="6" width="57" hidden="0" customWidth="1"/>
    <x:col min="7" max="7" width="65" hidden="0" customWidth="1"/>
    <x:col min="8" max="8" width="40" hidden="0" customWidth="1"/>
    <x:col min="9" max="9" width="40" hidden="0" customWidth="1"/>
    <x:col min="10" max="10" width="40" hidden="0" customWidth="1"/>
    <x:col min="11" max="11" width="40" hidden="0" customWidth="1"/>
    <x:col min="12" max="12" width="21" hidden="0" customWidth="1"/>
    <x:col min="13" max="13" width="15" hidden="0" customWidth="1"/>
    <x:col min="14" max="14" width="25" hidden="0" customWidth="1"/>
  </x:cols>
  <x:sheetData>
    <x:row r="1">
      <x:c r="A1" s="2"/>
      <x:c r="B1" s="2"/>
      <x:c r="C1" s="2"/>
      <x:c r="D1" s="2"/>
      <x:c r="E1" s="2"/>
      <x:c r="F1" s="2"/>
      <x:c r="G1" s="2"/>
      <x:c r="H1" s="2"/>
      <x:c r="I1" s="2"/>
      <x:c r="J1" s="2"/>
      <x:c r="K1" s="2"/>
      <x:c r="L1" s="2"/>
      <x:c r="M1" s="2"/>
      <x:c r="N1" s="2"/>
    </x:row>
    <x:row r="2" ht="27" customHeight="1">
      <x:c r="A2" s="3" t="str">
        <x:v>Cách ghi số lượng và giá trị điều chỉnh</x:v>
      </x:c>
      <x:c r="B2" s="2"/>
      <x:c r="C2" s="2"/>
      <x:c r="D2" s="2"/>
      <x:c r="E2" s="2"/>
      <x:c r="F2" s="2"/>
      <x:c r="G2" s="2"/>
      <x:c r="H2" s="2"/>
      <x:c r="I2" s="2"/>
      <x:c r="J2" s="2"/>
      <x:c r="K2" s="2"/>
      <x:c r="L2" s="2"/>
      <x:c r="M2" s="2"/>
      <x:c r="N2" s="2"/>
    </x:row>
    <x:row r="3">
      <x:c r="A3" s="2" t="str">
        <x:v>Cập nhật</x:v>
      </x:c>
      <x:c r="B3" s="4" t="d">
        <x:v>2026-10-11T00:00:00.000Z</x:v>
      </x:c>
      <x:c r="C3" s="2"/>
      <x:c r="D3" s="2"/>
      <x:c r="E3" s="2"/>
      <x:c r="F3" s="2"/>
      <x:c r="G3" s="2"/>
      <x:c r="H3" s="2"/>
      <x:c r="I3" s="2"/>
      <x:c r="J3" s="2"/>
      <x:c r="K3" s="2"/>
      <x:c r="L3" s="2"/>
      <x:c r="M3" s="2"/>
      <x:c r="N3" s="2"/>
    </x:row>
    <x:row r="4">
      <x:c r="A4" s="6" t="str">
        <x:v>Ô vàng: kế toán điền nguyên nhân, hướng xử lý, số liệu/nội dung đúng và căn cứ.</x:v>
      </x:c>
      <x:c r="B4" s="2"/>
      <x:c r="C4" s="2"/>
      <x:c r="D4" s="2"/>
      <x:c r="E4" s="2"/>
      <x:c r="F4" s="2"/>
      <x:c r="G4" s="2"/>
      <x:c r="H4" s="2"/>
      <x:c r="I4" s="2"/>
      <x:c r="J4" s="2"/>
      <x:c r="K4" s="2"/>
      <x:c r="L4" s="2"/>
      <x:c r="M4" s="2"/>
      <x:c r="N4" s="2"/>
    </x:row>
    <x:row r="5">
      <x:c r="A5" s="6" t="str">
        <x:v>Số/ngày của mọi hóa đơn trong chuỗi và số tiền nguồn nằm tại sheet Hoa don lien quan.</x:v>
      </x:c>
      <x:c r="B5" s="2"/>
      <x:c r="C5" s="2"/>
      <x:c r="D5" s="2"/>
      <x:c r="E5" s="2"/>
      <x:c r="F5" s="2"/>
      <x:c r="G5" s="2"/>
      <x:c r="H5" s="2"/>
      <x:c r="I5" s="2"/>
      <x:c r="J5" s="2"/>
      <x:c r="K5" s="2"/>
      <x:c r="L5" s="2"/>
      <x:c r="M5" s="2"/>
      <x:c r="N5" s="2"/>
    </x:row>
    <x:row r="6">
      <x:c r="A6" s="5"/>
      <x:c r="B6" s="5"/>
      <x:c r="C6" s="5"/>
      <x:c r="D6" s="5"/>
      <x:c r="E6" s="5"/>
      <x:c r="F6" s="5"/>
      <x:c r="G6" s="5"/>
      <x:c r="H6" s="5"/>
      <x:c r="I6" s="5"/>
      <x:c r="J6" s="5"/>
      <x:c r="K6" s="5"/>
      <x:c r="L6" s="5"/>
      <x:c r="M6" s="5"/>
      <x:c r="N6" s="5"/>
    </x:row>
    <x:row r="7" ht="46" customHeight="1">
      <x:c r="A7" s="15" t="str">
        <x:v>Mã hồ sơ</x:v>
      </x:c>
      <x:c r="B7" s="16" t="str">
        <x:v>Hóa đơn gốc</x:v>
      </x:c>
      <x:c r="C7" s="16" t="str">
        <x:v>Ngày gốc</x:v>
      </x:c>
      <x:c r="D7" s="16" t="str">
        <x:v>HĐ điều chỉnh liên quan</x:v>
      </x:c>
      <x:c r="E7" s="16" t="str">
        <x:v>Ngày điều chỉnh</x:v>
      </x:c>
      <x:c r="F7" s="16" t="str">
        <x:v>Ghi nhận cần kiểm tra</x:v>
      </x:c>
      <x:c r="G7" s="16" t="str">
        <x:v>Câu hỏi cần kế toán kết luận</x:v>
      </x:c>
      <x:c r="H7" s="29" t="str">
        <x:v>Nguyên nhân (KT điền)</x:v>
      </x:c>
      <x:c r="I7" s="29" t="str">
        <x:v>Hướng xử lý (KT điền)</x:v>
      </x:c>
      <x:c r="J7" s="29" t="str">
        <x:v>Số liệu/nội dung đúng (KT điền)</x:v>
      </x:c>
      <x:c r="K7" s="29" t="str">
        <x:v>Căn cứ/chứng từ (KT điền)</x:v>
      </x:c>
      <x:c r="L7" s="29" t="str">
        <x:v>Người phản hồi</x:v>
      </x:c>
      <x:c r="M7" s="29" t="str">
        <x:v>Ngày phản hồi</x:v>
      </x:c>
      <x:c r="N7" s="17" t="str">
        <x:v>Theo dõi phản hồi</x:v>
      </x:c>
    </x:row>
    <x:row r="8" ht="72" customHeight="1">
      <x:c r="A8" s="19" t="str">
        <x:v>DC01</x:v>
      </x:c>
      <x:c r="B8" s="23" t="str">
        <x:v>1C25TUV/00001061</x:v>
      </x:c>
      <x:c r="C8" s="21" t="d">
        <x:v>2025-05-26T00:00:00.000Z</x:v>
      </x:c>
      <x:c r="D8" s="23" t="str">
        <x:v>1C25TUV/00012835</x:v>
      </x:c>
      <x:c r="E8" s="21" t="d">
        <x:v>2025-08-16T00:00:00.000Z</x:v>
      </x:c>
      <x:c r="F8" s="19" t="str">
        <x:v>Gốc có 1 đèn bắt muỗi KM300. Điều chỉnh giảm một khoản tổng: SL/đơn giá = 0, thành tiền dòng -499.074, thuế -39.926, thanh toán -539.000. Tiền dòng khớp phần tổng và chuỗi đã về 0.</x:v>
      </x:c>
      <x:c r="G8" s="19" t="str">
        <x:v>Nghiệp vụ thực tế là giảm một khoản tiền hay giảm toàn bộ 1 sản phẩm KM300? Chốt cách thể hiện nội dung/số lượng đúng với mục tiêu xử lý tiếp và căn cứ.</x:v>
      </x:c>
      <x:c r="H8" s="31"/>
      <x:c r="I8" s="31"/>
      <x:c r="J8" s="31"/>
      <x:c r="K8" s="31"/>
      <x:c r="L8" s="31"/>
      <x:c r="M8" s="32"/>
      <x:c r="N8" s="19" t="str">
        <x:f>IF(COUNTA(H8:M8)=0,"Chưa phản hồi",IF(AND(H8&lt;&gt;"",I8&lt;&gt;"",J8&lt;&gt;"",K8&lt;&gt;""),"Đủ trường phản hồi","Cần bổ sung"))</x:f>
        <x:v>Chưa phản hồi</x:v>
      </x:c>
    </x:row>
    <x:row r="9" ht="72" customHeight="1">
      <x:c r="A9" s="20" t="str">
        <x:v>DC02</x:v>
      </x:c>
      <x:c r="B9" s="24" t="str">
        <x:v>1C25TUV/00001094</x:v>
      </x:c>
      <x:c r="C9" s="22" t="d">
        <x:v>2025-05-26T00:00:00.000Z</x:v>
      </x:c>
      <x:c r="D9" s="24" t="str">
        <x:v>1C25TUV/00013038</x:v>
      </x:c>
      <x:c r="E9" s="22" t="d">
        <x:v>2025-09-26T00:00:00.000Z</x:v>
      </x:c>
      <x:c r="F9" s="20" t="str">
        <x:v>Lõi lọc diệt khuẩn Filter KA350S. Hóa đơn gốc SL +1; điều chỉnh vẫn SL +1, đơn giá âm. Tổng tiền đã về 0, số lượng hai phía chưa triệt tiêu.</x:v>
      </x:c>
      <x:c r="G9" s="20" t="str">
        <x:v>Nghiệp vụ thực tế là giảm giá hay giảm/trả toàn bộ số lượng hàng? Chốt mục tiêu xử lý số lượng và giá trị, căn cứ và hướng xử lý điều chỉnh cũ. Đơn giá âm chưa tự chứng minh nội dung sai.</x:v>
      </x:c>
      <x:c r="H9" s="31"/>
      <x:c r="I9" s="31"/>
      <x:c r="J9" s="31"/>
      <x:c r="K9" s="31"/>
      <x:c r="L9" s="31"/>
      <x:c r="M9" s="32"/>
      <x:c r="N9" s="19" t="str">
        <x:f>IF(COUNTA(H9:M9)=0,"Chưa phản hồi",IF(AND(H9&lt;&gt;"",I9&lt;&gt;"",J9&lt;&gt;"",K9&lt;&gt;""),"Đủ trường phản hồi","Cần bổ sung"))</x:f>
        <x:v>Chưa phản hồi</x:v>
      </x:c>
    </x:row>
    <x:row r="10" ht="72" customHeight="1">
      <x:c r="A10" s="19" t="str">
        <x:v>DC03</x:v>
      </x:c>
      <x:c r="B10" s="23" t="str">
        <x:v>1C25TUV/00003113</x:v>
      </x:c>
      <x:c r="C10" s="21" t="d">
        <x:v>2025-06-04T00:00:00.000Z</x:v>
      </x:c>
      <x:c r="D10" s="23" t="str">
        <x:v>1C25TUV/00013032</x:v>
      </x:c>
      <x:c r="E10" s="21" t="d">
        <x:v>2025-09-26T00:00:00.000Z</x:v>
      </x:c>
      <x:c r="F10" s="19" t="str">
        <x:v>Vợt bắt muỗi tự động 2 trong 1 thu hút các loại côn trùng KM002. Hóa đơn gốc SL +1; điều chỉnh vẫn SL +1, đơn giá âm. Tổng tiền đã về 0, số lượng hai phía chưa triệt tiêu.</x:v>
      </x:c>
      <x:c r="G10" s="19" t="str">
        <x:v>Nghiệp vụ thực tế là giảm giá hay giảm/trả toàn bộ số lượng hàng? Chốt mục tiêu xử lý số lượng và giá trị, căn cứ và hướng xử lý điều chỉnh cũ. Đơn giá âm chưa tự chứng minh nội dung sai.</x:v>
      </x:c>
      <x:c r="H10" s="31"/>
      <x:c r="I10" s="31"/>
      <x:c r="J10" s="31"/>
      <x:c r="K10" s="31"/>
      <x:c r="L10" s="31"/>
      <x:c r="M10" s="32"/>
      <x:c r="N10" s="19" t="str">
        <x:f>IF(COUNTA(H10:M10)=0,"Chưa phản hồi",IF(AND(H10&lt;&gt;"",I10&lt;&gt;"",J10&lt;&gt;"",K10&lt;&gt;""),"Đủ trường phản hồi","Cần bổ sung"))</x:f>
        <x:v>Chưa phản hồi</x:v>
      </x:c>
    </x:row>
    <x:row r="11" ht="72" customHeight="1">
      <x:c r="A11" s="20" t="str">
        <x:v>DC04</x:v>
      </x:c>
      <x:c r="B11" s="24" t="str">
        <x:v>1C25TUV/00004081</x:v>
      </x:c>
      <x:c r="C11" s="22" t="d">
        <x:v>2025-06-08T00:00:00.000Z</x:v>
      </x:c>
      <x:c r="D11" s="24" t="str">
        <x:v>1C25TUV/00013033</x:v>
      </x:c>
      <x:c r="E11" s="22" t="d">
        <x:v>2025-09-26T00:00:00.000Z</x:v>
      </x:c>
      <x:c r="F11" s="20" t="str">
        <x:v>Vợt bắt muỗi tự động 2 trong 1 thu hút các loại côn trùng KM002. Hóa đơn gốc SL +1; điều chỉnh vẫn SL +1, đơn giá âm. Tổng tiền đã về 0, số lượng hai phía chưa triệt tiêu.</x:v>
      </x:c>
      <x:c r="G11" s="20" t="str">
        <x:v>Nghiệp vụ thực tế là giảm giá hay giảm/trả toàn bộ số lượng hàng? Chốt mục tiêu xử lý số lượng và giá trị, căn cứ và hướng xử lý điều chỉnh cũ. Đơn giá âm chưa tự chứng minh nội dung sai.</x:v>
      </x:c>
      <x:c r="H11" s="31"/>
      <x:c r="I11" s="31"/>
      <x:c r="J11" s="31"/>
      <x:c r="K11" s="31"/>
      <x:c r="L11" s="31"/>
      <x:c r="M11" s="32"/>
      <x:c r="N11" s="19" t="str">
        <x:f>IF(COUNTA(H11:M11)=0,"Chưa phản hồi",IF(AND(H11&lt;&gt;"",I11&lt;&gt;"",J11&lt;&gt;"",K11&lt;&gt;""),"Đủ trường phản hồi","Cần bổ sung"))</x:f>
        <x:v>Chưa phản hồi</x:v>
      </x:c>
    </x:row>
    <x:row r="12" ht="72" customHeight="1">
      <x:c r="A12" s="19" t="str">
        <x:v>DC05</x:v>
      </x:c>
      <x:c r="B12" s="23" t="str">
        <x:v>1C25TUV/00005555</x:v>
      </x:c>
      <x:c r="C12" s="21" t="d">
        <x:v>2025-06-14T00:00:00.000Z</x:v>
      </x:c>
      <x:c r="D12" s="23" t="str">
        <x:v>1C25TUV/00013034</x:v>
      </x:c>
      <x:c r="E12" s="21" t="d">
        <x:v>2025-09-26T00:00:00.000Z</x:v>
      </x:c>
      <x:c r="F12" s="19" t="str">
        <x:v>Vợt bắt muỗi tự động 2 trong 1 thu hút các loại côn trùng KM002. Hóa đơn gốc SL +1; điều chỉnh vẫn SL +1, đơn giá âm. Tổng tiền đã về 0, số lượng hai phía chưa triệt tiêu.</x:v>
      </x:c>
      <x:c r="G12" s="19" t="str">
        <x:v>Nghiệp vụ thực tế là giảm giá hay giảm/trả toàn bộ số lượng hàng? Chốt mục tiêu xử lý số lượng và giá trị, căn cứ và hướng xử lý điều chỉnh cũ. Đơn giá âm chưa tự chứng minh nội dung sai.</x:v>
      </x:c>
      <x:c r="H12" s="31"/>
      <x:c r="I12" s="31"/>
      <x:c r="J12" s="31"/>
      <x:c r="K12" s="31"/>
      <x:c r="L12" s="31"/>
      <x:c r="M12" s="32"/>
      <x:c r="N12" s="19" t="str">
        <x:f>IF(COUNTA(H12:M12)=0,"Chưa phản hồi",IF(AND(H12&lt;&gt;"",I12&lt;&gt;"",J12&lt;&gt;"",K12&lt;&gt;""),"Đủ trường phản hồi","Cần bổ sung"))</x:f>
        <x:v>Chưa phản hồi</x:v>
      </x:c>
    </x:row>
    <x:row r="13" ht="72" customHeight="1">
      <x:c r="A13" s="20" t="str">
        <x:v>DC06</x:v>
      </x:c>
      <x:c r="B13" s="24" t="str">
        <x:v>1C25TUV/00005918</x:v>
      </x:c>
      <x:c r="C13" s="22" t="d">
        <x:v>2025-06-16T00:00:00.000Z</x:v>
      </x:c>
      <x:c r="D13" s="24" t="str">
        <x:v>1C25TUV/00013035</x:v>
      </x:c>
      <x:c r="E13" s="22" t="d">
        <x:v>2025-09-26T00:00:00.000Z</x:v>
      </x:c>
      <x:c r="F13" s="20" t="str">
        <x:v>Vợt bắt muỗi tự động 2 trong 1 thu hút các loại côn trùng KM002. Hóa đơn gốc SL +1; điều chỉnh vẫn SL +1, đơn giá âm. Tổng tiền đã về 0, số lượng hai phía chưa triệt tiêu.</x:v>
      </x:c>
      <x:c r="G13" s="20" t="str">
        <x:v>Nghiệp vụ thực tế là giảm giá hay giảm/trả toàn bộ số lượng hàng? Chốt mục tiêu xử lý số lượng và giá trị, căn cứ và hướng xử lý điều chỉnh cũ. Đơn giá âm chưa tự chứng minh nội dung sai.</x:v>
      </x:c>
      <x:c r="H13" s="31"/>
      <x:c r="I13" s="31"/>
      <x:c r="J13" s="31"/>
      <x:c r="K13" s="31"/>
      <x:c r="L13" s="31"/>
      <x:c r="M13" s="32"/>
      <x:c r="N13" s="19" t="str">
        <x:f>IF(COUNTA(H13:M13)=0,"Chưa phản hồi",IF(AND(H13&lt;&gt;"",I13&lt;&gt;"",J13&lt;&gt;"",K13&lt;&gt;""),"Đủ trường phản hồi","Cần bổ sung"))</x:f>
        <x:v>Chưa phản hồi</x:v>
      </x:c>
    </x:row>
  </x:sheetData>
  <x:conditionalFormatting sqref="N8:N13">
    <x:cfRule type="containsText" dxfId="5" priority="1" operator="containsText" text="Cần bổ sung"/>
  </x:conditionalFormatting>
  <x:pageMargins left="0.7" right="0.7" top="0.75" bottom="0.75" header="0.3" footer="0.3"/>
  <x:tableParts count="1">
    <x:tablePart xmlns:r="http://schemas.openxmlformats.org/officeDocument/2006/relationships" r:id="R0505bceb501640c6"/>
  </x:tableParts>
</x:worksheet>
</file>

<file path=xl/worksheets/sheet7.xml><?xml version="1.0" encoding="utf-8"?>
<x:worksheet xmlns:x="http://schemas.openxmlformats.org/spreadsheetml/2006/main">
  <x:sheetPr>
    <x:tabColor rgb="FF788594"/>
  </x:sheetPr>
  <x:sheetViews>
    <x:sheetView showGridLines="0" workbookViewId="0">
      <x:pane xSplit="2" ySplit="7" topLeftCell="C8" activePane="bottomRight" state="frozen"/>
    </x:sheetView>
  </x:sheetViews>
  <x:sheetFormatPr defaultRowHeight="15"/>
  <x:cols>
    <x:col min="1" max="1" width="11" hidden="0" customWidth="1"/>
    <x:col min="2" max="2" width="25" hidden="0" customWidth="1"/>
    <x:col min="3" max="3" width="14" hidden="0" customWidth="1"/>
    <x:col min="4" max="4" width="25" hidden="0" customWidth="1"/>
    <x:col min="5" max="5" width="14" hidden="0" customWidth="1"/>
    <x:col min="6" max="6" width="70" hidden="0" customWidth="1"/>
    <x:col min="7" max="7" width="65" hidden="0" customWidth="1"/>
  </x:cols>
  <x:sheetData>
    <x:row r="1">
      <x:c r="A1" s="2"/>
      <x:c r="B1" s="2"/>
      <x:c r="C1" s="2"/>
      <x:c r="D1" s="2"/>
      <x:c r="E1" s="2"/>
      <x:c r="F1" s="2"/>
      <x:c r="G1" s="2"/>
    </x:row>
    <x:row r="2" ht="27" customHeight="1">
      <x:c r="A2" s="3" t="str">
        <x:v>Các hồ sơ đã có căn cứ hoặc quyết định</x:v>
      </x:c>
      <x:c r="B2" s="2"/>
      <x:c r="C2" s="2"/>
      <x:c r="D2" s="2"/>
      <x:c r="E2" s="2"/>
      <x:c r="F2" s="2"/>
      <x:c r="G2" s="2"/>
    </x:row>
    <x:row r="3">
      <x:c r="A3" s="2" t="str">
        <x:v>Cập nhật</x:v>
      </x:c>
      <x:c r="B3" s="4" t="d">
        <x:v>2026-10-11T00:00:00.000Z</x:v>
      </x:c>
      <x:c r="C3" s="2"/>
      <x:c r="D3" s="2"/>
      <x:c r="E3" s="2"/>
      <x:c r="F3" s="2"/>
      <x:c r="G3" s="2"/>
    </x:row>
    <x:row r="4">
      <x:c r="A4" s="2" t="str">
        <x:v>Giữ riêng để tham khảo khi xử lý tiếp; không yêu cầu kế toán xác nhận lại cùng thông tin.</x:v>
      </x:c>
      <x:c r="B4" s="2"/>
      <x:c r="C4" s="2"/>
      <x:c r="D4" s="2"/>
      <x:c r="E4" s="2"/>
      <x:c r="F4" s="2"/>
      <x:c r="G4" s="2"/>
    </x:row>
    <x:row r="5">
      <x:c r="A5" s="2"/>
      <x:c r="B5" s="2"/>
      <x:c r="C5" s="2"/>
      <x:c r="D5" s="2"/>
      <x:c r="E5" s="2"/>
      <x:c r="F5" s="2"/>
      <x:c r="G5" s="2"/>
    </x:row>
    <x:row r="6">
      <x:c r="A6" s="5"/>
      <x:c r="B6" s="5"/>
      <x:c r="C6" s="5"/>
      <x:c r="D6" s="5"/>
      <x:c r="E6" s="5"/>
      <x:c r="F6" s="5"/>
      <x:c r="G6" s="5"/>
    </x:row>
    <x:row r="7" ht="46" customHeight="1">
      <x:c r="A7" s="15" t="str">
        <x:v>Mã hồ sơ</x:v>
      </x:c>
      <x:c r="B7" s="16" t="str">
        <x:v>Hóa đơn gốc</x:v>
      </x:c>
      <x:c r="C7" s="16" t="str">
        <x:v>Ngày gốc</x:v>
      </x:c>
      <x:c r="D7" s="16" t="str">
        <x:v>HĐ điều chỉnh liên quan</x:v>
      </x:c>
      <x:c r="E7" s="16" t="str">
        <x:v>Ngày điều chỉnh</x:v>
      </x:c>
      <x:c r="F7" s="16" t="str">
        <x:v>Nội dung đã làm rõ</x:v>
      </x:c>
      <x:c r="G7" s="17" t="str">
        <x:v>Việc chuẩn bị tiếp</x:v>
      </x:c>
    </x:row>
    <x:row r="8" ht="72" customHeight="1">
      <x:c r="A8" s="19" t="str">
        <x:v>CC01</x:v>
      </x:c>
      <x:c r="B8" s="19" t="str">
        <x:v>1C24TUV/00000003</x:v>
      </x:c>
      <x:c r="C8" s="21" t="d">
        <x:v>2024-01-10T00:00:00.000Z</x:v>
      </x:c>
      <x:c r="D8" s="19" t="str">
        <x:v>1C25TUV/00000508</x:v>
      </x:c>
      <x:c r="E8" s="21" t="d">
        <x:v>2025-04-26T00:00:00.000Z</x:v>
      </x:c>
      <x:c r="F8" s="19" t="str">
        <x:v>Phương án đảo khoản giảm 00000508 và giảm đầy đủ chi tiết gốc đã được người dùng chốt từ 09/10/2026. XML đã có; phần dòng khác tổng đã được ghi nhận.</x:v>
      </x:c>
      <x:c r="G8" s="19" t="str">
        <x:v>Tiếp tục chuẩn bị/cập nhật dữ liệu theo phương án đã chốt. Không yêu cầu chốt lại cùng phương án.</x:v>
      </x:c>
    </x:row>
    <x:row r="9" ht="72" customHeight="1">
      <x:c r="A9" s="20" t="str">
        <x:v>CC02</x:v>
      </x:c>
      <x:c r="B9" s="20" t="str">
        <x:v>1C24TUV/00000498</x:v>
      </x:c>
      <x:c r="C9" s="22" t="d">
        <x:v>2024-09-30T00:00:00.000Z</x:v>
      </x:c>
      <x:c r="D9" s="20" t="str">
        <x:v>1C25TUV/00002140</x:v>
      </x:c>
      <x:c r="E9" s="22" t="d">
        <x:v>2025-05-30T00:00:00.000Z</x:v>
      </x:c>
      <x:c r="F9" s="20" t="str">
        <x:v>XML 00002140 có thuế suất tổng hợp 8%. Tiền hàng 17.830.586, thuế 1.426.447, thanh toán 19.257.033. Không có danh sách dòng hàng.</x:v>
      </x:c>
      <x:c r="G9" s="20" t="str">
        <x:v>Dùng bằng chứng XML để chuẩn bị dữ liệu tiếp. Không yêu cầu tìm lại thuế suất chỉ vì bảng chi tiết không thể hiện.</x:v>
      </x:c>
    </x:row>
    <x:row r="10" ht="72" customHeight="1">
      <x:c r="A10" s="19" t="str">
        <x:v>CC03</x:v>
      </x:c>
      <x:c r="B10" s="19" t="str">
        <x:v>1C24TUV/00000574</x:v>
      </x:c>
      <x:c r="C10" s="21" t="d">
        <x:v>2024-11-15T00:00:00.000Z</x:v>
      </x:c>
      <x:c r="D10" s="19" t="str">
        <x:v>1C25TUV/00002189</x:v>
      </x:c>
      <x:c r="E10" s="21" t="d">
        <x:v>2025-05-30T00:00:00.000Z</x:v>
      </x:c>
      <x:c r="F10" s="19" t="str">
        <x:v>Người dùng đã chốt tạm tính thanh toán gốc bằng 0. Ô bảng tổng vẫn trống. Quy ước chỉ áp dụng cho hóa đơn này.</x:v>
      </x:c>
      <x:c r="G10" s="19" t="str">
        <x:v>Tiếp tục chuẩn bị dữ liệu theo quy ước riêng đã có. Không tự đổi ô nguồn hoặc mở rộng quy ước.</x:v>
      </x:c>
    </x:row>
    <x:row r="11" ht="72" customHeight="1">
      <x:c r="A11" s="20" t="str">
        <x:v>CC04</x:v>
      </x:c>
      <x:c r="B11" s="20" t="str">
        <x:v>1C25TUV/00001348</x:v>
      </x:c>
      <x:c r="C11" s="22" t="d">
        <x:v>2025-05-27T00:00:00.000Z</x:v>
      </x:c>
      <x:c r="D11" s="20" t="str">
        <x:v>1C25TUV/00006108</x:v>
      </x:c>
      <x:c r="E11" s="22" t="d">
        <x:v>2025-06-17T00:00:00.000Z</x:v>
      </x:c>
      <x:c r="F11" s="20" t="str">
        <x:v>XML điều chỉnh thông tin người mua; ba tổng tiền đều 0. Bảng kê để trống thanh toán. Nội dung thông tin người mua nằm trong ghi chú tham chiếu XML.</x:v>
      </x:c>
      <x:c r="G11" s="20" t="str">
        <x:v>Giữ nội dung điều chỉnh thông tin và phân biệt 0 trong XML với ô trống bảng kê khi chuẩn bị dữ liệu tiếp.</x:v>
      </x:c>
    </x:row>
    <x:row r="12" ht="72" customHeight="1">
      <x:c r="A12" s="19" t="str">
        <x:v>CC05</x:v>
      </x:c>
      <x:c r="B12" s="19" t="str">
        <x:v>1C25TUV/00002377</x:v>
      </x:c>
      <x:c r="C12" s="21" t="d">
        <x:v>2025-05-30T00:00:00.000Z</x:v>
      </x:c>
      <x:c r="D12" s="19" t="str">
        <x:v>1C25TUV/00004203</x:v>
      </x:c>
      <x:c r="E12" s="21" t="d">
        <x:v>2025-06-09T00:00:00.000Z</x:v>
      </x:c>
      <x:c r="F12" s="19" t="str">
        <x:v>XML điều chỉnh thông tin người mua; ba tổng tiền đều 0. Bảng kê để trống thanh toán. Nội dung thông tin người mua nằm trong ghi chú tham chiếu XML.</x:v>
      </x:c>
      <x:c r="G12" s="19" t="str">
        <x:v>Giữ nội dung điều chỉnh thông tin và phân biệt 0 trong XML với ô trống bảng kê khi chuẩn bị dữ liệu tiếp.</x:v>
      </x:c>
    </x:row>
    <x:row r="13" ht="72" customHeight="1">
      <x:c r="A13" s="20" t="str">
        <x:v>CC06</x:v>
      </x:c>
      <x:c r="B13" s="20" t="str">
        <x:v>1C25TUV/00002378</x:v>
      </x:c>
      <x:c r="C13" s="22" t="d">
        <x:v>2025-05-30T00:00:00.000Z</x:v>
      </x:c>
      <x:c r="D13" s="20" t="str">
        <x:v>1C25TUV/00004204</x:v>
      </x:c>
      <x:c r="E13" s="22" t="d">
        <x:v>2025-06-09T00:00:00.000Z</x:v>
      </x:c>
      <x:c r="F13" s="20" t="str">
        <x:v>XML điều chỉnh thông tin người mua; ba tổng tiền đều 0. Bảng kê để trống thanh toán. Nội dung thông tin người mua nằm trong ghi chú tham chiếu XML.</x:v>
      </x:c>
      <x:c r="G13" s="20" t="str">
        <x:v>Giữ nội dung điều chỉnh thông tin và phân biệt 0 trong XML với ô trống bảng kê khi chuẩn bị dữ liệu tiếp.</x:v>
      </x:c>
    </x:row>
    <x:row r="14" ht="72" customHeight="1">
      <x:c r="A14" s="19" t="str">
        <x:v>CC07</x:v>
      </x:c>
      <x:c r="B14" s="19" t="str">
        <x:v>1C25TUV/00009072</x:v>
      </x:c>
      <x:c r="C14" s="21" t="d">
        <x:v>2025-06-28T00:00:00.000Z</x:v>
      </x:c>
      <x:c r="D14" s="19" t="str">
        <x:v>1C25TUV/00009186</x:v>
      </x:c>
      <x:c r="E14" s="21" t="d">
        <x:v>2025-06-29T00:00:00.000Z</x:v>
      </x:c>
      <x:c r="F14" s="19" t="str">
        <x:v>XML điều chỉnh tên hàng có 2 dòng TChat=4; ba tổng tiền đều 0. Bảng kê để trống thanh toán. Nội dung đổi tên hàng đã có trong XML.</x:v>
      </x:c>
      <x:c r="G14" s="19" t="str">
        <x:v>Giữ nội dung điều chỉnh thông tin và phân biệt 0 trong XML với ô trống bảng kê khi chuẩn bị dữ liệu tiếp.</x:v>
      </x:c>
    </x:row>
  </x:sheetData>
  <x:pageMargins left="0.7" right="0.7" top="0.75" bottom="0.75" header="0.3" footer="0.3"/>
  <x:tableParts count="1">
    <x:tablePart xmlns:r="http://schemas.openxmlformats.org/officeDocument/2006/relationships" r:id="R0b366061d3a8406b"/>
  </x:tableParts>
</x:worksheet>
</file>

<file path=xl/worksheets/sheet8.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1" hidden="0" customWidth="1"/>
    <x:col min="2" max="2" width="25" hidden="0" customWidth="1"/>
    <x:col min="3" max="3" width="25" hidden="0" customWidth="1"/>
    <x:col min="4" max="4" width="15" hidden="0" customWidth="1"/>
    <x:col min="5" max="5" width="17" hidden="0" customWidth="1"/>
    <x:col min="6" max="6" width="15" hidden="0" customWidth="1"/>
    <x:col min="7" max="7" width="20" hidden="0" customWidth="1"/>
    <x:col min="8" max="8" width="19" hidden="0" customWidth="1"/>
    <x:col min="9" max="9" width="22" hidden="0" customWidth="1"/>
    <x:col min="10" max="10" width="20" hidden="0" customWidth="1"/>
    <x:col min="11" max="11" width="19" hidden="0" customWidth="1"/>
    <x:col min="12" max="12" width="22" hidden="0" customWidth="1"/>
    <x:col min="13" max="13" width="85" hidden="0" customWidth="1"/>
    <x:col min="14" max="14" width="65" hidden="0" customWidth="1"/>
    <x:col min="15" max="15" width="37" hidden="0" customWidth="1"/>
    <x:col min="16" max="16" width="55" hidden="0" customWidth="1"/>
  </x:cols>
  <x:sheetData>
    <x:row r="1">
      <x:c r="A1" s="2"/>
      <x:c r="B1" s="2"/>
      <x:c r="C1" s="2"/>
      <x:c r="D1" s="2"/>
      <x:c r="E1" s="2"/>
      <x:c r="F1" s="2"/>
      <x:c r="G1" s="2"/>
      <x:c r="H1" s="2"/>
      <x:c r="I1" s="2"/>
      <x:c r="J1" s="2"/>
      <x:c r="K1" s="2"/>
      <x:c r="L1" s="2"/>
      <x:c r="M1" s="2"/>
      <x:c r="N1" s="2"/>
      <x:c r="O1" s="2"/>
      <x:c r="P1" s="2"/>
    </x:row>
    <x:row r="2" ht="27" customHeight="1">
      <x:c r="A2" s="3" t="str">
        <x:v>Hóa đơn liên quan và căn cứ đối chiếu</x:v>
      </x:c>
      <x:c r="B2" s="2"/>
      <x:c r="C2" s="2"/>
      <x:c r="D2" s="2"/>
      <x:c r="E2" s="2"/>
      <x:c r="F2" s="2"/>
      <x:c r="G2" s="2"/>
      <x:c r="H2" s="2"/>
      <x:c r="I2" s="2"/>
      <x:c r="J2" s="2"/>
      <x:c r="K2" s="2"/>
      <x:c r="L2" s="2"/>
      <x:c r="M2" s="2"/>
      <x:c r="N2" s="2"/>
      <x:c r="O2" s="2"/>
      <x:c r="P2" s="2"/>
    </x:row>
    <x:row r="3">
      <x:c r="A3" s="2" t="str">
        <x:v>Cập nhật</x:v>
      </x:c>
      <x:c r="B3" s="4" t="d">
        <x:v>2026-10-11T00:00:00.000Z</x:v>
      </x:c>
      <x:c r="C3" s="2"/>
      <x:c r="D3" s="2"/>
      <x:c r="E3" s="2"/>
      <x:c r="F3" s="2"/>
      <x:c r="G3" s="2"/>
      <x:c r="H3" s="2"/>
      <x:c r="I3" s="2"/>
      <x:c r="J3" s="2"/>
      <x:c r="K3" s="2"/>
      <x:c r="L3" s="2"/>
      <x:c r="M3" s="2"/>
      <x:c r="N3" s="2"/>
      <x:c r="O3" s="2"/>
      <x:c r="P3" s="2"/>
    </x:row>
    <x:row r="4">
      <x:c r="A4" s="2" t="str">
        <x:v>Đơn vị tiền: đồng. Ô trống được giữ trống; số 0 là giá trị có trong nguồn.</x:v>
      </x:c>
      <x:c r="B4" s="2"/>
      <x:c r="C4" s="2"/>
      <x:c r="D4" s="2"/>
      <x:c r="E4" s="2"/>
      <x:c r="F4" s="2"/>
      <x:c r="G4" s="2"/>
      <x:c r="H4" s="2"/>
      <x:c r="I4" s="2"/>
      <x:c r="J4" s="2"/>
      <x:c r="K4" s="2"/>
      <x:c r="L4" s="2"/>
      <x:c r="M4" s="2"/>
      <x:c r="N4" s="2"/>
      <x:c r="O4" s="2"/>
      <x:c r="P4" s="2"/>
    </x:row>
    <x:row r="5">
      <x:c r="A5" s="2" t="str">
        <x:v>Nguồn: bảng kê xuất lại 09/10/2026, XML đã nhận, hai workbook hiện tại và quyết định đã ghi nhận.</x:v>
      </x:c>
      <x:c r="B5" s="2"/>
      <x:c r="C5" s="2"/>
      <x:c r="D5" s="2"/>
      <x:c r="E5" s="2"/>
      <x:c r="F5" s="2"/>
      <x:c r="G5" s="2"/>
      <x:c r="H5" s="2"/>
      <x:c r="I5" s="2"/>
      <x:c r="J5" s="2"/>
      <x:c r="K5" s="2"/>
      <x:c r="L5" s="2"/>
      <x:c r="M5" s="2"/>
      <x:c r="N5" s="2"/>
      <x:c r="O5" s="2"/>
      <x:c r="P5" s="2"/>
    </x:row>
    <x:row r="6">
      <x:c r="A6" s="5"/>
      <x:c r="B6" s="5"/>
      <x:c r="C6" s="5"/>
      <x:c r="D6" s="5"/>
      <x:c r="E6" s="5"/>
      <x:c r="F6" s="5"/>
      <x:c r="G6" s="5"/>
      <x:c r="H6" s="5"/>
      <x:c r="I6" s="5"/>
      <x:c r="J6" s="5"/>
      <x:c r="K6" s="5"/>
      <x:c r="L6" s="5"/>
      <x:c r="M6" s="5"/>
      <x:c r="N6" s="5"/>
      <x:c r="O6" s="5"/>
      <x:c r="P6" s="5"/>
    </x:row>
    <x:row r="7" ht="46" customHeight="1">
      <x:c r="A7" s="15" t="str">
        <x:v>Mã hồ sơ</x:v>
      </x:c>
      <x:c r="B7" s="16" t="str">
        <x:v>Phạm vi công việc</x:v>
      </x:c>
      <x:c r="C7" s="16" t="str">
        <x:v>Vai trò</x:v>
      </x:c>
      <x:c r="D7" s="16" t="str">
        <x:v>Ký hiệu</x:v>
      </x:c>
      <x:c r="E7" s="16" t="str">
        <x:v>Số hóa đơn</x:v>
      </x:c>
      <x:c r="F7" s="16" t="str">
        <x:v>Ngày hóa đơn</x:v>
      </x:c>
      <x:c r="G7" s="16" t="str">
        <x:v>Tiền hàng bảng kê (đ)</x:v>
      </x:c>
      <x:c r="H7" s="16" t="str">
        <x:v>Thuế bảng kê (đ)</x:v>
      </x:c>
      <x:c r="I7" s="16" t="str">
        <x:v>Thanh toán bảng kê (đ)</x:v>
      </x:c>
      <x:c r="J7" s="16" t="str">
        <x:v>Tiền hàng XML (đ)</x:v>
      </x:c>
      <x:c r="K7" s="16" t="str">
        <x:v>Thuế XML (đ)</x:v>
      </x:c>
      <x:c r="L7" s="16" t="str">
        <x:v>Thanh toán XML (đ)</x:v>
      </x:c>
      <x:c r="M7" s="16" t="str">
        <x:v>Nội dung dòng/ghi chú cần đối chiếu</x:v>
      </x:c>
      <x:c r="N7" s="16" t="str">
        <x:v>Nguồn bảng kê</x:v>
      </x:c>
      <x:c r="O7" s="16" t="str">
        <x:v>File XML</x:v>
      </x:c>
      <x:c r="P7" s="17" t="str">
        <x:v>Ghi chú độ phủ nguồn</x:v>
      </x:c>
    </x:row>
    <x:row r="8" ht="72" customHeight="1">
      <x:c r="A8" s="19" t="str">
        <x:v>LT01</x:v>
      </x:c>
      <x:c r="B8" s="19" t="str">
        <x:v>Cần kế toán phản hồi</x:v>
      </x:c>
      <x:c r="C8" s="19" t="str">
        <x:v>Hóa đơn gốc</x:v>
      </x:c>
      <x:c r="D8" s="19" t="str">
        <x:v>1C25TUV</x:v>
      </x:c>
      <x:c r="E8" s="23" t="str">
        <x:v>00000159</x:v>
      </x:c>
      <x:c r="F8" s="21" t="d">
        <x:v>2025-02-28T00:00:00.000Z</x:v>
      </x:c>
      <x:c r="G8" s="27" t="n">
        <x:v>412037</x:v>
      </x:c>
      <x:c r="H8" s="27" t="n">
        <x:v>32963</x:v>
      </x:c>
      <x:c r="I8" s="27" t="n">
        <x:v>445000</x:v>
      </x:c>
      <x:c r="J8" s="27"/>
      <x:c r="K8" s="27"/>
      <x:c r="L8" s="27"/>
      <x:c r="M8" s="19" t="str"/>
      <x:c r="N8" s="19" t="str">
        <x:v>Bang_ke_hoa_don_da_su_dung_1791532908545_1.xlsx, dòng 164</x:v>
      </x:c>
      <x:c r="O8" s="19"/>
      <x:c r="P8" s="19" t="str">
        <x:v>Chưa có XML trong phần nguồn đã lưu hiện tại.</x:v>
      </x:c>
    </x:row>
    <x:row r="9" ht="72" customHeight="1">
      <x:c r="A9" s="20" t="str">
        <x:v>LT01</x:v>
      </x:c>
      <x:c r="B9" s="20" t="str">
        <x:v>Cần kế toán phản hồi</x:v>
      </x:c>
      <x:c r="C9" s="20" t="str">
        <x:v>Điều chỉnh liên quan</x:v>
      </x:c>
      <x:c r="D9" s="20" t="str">
        <x:v>1C25TUV</x:v>
      </x:c>
      <x:c r="E9" s="24" t="str">
        <x:v>00000649</x:v>
      </x:c>
      <x:c r="F9" s="22" t="d">
        <x:v>2025-05-05T00:00:00.000Z</x:v>
      </x:c>
      <x:c r="G9" s="28" t="n">
        <x:v>-381481</x:v>
      </x:c>
      <x:c r="H9" s="28" t="n">
        <x:v>-30518</x:v>
      </x:c>
      <x:c r="I9" s="28" t="n">
        <x:v>411999</x:v>
      </x:c>
      <x:c r="J9" s="28" t="n">
        <x:v>-381481</x:v>
      </x:c>
      <x:c r="K9" s="28" t="n">
        <x:v>-30518</x:v>
      </x:c>
      <x:c r="L9" s="28" t="n">
        <x:v>411999</x:v>
      </x:c>
      <x:c r="M9" s="20" t="str">
        <x:v>Điều chỉnh giảm giá trị hoá đơn số 00000159
Điều chỉnh giảm giá trị hoá đơn số 00000159 (TChat=1, SL=0, đơn giá=0, thành tiền=0)
Thuế suất tổng hợp: 8%</x:v>
      </x:c>
      <x:c r="N9" s="20" t="str">
        <x:v>Bang_ke_hoa_don_da_su_dung_1791532908545_1.xlsx, dòng 654</x:v>
      </x:c>
      <x:c r="O9" s="20" t="str">
        <x:v>1C25TUV_00000649.xml</x:v>
      </x:c>
      <x:c r="P9" s="20" t="str">
        <x:v>Có XML trong bộ nguồn hiện tại.</x:v>
      </x:c>
    </x:row>
    <x:row r="10" ht="72" customHeight="1">
      <x:c r="A10" s="19" t="str">
        <x:v>LT02</x:v>
      </x:c>
      <x:c r="B10" s="19" t="str">
        <x:v>Cần kế toán phản hồi</x:v>
      </x:c>
      <x:c r="C10" s="19" t="str">
        <x:v>Hóa đơn gốc</x:v>
      </x:c>
      <x:c r="D10" s="19" t="str">
        <x:v>1C25TUV</x:v>
      </x:c>
      <x:c r="E10" s="23" t="str">
        <x:v>00000056</x:v>
      </x:c>
      <x:c r="F10" s="21" t="d">
        <x:v>2025-01-27T00:00:00.000Z</x:v>
      </x:c>
      <x:c r="G10" s="27" t="n">
        <x:v>2264222</x:v>
      </x:c>
      <x:c r="H10" s="27" t="n">
        <x:v>181138</x:v>
      </x:c>
      <x:c r="I10" s="27" t="n">
        <x:v>2445360</x:v>
      </x:c>
      <x:c r="J10" s="27"/>
      <x:c r="K10" s="27"/>
      <x:c r="L10" s="27"/>
      <x:c r="M10" s="19" t="str"/>
      <x:c r="N10" s="19" t="str">
        <x:v>Bang_ke_hoa_don_da_su_dung_1791532908545_1.xlsx, dòng 61</x:v>
      </x:c>
      <x:c r="O10" s="19"/>
      <x:c r="P10" s="19" t="str">
        <x:v>Chưa có XML trong phần nguồn đã lưu hiện tại.</x:v>
      </x:c>
    </x:row>
    <x:row r="11" ht="72" customHeight="1">
      <x:c r="A11" s="20" t="str">
        <x:v>LT02</x:v>
      </x:c>
      <x:c r="B11" s="20" t="str">
        <x:v>Cần kế toán phản hồi</x:v>
      </x:c>
      <x:c r="C11" s="20" t="str">
        <x:v>Điều chỉnh liên quan</x:v>
      </x:c>
      <x:c r="D11" s="20" t="str">
        <x:v>1C25TUV</x:v>
      </x:c>
      <x:c r="E11" s="24" t="str">
        <x:v>00000561</x:v>
      </x:c>
      <x:c r="F11" s="22" t="d">
        <x:v>2025-05-04T00:00:00.000Z</x:v>
      </x:c>
      <x:c r="G11" s="28" t="n">
        <x:v>196889</x:v>
      </x:c>
      <x:c r="H11" s="28" t="n">
        <x:v>151751</x:v>
      </x:c>
      <x:c r="I11" s="28" t="n">
        <x:v>212640</x:v>
      </x:c>
      <x:c r="J11" s="28" t="n">
        <x:v>196889</x:v>
      </x:c>
      <x:c r="K11" s="28" t="n">
        <x:v>151751</x:v>
      </x:c>
      <x:c r="L11" s="28" t="n">
        <x:v>212640</x:v>
      </x:c>
      <x:c r="M11" s="20" t="str">
        <x:v>Điều chỉnh tăng giá trị hóa đơn số 00000056
Điều chỉnh tăng giá trị hóa đơn số 00000056 (TChat=1, SL=0, đơn giá=0, thành tiền=0)
Thuế suất tổng hợp: 8%</x:v>
      </x:c>
      <x:c r="N11" s="20" t="str">
        <x:v>Bang_ke_hoa_don_da_su_dung_1791532908545_1.xlsx, dòng 566</x:v>
      </x:c>
      <x:c r="O11" s="20" t="str">
        <x:v>1C25TUV_00000561.xml</x:v>
      </x:c>
      <x:c r="P11" s="20" t="str">
        <x:v>Có XML trong bộ nguồn hiện tại.</x:v>
      </x:c>
    </x:row>
    <x:row r="12" ht="72" customHeight="1">
      <x:c r="A12" s="19" t="str">
        <x:v>LT03</x:v>
      </x:c>
      <x:c r="B12" s="19" t="str">
        <x:v>Cần kế toán phản hồi</x:v>
      </x:c>
      <x:c r="C12" s="19" t="str">
        <x:v>Hóa đơn gốc</x:v>
      </x:c>
      <x:c r="D12" s="19" t="str">
        <x:v>1C24TUV</x:v>
      </x:c>
      <x:c r="E12" s="23" t="str">
        <x:v>00000283</x:v>
      </x:c>
      <x:c r="F12" s="21" t="d">
        <x:v>2024-06-14T00:00:00.000Z</x:v>
      </x:c>
      <x:c r="G12" s="27" t="n">
        <x:v>90142915</x:v>
      </x:c>
      <x:c r="H12" s="27" t="n">
        <x:v>7211433</x:v>
      </x:c>
      <x:c r="I12" s="27" t="n">
        <x:v>97354348</x:v>
      </x:c>
      <x:c r="J12" s="27"/>
      <x:c r="K12" s="27"/>
      <x:c r="L12" s="27"/>
      <x:c r="M12" s="19" t="str"/>
      <x:c r="N12" s="19" t="str">
        <x:v>Bang_ke_hoa_don_da_su_dung_1791532882546.xlsx, dòng 288</x:v>
      </x:c>
      <x:c r="O12" s="19"/>
      <x:c r="P12" s="19" t="str">
        <x:v>Chưa có XML trong phần nguồn đã lưu hiện tại.</x:v>
      </x:c>
    </x:row>
    <x:row r="13" ht="72" customHeight="1">
      <x:c r="A13" s="20" t="str">
        <x:v>LT03</x:v>
      </x:c>
      <x:c r="B13" s="20" t="str">
        <x:v>Cần kế toán phản hồi</x:v>
      </x:c>
      <x:c r="C13" s="20" t="str">
        <x:v>Điều chỉnh liên quan</x:v>
      </x:c>
      <x:c r="D13" s="20" t="str">
        <x:v>1C25TUV</x:v>
      </x:c>
      <x:c r="E13" s="24" t="str">
        <x:v>00001819</x:v>
      </x:c>
      <x:c r="F13" s="22" t="d">
        <x:v>2025-05-29T00:00:00.000Z</x:v>
      </x:c>
      <x:c r="G13" s="28" t="n">
        <x:v>7599678</x:v>
      </x:c>
      <x:c r="H13" s="28" t="n">
        <x:v>609974</x:v>
      </x:c>
      <x:c r="I13" s="28" t="n">
        <x:v>8207652</x:v>
      </x:c>
      <x:c r="J13" s="28" t="n">
        <x:v>7599678</x:v>
      </x:c>
      <x:c r="K13" s="28" t="n">
        <x:v>609974</x:v>
      </x:c>
      <x:c r="L13" s="28" t="n">
        <x:v>8207652</x:v>
      </x:c>
      <x:c r="M13" s="20" t="str">
        <x:v>Điều chỉnh  tăng thành tiền hoá đơn số 00000283
Điều chỉnh  tăng thành tiền hoá đơn số 00000283 (TChat=1, SL=0, đơn giá=0, thành tiền=0)
Thuế suất tổng hợp: 8%</x:v>
      </x:c>
      <x:c r="N13" s="20" t="str">
        <x:v>Bang_ke_hoa_don_da_su_dung_1791532908545_1.xlsx, dòng 1824</x:v>
      </x:c>
      <x:c r="O13" s="20" t="str">
        <x:v>1C25TUV_00001819.xml</x:v>
      </x:c>
      <x:c r="P13" s="20" t="str">
        <x:v>Có XML trong bộ nguồn hiện tại.</x:v>
      </x:c>
    </x:row>
    <x:row r="14" ht="72" customHeight="1">
      <x:c r="A14" s="19" t="str">
        <x:v>LT04</x:v>
      </x:c>
      <x:c r="B14" s="19" t="str">
        <x:v>Cần kế toán phản hồi</x:v>
      </x:c>
      <x:c r="C14" s="19" t="str">
        <x:v>Hóa đơn gốc</x:v>
      </x:c>
      <x:c r="D14" s="19" t="str">
        <x:v>1C24TUV</x:v>
      </x:c>
      <x:c r="E14" s="23" t="str">
        <x:v>00000093</x:v>
      </x:c>
      <x:c r="F14" s="21" t="d">
        <x:v>2024-03-01T00:00:00.000Z</x:v>
      </x:c>
      <x:c r="G14" s="27" t="n">
        <x:v>20222499</x:v>
      </x:c>
      <x:c r="H14" s="27" t="n">
        <x:v>1617800</x:v>
      </x:c>
      <x:c r="I14" s="27" t="n">
        <x:v>21840299</x:v>
      </x:c>
      <x:c r="J14" s="27"/>
      <x:c r="K14" s="27"/>
      <x:c r="L14" s="27"/>
      <x:c r="M14" s="19" t="str"/>
      <x:c r="N14" s="19" t="str">
        <x:v>Bang_ke_hoa_don_da_su_dung_1791532882546.xlsx, dòng 98</x:v>
      </x:c>
      <x:c r="O14" s="19"/>
      <x:c r="P14" s="19" t="str">
        <x:v>Chưa có XML trong phần nguồn đã lưu hiện tại.</x:v>
      </x:c>
    </x:row>
    <x:row r="15" ht="72" customHeight="1">
      <x:c r="A15" s="20" t="str">
        <x:v>LT04</x:v>
      </x:c>
      <x:c r="B15" s="20" t="str">
        <x:v>Cần kế toán phản hồi</x:v>
      </x:c>
      <x:c r="C15" s="20" t="str">
        <x:v>Điều chỉnh liên quan</x:v>
      </x:c>
      <x:c r="D15" s="20" t="str">
        <x:v>1C25TUV</x:v>
      </x:c>
      <x:c r="E15" s="24" t="str">
        <x:v>00001167</x:v>
      </x:c>
      <x:c r="F15" s="22" t="d">
        <x:v>2025-05-26T00:00:00.000Z</x:v>
      </x:c>
      <x:c r="G15" s="28" t="n">
        <x:v>621945</x:v>
      </x:c>
      <x:c r="H15" s="28" t="n">
        <x:v>49756</x:v>
      </x:c>
      <x:c r="I15" s="28" t="n">
        <x:v>670701</x:v>
      </x:c>
      <x:c r="J15" s="28" t="n">
        <x:v>621945</x:v>
      </x:c>
      <x:c r="K15" s="28" t="n">
        <x:v>49756</x:v>
      </x:c>
      <x:c r="L15" s="28" t="n">
        <x:v>670701</x:v>
      </x:c>
      <x:c r="M15" s="20" t="str">
        <x:v>Điều chỉnh tăng thành tiền  hoá đơn số 00000093
Điều chỉnh tăng thành tiền  hoá đơn số 00000093 (TChat=1, SL=0, đơn giá=0, thành tiền=0)
Thuế suất tổng hợp: 8%</x:v>
      </x:c>
      <x:c r="N15" s="20" t="str">
        <x:v>Bang_ke_hoa_don_da_su_dung_1791532908545_1.xlsx, dòng 1172</x:v>
      </x:c>
      <x:c r="O15" s="20" t="str">
        <x:v>1C25TUV_00001167.xml</x:v>
      </x:c>
      <x:c r="P15" s="20" t="str">
        <x:v>Có XML trong bộ nguồn hiện tại.</x:v>
      </x:c>
    </x:row>
    <x:row r="16" ht="72" customHeight="1">
      <x:c r="A16" s="19" t="str">
        <x:v>LT05</x:v>
      </x:c>
      <x:c r="B16" s="19" t="str">
        <x:v>Cần kế toán phản hồi</x:v>
      </x:c>
      <x:c r="C16" s="19" t="str">
        <x:v>Hóa đơn gốc</x:v>
      </x:c>
      <x:c r="D16" s="19" t="str">
        <x:v>1C24TUV</x:v>
      </x:c>
      <x:c r="E16" s="23" t="str">
        <x:v>00000535</x:v>
      </x:c>
      <x:c r="F16" s="21" t="d">
        <x:v>2024-10-22T00:00:00.000Z</x:v>
      </x:c>
      <x:c r="G16" s="27" t="n">
        <x:v>180276018</x:v>
      </x:c>
      <x:c r="H16" s="27" t="n">
        <x:v>14422081</x:v>
      </x:c>
      <x:c r="I16" s="27" t="n">
        <x:v>194698099</x:v>
      </x:c>
      <x:c r="J16" s="27"/>
      <x:c r="K16" s="27"/>
      <x:c r="L16" s="27"/>
      <x:c r="M16" s="19" t="str"/>
      <x:c r="N16" s="19" t="str">
        <x:v>Bang_ke_hoa_don_da_su_dung_1791532882546.xlsx, dòng 540</x:v>
      </x:c>
      <x:c r="O16" s="19"/>
      <x:c r="P16" s="19" t="str">
        <x:v>Chưa có XML trong phần nguồn đã lưu hiện tại.</x:v>
      </x:c>
    </x:row>
    <x:row r="17" ht="72" customHeight="1">
      <x:c r="A17" s="20" t="str">
        <x:v>LT05</x:v>
      </x:c>
      <x:c r="B17" s="20" t="str">
        <x:v>Cần kế toán phản hồi</x:v>
      </x:c>
      <x:c r="C17" s="20" t="str">
        <x:v>Điều chỉnh liên quan</x:v>
      </x:c>
      <x:c r="D17" s="20" t="str">
        <x:v>1C25TUV</x:v>
      </x:c>
      <x:c r="E17" s="24" t="str">
        <x:v>00002145</x:v>
      </x:c>
      <x:c r="F17" s="22" t="d">
        <x:v>2025-05-30T00:00:00.000Z</x:v>
      </x:c>
      <x:c r="G17" s="28" t="n">
        <x:v>39194352</x:v>
      </x:c>
      <x:c r="H17" s="28" t="n">
        <x:v>3135548</x:v>
      </x:c>
      <x:c r="I17" s="28" t="n">
        <x:v>42329000</x:v>
      </x:c>
      <x:c r="J17" s="28" t="n">
        <x:v>39194352</x:v>
      </x:c>
      <x:c r="K17" s="28" t="n">
        <x:v>3135548</x:v>
      </x:c>
      <x:c r="L17" s="28" t="n">
        <x:v>42329000</x:v>
      </x:c>
      <x:c r="M17" s="20" t="str">
        <x:v>Điều chỉnh tăng giá trị hóa đơn số 00000535
Điều chỉnh tăng giá trị hóa đơn số 00000535 (TChat=1, SL=0, đơn giá=0, thành tiền=0)
Thuế suất tổng hợp: 8%</x:v>
      </x:c>
      <x:c r="N17" s="20" t="str">
        <x:v>Bang_ke_hoa_don_da_su_dung_1791532908545_1.xlsx, dòng 2150</x:v>
      </x:c>
      <x:c r="O17" s="20" t="str">
        <x:v>1C25TUV_00002145.xml</x:v>
      </x:c>
      <x:c r="P17" s="20" t="str">
        <x:v>Có XML trong bộ nguồn hiện tại.</x:v>
      </x:c>
    </x:row>
    <x:row r="18" ht="72" customHeight="1">
      <x:c r="A18" s="19" t="str">
        <x:v>LT06</x:v>
      </x:c>
      <x:c r="B18" s="19" t="str">
        <x:v>Cần kế toán phản hồi</x:v>
      </x:c>
      <x:c r="C18" s="19" t="str">
        <x:v>Hóa đơn gốc</x:v>
      </x:c>
      <x:c r="D18" s="19" t="str">
        <x:v>1C24TUV</x:v>
      </x:c>
      <x:c r="E18" s="23" t="str">
        <x:v>00000228</x:v>
      </x:c>
      <x:c r="F18" s="21" t="d">
        <x:v>2024-05-13T00:00:00.000Z</x:v>
      </x:c>
      <x:c r="G18" s="27" t="n">
        <x:v>10131221</x:v>
      </x:c>
      <x:c r="H18" s="27" t="n">
        <x:v>810498</x:v>
      </x:c>
      <x:c r="I18" s="27" t="n">
        <x:v>10941719</x:v>
      </x:c>
      <x:c r="J18" s="27"/>
      <x:c r="K18" s="27"/>
      <x:c r="L18" s="27"/>
      <x:c r="M18" s="19" t="str"/>
      <x:c r="N18" s="19" t="str">
        <x:v>Bang_ke_hoa_don_da_su_dung_1791532882546.xlsx, dòng 233</x:v>
      </x:c>
      <x:c r="O18" s="19"/>
      <x:c r="P18" s="19" t="str">
        <x:v>Chưa có XML trong phần nguồn đã lưu hiện tại.</x:v>
      </x:c>
    </x:row>
    <x:row r="19" ht="72" customHeight="1">
      <x:c r="A19" s="20" t="str">
        <x:v>LT06</x:v>
      </x:c>
      <x:c r="B19" s="20" t="str">
        <x:v>Cần kế toán phản hồi</x:v>
      </x:c>
      <x:c r="C19" s="20" t="str">
        <x:v>Điều chỉnh liên quan</x:v>
      </x:c>
      <x:c r="D19" s="20" t="str">
        <x:v>1C25TUV</x:v>
      </x:c>
      <x:c r="E19" s="24" t="str">
        <x:v>00002619</x:v>
      </x:c>
      <x:c r="F19" s="22" t="d">
        <x:v>2025-05-31T00:00:00.000Z</x:v>
      </x:c>
      <x:c r="G19" s="28" t="n">
        <x:v>-589554</x:v>
      </x:c>
      <x:c r="H19" s="28" t="n">
        <x:v>-47164</x:v>
      </x:c>
      <x:c r="I19" s="28" t="n">
        <x:v>-636719</x:v>
      </x:c>
      <x:c r="J19" s="28" t="n">
        <x:v>-589554</x:v>
      </x:c>
      <x:c r="K19" s="28" t="n">
        <x:v>-47164</x:v>
      </x:c>
      <x:c r="L19" s="28" t="n">
        <x:v>-636719</x:v>
      </x:c>
      <x:c r="M19" s="20" t="str">
        <x:v>Điều chỉnh giảm giá trị hóa đơn số 00000228
Điều chỉnh giảm giá trị hóa đơn số 00000228 (TChat=1, SL=0, đơn giá=0, thành tiền=0)
Thuế suất tổng hợp: 8%</x:v>
      </x:c>
      <x:c r="N19" s="20" t="str">
        <x:v>Bang_ke_hoa_don_da_su_dung_1791532908545_1.xlsx, dòng 2624</x:v>
      </x:c>
      <x:c r="O19" s="20" t="str">
        <x:v>1C25TUV_00002619.xml</x:v>
      </x:c>
      <x:c r="P19" s="20" t="str">
        <x:v>Có XML trong bộ nguồn hiện tại.</x:v>
      </x:c>
    </x:row>
    <x:row r="20" ht="72" customHeight="1">
      <x:c r="A20" s="19" t="str">
        <x:v>LT06</x:v>
      </x:c>
      <x:c r="B20" s="19" t="str">
        <x:v>Cần kế toán phản hồi</x:v>
      </x:c>
      <x:c r="C20" s="19" t="str">
        <x:v>Điều chỉnh liên quan</x:v>
      </x:c>
      <x:c r="D20" s="19" t="str">
        <x:v>1C25TUV</x:v>
      </x:c>
      <x:c r="E20" s="23" t="str">
        <x:v>00002646</x:v>
      </x:c>
      <x:c r="F20" s="21" t="d">
        <x:v>2025-05-31T00:00:00.000Z</x:v>
      </x:c>
      <x:c r="G20" s="27" t="n">
        <x:v>1718981</x:v>
      </x:c>
      <x:c r="H20" s="27" t="n">
        <x:v>137518</x:v>
      </x:c>
      <x:c r="I20" s="27" t="n">
        <x:v>1856499</x:v>
      </x:c>
      <x:c r="J20" s="27" t="n">
        <x:v>1718981</x:v>
      </x:c>
      <x:c r="K20" s="27" t="n">
        <x:v>137518</x:v>
      </x:c>
      <x:c r="L20" s="27" t="n">
        <x:v>1856499</x:v>
      </x:c>
      <x:c r="M20" s="19" t="str">
        <x:v>Điều chỉnh tăng giá trị hoá đơn số 00000228
Điều chỉnh tăng giá trị hoá đơn số 00000228 (TChat=1, SL=0, đơn giá=0, thành tiền=0)
Thuế suất tổng hợp: 8%</x:v>
      </x:c>
      <x:c r="N20" s="19" t="str">
        <x:v>Bang_ke_hoa_don_da_su_dung_1791532908545_1.xlsx, dòng 2651</x:v>
      </x:c>
      <x:c r="O20" s="19" t="str">
        <x:v>1C25TUV_00002646.xml</x:v>
      </x:c>
      <x:c r="P20" s="19" t="str">
        <x:v>Có XML trong bộ nguồn hiện tại.</x:v>
      </x:c>
    </x:row>
    <x:row r="21" ht="72" customHeight="1">
      <x:c r="A21" s="20" t="str">
        <x:v>LT07</x:v>
      </x:c>
      <x:c r="B21" s="20" t="str">
        <x:v>Cần kế toán phản hồi</x:v>
      </x:c>
      <x:c r="C21" s="20" t="str">
        <x:v>Hóa đơn gốc</x:v>
      </x:c>
      <x:c r="D21" s="20" t="str">
        <x:v>1C24TUV</x:v>
      </x:c>
      <x:c r="E21" s="24" t="str">
        <x:v>00000285</x:v>
      </x:c>
      <x:c r="F21" s="22" t="d">
        <x:v>2024-06-15T00:00:00.000Z</x:v>
      </x:c>
      <x:c r="G21" s="28" t="n">
        <x:v>87458193</x:v>
      </x:c>
      <x:c r="H21" s="28" t="n">
        <x:v>6996655</x:v>
      </x:c>
      <x:c r="I21" s="28" t="n">
        <x:v>94454848</x:v>
      </x:c>
      <x:c r="J21" s="28"/>
      <x:c r="K21" s="28"/>
      <x:c r="L21" s="28"/>
      <x:c r="M21" s="20" t="str"/>
      <x:c r="N21" s="20" t="str">
        <x:v>Bang_ke_hoa_don_da_su_dung_1791532882546.xlsx, dòng 290</x:v>
      </x:c>
      <x:c r="O21" s="20"/>
      <x:c r="P21" s="20" t="str">
        <x:v>Chưa có XML trong phần nguồn đã lưu hiện tại.</x:v>
      </x:c>
    </x:row>
    <x:row r="22" ht="72" customHeight="1">
      <x:c r="A22" s="19" t="str">
        <x:v>LT07</x:v>
      </x:c>
      <x:c r="B22" s="19" t="str">
        <x:v>Cần kế toán phản hồi</x:v>
      </x:c>
      <x:c r="C22" s="19" t="str">
        <x:v>Điều chỉnh liên quan</x:v>
      </x:c>
      <x:c r="D22" s="19" t="str">
        <x:v>1C25TUV</x:v>
      </x:c>
      <x:c r="E22" s="23" t="str">
        <x:v>00001821</x:v>
      </x:c>
      <x:c r="F22" s="21" t="d">
        <x:v>2025-05-29T00:00:00.000Z</x:v>
      </x:c>
      <x:c r="G22" s="27" t="n">
        <x:v>5701066</x:v>
      </x:c>
      <x:c r="H22" s="27" t="n">
        <x:v>456085</x:v>
      </x:c>
      <x:c r="I22" s="27" t="n">
        <x:v>6157152</x:v>
      </x:c>
      <x:c r="J22" s="27" t="n">
        <x:v>5701066</x:v>
      </x:c>
      <x:c r="K22" s="27" t="n">
        <x:v>456085</x:v>
      </x:c>
      <x:c r="L22" s="27" t="n">
        <x:v>6157152</x:v>
      </x:c>
      <x:c r="M22" s="19" t="str">
        <x:v>Điều chỉnh tăng thành tiền hoá đơn số 00000285
Điều chỉnh tăng thành tiền hoá đơn số 00000285 (TChat=1, SL=0, đơn giá=0, thành tiền=0)
Thuế suất tổng hợp: 8%</x:v>
      </x:c>
      <x:c r="N22" s="19" t="str">
        <x:v>Bang_ke_hoa_don_da_su_dung_1791532908545_1.xlsx, dòng 1826</x:v>
      </x:c>
      <x:c r="O22" s="19" t="str">
        <x:v>1C25TUV_00001821.xml</x:v>
      </x:c>
      <x:c r="P22" s="19" t="str">
        <x:v>Có XML trong bộ nguồn hiện tại.</x:v>
      </x:c>
    </x:row>
    <x:row r="23" ht="72" customHeight="1">
      <x:c r="A23" s="20" t="str">
        <x:v>LT08</x:v>
      </x:c>
      <x:c r="B23" s="20" t="str">
        <x:v>Cần kế toán phản hồi</x:v>
      </x:c>
      <x:c r="C23" s="20" t="str">
        <x:v>Hóa đơn gốc</x:v>
      </x:c>
      <x:c r="D23" s="20" t="str">
        <x:v>1C25TUV</x:v>
      </x:c>
      <x:c r="E23" s="24" t="str">
        <x:v>00000102</x:v>
      </x:c>
      <x:c r="F23" s="22" t="d">
        <x:v>2025-02-19T00:00:00.000Z</x:v>
      </x:c>
      <x:c r="G23" s="28" t="n">
        <x:v>69918243</x:v>
      </x:c>
      <x:c r="H23" s="28" t="n">
        <x:v>5593459</x:v>
      </x:c>
      <x:c r="I23" s="28" t="n">
        <x:v>75511702</x:v>
      </x:c>
      <x:c r="J23" s="28"/>
      <x:c r="K23" s="28"/>
      <x:c r="L23" s="28"/>
      <x:c r="M23" s="20" t="str"/>
      <x:c r="N23" s="20" t="str">
        <x:v>Bang_ke_hoa_don_da_su_dung_1791532908545_1.xlsx, dòng 107</x:v>
      </x:c>
      <x:c r="O23" s="20"/>
      <x:c r="P23" s="20" t="str">
        <x:v>Chưa có XML trong phần nguồn đã lưu hiện tại.</x:v>
      </x:c>
    </x:row>
    <x:row r="24" ht="72" customHeight="1">
      <x:c r="A24" s="19" t="str">
        <x:v>LT08</x:v>
      </x:c>
      <x:c r="B24" s="19" t="str">
        <x:v>Cần kế toán phản hồi</x:v>
      </x:c>
      <x:c r="C24" s="19" t="str">
        <x:v>Điều chỉnh liên quan</x:v>
      </x:c>
      <x:c r="D24" s="19" t="str">
        <x:v>1C25TUV</x:v>
      </x:c>
      <x:c r="E24" s="23" t="str">
        <x:v>00000626</x:v>
      </x:c>
      <x:c r="F24" s="21" t="d">
        <x:v>2025-05-04T00:00:00.000Z</x:v>
      </x:c>
      <x:c r="G24" s="27" t="n">
        <x:v>4347265</x:v>
      </x:c>
      <x:c r="H24" s="27" t="n">
        <x:v>347781</x:v>
      </x:c>
      <x:c r="I24" s="27" t="n">
        <x:v>4695045</x:v>
      </x:c>
      <x:c r="J24" s="27" t="n">
        <x:v>4347265</x:v>
      </x:c>
      <x:c r="K24" s="27" t="n">
        <x:v>347781</x:v>
      </x:c>
      <x:c r="L24" s="27" t="n">
        <x:v>4695045</x:v>
      </x:c>
      <x:c r="M24" s="19" t="str">
        <x:v>Điều chỉnh tăng giá trị hoá đơn số 00000102
Điều chỉnh tăng giá trị hoá đơn số 00000102 (TChat=1, SL=0, đơn giá=0, thành tiền=0)
Thuế suất tổng hợp: 8%</x:v>
      </x:c>
      <x:c r="N24" s="19" t="str">
        <x:v>Bang_ke_hoa_don_da_su_dung_1791532908545_1.xlsx, dòng 631</x:v>
      </x:c>
      <x:c r="O24" s="19" t="str">
        <x:v>1C25TUV_00000626.xml</x:v>
      </x:c>
      <x:c r="P24" s="19" t="str">
        <x:v>Có XML trong bộ nguồn hiện tại.</x:v>
      </x:c>
    </x:row>
    <x:row r="25" ht="72" customHeight="1">
      <x:c r="A25" s="20" t="str">
        <x:v>SL01</x:v>
      </x:c>
      <x:c r="B25" s="20" t="str">
        <x:v>Cần kế toán phản hồi</x:v>
      </x:c>
      <x:c r="C25" s="20" t="str">
        <x:v>Hóa đơn gốc</x:v>
      </x:c>
      <x:c r="D25" s="20" t="str">
        <x:v>1C24TUV</x:v>
      </x:c>
      <x:c r="E25" s="24" t="str">
        <x:v>00000555</x:v>
      </x:c>
      <x:c r="F25" s="22" t="d">
        <x:v>2024-10-31T00:00:00.000Z</x:v>
      </x:c>
      <x:c r="G25" s="28" t="n">
        <x:v>6219445</x:v>
      </x:c>
      <x:c r="H25" s="28" t="n">
        <x:v>497556</x:v>
      </x:c>
      <x:c r="I25" s="28" t="n">
        <x:v>6717001</x:v>
      </x:c>
      <x:c r="J25" s="28"/>
      <x:c r="K25" s="28"/>
      <x:c r="L25" s="28"/>
      <x:c r="M25" s="20" t="str">
        <x:v>Màng Lọc HEPA H13 Diệt Khuẩn Cho Máy Lọc Không Khí UVGREEN KA350 FT ( BS HĐ 547): SL=trống, đơn giá=trống, tiền hàng=46296, thuế=3705, thanh toán=50001</x:v>
      </x:c>
      <x:c r="N25" s="20" t="str">
        <x:v>Bang_ke_hoa_don_da_su_dung_1791532882546.xlsx, dòng 560</x:v>
      </x:c>
      <x:c r="O25" s="20"/>
      <x:c r="P25" s="20" t="str">
        <x:v>Chưa có XML trong phần nguồn đã lưu hiện tại.</x:v>
      </x:c>
    </x:row>
    <x:row r="26" ht="72" customHeight="1">
      <x:c r="A26" s="19" t="str">
        <x:v>SL01</x:v>
      </x:c>
      <x:c r="B26" s="19" t="str">
        <x:v>Cần kế toán phản hồi</x:v>
      </x:c>
      <x:c r="C26" s="19" t="str">
        <x:v>Điều chỉnh liên quan</x:v>
      </x:c>
      <x:c r="D26" s="19" t="str">
        <x:v>1C25TUV</x:v>
      </x:c>
      <x:c r="E26" s="23" t="str">
        <x:v>00002632</x:v>
      </x:c>
      <x:c r="F26" s="21" t="d">
        <x:v>2025-05-31T00:00:00.000Z</x:v>
      </x:c>
      <x:c r="G26" s="27" t="n">
        <x:v>-1888889</x:v>
      </x:c>
      <x:c r="H26" s="27" t="n">
        <x:v>-151111</x:v>
      </x:c>
      <x:c r="I26" s="27" t="n">
        <x:v>-2040000</x:v>
      </x:c>
      <x:c r="J26" s="27" t="n">
        <x:v>-1888889</x:v>
      </x:c>
      <x:c r="K26" s="27" t="n">
        <x:v>-151111</x:v>
      </x:c>
      <x:c r="L26" s="27" t="n">
        <x:v>-2040000</x:v>
      </x:c>
      <x:c r="M26" s="19" t="str">
        <x:v>Điều chỉnh giảm giá trị hoá đơn số 00000555
Điều chỉnh giảm giá trị hoá đơn số 00000555 (TChat=1, SL=0, đơn giá=0, thành tiền=0)
Thuế suất tổng hợp: 8%</x:v>
      </x:c>
      <x:c r="N26" s="19" t="str">
        <x:v>Bang_ke_hoa_don_da_su_dung_1791532908545_1.xlsx, dòng 2637</x:v>
      </x:c>
      <x:c r="O26" s="19" t="str">
        <x:v>1C25TUV_00002632.xml</x:v>
      </x:c>
      <x:c r="P26" s="19" t="str">
        <x:v>Có XML trong bộ nguồn hiện tại.</x:v>
      </x:c>
    </x:row>
    <x:row r="27" ht="72" customHeight="1">
      <x:c r="A27" s="20" t="str">
        <x:v>SL02</x:v>
      </x:c>
      <x:c r="B27" s="20" t="str">
        <x:v>Cần kế toán phản hồi</x:v>
      </x:c>
      <x:c r="C27" s="20" t="str">
        <x:v>Hóa đơn gốc</x:v>
      </x:c>
      <x:c r="D27" s="20" t="str">
        <x:v>1C25TUV</x:v>
      </x:c>
      <x:c r="E27" s="24" t="str">
        <x:v>00000113</x:v>
      </x:c>
      <x:c r="F27" s="22" t="d">
        <x:v>2025-02-19T00:00:00.000Z</x:v>
      </x:c>
      <x:c r="G27" s="28" t="n">
        <x:v>46178880</x:v>
      </x:c>
      <x:c r="H27" s="28" t="n">
        <x:v>3694310</x:v>
      </x:c>
      <x:c r="I27" s="28" t="n">
        <x:v>49873190</x:v>
      </x:c>
      <x:c r="J27" s="28"/>
      <x:c r="K27" s="28"/>
      <x:c r="L27" s="28"/>
      <x:c r="M27" s="20" t="str">
        <x:v>Màng Lọc (Lõi Lọc) HEPA H13 Diệt Khuẩn Cho Máy Lọc Không Khí UVGREEN KA600 FT: SL=trống, đơn giá=trống, tiền hàng=trống, thuế=trống, thanh toán=trống</x:v>
      </x:c>
      <x:c r="N27" s="20" t="str">
        <x:v>Bang_ke_hoa_don_da_su_dung_1791532908545_1.xlsx, dòng 118</x:v>
      </x:c>
      <x:c r="O27" s="20"/>
      <x:c r="P27" s="20" t="str">
        <x:v>Chưa có XML trong phần nguồn đã lưu hiện tại.</x:v>
      </x:c>
    </x:row>
    <x:row r="28" ht="72" customHeight="1">
      <x:c r="A28" s="19" t="str">
        <x:v>SL02</x:v>
      </x:c>
      <x:c r="B28" s="19" t="str">
        <x:v>Cần kế toán phản hồi</x:v>
      </x:c>
      <x:c r="C28" s="19" t="str">
        <x:v>Điều chỉnh liên quan</x:v>
      </x:c>
      <x:c r="D28" s="19" t="str">
        <x:v>1C25TUV</x:v>
      </x:c>
      <x:c r="E28" s="23" t="str">
        <x:v>00000635</x:v>
      </x:c>
      <x:c r="F28" s="21" t="d">
        <x:v>2025-05-05T00:00:00.000Z</x:v>
      </x:c>
      <x:c r="G28" s="27" t="n">
        <x:v>446836</x:v>
      </x:c>
      <x:c r="H28" s="27" t="n">
        <x:v>35747</x:v>
      </x:c>
      <x:c r="I28" s="27" t="n">
        <x:v>482583</x:v>
      </x:c>
      <x:c r="J28" s="27" t="n">
        <x:v>446836</x:v>
      </x:c>
      <x:c r="K28" s="27" t="n">
        <x:v>35747</x:v>
      </x:c>
      <x:c r="L28" s="27" t="n">
        <x:v>482583</x:v>
      </x:c>
      <x:c r="M28" s="19" t="str">
        <x:v>Điều chỉnh tăng giá trị hoá đơn số 00000113
Điều chỉnh tăng giá trị hoá đơn số 00000113 (TChat=1, SL=0, đơn giá=0, thành tiền=0)
Thuế suất tổng hợp: 8%</x:v>
      </x:c>
      <x:c r="N28" s="19" t="str">
        <x:v>Bang_ke_hoa_don_da_su_dung_1791532908545_1.xlsx, dòng 640</x:v>
      </x:c>
      <x:c r="O28" s="19" t="str">
        <x:v>1C25TUV_00000635.xml</x:v>
      </x:c>
      <x:c r="P28" s="19" t="str">
        <x:v>Có XML trong bộ nguồn hiện tại.</x:v>
      </x:c>
    </x:row>
    <x:row r="29" ht="72" customHeight="1">
      <x:c r="A29" s="20" t="str">
        <x:v>SL03</x:v>
      </x:c>
      <x:c r="B29" s="20" t="str">
        <x:v>Cần kế toán phản hồi</x:v>
      </x:c>
      <x:c r="C29" s="20" t="str">
        <x:v>Hóa đơn gốc</x:v>
      </x:c>
      <x:c r="D29" s="20" t="str">
        <x:v>1C24TUV</x:v>
      </x:c>
      <x:c r="E29" s="24" t="str">
        <x:v>00000774</x:v>
      </x:c>
      <x:c r="F29" s="22" t="d">
        <x:v>2024-12-31T00:00:00.000Z</x:v>
      </x:c>
      <x:c r="G29" s="28" t="n">
        <x:v>4398148</x:v>
      </x:c>
      <x:c r="H29" s="28" t="n">
        <x:v>351852</x:v>
      </x:c>
      <x:c r="I29" s="28" t="n">
        <x:v>4750000</x:v>
      </x:c>
      <x:c r="J29" s="28"/>
      <x:c r="K29" s="28"/>
      <x:c r="L29" s="28"/>
      <x:c r="M29" s="20" t="str">
        <x:v>( Hàng biếu, tặng không thu tiền): SL/đơn giá/thành tiền lưu = 0 ở bảng kiểm.</x:v>
      </x:c>
      <x:c r="N29" s="20" t="str">
        <x:v>Bang_ke_hoa_don_da_su_dung_1791532882546.xlsx, dòng 779</x:v>
      </x:c>
      <x:c r="O29" s="20"/>
      <x:c r="P29" s="20" t="str">
        <x:v>Chưa có XML trong phần nguồn đã lưu hiện tại.</x:v>
      </x:c>
    </x:row>
    <x:row r="30" ht="72" customHeight="1">
      <x:c r="A30" s="19" t="str">
        <x:v>SL04</x:v>
      </x:c>
      <x:c r="B30" s="19" t="str">
        <x:v>Cần kế toán phản hồi</x:v>
      </x:c>
      <x:c r="C30" s="19" t="str">
        <x:v>Hóa đơn gốc</x:v>
      </x:c>
      <x:c r="D30" s="19" t="str">
        <x:v>1C24TUV</x:v>
      </x:c>
      <x:c r="E30" s="23" t="str">
        <x:v>00000783</x:v>
      </x:c>
      <x:c r="F30" s="21" t="d">
        <x:v>2024-12-31T00:00:00.000Z</x:v>
      </x:c>
      <x:c r="G30" s="27" t="n">
        <x:v>18240741</x:v>
      </x:c>
      <x:c r="H30" s="27" t="n">
        <x:v>1459259</x:v>
      </x:c>
      <x:c r="I30" s="27" t="n">
        <x:v>19700000</x:v>
      </x:c>
      <x:c r="J30" s="27"/>
      <x:c r="K30" s="27"/>
      <x:c r="L30" s="27"/>
      <x:c r="M30" s="19" t="str">
        <x:v>( Hàng tặng không thu tiền): SL/đơn giá/thành tiền lưu = 0 ở bảng kiểm.</x:v>
      </x:c>
      <x:c r="N30" s="19" t="str">
        <x:v>Bang_ke_hoa_don_da_su_dung_1791532882546.xlsx, dòng 788</x:v>
      </x:c>
      <x:c r="O30" s="19"/>
      <x:c r="P30" s="19" t="str">
        <x:v>Chưa có XML trong phần nguồn đã lưu hiện tại.</x:v>
      </x:c>
    </x:row>
    <x:row r="31" ht="72" customHeight="1">
      <x:c r="A31" s="20" t="str">
        <x:v>SL05</x:v>
      </x:c>
      <x:c r="B31" s="20" t="str">
        <x:v>Cần kế toán phản hồi</x:v>
      </x:c>
      <x:c r="C31" s="20" t="str">
        <x:v>Hóa đơn gốc</x:v>
      </x:c>
      <x:c r="D31" s="20" t="str">
        <x:v>1C24TUV</x:v>
      </x:c>
      <x:c r="E31" s="24" t="str">
        <x:v>00000784</x:v>
      </x:c>
      <x:c r="F31" s="22" t="d">
        <x:v>2024-12-31T00:00:00.000Z</x:v>
      </x:c>
      <x:c r="G31" s="28" t="n">
        <x:v>4629630</x:v>
      </x:c>
      <x:c r="H31" s="28" t="n">
        <x:v>370370</x:v>
      </x:c>
      <x:c r="I31" s="28" t="n">
        <x:v>5000000</x:v>
      </x:c>
      <x:c r="J31" s="28"/>
      <x:c r="K31" s="28"/>
      <x:c r="L31" s="28"/>
      <x:c r="M31" s="20" t="str">
        <x:v>( Hàng tặng không thu tiền): SL/đơn giá/thành tiền lưu = 0 ở bảng kiểm.</x:v>
      </x:c>
      <x:c r="N31" s="20" t="str">
        <x:v>Bang_ke_hoa_don_da_su_dung_1791532882546.xlsx, dòng 789</x:v>
      </x:c>
      <x:c r="O31" s="20"/>
      <x:c r="P31" s="20" t="str">
        <x:v>Chưa có XML trong phần nguồn đã lưu hiện tại.</x:v>
      </x:c>
    </x:row>
    <x:row r="32" ht="72" customHeight="1">
      <x:c r="A32" s="19" t="str">
        <x:v>SL06</x:v>
      </x:c>
      <x:c r="B32" s="19" t="str">
        <x:v>Cần kế toán phản hồi</x:v>
      </x:c>
      <x:c r="C32" s="19" t="str">
        <x:v>Hóa đơn gốc</x:v>
      </x:c>
      <x:c r="D32" s="19" t="str">
        <x:v>1C24TUV</x:v>
      </x:c>
      <x:c r="E32" s="23" t="str">
        <x:v>00000786</x:v>
      </x:c>
      <x:c r="F32" s="21" t="d">
        <x:v>2024-12-31T00:00:00.000Z</x:v>
      </x:c>
      <x:c r="G32" s="27" t="n">
        <x:v>25879630</x:v>
      </x:c>
      <x:c r="H32" s="27" t="n">
        <x:v>2070370</x:v>
      </x:c>
      <x:c r="I32" s="27" t="n">
        <x:v>27950000</x:v>
      </x:c>
      <x:c r="J32" s="27"/>
      <x:c r="K32" s="27"/>
      <x:c r="L32" s="27"/>
      <x:c r="M32" s="19" t="str">
        <x:v>( hàng tặng không thu tiền): SL/đơn giá/thành tiền lưu = 0 ở bảng kiểm.</x:v>
      </x:c>
      <x:c r="N32" s="19" t="str">
        <x:v>Bang_ke_hoa_don_da_su_dung_1791532882546.xlsx, dòng 791</x:v>
      </x:c>
      <x:c r="O32" s="19"/>
      <x:c r="P32" s="19" t="str">
        <x:v>Chưa có XML trong phần nguồn đã lưu hiện tại.</x:v>
      </x:c>
    </x:row>
    <x:row r="33" ht="72" customHeight="1">
      <x:c r="A33" s="20" t="str">
        <x:v>SL07</x:v>
      </x:c>
      <x:c r="B33" s="20" t="str">
        <x:v>Cần kế toán phản hồi</x:v>
      </x:c>
      <x:c r="C33" s="20" t="str">
        <x:v>Hóa đơn gốc</x:v>
      </x:c>
      <x:c r="D33" s="20" t="str">
        <x:v>1C25TUV</x:v>
      </x:c>
      <x:c r="E33" s="24" t="str">
        <x:v>00002796</x:v>
      </x:c>
      <x:c r="F33" s="22" t="d">
        <x:v>2025-06-01T00:00:00.000Z</x:v>
      </x:c>
      <x:c r="G33" s="28" t="n">
        <x:v>443519</x:v>
      </x:c>
      <x:c r="H33" s="28" t="n">
        <x:v>35482</x:v>
      </x:c>
      <x:c r="I33" s="28" t="n">
        <x:v>479001</x:v>
      </x:c>
      <x:c r="J33" s="28"/>
      <x:c r="K33" s="28"/>
      <x:c r="L33" s="28"/>
      <x:c r="M33" s="20" t="str">
        <x:v>Vợt bắt muỗi tự động 2 trong 1 thu hút các loại côn trùng KM002: SL/đơn giá/thành tiền lưu = 0 ở bảng kiểm.</x:v>
      </x:c>
      <x:c r="N33" s="20" t="str">
        <x:v>Bang_ke_hoa_don_da_su_dung_1791532908545_1.xlsx, dòng 2801</x:v>
      </x:c>
      <x:c r="O33" s="20"/>
      <x:c r="P33" s="20" t="str">
        <x:v>Chưa có XML trong phần nguồn đã lưu hiện tại.</x:v>
      </x:c>
    </x:row>
    <x:row r="34" ht="72" customHeight="1">
      <x:c r="A34" s="19" t="str">
        <x:v>SL08</x:v>
      </x:c>
      <x:c r="B34" s="19" t="str">
        <x:v>Cần kế toán phản hồi</x:v>
      </x:c>
      <x:c r="C34" s="19" t="str">
        <x:v>Hóa đơn gốc</x:v>
      </x:c>
      <x:c r="D34" s="19" t="str">
        <x:v>1C25TUV</x:v>
      </x:c>
      <x:c r="E34" s="23" t="str">
        <x:v>00002797</x:v>
      </x:c>
      <x:c r="F34" s="21" t="d">
        <x:v>2025-06-01T00:00:00.000Z</x:v>
      </x:c>
      <x:c r="G34" s="27" t="n">
        <x:v>1213008</x:v>
      </x:c>
      <x:c r="H34" s="27" t="n">
        <x:v>97041</x:v>
      </x:c>
      <x:c r="I34" s="27" t="n">
        <x:v>1310049</x:v>
      </x:c>
      <x:c r="J34" s="27"/>
      <x:c r="K34" s="27"/>
      <x:c r="L34" s="27"/>
      <x:c r="M34" s="19" t="str">
        <x:v>Vợt bắt muỗi tự động 2 trong 1 thu hút các loại côn trùng KM003: SL/đơn giá/thành tiền lưu = 0 ở bảng kiểm.</x:v>
      </x:c>
      <x:c r="N34" s="19" t="str">
        <x:v>Bang_ke_hoa_don_da_su_dung_1791532908545_1.xlsx, dòng 2802</x:v>
      </x:c>
      <x:c r="O34" s="19"/>
      <x:c r="P34" s="19" t="str">
        <x:v>Chưa có XML trong phần nguồn đã lưu hiện tại.</x:v>
      </x:c>
    </x:row>
    <x:row r="35" ht="72" customHeight="1">
      <x:c r="A35" s="20" t="str">
        <x:v>TT01</x:v>
      </x:c>
      <x:c r="B35" s="20" t="str">
        <x:v>Cần kế toán phản hồi</x:v>
      </x:c>
      <x:c r="C35" s="20" t="str">
        <x:v>Hóa đơn gốc</x:v>
      </x:c>
      <x:c r="D35" s="20" t="str">
        <x:v>1C25TUV</x:v>
      </x:c>
      <x:c r="E35" s="24" t="str">
        <x:v>00000006</x:v>
      </x:c>
      <x:c r="F35" s="22" t="d">
        <x:v>2025-01-07T00:00:00.000Z</x:v>
      </x:c>
      <x:c r="G35" s="28" t="n">
        <x:v>0</x:v>
      </x:c>
      <x:c r="H35" s="28" t="n">
        <x:v>0</x:v>
      </x:c>
      <x:c r="I35" s="28"/>
      <x:c r="J35" s="28"/>
      <x:c r="K35" s="28"/>
      <x:c r="L35" s="28"/>
      <x:c r="M35" s="20" t="str"/>
      <x:c r="N35" s="20" t="str">
        <x:v>Bang_ke_hoa_don_da_su_dung_1791532908545_1.xlsx, dòng 11</x:v>
      </x:c>
      <x:c r="O35" s="20"/>
      <x:c r="P35" s="20" t="str">
        <x:v>Chưa có XML trong phần nguồn đã lưu hiện tại.</x:v>
      </x:c>
    </x:row>
    <x:row r="36" ht="72" customHeight="1">
      <x:c r="A36" s="19" t="str">
        <x:v>TT01</x:v>
      </x:c>
      <x:c r="B36" s="19" t="str">
        <x:v>Cần kế toán phản hồi</x:v>
      </x:c>
      <x:c r="C36" s="19" t="str">
        <x:v>Điều chỉnh liên quan</x:v>
      </x:c>
      <x:c r="D36" s="19" t="str">
        <x:v>1C25TUV</x:v>
      </x:c>
      <x:c r="E36" s="23" t="str">
        <x:v>00000655</x:v>
      </x:c>
      <x:c r="F36" s="21" t="d">
        <x:v>2025-05-05T00:00:00.000Z</x:v>
      </x:c>
      <x:c r="G36" s="27" t="n">
        <x:v>3478704</x:v>
      </x:c>
      <x:c r="H36" s="27" t="n">
        <x:v>278296</x:v>
      </x:c>
      <x:c r="I36" s="27" t="n">
        <x:v>3757000</x:v>
      </x:c>
      <x:c r="J36" s="27" t="n">
        <x:v>3478704</x:v>
      </x:c>
      <x:c r="K36" s="27" t="n">
        <x:v>278296</x:v>
      </x:c>
      <x:c r="L36" s="27" t="n">
        <x:v>3757000</x:v>
      </x:c>
      <x:c r="M36" s="19" t="str">
        <x:v>Điều chỉnh tăng giá trị hóa đơn số 00000006
Điều chỉnh tăng giá trị hóa đơn số 00000006 (TChat=1, SL=0, đơn giá=0, thành tiền=0)
Thuế suất tổng hợp: 8%</x:v>
      </x:c>
      <x:c r="N36" s="19" t="str">
        <x:v>Bang_ke_hoa_don_da_su_dung_1791532908545_1.xlsx, dòng 660</x:v>
      </x:c>
      <x:c r="O36" s="19" t="str">
        <x:v>1C25TUV_00000655.xml</x:v>
      </x:c>
      <x:c r="P36" s="19" t="str">
        <x:v>Có XML trong bộ nguồn hiện tại.</x:v>
      </x:c>
    </x:row>
    <x:row r="37" ht="72" customHeight="1">
      <x:c r="A37" s="20" t="str">
        <x:v>TT02</x:v>
      </x:c>
      <x:c r="B37" s="20" t="str">
        <x:v>Cần kế toán phản hồi</x:v>
      </x:c>
      <x:c r="C37" s="20" t="str">
        <x:v>Hóa đơn gốc</x:v>
      </x:c>
      <x:c r="D37" s="20" t="str">
        <x:v>1C25TUV</x:v>
      </x:c>
      <x:c r="E37" s="24" t="str">
        <x:v>00000016</x:v>
      </x:c>
      <x:c r="F37" s="22" t="d">
        <x:v>2025-01-14T00:00:00.000Z</x:v>
      </x:c>
      <x:c r="G37" s="28" t="n">
        <x:v>0</x:v>
      </x:c>
      <x:c r="H37" s="28" t="n">
        <x:v>0</x:v>
      </x:c>
      <x:c r="I37" s="28"/>
      <x:c r="J37" s="28"/>
      <x:c r="K37" s="28"/>
      <x:c r="L37" s="28"/>
      <x:c r="M37" s="20" t="str"/>
      <x:c r="N37" s="20" t="str">
        <x:v>Bang_ke_hoa_don_da_su_dung_1791532908545_1.xlsx, dòng 21</x:v>
      </x:c>
      <x:c r="O37" s="20"/>
      <x:c r="P37" s="20" t="str">
        <x:v>Chưa có XML trong phần nguồn đã lưu hiện tại.</x:v>
      </x:c>
    </x:row>
    <x:row r="38" ht="72" customHeight="1">
      <x:c r="A38" s="19" t="str">
        <x:v>TT02</x:v>
      </x:c>
      <x:c r="B38" s="19" t="str">
        <x:v>Cần kế toán phản hồi</x:v>
      </x:c>
      <x:c r="C38" s="19" t="str">
        <x:v>Điều chỉnh liên quan</x:v>
      </x:c>
      <x:c r="D38" s="19" t="str">
        <x:v>1C25TUV</x:v>
      </x:c>
      <x:c r="E38" s="23" t="str">
        <x:v>00000657</x:v>
      </x:c>
      <x:c r="F38" s="21" t="d">
        <x:v>2025-05-05T00:00:00.000Z</x:v>
      </x:c>
      <x:c r="G38" s="27" t="n">
        <x:v>5275000</x:v>
      </x:c>
      <x:c r="H38" s="27" t="n">
        <x:v>422000</x:v>
      </x:c>
      <x:c r="I38" s="27" t="n">
        <x:v>5697000</x:v>
      </x:c>
      <x:c r="J38" s="27" t="n">
        <x:v>5275000</x:v>
      </x:c>
      <x:c r="K38" s="27" t="n">
        <x:v>422000</x:v>
      </x:c>
      <x:c r="L38" s="27" t="n">
        <x:v>5697000</x:v>
      </x:c>
      <x:c r="M38" s="19" t="str">
        <x:v>Điều chỉnh tăng giá trị hóa đơn số 00000016
Điều chỉnh tăng giá trị hóa đơn số 00000016 (TChat=1, SL=0, đơn giá=0, thành tiền=0)
Thuế suất tổng hợp: 8%</x:v>
      </x:c>
      <x:c r="N38" s="19" t="str">
        <x:v>Bang_ke_hoa_don_da_su_dung_1791532908545_1.xlsx, dòng 662</x:v>
      </x:c>
      <x:c r="O38" s="19" t="str">
        <x:v>1C25TUV_00000657.xml</x:v>
      </x:c>
      <x:c r="P38" s="19" t="str">
        <x:v>Có XML trong bộ nguồn hiện tại.</x:v>
      </x:c>
    </x:row>
    <x:row r="39" ht="72" customHeight="1">
      <x:c r="A39" s="20" t="str">
        <x:v>HH01</x:v>
      </x:c>
      <x:c r="B39" s="20" t="str">
        <x:v>Cần kế toán phản hồi</x:v>
      </x:c>
      <x:c r="C39" s="20" t="str">
        <x:v>Hóa đơn gốc</x:v>
      </x:c>
      <x:c r="D39" s="20" t="str">
        <x:v>1C25TUV</x:v>
      </x:c>
      <x:c r="E39" s="24" t="str">
        <x:v>00003548</x:v>
      </x:c>
      <x:c r="F39" s="22" t="d">
        <x:v>2025-06-06T00:00:00.000Z</x:v>
      </x:c>
      <x:c r="G39" s="28" t="n">
        <x:v>962037</x:v>
      </x:c>
      <x:c r="H39" s="28" t="n">
        <x:v>76963</x:v>
      </x:c>
      <x:c r="I39" s="28" t="n">
        <x:v>1039000</x:v>
      </x:c>
      <x:c r="J39" s="28"/>
      <x:c r="K39" s="28"/>
      <x:c r="L39" s="28"/>
      <x:c r="M39" s="20" t="str"/>
      <x:c r="N39" s="20" t="str">
        <x:v>Bang_ke_hoa_don_da_su_dung_1791532908545_1.xlsx, dòng 3553</x:v>
      </x:c>
      <x:c r="O39" s="20"/>
      <x:c r="P39" s="20" t="str">
        <x:v>Chưa có XML trong phần nguồn đã lưu hiện tại.</x:v>
      </x:c>
    </x:row>
    <x:row r="40" ht="72" customHeight="1">
      <x:c r="A40" s="19" t="str">
        <x:v>HH01</x:v>
      </x:c>
      <x:c r="B40" s="19" t="str">
        <x:v>Cần kế toán phản hồi</x:v>
      </x:c>
      <x:c r="C40" s="19" t="str">
        <x:v>Điều chỉnh liên quan</x:v>
      </x:c>
      <x:c r="D40" s="19" t="str">
        <x:v>1C25TUV</x:v>
      </x:c>
      <x:c r="E40" s="23" t="str">
        <x:v>00013072</x:v>
      </x:c>
      <x:c r="F40" s="21" t="d">
        <x:v>2025-09-30T00:00:00.000Z</x:v>
      </x:c>
      <x:c r="G40" s="27" t="n">
        <x:v>-962037</x:v>
      </x:c>
      <x:c r="H40" s="27" t="n">
        <x:v>-76963</x:v>
      </x:c>
      <x:c r="I40" s="27" t="n">
        <x:v>-1039000</x:v>
      </x:c>
      <x:c r="J40" s="27" t="n">
        <x:v>-962037</x:v>
      </x:c>
      <x:c r="K40" s="27" t="n">
        <x:v>-76963</x:v>
      </x:c>
      <x:c r="L40" s="27" t="n">
        <x:v>-1039000</x:v>
      </x:c>
      <x:c r="M40" s="19" t="str">
        <x:v>Điều chỉnh giảm do đổi trả hàng hóa theo hóa đơn số :00003548 ngày 06 tháng 06 năm 2025  
Lõi lọc diệt khuẩn - Filter - KA150S (TChat=1, SL=-1, đơn giá=962037, thành tiền=-962037)
Thuế suất tổng hợp: 8%</x:v>
      </x:c>
      <x:c r="N40" s="19" t="str">
        <x:v>Bang_ke_hoa_don_da_su_dung_1791532908545_6.xlsx, dòng 3862</x:v>
      </x:c>
      <x:c r="O40" s="19" t="str">
        <x:v>1C25TUV_00013072.xml</x:v>
      </x:c>
      <x:c r="P40" s="19" t="str">
        <x:v>Có XML trong bộ nguồn hiện tại.</x:v>
      </x:c>
    </x:row>
    <x:row r="41" ht="72" customHeight="1">
      <x:c r="A41" s="20" t="str">
        <x:v>HH02</x:v>
      </x:c>
      <x:c r="B41" s="20" t="str">
        <x:v>Cần kế toán phản hồi</x:v>
      </x:c>
      <x:c r="C41" s="20" t="str">
        <x:v>Hóa đơn gốc</x:v>
      </x:c>
      <x:c r="D41" s="20" t="str">
        <x:v>1C25TUV</x:v>
      </x:c>
      <x:c r="E41" s="24" t="str">
        <x:v>00004026</x:v>
      </x:c>
      <x:c r="F41" s="22" t="d">
        <x:v>2025-06-08T00:00:00.000Z</x:v>
      </x:c>
      <x:c r="G41" s="28" t="n">
        <x:v>499074</x:v>
      </x:c>
      <x:c r="H41" s="28" t="n">
        <x:v>39926</x:v>
      </x:c>
      <x:c r="I41" s="28" t="n">
        <x:v>539000</x:v>
      </x:c>
      <x:c r="J41" s="28"/>
      <x:c r="K41" s="28"/>
      <x:c r="L41" s="28"/>
      <x:c r="M41" s="20" t="str"/>
      <x:c r="N41" s="20" t="str">
        <x:v>Bang_ke_hoa_don_da_su_dung_1791532908545_1.xlsx, dòng 4031</x:v>
      </x:c>
      <x:c r="O41" s="20"/>
      <x:c r="P41" s="20" t="str">
        <x:v>Chưa có XML trong phần nguồn đã lưu hiện tại.</x:v>
      </x:c>
    </x:row>
    <x:row r="42" ht="72" customHeight="1">
      <x:c r="A42" s="19" t="str">
        <x:v>HH02</x:v>
      </x:c>
      <x:c r="B42" s="19" t="str">
        <x:v>Cần kế toán phản hồi</x:v>
      </x:c>
      <x:c r="C42" s="19" t="str">
        <x:v>Điều chỉnh liên quan</x:v>
      </x:c>
      <x:c r="D42" s="19" t="str">
        <x:v>1C25TUV</x:v>
      </x:c>
      <x:c r="E42" s="23" t="str">
        <x:v>00013079</x:v>
      </x:c>
      <x:c r="F42" s="21" t="d">
        <x:v>2025-09-30T00:00:00.000Z</x:v>
      </x:c>
      <x:c r="G42" s="27" t="n">
        <x:v>-499074</x:v>
      </x:c>
      <x:c r="H42" s="27" t="n">
        <x:v>-39926</x:v>
      </x:c>
      <x:c r="I42" s="27" t="n">
        <x:v>-539000</x:v>
      </x:c>
      <x:c r="J42" s="27" t="n">
        <x:v>-499074</x:v>
      </x:c>
      <x:c r="K42" s="27" t="n">
        <x:v>-39926</x:v>
      </x:c>
      <x:c r="L42" s="27" t="n">
        <x:v>-539000</x:v>
      </x:c>
      <x:c r="M42" s="19" t="str">
        <x:v>Điều chỉnh giảm do đổi trả hàng hóa  theo hóa đơn số :00004026 ngày 08 tháng 06 năm 2025  
Máy phun sương tạo độ ẩm không khí diệt khuẩn bằng tia UVC với màn hình LCD - KH100 (TChat=1, SL=-1, đơn giá=499074, thành tiền=-499074)
Thuế suất tổng hợp: 8%</x:v>
      </x:c>
      <x:c r="N42" s="19" t="str">
        <x:v>Bang_ke_hoa_don_da_su_dung_1791532908545_6.xlsx, dòng 3869</x:v>
      </x:c>
      <x:c r="O42" s="19" t="str">
        <x:v>1C25TUV_00013079.xml</x:v>
      </x:c>
      <x:c r="P42" s="19" t="str">
        <x:v>Có XML trong bộ nguồn hiện tại.</x:v>
      </x:c>
    </x:row>
    <x:row r="43" ht="72" customHeight="1">
      <x:c r="A43" s="20" t="str">
        <x:v>HH03</x:v>
      </x:c>
      <x:c r="B43" s="20" t="str">
        <x:v>Cần kế toán phản hồi</x:v>
      </x:c>
      <x:c r="C43" s="20" t="str">
        <x:v>Hóa đơn gốc</x:v>
      </x:c>
      <x:c r="D43" s="20" t="str">
        <x:v>1C25TUV</x:v>
      </x:c>
      <x:c r="E43" s="24" t="str">
        <x:v>00004953</x:v>
      </x:c>
      <x:c r="F43" s="22" t="d">
        <x:v>2025-06-12T00:00:00.000Z</x:v>
      </x:c>
      <x:c r="G43" s="28" t="n">
        <x:v>2295369</x:v>
      </x:c>
      <x:c r="H43" s="28" t="n">
        <x:v>183630</x:v>
      </x:c>
      <x:c r="I43" s="28" t="n">
        <x:v>2478999</x:v>
      </x:c>
      <x:c r="J43" s="28"/>
      <x:c r="K43" s="28"/>
      <x:c r="L43" s="28"/>
      <x:c r="M43" s="20" t="str"/>
      <x:c r="N43" s="20" t="str">
        <x:v>Bang_ke_hoa_don_da_su_dung_1791532908545_2.xlsx, dòng 45</x:v>
      </x:c>
      <x:c r="O43" s="20"/>
      <x:c r="P43" s="20" t="str">
        <x:v>Chưa có XML trong phần nguồn đã lưu hiện tại.</x:v>
      </x:c>
    </x:row>
    <x:row r="44" ht="72" customHeight="1">
      <x:c r="A44" s="19" t="str">
        <x:v>HH03</x:v>
      </x:c>
      <x:c r="B44" s="19" t="str">
        <x:v>Cần kế toán phản hồi</x:v>
      </x:c>
      <x:c r="C44" s="19" t="str">
        <x:v>Điều chỉnh liên quan</x:v>
      </x:c>
      <x:c r="D44" s="19" t="str">
        <x:v>1C25TUV</x:v>
      </x:c>
      <x:c r="E44" s="23" t="str">
        <x:v>00013089</x:v>
      </x:c>
      <x:c r="F44" s="21" t="d">
        <x:v>2025-09-30T00:00:00.000Z</x:v>
      </x:c>
      <x:c r="G44" s="27" t="n">
        <x:v>-2295369</x:v>
      </x:c>
      <x:c r="H44" s="27" t="n">
        <x:v>-183630</x:v>
      </x:c>
      <x:c r="I44" s="27" t="n">
        <x:v>-2478999</x:v>
      </x:c>
      <x:c r="J44" s="27" t="n">
        <x:v>-2295369</x:v>
      </x:c>
      <x:c r="K44" s="27" t="n">
        <x:v>-183630</x:v>
      </x:c>
      <x:c r="L44" s="27" t="n">
        <x:v>-2478999</x:v>
      </x:c>
      <x:c r="M44" s="19" t="str">
        <x:v>Điều chỉnh giảm do đổi trả hàng hóa  theo hóa đơn số :00004953 ngày 12 tháng 06 năm 2025  
Máy lọc không khí diệt khuẩn bằng tia UVC - KA350 Pro-Upgrade (TChat=1, SL=-1, đơn giá=2295369, thành tiền=-2295369)
Thuế suất tổng hợp: 8%</x:v>
      </x:c>
      <x:c r="N44" s="19" t="str">
        <x:v>Bang_ke_hoa_don_da_su_dung_1791532908545_6.xlsx, dòng 3879</x:v>
      </x:c>
      <x:c r="O44" s="19" t="str">
        <x:v>1C25TUV_00013089.xml</x:v>
      </x:c>
      <x:c r="P44" s="19" t="str">
        <x:v>Có XML trong bộ nguồn hiện tại.</x:v>
      </x:c>
    </x:row>
    <x:row r="45" ht="72" customHeight="1">
      <x:c r="A45" s="20" t="str">
        <x:v>HH04</x:v>
      </x:c>
      <x:c r="B45" s="20" t="str">
        <x:v>Cần kế toán phản hồi</x:v>
      </x:c>
      <x:c r="C45" s="20" t="str">
        <x:v>Hóa đơn gốc</x:v>
      </x:c>
      <x:c r="D45" s="20" t="str">
        <x:v>1C25TUV</x:v>
      </x:c>
      <x:c r="E45" s="24" t="str">
        <x:v>00005905</x:v>
      </x:c>
      <x:c r="F45" s="22" t="d">
        <x:v>2025-06-16T00:00:00.000Z</x:v>
      </x:c>
      <x:c r="G45" s="28" t="n">
        <x:v>509259</x:v>
      </x:c>
      <x:c r="H45" s="28" t="n">
        <x:v>40741</x:v>
      </x:c>
      <x:c r="I45" s="28" t="n">
        <x:v>550000</x:v>
      </x:c>
      <x:c r="J45" s="28"/>
      <x:c r="K45" s="28"/>
      <x:c r="L45" s="28"/>
      <x:c r="M45" s="20" t="str"/>
      <x:c r="N45" s="20" t="str">
        <x:v>Bang_ke_hoa_don_da_su_dung_1791532908545_2.xlsx, dòng 997</x:v>
      </x:c>
      <x:c r="O45" s="20"/>
      <x:c r="P45" s="20" t="str">
        <x:v>Chưa có XML trong phần nguồn đã lưu hiện tại.</x:v>
      </x:c>
    </x:row>
    <x:row r="46" ht="72" customHeight="1">
      <x:c r="A46" s="19" t="str">
        <x:v>HH04</x:v>
      </x:c>
      <x:c r="B46" s="19" t="str">
        <x:v>Cần kế toán phản hồi</x:v>
      </x:c>
      <x:c r="C46" s="19" t="str">
        <x:v>Điều chỉnh liên quan</x:v>
      </x:c>
      <x:c r="D46" s="19" t="str">
        <x:v>1C25TUV</x:v>
      </x:c>
      <x:c r="E46" s="23" t="str">
        <x:v>00013095</x:v>
      </x:c>
      <x:c r="F46" s="21" t="d">
        <x:v>2025-09-30T00:00:00.000Z</x:v>
      </x:c>
      <x:c r="G46" s="27" t="n">
        <x:v>-509259</x:v>
      </x:c>
      <x:c r="H46" s="27" t="n">
        <x:v>-40741</x:v>
      </x:c>
      <x:c r="I46" s="27" t="n">
        <x:v>-550000</x:v>
      </x:c>
      <x:c r="J46" s="27" t="n">
        <x:v>-509259</x:v>
      </x:c>
      <x:c r="K46" s="27" t="n">
        <x:v>-40741</x:v>
      </x:c>
      <x:c r="L46" s="27" t="n">
        <x:v>-550000</x:v>
      </x:c>
      <x:c r="M46" s="19" t="str">
        <x:v>Điều chỉnh giảm do đổi trả hàng hóa  theo hóa đơn số :00005905 ngày 16 tháng 06 năm 2025  
Máy lọc không khí diệt khuẩn bằng tia UVC - KA600 (TChat=1, SL=-1, đơn giá=509259, thành tiền=-509259)
Thuế suất tổng hợp: 8%</x:v>
      </x:c>
      <x:c r="N46" s="19" t="str">
        <x:v>Bang_ke_hoa_don_da_su_dung_1791532908545_6.xlsx, dòng 3885</x:v>
      </x:c>
      <x:c r="O46" s="19" t="str">
        <x:v>1C25TUV_00013095.xml</x:v>
      </x:c>
      <x:c r="P46" s="19" t="str">
        <x:v>Có XML trong bộ nguồn hiện tại.</x:v>
      </x:c>
    </x:row>
    <x:row r="47" ht="72" customHeight="1">
      <x:c r="A47" s="20" t="str">
        <x:v>HH05</x:v>
      </x:c>
      <x:c r="B47" s="20" t="str">
        <x:v>Cần kế toán phản hồi</x:v>
      </x:c>
      <x:c r="C47" s="20" t="str">
        <x:v>Hóa đơn gốc</x:v>
      </x:c>
      <x:c r="D47" s="20" t="str">
        <x:v>1C25TUV</x:v>
      </x:c>
      <x:c r="E47" s="24" t="str">
        <x:v>00007766</x:v>
      </x:c>
      <x:c r="F47" s="22" t="d">
        <x:v>2025-06-22T00:00:00.000Z</x:v>
      </x:c>
      <x:c r="G47" s="28" t="n">
        <x:v>486110</x:v>
      </x:c>
      <x:c r="H47" s="28" t="n">
        <x:v>38889</x:v>
      </x:c>
      <x:c r="I47" s="28" t="n">
        <x:v>524999</x:v>
      </x:c>
      <x:c r="J47" s="28"/>
      <x:c r="K47" s="28"/>
      <x:c r="L47" s="28"/>
      <x:c r="M47" s="20" t="str"/>
      <x:c r="N47" s="20" t="str">
        <x:v>Bang_ke_hoa_don_da_su_dung_1791532908545_2.xlsx, dòng 2858</x:v>
      </x:c>
      <x:c r="O47" s="20"/>
      <x:c r="P47" s="20" t="str">
        <x:v>Chưa có XML trong phần nguồn đã lưu hiện tại.</x:v>
      </x:c>
    </x:row>
    <x:row r="48" ht="72" customHeight="1">
      <x:c r="A48" s="19" t="str">
        <x:v>HH05</x:v>
      </x:c>
      <x:c r="B48" s="19" t="str">
        <x:v>Cần kế toán phản hồi</x:v>
      </x:c>
      <x:c r="C48" s="19" t="str">
        <x:v>Điều chỉnh liên quan</x:v>
      </x:c>
      <x:c r="D48" s="19" t="str">
        <x:v>1C25TUV</x:v>
      </x:c>
      <x:c r="E48" s="23" t="str">
        <x:v>00013099</x:v>
      </x:c>
      <x:c r="F48" s="21" t="d">
        <x:v>2025-09-30T00:00:00.000Z</x:v>
      </x:c>
      <x:c r="G48" s="27" t="n">
        <x:v>-486110</x:v>
      </x:c>
      <x:c r="H48" s="27" t="n">
        <x:v>-38889</x:v>
      </x:c>
      <x:c r="I48" s="27" t="n">
        <x:v>-524999</x:v>
      </x:c>
      <x:c r="J48" s="27" t="n">
        <x:v>-486110</x:v>
      </x:c>
      <x:c r="K48" s="27" t="n">
        <x:v>-38889</x:v>
      </x:c>
      <x:c r="L48" s="27" t="n">
        <x:v>-524999</x:v>
      </x:c>
      <x:c r="M48" s="19" t="str">
        <x:v>Điều chỉnh giảm do đổi trả hàng hóa  theo hóa đơn số :00007766 ngày 22 tháng 06 năm 2025  
Máy phun sương tạo độ ẩm không khí diệt khuẩn bằng tia UVC với màn hình LCD - KH100 (TChat=1, SL=-1, đơn giá=486110, thành tiền=-486110)
Thuế suất tổng hợp: 8%</x:v>
      </x:c>
      <x:c r="N48" s="19" t="str">
        <x:v>Bang_ke_hoa_don_da_su_dung_1791532908545_6.xlsx, dòng 3889</x:v>
      </x:c>
      <x:c r="O48" s="19" t="str">
        <x:v>1C25TUV_00013099.xml</x:v>
      </x:c>
      <x:c r="P48" s="19" t="str">
        <x:v>Có XML trong bộ nguồn hiện tại.</x:v>
      </x:c>
    </x:row>
    <x:row r="49" ht="72" customHeight="1">
      <x:c r="A49" s="20" t="str">
        <x:v>DC01</x:v>
      </x:c>
      <x:c r="B49" s="20" t="str">
        <x:v>Cần kế toán phản hồi</x:v>
      </x:c>
      <x:c r="C49" s="20" t="str">
        <x:v>Hóa đơn gốc</x:v>
      </x:c>
      <x:c r="D49" s="20" t="str">
        <x:v>1C25TUV</x:v>
      </x:c>
      <x:c r="E49" s="24" t="str">
        <x:v>00001061</x:v>
      </x:c>
      <x:c r="F49" s="22" t="d">
        <x:v>2025-05-26T00:00:00.000Z</x:v>
      </x:c>
      <x:c r="G49" s="28" t="n">
        <x:v>499074</x:v>
      </x:c>
      <x:c r="H49" s="28" t="n">
        <x:v>39926</x:v>
      </x:c>
      <x:c r="I49" s="28" t="n">
        <x:v>539000</x:v>
      </x:c>
      <x:c r="J49" s="28"/>
      <x:c r="K49" s="28"/>
      <x:c r="L49" s="28"/>
      <x:c r="M49" s="20" t="str"/>
      <x:c r="N49" s="20" t="str">
        <x:v>Bang_ke_hoa_don_da_su_dung_1791532908545_1.xlsx, dòng 1066</x:v>
      </x:c>
      <x:c r="O49" s="20"/>
      <x:c r="P49" s="20" t="str">
        <x:v>Chưa có XML trong phần nguồn đã lưu hiện tại.</x:v>
      </x:c>
    </x:row>
    <x:row r="50" ht="72" customHeight="1">
      <x:c r="A50" s="19" t="str">
        <x:v>DC01</x:v>
      </x:c>
      <x:c r="B50" s="19" t="str">
        <x:v>Cần kế toán phản hồi</x:v>
      </x:c>
      <x:c r="C50" s="19" t="str">
        <x:v>Điều chỉnh liên quan</x:v>
      </x:c>
      <x:c r="D50" s="19" t="str">
        <x:v>1C25TUV</x:v>
      </x:c>
      <x:c r="E50" s="23" t="str">
        <x:v>00012835</x:v>
      </x:c>
      <x:c r="F50" s="21" t="d">
        <x:v>2025-08-16T00:00:00.000Z</x:v>
      </x:c>
      <x:c r="G50" s="27" t="n">
        <x:v>-499074</x:v>
      </x:c>
      <x:c r="H50" s="27" t="n">
        <x:v>-39926</x:v>
      </x:c>
      <x:c r="I50" s="27" t="n">
        <x:v>-539000</x:v>
      </x:c>
      <x:c r="J50" s="27" t="n">
        <x:v>-499074</x:v>
      </x:c>
      <x:c r="K50" s="27" t="n">
        <x:v>-39926</x:v>
      </x:c>
      <x:c r="L50" s="27" t="n">
        <x:v>-539000</x:v>
      </x:c>
      <x:c r="M50" s="19" t="str">
        <x:v>Điều chỉnh giảm giá trị hoá đơn số 00001061
Điều chỉnh giảm giá trị hoá đơn số 00001061 (TChat=1, SL=0, đơn giá=0, thành tiền=-499074)
Thuế suất tổng hợp: 8%</x:v>
      </x:c>
      <x:c r="N50" s="19" t="str">
        <x:v>Bang_ke_hoa_don_da_su_dung_1791532908545_5.xlsx, dòng 1288</x:v>
      </x:c>
      <x:c r="O50" s="19" t="str">
        <x:v>1C25TUV_00012835.xml</x:v>
      </x:c>
      <x:c r="P50" s="19" t="str">
        <x:v>Có XML trong bộ nguồn hiện tại.</x:v>
      </x:c>
    </x:row>
    <x:row r="51" ht="72" customHeight="1">
      <x:c r="A51" s="20" t="str">
        <x:v>DC02</x:v>
      </x:c>
      <x:c r="B51" s="20" t="str">
        <x:v>Cần kế toán phản hồi</x:v>
      </x:c>
      <x:c r="C51" s="20" t="str">
        <x:v>Hóa đơn gốc</x:v>
      </x:c>
      <x:c r="D51" s="20" t="str">
        <x:v>1C25TUV</x:v>
      </x:c>
      <x:c r="E51" s="24" t="str">
        <x:v>00001094</x:v>
      </x:c>
      <x:c r="F51" s="22" t="d">
        <x:v>2025-05-26T00:00:00.000Z</x:v>
      </x:c>
      <x:c r="G51" s="28" t="n">
        <x:v>509259</x:v>
      </x:c>
      <x:c r="H51" s="28" t="n">
        <x:v>40741</x:v>
      </x:c>
      <x:c r="I51" s="28" t="n">
        <x:v>550000</x:v>
      </x:c>
      <x:c r="J51" s="28"/>
      <x:c r="K51" s="28"/>
      <x:c r="L51" s="28"/>
      <x:c r="M51" s="20" t="str"/>
      <x:c r="N51" s="20" t="str">
        <x:v>Bang_ke_hoa_don_da_su_dung_1791532908545_1.xlsx, dòng 1099</x:v>
      </x:c>
      <x:c r="O51" s="20"/>
      <x:c r="P51" s="20" t="str">
        <x:v>Chưa có XML trong phần nguồn đã lưu hiện tại.</x:v>
      </x:c>
    </x:row>
    <x:row r="52" ht="72" customHeight="1">
      <x:c r="A52" s="19" t="str">
        <x:v>DC02</x:v>
      </x:c>
      <x:c r="B52" s="19" t="str">
        <x:v>Cần kế toán phản hồi</x:v>
      </x:c>
      <x:c r="C52" s="19" t="str">
        <x:v>Điều chỉnh liên quan</x:v>
      </x:c>
      <x:c r="D52" s="19" t="str">
        <x:v>1C25TUV</x:v>
      </x:c>
      <x:c r="E52" s="23" t="str">
        <x:v>00013038</x:v>
      </x:c>
      <x:c r="F52" s="21" t="d">
        <x:v>2025-09-26T00:00:00.000Z</x:v>
      </x:c>
      <x:c r="G52" s="27" t="n">
        <x:v>-509259</x:v>
      </x:c>
      <x:c r="H52" s="27" t="n">
        <x:v>-40741</x:v>
      </x:c>
      <x:c r="I52" s="27" t="n">
        <x:v>-550000</x:v>
      </x:c>
      <x:c r="J52" s="27" t="n">
        <x:v>-509259</x:v>
      </x:c>
      <x:c r="K52" s="27" t="n">
        <x:v>-40741</x:v>
      </x:c>
      <x:c r="L52" s="27" t="n">
        <x:v>-550000</x:v>
      </x:c>
      <x:c r="M52" s="19" t="str">
        <x:v>Điều chỉnh giảm do đổi trả hàng hóa  theo hóa đơn số 00001094 ngày 26 tháng 05 năm 2025
Lõi lọc diệt khuẩn Filter KA350S (TChat=1, SL=1, đơn giá=-509259, thành tiền=-509259)
Thuế suất tổng hợp: 8%</x:v>
      </x:c>
      <x:c r="N52" s="19" t="str">
        <x:v>Bang_ke_hoa_don_da_su_dung_1791532908545_6.xlsx, dòng 3205</x:v>
      </x:c>
      <x:c r="O52" s="19" t="str">
        <x:v>1C25TUV_00013038.xml</x:v>
      </x:c>
      <x:c r="P52" s="19" t="str">
        <x:v>Có XML trong bộ nguồn hiện tại.</x:v>
      </x:c>
    </x:row>
    <x:row r="53" ht="72" customHeight="1">
      <x:c r="A53" s="20" t="str">
        <x:v>DC03</x:v>
      </x:c>
      <x:c r="B53" s="20" t="str">
        <x:v>Cần kế toán phản hồi</x:v>
      </x:c>
      <x:c r="C53" s="20" t="str">
        <x:v>Hóa đơn gốc</x:v>
      </x:c>
      <x:c r="D53" s="20" t="str">
        <x:v>1C25TUV</x:v>
      </x:c>
      <x:c r="E53" s="24" t="str">
        <x:v>00003113</x:v>
      </x:c>
      <x:c r="F53" s="22" t="d">
        <x:v>2025-06-04T00:00:00.000Z</x:v>
      </x:c>
      <x:c r="G53" s="28" t="n">
        <x:v>163889</x:v>
      </x:c>
      <x:c r="H53" s="28" t="n">
        <x:v>13111</x:v>
      </x:c>
      <x:c r="I53" s="28" t="n">
        <x:v>177000</x:v>
      </x:c>
      <x:c r="J53" s="28"/>
      <x:c r="K53" s="28"/>
      <x:c r="L53" s="28"/>
      <x:c r="M53" s="20" t="str"/>
      <x:c r="N53" s="20" t="str">
        <x:v>Bang_ke_hoa_don_da_su_dung_1791532908545_1.xlsx, dòng 3118</x:v>
      </x:c>
      <x:c r="O53" s="20"/>
      <x:c r="P53" s="20" t="str">
        <x:v>Chưa có XML trong phần nguồn đã lưu hiện tại.</x:v>
      </x:c>
    </x:row>
    <x:row r="54" ht="72" customHeight="1">
      <x:c r="A54" s="19" t="str">
        <x:v>DC03</x:v>
      </x:c>
      <x:c r="B54" s="19" t="str">
        <x:v>Cần kế toán phản hồi</x:v>
      </x:c>
      <x:c r="C54" s="19" t="str">
        <x:v>Điều chỉnh liên quan</x:v>
      </x:c>
      <x:c r="D54" s="19" t="str">
        <x:v>1C25TUV</x:v>
      </x:c>
      <x:c r="E54" s="23" t="str">
        <x:v>00013032</x:v>
      </x:c>
      <x:c r="F54" s="21" t="d">
        <x:v>2025-09-26T00:00:00.000Z</x:v>
      </x:c>
      <x:c r="G54" s="27" t="n">
        <x:v>-163889</x:v>
      </x:c>
      <x:c r="H54" s="27" t="n">
        <x:v>-13111</x:v>
      </x:c>
      <x:c r="I54" s="27" t="n">
        <x:v>-177000</x:v>
      </x:c>
      <x:c r="J54" s="27" t="n">
        <x:v>-163889</x:v>
      </x:c>
      <x:c r="K54" s="27" t="n">
        <x:v>-13111</x:v>
      </x:c>
      <x:c r="L54" s="27" t="n">
        <x:v>-177000</x:v>
      </x:c>
      <x:c r="M54" s="19" t="str">
        <x:v>Điều chỉnh giảm do đổi trả hàng hóa theo hóa đơn số 00003113, ngày 04/06/2025
Vợt bắt muỗi tự động 2 trong 1 thu hút các loại côn trùng - KM002 (TChat=1, SL=1, đơn giá=-163889, thành tiền=-163889)
Thuế suất tổng hợp: 8%</x:v>
      </x:c>
      <x:c r="N54" s="19" t="str">
        <x:v>Bang_ke_hoa_don_da_su_dung_1791532908545_6.xlsx, dòng 3199</x:v>
      </x:c>
      <x:c r="O54" s="19" t="str">
        <x:v>1C25TUV_00013032.xml</x:v>
      </x:c>
      <x:c r="P54" s="19" t="str">
        <x:v>Có XML trong bộ nguồn hiện tại.</x:v>
      </x:c>
    </x:row>
    <x:row r="55" ht="72" customHeight="1">
      <x:c r="A55" s="20" t="str">
        <x:v>DC04</x:v>
      </x:c>
      <x:c r="B55" s="20" t="str">
        <x:v>Cần kế toán phản hồi</x:v>
      </x:c>
      <x:c r="C55" s="20" t="str">
        <x:v>Hóa đơn gốc</x:v>
      </x:c>
      <x:c r="D55" s="20" t="str">
        <x:v>1C25TUV</x:v>
      </x:c>
      <x:c r="E55" s="24" t="str">
        <x:v>00004081</x:v>
      </x:c>
      <x:c r="F55" s="22" t="d">
        <x:v>2025-06-08T00:00:00.000Z</x:v>
      </x:c>
      <x:c r="G55" s="28" t="n">
        <x:v>165741</x:v>
      </x:c>
      <x:c r="H55" s="28" t="n">
        <x:v>13259</x:v>
      </x:c>
      <x:c r="I55" s="28" t="n">
        <x:v>179000</x:v>
      </x:c>
      <x:c r="J55" s="28"/>
      <x:c r="K55" s="28"/>
      <x:c r="L55" s="28"/>
      <x:c r="M55" s="20" t="str"/>
      <x:c r="N55" s="20" t="str">
        <x:v>Bang_ke_hoa_don_da_su_dung_1791532908545_1.xlsx, dòng 4086</x:v>
      </x:c>
      <x:c r="O55" s="20"/>
      <x:c r="P55" s="20" t="str">
        <x:v>Chưa có XML trong phần nguồn đã lưu hiện tại.</x:v>
      </x:c>
    </x:row>
    <x:row r="56" ht="72" customHeight="1">
      <x:c r="A56" s="19" t="str">
        <x:v>DC04</x:v>
      </x:c>
      <x:c r="B56" s="19" t="str">
        <x:v>Cần kế toán phản hồi</x:v>
      </x:c>
      <x:c r="C56" s="19" t="str">
        <x:v>Điều chỉnh liên quan</x:v>
      </x:c>
      <x:c r="D56" s="19" t="str">
        <x:v>1C25TUV</x:v>
      </x:c>
      <x:c r="E56" s="23" t="str">
        <x:v>00013033</x:v>
      </x:c>
      <x:c r="F56" s="21" t="d">
        <x:v>2025-09-26T00:00:00.000Z</x:v>
      </x:c>
      <x:c r="G56" s="27" t="n">
        <x:v>-165741</x:v>
      </x:c>
      <x:c r="H56" s="27" t="n">
        <x:v>-13259</x:v>
      </x:c>
      <x:c r="I56" s="27" t="n">
        <x:v>-179000</x:v>
      </x:c>
      <x:c r="J56" s="27" t="n">
        <x:v>-165741</x:v>
      </x:c>
      <x:c r="K56" s="27" t="n">
        <x:v>-13259</x:v>
      </x:c>
      <x:c r="L56" s="27" t="n">
        <x:v>-179000</x:v>
      </x:c>
      <x:c r="M56" s="19" t="str">
        <x:v>Điều chỉnh giảm do đổi trả hàng hóa  theo hóa đơn số 00004081, ngày 08/06/2025
Vợt bắt muỗi tự động 2 trong 1 thu hút các loại côn trùng - KM002 (TChat=1, SL=1, đơn giá=-165741, thành tiền=-165741)
Thuế suất tổng hợp: 8%</x:v>
      </x:c>
      <x:c r="N56" s="19" t="str">
        <x:v>Bang_ke_hoa_don_da_su_dung_1791532908545_6.xlsx, dòng 3200</x:v>
      </x:c>
      <x:c r="O56" s="19" t="str">
        <x:v>1C25TUV_00013033.xml</x:v>
      </x:c>
      <x:c r="P56" s="19" t="str">
        <x:v>Có XML trong bộ nguồn hiện tại.</x:v>
      </x:c>
    </x:row>
    <x:row r="57" ht="72" customHeight="1">
      <x:c r="A57" s="20" t="str">
        <x:v>DC05</x:v>
      </x:c>
      <x:c r="B57" s="20" t="str">
        <x:v>Cần kế toán phản hồi</x:v>
      </x:c>
      <x:c r="C57" s="20" t="str">
        <x:v>Hóa đơn gốc</x:v>
      </x:c>
      <x:c r="D57" s="20" t="str">
        <x:v>1C25TUV</x:v>
      </x:c>
      <x:c r="E57" s="24" t="str">
        <x:v>00005555</x:v>
      </x:c>
      <x:c r="F57" s="22" t="d">
        <x:v>2025-06-14T00:00:00.000Z</x:v>
      </x:c>
      <x:c r="G57" s="28" t="n">
        <x:v>165740</x:v>
      </x:c>
      <x:c r="H57" s="28" t="n">
        <x:v>13259</x:v>
      </x:c>
      <x:c r="I57" s="28" t="n">
        <x:v>178999</x:v>
      </x:c>
      <x:c r="J57" s="28"/>
      <x:c r="K57" s="28"/>
      <x:c r="L57" s="28"/>
      <x:c r="M57" s="20" t="str"/>
      <x:c r="N57" s="20" t="str">
        <x:v>Bang_ke_hoa_don_da_su_dung_1791532908545_2.xlsx, dòng 647</x:v>
      </x:c>
      <x:c r="O57" s="20"/>
      <x:c r="P57" s="20" t="str">
        <x:v>Chưa có XML trong phần nguồn đã lưu hiện tại.</x:v>
      </x:c>
    </x:row>
    <x:row r="58" ht="72" customHeight="1">
      <x:c r="A58" s="19" t="str">
        <x:v>DC05</x:v>
      </x:c>
      <x:c r="B58" s="19" t="str">
        <x:v>Cần kế toán phản hồi</x:v>
      </x:c>
      <x:c r="C58" s="19" t="str">
        <x:v>Điều chỉnh liên quan</x:v>
      </x:c>
      <x:c r="D58" s="19" t="str">
        <x:v>1C25TUV</x:v>
      </x:c>
      <x:c r="E58" s="23" t="str">
        <x:v>00013034</x:v>
      </x:c>
      <x:c r="F58" s="21" t="d">
        <x:v>2025-09-26T00:00:00.000Z</x:v>
      </x:c>
      <x:c r="G58" s="27" t="n">
        <x:v>-165740</x:v>
      </x:c>
      <x:c r="H58" s="27" t="n">
        <x:v>-13259</x:v>
      </x:c>
      <x:c r="I58" s="27" t="n">
        <x:v>-178999</x:v>
      </x:c>
      <x:c r="J58" s="27" t="n">
        <x:v>-165740</x:v>
      </x:c>
      <x:c r="K58" s="27" t="n">
        <x:v>-13259</x:v>
      </x:c>
      <x:c r="L58" s="27" t="n">
        <x:v>-178999</x:v>
      </x:c>
      <x:c r="M58" s="19" t="str">
        <x:v>Điều chỉnh giảm do đổi trả hàng hóa  theo hóa đơn số 00005555, ngày 16/06/2025
Vợt bắt muỗi tự động 2 trong 1 thu hút các loại côn trùng - KM002 (TChat=1, SL=1, đơn giá=-165740, thành tiền=-165740)
Thuế suất tổng hợp: 8%</x:v>
      </x:c>
      <x:c r="N58" s="19" t="str">
        <x:v>Bang_ke_hoa_don_da_su_dung_1791532908545_6.xlsx, dòng 3201</x:v>
      </x:c>
      <x:c r="O58" s="19" t="str">
        <x:v>1C25TUV_00013034.xml</x:v>
      </x:c>
      <x:c r="P58" s="19" t="str">
        <x:v>Có XML trong bộ nguồn hiện tại.</x:v>
      </x:c>
    </x:row>
    <x:row r="59" ht="72" customHeight="1">
      <x:c r="A59" s="20" t="str">
        <x:v>DC06</x:v>
      </x:c>
      <x:c r="B59" s="20" t="str">
        <x:v>Cần kế toán phản hồi</x:v>
      </x:c>
      <x:c r="C59" s="20" t="str">
        <x:v>Hóa đơn gốc</x:v>
      </x:c>
      <x:c r="D59" s="20" t="str">
        <x:v>1C25TUV</x:v>
      </x:c>
      <x:c r="E59" s="24" t="str">
        <x:v>00005918</x:v>
      </x:c>
      <x:c r="F59" s="22" t="d">
        <x:v>2025-06-16T00:00:00.000Z</x:v>
      </x:c>
      <x:c r="G59" s="28" t="n">
        <x:v>165741</x:v>
      </x:c>
      <x:c r="H59" s="28" t="n">
        <x:v>13259</x:v>
      </x:c>
      <x:c r="I59" s="28" t="n">
        <x:v>179000</x:v>
      </x:c>
      <x:c r="J59" s="28"/>
      <x:c r="K59" s="28"/>
      <x:c r="L59" s="28"/>
      <x:c r="M59" s="20" t="str"/>
      <x:c r="N59" s="20" t="str">
        <x:v>Bang_ke_hoa_don_da_su_dung_1791532908545_2.xlsx, dòng 1010</x:v>
      </x:c>
      <x:c r="O59" s="20"/>
      <x:c r="P59" s="20" t="str">
        <x:v>Chưa có XML trong phần nguồn đã lưu hiện tại.</x:v>
      </x:c>
    </x:row>
    <x:row r="60" ht="72" customHeight="1">
      <x:c r="A60" s="19" t="str">
        <x:v>DC06</x:v>
      </x:c>
      <x:c r="B60" s="19" t="str">
        <x:v>Cần kế toán phản hồi</x:v>
      </x:c>
      <x:c r="C60" s="19" t="str">
        <x:v>Điều chỉnh liên quan</x:v>
      </x:c>
      <x:c r="D60" s="19" t="str">
        <x:v>1C25TUV</x:v>
      </x:c>
      <x:c r="E60" s="23" t="str">
        <x:v>00013035</x:v>
      </x:c>
      <x:c r="F60" s="21" t="d">
        <x:v>2025-09-26T00:00:00.000Z</x:v>
      </x:c>
      <x:c r="G60" s="27" t="n">
        <x:v>-165741</x:v>
      </x:c>
      <x:c r="H60" s="27" t="n">
        <x:v>-13259</x:v>
      </x:c>
      <x:c r="I60" s="27" t="n">
        <x:v>-179000</x:v>
      </x:c>
      <x:c r="J60" s="27" t="n">
        <x:v>-165741</x:v>
      </x:c>
      <x:c r="K60" s="27" t="n">
        <x:v>-13259</x:v>
      </x:c>
      <x:c r="L60" s="27" t="n">
        <x:v>-179000</x:v>
      </x:c>
      <x:c r="M60" s="19" t="str">
        <x:v>Điều chỉnh giảm do đổi trả hàng hóa  theo hóa đơn số 00005918,  ngày 16/06/2025
Vợt bắt muỗi tự động 2 trong 1 thu hút các loại côn trùng - KM002 (TChat=1, SL=1, đơn giá=-165741, thành tiền=-165741)
Thuế suất tổng hợp: 8%</x:v>
      </x:c>
      <x:c r="N60" s="19" t="str">
        <x:v>Bang_ke_hoa_don_da_su_dung_1791532908545_6.xlsx, dòng 3202</x:v>
      </x:c>
      <x:c r="O60" s="19" t="str">
        <x:v>1C25TUV_00013035.xml</x:v>
      </x:c>
      <x:c r="P60" s="19" t="str">
        <x:v>Có XML trong bộ nguồn hiện tại.</x:v>
      </x:c>
    </x:row>
    <x:row r="61" ht="195" customHeight="1">
      <x:c r="A61" s="20" t="str">
        <x:v>CC01</x:v>
      </x:c>
      <x:c r="B61" s="20" t="str">
        <x:v>Đã có căn cứ/quy ước</x:v>
      </x:c>
      <x:c r="C61" s="20" t="str">
        <x:v>Hóa đơn gốc</x:v>
      </x:c>
      <x:c r="D61" s="20" t="str">
        <x:v>1C24TUV</x:v>
      </x:c>
      <x:c r="E61" s="24" t="str">
        <x:v>00000003</x:v>
      </x:c>
      <x:c r="F61" s="22" t="d">
        <x:v>2024-01-10T00:00:00.000Z</x:v>
      </x:c>
      <x:c r="G61" s="28" t="n">
        <x:v>11334130</x:v>
      </x:c>
      <x:c r="H61" s="28" t="n">
        <x:v>906730</x:v>
      </x:c>
      <x:c r="I61" s="28" t="n">
        <x:v>12240860</x:v>
      </x:c>
      <x:c r="J61" s="28" t="n">
        <x:v>11334130</x:v>
      </x:c>
      <x:c r="K61" s="28" t="n">
        <x:v>906730</x:v>
      </x:c>
      <x:c r="L61" s="28" t="n">
        <x:v>12240860</x:v>
      </x:c>
      <x:c r="M61" s="20" t="str">
        <x:v>Máy Lọc Không Khí Diệt Khuẩn UVGREEN KA600 60m2 - Công Nghệ UVC LED, Ion Âm, HEPA H13 Lọc Sạch Bụi Mịn, Mùi, Khói, Lông Thú Cưng, Bảo Hành 24 Tháng (TChat=1, SL=1, đơn giá=2573148, thành tiền=2573148)
Máy Lọc Không Khí Diệt Khuẩn UVGREEN KA350 40m2 - Công Nghệ UVC LED, Lõi Lọc HEPA H13 Lọc Sạch Bụi Mịn, Mùi, Khói, Lông Thú Cưng, Bảo Hành 24 Tháng (TChat=1, SL=1, đơn giá=1605069, thành tiền=1605069)
Màng Lọc (Lõi Lọc) HEPA H13 Diệt Khuẩn Cho Máy Lọc Không Khí UVGREEN KA350 FT - Bộ Lọc 3 Lớp, Lọc Sạch 99,97% Bụi Mịn (TChat=1, SL=1, đơn giá=267294, thành tiền=267294)
Máy Lọc Không Khí Diệt Khuẩn UVGREEN KA350 40m2 - Công Nghệ UVC LED, Lõi Lọc HEPA H13 Lọc Sạch Bụi Mịn, Mùi, Khói, Lông Thú Cưng, Bảo Hành 24 Tháng (TChat=1, SL=1, đơn giá=1447094, thành tiền=1447094)
Máy Lọc Không Khí Diệt Khuẩn UVGREEN KA600 60m2 - Công Nghệ UVC LED, Ion Âm, HEPA H13 Lọc Sạch Bụi Mịn, Mùi, Khói, Lông Thú Cưng, Bảo Hành 24 Tháng (TChat=1, SL=1, đơn giá=2435193, thành tiền=2435193)
Máy Lọc Không Khí Diệt Khuẩn UVGREEN KA350 40m2 - Công Nghệ UVC LED, Lõi Lọc HEPA H13 Lọc Sạch Bụi Mịn, Mùi, Khói, Lông Thú Cưng, Bảo Hành 24 Tháng (TChat=1, SL=1, đơn giá=1457500, thành tiền=1457500)
Máy Lọc Không Khí Diệt Khuẩn UVGREEN KA350 40m2 - Công Nghệ UVC LED, Lõi Lọc HEPA H13 Lọc Sạch Bụi Mịn, Mùi, Khói, Lông Thú Cưng, Bảo Hành 24 Tháng (TChat=1, SL=1, đơn giá=1548832, thành tiền=1548832)
Thuế suất tổng hợp: 8%
</x:v>
      </x:c>
      <x:c r="N61" s="20" t="str">
        <x:v>Bang_ke_hoa_don_da_su_dung_1791532882546.xlsx, dòng 8</x:v>
      </x:c>
      <x:c r="O61" s="20" t="str">
        <x:v>1C24TUV_00000003.xml</x:v>
      </x:c>
      <x:c r="P61" s="20" t="str">
        <x:v>Có XML trong bộ nguồn hiện tại.</x:v>
      </x:c>
    </x:row>
    <x:row r="62" ht="72" customHeight="1">
      <x:c r="A62" s="19" t="str">
        <x:v>CC01</x:v>
      </x:c>
      <x:c r="B62" s="19" t="str">
        <x:v>Đã có căn cứ/quy ước</x:v>
      </x:c>
      <x:c r="C62" s="19" t="str">
        <x:v>Điều chỉnh liên quan</x:v>
      </x:c>
      <x:c r="D62" s="19" t="str">
        <x:v>1C25TUV</x:v>
      </x:c>
      <x:c r="E62" s="23" t="str">
        <x:v>00000508</x:v>
      </x:c>
      <x:c r="F62" s="21" t="d">
        <x:v>2025-04-26T00:00:00.000Z</x:v>
      </x:c>
      <x:c r="G62" s="27" t="n">
        <x:v>-356085</x:v>
      </x:c>
      <x:c r="H62" s="27" t="n">
        <x:v>-28487</x:v>
      </x:c>
      <x:c r="I62" s="27" t="n">
        <x:v>-384572</x:v>
      </x:c>
      <x:c r="J62" s="27" t="n">
        <x:v>-356085</x:v>
      </x:c>
      <x:c r="K62" s="27" t="n">
        <x:v>-28487</x:v>
      </x:c>
      <x:c r="L62" s="27" t="n">
        <x:v>-384572</x:v>
      </x:c>
      <x:c r="M62" s="19" t="str">
        <x:v>Điều chỉnh giảm thành tiền cho hoá đơn số 00000003
Điều chỉnh giảm thành tiền hoá đơn số 00000003 (TChat=1, SL=0, đơn giá=0, thành tiền=0)
Thuế suất tổng hợp: 8%</x:v>
      </x:c>
      <x:c r="N62" s="19" t="str">
        <x:v>Bang_ke_hoa_don_da_su_dung_1791532908545_1.xlsx, dòng 513</x:v>
      </x:c>
      <x:c r="O62" s="19" t="str">
        <x:v>1C25TUV_00000508.xml</x:v>
      </x:c>
      <x:c r="P62" s="19" t="str">
        <x:v>Có XML trong bộ nguồn hiện tại.</x:v>
      </x:c>
    </x:row>
    <x:row r="63" ht="72" customHeight="1">
      <x:c r="A63" s="20" t="str">
        <x:v>CC02</x:v>
      </x:c>
      <x:c r="B63" s="20" t="str">
        <x:v>Đã có căn cứ/quy ước</x:v>
      </x:c>
      <x:c r="C63" s="20" t="str">
        <x:v>Hóa đơn gốc</x:v>
      </x:c>
      <x:c r="D63" s="20" t="str">
        <x:v>1C24TUV</x:v>
      </x:c>
      <x:c r="E63" s="24" t="str">
        <x:v>00000498</x:v>
      </x:c>
      <x:c r="F63" s="22" t="d">
        <x:v>2024-09-30T00:00:00.000Z</x:v>
      </x:c>
      <x:c r="G63" s="28" t="n">
        <x:v>197727562</x:v>
      </x:c>
      <x:c r="H63" s="28" t="n">
        <x:v>15818205</x:v>
      </x:c>
      <x:c r="I63" s="28" t="n">
        <x:v>213545767</x:v>
      </x:c>
      <x:c r="J63" s="28"/>
      <x:c r="K63" s="28"/>
      <x:c r="L63" s="28"/>
      <x:c r="M63" s="20" t="str"/>
      <x:c r="N63" s="20" t="str">
        <x:v>Bang_ke_hoa_don_da_su_dung_1791532882546.xlsx, dòng 503</x:v>
      </x:c>
      <x:c r="O63" s="20"/>
      <x:c r="P63" s="20" t="str">
        <x:v>Chưa có XML trong phần nguồn đã lưu hiện tại.</x:v>
      </x:c>
    </x:row>
    <x:row r="64" ht="72" customHeight="1">
      <x:c r="A64" s="19" t="str">
        <x:v>CC02</x:v>
      </x:c>
      <x:c r="B64" s="19" t="str">
        <x:v>Đã có căn cứ/quy ước</x:v>
      </x:c>
      <x:c r="C64" s="19" t="str">
        <x:v>Điều chỉnh liên quan</x:v>
      </x:c>
      <x:c r="D64" s="19" t="str">
        <x:v>1C25TUV</x:v>
      </x:c>
      <x:c r="E64" s="23" t="str">
        <x:v>00002140</x:v>
      </x:c>
      <x:c r="F64" s="21" t="d">
        <x:v>2025-05-30T00:00:00.000Z</x:v>
      </x:c>
      <x:c r="G64" s="27" t="n">
        <x:v>17830586</x:v>
      </x:c>
      <x:c r="H64" s="27" t="n">
        <x:v>1426447</x:v>
      </x:c>
      <x:c r="I64" s="27" t="n">
        <x:v>19257033</x:v>
      </x:c>
      <x:c r="J64" s="27" t="n">
        <x:v>17830586</x:v>
      </x:c>
      <x:c r="K64" s="27" t="n">
        <x:v>1426447</x:v>
      </x:c>
      <x:c r="L64" s="27" t="n">
        <x:v>19257033</x:v>
      </x:c>
      <x:c r="M64" s="19" t="str">
        <x:v>Điều chỉnh tăng giá trị hóa đơn số 00000498
XML không có danh sách dòng hàng.
Thuế suất tổng hợp: 8%</x:v>
      </x:c>
      <x:c r="N64" s="19" t="str">
        <x:v>Bang_ke_hoa_don_da_su_dung_1791532908545_1.xlsx, dòng 2145</x:v>
      </x:c>
      <x:c r="O64" s="19" t="str">
        <x:v>1C25TUV_00002140.xml</x:v>
      </x:c>
      <x:c r="P64" s="19" t="str">
        <x:v>Có XML trong bộ nguồn hiện tại.</x:v>
      </x:c>
    </x:row>
    <x:row r="65" ht="72" customHeight="1">
      <x:c r="A65" s="20" t="str">
        <x:v>CC03</x:v>
      </x:c>
      <x:c r="B65" s="20" t="str">
        <x:v>Đã có căn cứ/quy ước</x:v>
      </x:c>
      <x:c r="C65" s="20" t="str">
        <x:v>Hóa đơn gốc</x:v>
      </x:c>
      <x:c r="D65" s="20" t="str">
        <x:v>1C24TUV</x:v>
      </x:c>
      <x:c r="E65" s="24" t="str">
        <x:v>00000574</x:v>
      </x:c>
      <x:c r="F65" s="22" t="d">
        <x:v>2024-11-15T00:00:00.000Z</x:v>
      </x:c>
      <x:c r="G65" s="28" t="n">
        <x:v>0</x:v>
      </x:c>
      <x:c r="H65" s="28" t="n">
        <x:v>0</x:v>
      </x:c>
      <x:c r="I65" s="28"/>
      <x:c r="J65" s="28"/>
      <x:c r="K65" s="28"/>
      <x:c r="L65" s="28"/>
      <x:c r="M65" s="20" t="str"/>
      <x:c r="N65" s="20" t="str">
        <x:v>Bang_ke_hoa_don_da_su_dung_1791532882546.xlsx, dòng 579</x:v>
      </x:c>
      <x:c r="O65" s="20"/>
      <x:c r="P65" s="20" t="str">
        <x:v>Chưa có XML trong phần nguồn đã lưu hiện tại.</x:v>
      </x:c>
    </x:row>
    <x:row r="66" ht="72" customHeight="1">
      <x:c r="A66" s="19" t="str">
        <x:v>CC03</x:v>
      </x:c>
      <x:c r="B66" s="19" t="str">
        <x:v>Đã có căn cứ/quy ước</x:v>
      </x:c>
      <x:c r="C66" s="19" t="str">
        <x:v>Điều chỉnh liên quan</x:v>
      </x:c>
      <x:c r="D66" s="19" t="str">
        <x:v>1C25TUV</x:v>
      </x:c>
      <x:c r="E66" s="23" t="str">
        <x:v>00002189</x:v>
      </x:c>
      <x:c r="F66" s="21" t="d">
        <x:v>2025-05-30T00:00:00.000Z</x:v>
      </x:c>
      <x:c r="G66" s="27" t="n">
        <x:v>1702778</x:v>
      </x:c>
      <x:c r="H66" s="27" t="n">
        <x:v>136222</x:v>
      </x:c>
      <x:c r="I66" s="27" t="n">
        <x:v>1839000</x:v>
      </x:c>
      <x:c r="J66" s="27" t="n">
        <x:v>1702778</x:v>
      </x:c>
      <x:c r="K66" s="27" t="n">
        <x:v>136222</x:v>
      </x:c>
      <x:c r="L66" s="27" t="n">
        <x:v>1839000</x:v>
      </x:c>
      <x:c r="M66" s="19" t="str">
        <x:v>Điều chỉnh tăng giá trị hóa đơn số 00000574
Điều chỉnh tăng giá trị hóa đơn số 00000574 (TChat=1, SL=0, đơn giá=0, thành tiền=0)
Thuế suất tổng hợp: 8%</x:v>
      </x:c>
      <x:c r="N66" s="19" t="str">
        <x:v>Bang_ke_hoa_don_da_su_dung_1791532908545_1.xlsx, dòng 2194</x:v>
      </x:c>
      <x:c r="O66" s="19" t="str">
        <x:v>1C25TUV_00002189.xml</x:v>
      </x:c>
      <x:c r="P66" s="19" t="str">
        <x:v>Có XML trong bộ nguồn hiện tại.</x:v>
      </x:c>
    </x:row>
    <x:row r="67" ht="72" customHeight="1">
      <x:c r="A67" s="20" t="str">
        <x:v>CC04</x:v>
      </x:c>
      <x:c r="B67" s="20" t="str">
        <x:v>Đã có căn cứ/quy ước</x:v>
      </x:c>
      <x:c r="C67" s="20" t="str">
        <x:v>Hóa đơn gốc</x:v>
      </x:c>
      <x:c r="D67" s="20" t="str">
        <x:v>1C25TUV</x:v>
      </x:c>
      <x:c r="E67" s="24" t="str">
        <x:v>00001348</x:v>
      </x:c>
      <x:c r="F67" s="22" t="d">
        <x:v>2025-05-27T00:00:00.000Z</x:v>
      </x:c>
      <x:c r="G67" s="28" t="n">
        <x:v>675000</x:v>
      </x:c>
      <x:c r="H67" s="28" t="n">
        <x:v>54000</x:v>
      </x:c>
      <x:c r="I67" s="28" t="n">
        <x:v>729000</x:v>
      </x:c>
      <x:c r="J67" s="28"/>
      <x:c r="K67" s="28"/>
      <x:c r="L67" s="28"/>
      <x:c r="M67" s="20" t="str"/>
      <x:c r="N67" s="20" t="str">
        <x:v>Bang_ke_hoa_don_da_su_dung_1791532908545_1.xlsx, dòng 1353</x:v>
      </x:c>
      <x:c r="O67" s="20"/>
      <x:c r="P67" s="20" t="str">
        <x:v>Chưa có XML trong phần nguồn đã lưu hiện tại.</x:v>
      </x:c>
    </x:row>
    <x:row r="68" ht="72" customHeight="1">
      <x:c r="A68" s="19" t="str">
        <x:v>CC04</x:v>
      </x:c>
      <x:c r="B68" s="19" t="str">
        <x:v>Đã có căn cứ/quy ước</x:v>
      </x:c>
      <x:c r="C68" s="19" t="str">
        <x:v>Điều chỉnh liên quan</x:v>
      </x:c>
      <x:c r="D68" s="19" t="str">
        <x:v>1C25TUV</x:v>
      </x:c>
      <x:c r="E68" s="23" t="str">
        <x:v>00006108</x:v>
      </x:c>
      <x:c r="F68" s="21" t="d">
        <x:v>2025-06-17T00:00:00.000Z</x:v>
      </x:c>
      <x:c r="G68" s="27" t="n">
        <x:v>0</x:v>
      </x:c>
      <x:c r="H68" s="27" t="n">
        <x:v>0</x:v>
      </x:c>
      <x:c r="I68" s="27"/>
      <x:c r="J68" s="27" t="n">
        <x:v>0</x:v>
      </x:c>
      <x:c r="K68" s="27" t="n">
        <x:v>0</x:v>
      </x:c>
      <x:c r="L68" s="27" t="n">
        <x:v>0</x:v>
      </x:c>
      <x:c r="M68" s="19" t="str">
        <x:v>Điều chỉnh thông tin người mua hàng. Cụ thể: Tên đơn vị:  Công ty TNHH Thương Mại Dịch Vụ Truyền Thông Giải Trí MMC- Địa chỉ: 204 Đinh Tiên Hoàng, Phường Đa Kao, Quận 1, Tp. HCM- Mã số thuế: 0317749334
XML không có danh sách dòng hàng.</x:v>
      </x:c>
      <x:c r="N68" s="19" t="str">
        <x:v>Bang_ke_hoa_don_da_su_dung_1791532908545_2.xlsx, dòng 1200</x:v>
      </x:c>
      <x:c r="O68" s="19" t="str">
        <x:v>1C25TUV_00006108.xml</x:v>
      </x:c>
      <x:c r="P68" s="19" t="str">
        <x:v>Có XML trong bộ nguồn hiện tại. XML ghi 0 tại ô bảng kê để trống.</x:v>
      </x:c>
    </x:row>
    <x:row r="69" ht="72" customHeight="1">
      <x:c r="A69" s="20" t="str">
        <x:v>CC05</x:v>
      </x:c>
      <x:c r="B69" s="20" t="str">
        <x:v>Đã có căn cứ/quy ước</x:v>
      </x:c>
      <x:c r="C69" s="20" t="str">
        <x:v>Hóa đơn gốc</x:v>
      </x:c>
      <x:c r="D69" s="20" t="str">
        <x:v>1C25TUV</x:v>
      </x:c>
      <x:c r="E69" s="24" t="str">
        <x:v>00002377</x:v>
      </x:c>
      <x:c r="F69" s="22" t="d">
        <x:v>2025-05-30T00:00:00.000Z</x:v>
      </x:c>
      <x:c r="G69" s="28" t="n">
        <x:v>406481</x:v>
      </x:c>
      <x:c r="H69" s="28" t="n">
        <x:v>32518</x:v>
      </x:c>
      <x:c r="I69" s="28" t="n">
        <x:v>438999</x:v>
      </x:c>
      <x:c r="J69" s="28"/>
      <x:c r="K69" s="28"/>
      <x:c r="L69" s="28"/>
      <x:c r="M69" s="20" t="str"/>
      <x:c r="N69" s="20" t="str">
        <x:v>Bang_ke_hoa_don_da_su_dung_1791532908545_1.xlsx, dòng 2382</x:v>
      </x:c>
      <x:c r="O69" s="20"/>
      <x:c r="P69" s="20" t="str">
        <x:v>Chưa có XML trong phần nguồn đã lưu hiện tại.</x:v>
      </x:c>
    </x:row>
    <x:row r="70" ht="72" customHeight="1">
      <x:c r="A70" s="19" t="str">
        <x:v>CC05</x:v>
      </x:c>
      <x:c r="B70" s="19" t="str">
        <x:v>Đã có căn cứ/quy ước</x:v>
      </x:c>
      <x:c r="C70" s="19" t="str">
        <x:v>Điều chỉnh liên quan</x:v>
      </x:c>
      <x:c r="D70" s="19" t="str">
        <x:v>1C25TUV</x:v>
      </x:c>
      <x:c r="E70" s="23" t="str">
        <x:v>00004203</x:v>
      </x:c>
      <x:c r="F70" s="21" t="d">
        <x:v>2025-06-09T00:00:00.000Z</x:v>
      </x:c>
      <x:c r="G70" s="27" t="n">
        <x:v>0</x:v>
      </x:c>
      <x:c r="H70" s="27" t="n">
        <x:v>0</x:v>
      </x:c>
      <x:c r="I70" s="27"/>
      <x:c r="J70" s="27" t="n">
        <x:v>0</x:v>
      </x:c>
      <x:c r="K70" s="27" t="n">
        <x:v>0</x:v>
      </x:c>
      <x:c r="L70" s="27" t="n">
        <x:v>0</x:v>
      </x:c>
      <x:c r="M70" s="19" t="str">
        <x:v>Điều chỉnh thông tin khách hàng: Hộ kinh doanh Châu Mễ- Mã số thuế: 3501911256-001- Địa chỉ: Thôn 3, xã Tân Phúc, huyện Hàm Tân, Bình Thuận
XML không có danh sách dòng hàng.</x:v>
      </x:c>
      <x:c r="N70" s="19" t="str">
        <x:v>Bang_ke_hoa_don_da_su_dung_1791532908545_1.xlsx, dòng 4208</x:v>
      </x:c>
      <x:c r="O70" s="19" t="str">
        <x:v>1C25TUV_00004203.xml</x:v>
      </x:c>
      <x:c r="P70" s="19" t="str">
        <x:v>Có XML trong bộ nguồn hiện tại. XML ghi 0 tại ô bảng kê để trống.</x:v>
      </x:c>
    </x:row>
    <x:row r="71" ht="72" customHeight="1">
      <x:c r="A71" s="20" t="str">
        <x:v>CC06</x:v>
      </x:c>
      <x:c r="B71" s="20" t="str">
        <x:v>Đã có căn cứ/quy ước</x:v>
      </x:c>
      <x:c r="C71" s="20" t="str">
        <x:v>Hóa đơn gốc</x:v>
      </x:c>
      <x:c r="D71" s="20" t="str">
        <x:v>1C25TUV</x:v>
      </x:c>
      <x:c r="E71" s="24" t="str">
        <x:v>00002378</x:v>
      </x:c>
      <x:c r="F71" s="22" t="d">
        <x:v>2025-05-30T00:00:00.000Z</x:v>
      </x:c>
      <x:c r="G71" s="28" t="n">
        <x:v>406481</x:v>
      </x:c>
      <x:c r="H71" s="28" t="n">
        <x:v>32518</x:v>
      </x:c>
      <x:c r="I71" s="28" t="n">
        <x:v>438999</x:v>
      </x:c>
      <x:c r="J71" s="28"/>
      <x:c r="K71" s="28"/>
      <x:c r="L71" s="28"/>
      <x:c r="M71" s="20" t="str"/>
      <x:c r="N71" s="20" t="str">
        <x:v>Bang_ke_hoa_don_da_su_dung_1791532908545_1.xlsx, dòng 2383</x:v>
      </x:c>
      <x:c r="O71" s="20"/>
      <x:c r="P71" s="20" t="str">
        <x:v>Chưa có XML trong phần nguồn đã lưu hiện tại.</x:v>
      </x:c>
    </x:row>
    <x:row r="72" ht="72" customHeight="1">
      <x:c r="A72" s="19" t="str">
        <x:v>CC06</x:v>
      </x:c>
      <x:c r="B72" s="19" t="str">
        <x:v>Đã có căn cứ/quy ước</x:v>
      </x:c>
      <x:c r="C72" s="19" t="str">
        <x:v>Điều chỉnh liên quan</x:v>
      </x:c>
      <x:c r="D72" s="19" t="str">
        <x:v>1C25TUV</x:v>
      </x:c>
      <x:c r="E72" s="23" t="str">
        <x:v>00004204</x:v>
      </x:c>
      <x:c r="F72" s="21" t="d">
        <x:v>2025-06-09T00:00:00.000Z</x:v>
      </x:c>
      <x:c r="G72" s="27" t="n">
        <x:v>0</x:v>
      </x:c>
      <x:c r="H72" s="27" t="n">
        <x:v>0</x:v>
      </x:c>
      <x:c r="I72" s="27"/>
      <x:c r="J72" s="27" t="n">
        <x:v>0</x:v>
      </x:c>
      <x:c r="K72" s="27" t="n">
        <x:v>0</x:v>
      </x:c>
      <x:c r="L72" s="27" t="n">
        <x:v>0</x:v>
      </x:c>
      <x:c r="M72" s="19" t="str">
        <x:v>Điều chỉnh thông tin khách hàng- Hộ kinh doanh Châu Mễ- Mã số thuế: 3501911256-001- Địa chỉ: Thôn 3, xã Tân Phúc, huyện Hàm Tân, Bình Thuận
XML không có danh sách dòng hàng.</x:v>
      </x:c>
      <x:c r="N72" s="19" t="str">
        <x:v>Bang_ke_hoa_don_da_su_dung_1791532908545_1.xlsx, dòng 4209</x:v>
      </x:c>
      <x:c r="O72" s="19" t="str">
        <x:v>1C25TUV_00004204.xml</x:v>
      </x:c>
      <x:c r="P72" s="19" t="str">
        <x:v>Có XML trong bộ nguồn hiện tại. XML ghi 0 tại ô bảng kê để trống.</x:v>
      </x:c>
    </x:row>
    <x:row r="73" ht="72" customHeight="1">
      <x:c r="A73" s="20" t="str">
        <x:v>CC07</x:v>
      </x:c>
      <x:c r="B73" s="20" t="str">
        <x:v>Đã có căn cứ/quy ước</x:v>
      </x:c>
      <x:c r="C73" s="20" t="str">
        <x:v>Hóa đơn gốc</x:v>
      </x:c>
      <x:c r="D73" s="20" t="str">
        <x:v>1C25TUV</x:v>
      </x:c>
      <x:c r="E73" s="24" t="str">
        <x:v>00009072</x:v>
      </x:c>
      <x:c r="F73" s="22" t="d">
        <x:v>2025-06-28T00:00:00.000Z</x:v>
      </x:c>
      <x:c r="G73" s="28" t="n">
        <x:v>3869444</x:v>
      </x:c>
      <x:c r="H73" s="28" t="n">
        <x:v>309556</x:v>
      </x:c>
      <x:c r="I73" s="28" t="n">
        <x:v>4179000</x:v>
      </x:c>
      <x:c r="J73" s="28"/>
      <x:c r="K73" s="28"/>
      <x:c r="L73" s="28"/>
      <x:c r="M73" s="20" t="str"/>
      <x:c r="N73" s="20" t="str">
        <x:v>Bang_ke_hoa_don_da_su_dung_1791532908545_2.xlsx, dòng 4164</x:v>
      </x:c>
      <x:c r="O73" s="20"/>
      <x:c r="P73" s="20" t="str">
        <x:v>Chưa có XML trong phần nguồn đã lưu hiện tại.</x:v>
      </x:c>
    </x:row>
    <x:row r="74" ht="91" customHeight="1">
      <x:c r="A74" s="19" t="str">
        <x:v>CC07</x:v>
      </x:c>
      <x:c r="B74" s="19" t="str">
        <x:v>Đã có căn cứ/quy ước</x:v>
      </x:c>
      <x:c r="C74" s="19" t="str">
        <x:v>Điều chỉnh liên quan</x:v>
      </x:c>
      <x:c r="D74" s="19" t="str">
        <x:v>1C25TUV</x:v>
      </x:c>
      <x:c r="E74" s="23" t="str">
        <x:v>00009186</x:v>
      </x:c>
      <x:c r="F74" s="21" t="d">
        <x:v>2025-06-29T00:00:00.000Z</x:v>
      </x:c>
      <x:c r="G74" s="27" t="n">
        <x:v>0</x:v>
      </x:c>
      <x:c r="H74" s="27" t="n">
        <x:v>0</x:v>
      </x:c>
      <x:c r="I74" s="27"/>
      <x:c r="J74" s="27" t="n">
        <x:v>0</x:v>
      </x:c>
      <x:c r="K74" s="27" t="n">
        <x:v>0</x:v>
      </x:c>
      <x:c r="L74" s="27" t="n">
        <x:v>0</x:v>
      </x:c>
      <x:c r="M74" s="19" t="str">
        <x:v>Điều chỉnh tên hàng hoá
Điều chỉnh tên hàng hoá từ  Máy lọc không khí diệt khuẩn bằng tia UVC KA350 ProUpgrade thành Combo Máy lọc không khí diệt khuẩn bằng tia UVC KA350 ProUpgrade và Máy lọc không khí diệt khuẩn bằng tia UVC KA150P (TChat=4, SL=0, đơn giá=0, thành tiền=0)
Điều chỉnh tên hàng hoá t ừ Lõi lọc diệt khuẩn Filter KA350S thành Combo Lõi lọc diệt khuẩn Filter KA350S và Lõi lọc diệt khuẩn  Filter  KA150S (TChat=4, SL=0, đơn giá=0, thành tiền=0)
Thuế suất tổng hợp: 8%</x:v>
      </x:c>
      <x:c r="N74" s="19" t="str">
        <x:v>Bang_ke_hoa_don_da_su_dung_1791532908545_2.xlsx, dòng 4278</x:v>
      </x:c>
      <x:c r="O74" s="19" t="str">
        <x:v>1C25TUV_00009186.xml</x:v>
      </x:c>
      <x:c r="P74" s="19" t="str">
        <x:v>Có XML trong bộ nguồn hiện tại. XML ghi 0 tại ô bảng kê để trống.</x:v>
      </x:c>
    </x:row>
  </x:sheetData>
  <x:pageMargins left="0.7" right="0.7" top="0.75" bottom="0.75" header="0.3" footer="0.3"/>
  <x:tableParts count="1">
    <x:tablePart xmlns:r="http://schemas.openxmlformats.org/officeDocument/2006/relationships" r:id="R0c61c36a6ef14cf1"/>
  </x:tableParts>
</x:worksheet>
</file>