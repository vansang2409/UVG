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6a6e49604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 tiet BTL-BHH" sheetId="1" r:id="R4e0e066759f243c9"/>
    <x:sheet xmlns:r="http://schemas.openxmlformats.org/officeDocument/2006/relationships" name="Phieu BTL" sheetId="2" r:id="Rec254daae08d43f0"/>
    <x:sheet xmlns:r="http://schemas.openxmlformats.org/officeDocument/2006/relationships" name="Thong tin" sheetId="3" r:id="R4afe1d6776354124"/>
    <x:sheet xmlns:r="http://schemas.openxmlformats.org/officeDocument/2006/relationships" name="Chua co BHH" sheetId="4" r:id="Rb9c1674da35d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@"/>
    <x:numFmt numFmtId="202" formatCode="#,##0.00########"/>
    <x:numFmt numFmtId="203" formatCode="#,##0;[Red](#,##0);0"/>
    <x:numFmt numFmtId="204" formatCode="#,##0.00"/>
    <x:numFmt numFmtId="205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35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8eb02ef194e71" /><Relationship Type="http://schemas.openxmlformats.org/officeDocument/2006/relationships/theme" Target="/xl/theme/theme1.xml" Id="Re35ad5f0fc464af6" /><Relationship Type="http://schemas.openxmlformats.org/officeDocument/2006/relationships/sharedStrings" Target="/xl/sharedStrings.xml" Id="Red37c609ebb74e10" /><Relationship Type="http://schemas.openxmlformats.org/officeDocument/2006/relationships/worksheet" Target="/xl/worksheets/sheet1.xml" Id="R4e0e066759f243c9" /><Relationship Type="http://schemas.openxmlformats.org/officeDocument/2006/relationships/worksheet" Target="/xl/worksheets/sheet2.xml" Id="Rec254daae08d43f0" /><Relationship Type="http://schemas.openxmlformats.org/officeDocument/2006/relationships/worksheet" Target="/xl/worksheets/sheet3.xml" Id="R4afe1d6776354124" /><Relationship Type="http://schemas.openxmlformats.org/officeDocument/2006/relationships/worksheet" Target="/xl/worksheets/sheet4.xml" Id="Rb9c1674da35d4522" /></Relationships>
</file>

<file path=xl/tables/table1.xml><?xml version="1.0" encoding="utf-8"?>
<x:table xmlns:x="http://schemas.openxmlformats.org/spreadsheetml/2006/main" id="1" name="UVG_1_BTL" displayName="UVG_1_BTL" ref="A1:Q220" headerRowCount="1" totalsRowCount="0" totalsRowShown="0">
  <x:autoFilter ref="A1:Q220"/>
  <x:tableColumns count="17">
    <x:tableColumn id="1" name="Số phiếu BTL"/>
    <x:tableColumn id="2" name="Ngày hạch toán"/>
    <x:tableColumn id="3" name="Số CT bán hàng gốc BHH"/>
    <x:tableColumn id="4" name="Dòng BTL"/>
    <x:tableColumn id="5" name="Mã hàng"/>
    <x:tableColumn id="6" name="Tên hàng"/>
    <x:tableColumn id="7" name="ĐVT"/>
    <x:tableColumn id="8" name="Số lượng trả"/>
    <x:tableColumn id="9" name="Đơn giá (VND)"/>
    <x:tableColumn id="10" name="Tiền hàng trả (VND)"/>
    <x:tableColumn id="11" name="Thuế suất GTGT (%)"/>
    <x:tableColumn id="12" name="Tiền thuế GTGT (VND)"/>
    <x:tableColumn id="13" name="Tổng tiền trả (VND)"/>
    <x:tableColumn id="14" name="Khách hàng"/>
    <x:tableColumn id="15" name="Liên kết trên AMIS"/>
    <x:tableColumn id="16" name="Đối chiếu sổ AMIS 2024"/>
    <x:tableColumn id="17" name="Dòng sổ AM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VG_2_BTL" displayName="UVG_2_BTL" ref="A1:L164" headerRowCount="1" totalsRowCount="0" totalsRowShown="0">
  <x:autoFilter ref="A1:L164"/>
  <x:tableColumns count="12">
    <x:tableColumn id="1" name="Số phiếu BTL"/>
    <x:tableColumn id="2" name="Ngày hạch toán"/>
    <x:tableColumn id="3" name="Khách hàng"/>
    <x:tableColumn id="4" name="Số dòng hàng"/>
    <x:tableColumn id="5" name="BHH gốc trên AMIS"/>
    <x:tableColumn id="6" name="Số lượng trả"/>
    <x:tableColumn id="7" name="Tiền hàng trả (VND)"/>
    <x:tableColumn id="8" name="VAT trả (VND)"/>
    <x:tableColumn id="9" name="Tổng chi tiết (VND)"/>
    <x:tableColumn id="10" name="Tổng phiếu AMIS (VND)"/>
    <x:tableColumn id="11" name="Chênh lệch (VND)"/>
    <x:tableColumn id="12" name="Đối chiếu sổ 2024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VG_3_BTL" displayName="UVG_3_BTL" ref="A1:B19" headerRowCount="1" totalsRowCount="0" totalsRowShown="0">
  <x:autoFilter ref="A1:B19"/>
  <x:tableColumns count="2">
    <x:tableColumn id="1" name="Nội dung"/>
    <x:tableColumn id="2" name="Giá tr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VG_4_BTL" displayName="UVG_4_BTL" ref="A1:Q2" headerRowCount="1" totalsRowCount="0" totalsRowShown="0">
  <x:autoFilter ref="A1:Q2"/>
  <x:tableColumns count="17">
    <x:tableColumn id="1" name="Số phiếu BTL"/>
    <x:tableColumn id="2" name="Ngày hạch toán"/>
    <x:tableColumn id="3" name="BHH gốc đang trống"/>
    <x:tableColumn id="4" name="Dòng BTL"/>
    <x:tableColumn id="5" name="Mã hàng"/>
    <x:tableColumn id="6" name="Tên hàng"/>
    <x:tableColumn id="7" name="ĐVT"/>
    <x:tableColumn id="8" name="Số lượng trả"/>
    <x:tableColumn id="9" name="Đơn giá (VND)"/>
    <x:tableColumn id="10" name="Tiền hàng trả (VND)"/>
    <x:tableColumn id="11" name="Thuế suất GTGT (%)"/>
    <x:tableColumn id="12" name="Tiền thuế GTGT (VND)"/>
    <x:tableColumn id="13" name="Tổng tiền trả (VND)"/>
    <x:tableColumn id="14" name="Khách hàng"/>
    <x:tableColumn id="15" name="Tình trạng"/>
    <x:tableColumn id="16" name="Đối chiếu sổ AMIS 2024"/>
    <x:tableColumn id="17" name="Dòng sổ AM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684e12202a44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93eb31c56249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3e717c6e3a46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ce768deab7423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9" hidden="0" customWidth="1"/>
    <x:col min="4" max="4" width="13" hidden="0" customWidth="1"/>
    <x:col min="5" max="5" width="25" hidden="0" customWidth="1"/>
    <x:col min="6" max="6" width="85" hidden="0" customWidth="1"/>
    <x:col min="7" max="7" width="12" hidden="0" customWidth="1"/>
    <x:col min="8" max="8" width="18" hidden="0" customWidth="1"/>
    <x:col min="9" max="9" width="25" hidden="0" customWidth="1"/>
    <x:col min="10" max="10" width="25" hidden="0" customWidth="1"/>
    <x:col min="11" max="11" width="21" hidden="0" customWidth="1"/>
    <x:col min="12" max="12" width="25" hidden="0" customWidth="1"/>
    <x:col min="13" max="13" width="27" hidden="0" customWidth="1"/>
    <x:col min="14" max="14" width="34" hidden="0" customWidth="1"/>
    <x:col min="15" max="15" width="27" hidden="0" customWidth="1"/>
    <x:col min="16" max="16" width="32" hidden="0" customWidth="1"/>
    <x:col min="17" max="17" width="24" hidden="0" customWidth="1"/>
  </x:cols>
  <x:sheetData>
    <x:row r="1" ht="44" customHeight="1">
      <x:c r="A1" s="5" t="str">
        <x:v>Số phiếu BTL</x:v>
      </x:c>
      <x:c r="B1" s="5" t="str">
        <x:v>Ngày hạch toán</x:v>
      </x:c>
      <x:c r="C1" s="5" t="str">
        <x:v>Số CT bán hàng gốc BHH</x:v>
      </x:c>
      <x:c r="D1" s="5" t="str">
        <x:v>Dòng BTL</x:v>
      </x:c>
      <x:c r="E1" s="5" t="str">
        <x:v>Mã hàng</x:v>
      </x:c>
      <x:c r="F1" s="5" t="str">
        <x:v>Tên hàng</x:v>
      </x:c>
      <x:c r="G1" s="5" t="str">
        <x:v>ĐVT</x:v>
      </x:c>
      <x:c r="H1" s="5" t="str">
        <x:v>Số lượng trả</x:v>
      </x:c>
      <x:c r="I1" s="5" t="str">
        <x:v>Đơn giá (VND)</x:v>
      </x:c>
      <x:c r="J1" s="5" t="str">
        <x:v>Tiền hàng trả (VND)</x:v>
      </x:c>
      <x:c r="K1" s="5" t="str">
        <x:v>Thuế suất GTGT (%)</x:v>
      </x:c>
      <x:c r="L1" s="5" t="str">
        <x:v>Tiền thuế GTGT (VND)</x:v>
      </x:c>
      <x:c r="M1" s="5" t="str">
        <x:v>Tổng tiền trả (VND)</x:v>
      </x:c>
      <x:c r="N1" s="5" t="str">
        <x:v>Khách hàng</x:v>
      </x:c>
      <x:c r="O1" s="5" t="str">
        <x:v>Liên kết trên AMIS</x:v>
      </x:c>
      <x:c r="P1" s="5" t="str">
        <x:v>Đối chiếu sổ AMIS 2024</x:v>
      </x:c>
      <x:c r="Q1" s="5" t="str">
        <x:v>Dòng sổ AMIS</x:v>
      </x:c>
    </x:row>
    <x:row r="2" ht="42" customHeight="1">
      <x:c r="A2" s="7" t="str">
        <x:v>BTL00025</x:v>
      </x:c>
      <x:c r="B2" s="6" t="d">
        <x:v>2024-01-15T00:00:00.000Z</x:v>
      </x:c>
      <x:c r="C2" s="7" t="str">
        <x:v>BHHT2024000430</x:v>
      </x:c>
      <x:c r="D2" s="2" t="n">
        <x:v>1</x:v>
      </x:c>
      <x:c r="E2" s="7" t="str">
        <x:v>KA350LIGHTFULL</x:v>
      </x:c>
      <x:c r="F2" s="10" t="str">
        <x:v>Máy lọc không khí diệt khuẩn bằng tia UVC (True UVC Air Purifier - KA350) model KA350</x:v>
      </x:c>
      <x:c r="G2" s="2" t="str">
        <x:v>Cái</x:v>
      </x:c>
      <x:c r="H2" s="8" t="n">
        <x:v>1</x:v>
      </x:c>
      <x:c r="I2" s="8" t="n">
        <x:v>1647222</x:v>
      </x:c>
      <x:c r="J2" s="9" t="n">
        <x:v>1647222</x:v>
      </x:c>
      <x:c r="K2" s="2" t="n">
        <x:v>8</x:v>
      </x:c>
      <x:c r="L2" s="9" t="n">
        <x:v>131778</x:v>
      </x:c>
      <x:c r="M2" s="9" t="n">
        <x:f>J2+L2</x:f>
        <x:v>1779000</x:v>
      </x:c>
      <x:c r="N2" s="2" t="str">
        <x:v>Khách hàng Tiktok</x:v>
      </x:c>
      <x:c r="O2" s="2" t="str">
        <x:v>Có BHH gốc</x:v>
      </x:c>
      <x:c r="P2" s="2" t="str">
        <x:v>Khớp sổ AMIS 2024</x:v>
      </x:c>
      <x:c r="Q2" s="2" t="str">
        <x:v>1480</x:v>
      </x:c>
    </x:row>
    <x:row r="3" ht="42" customHeight="1">
      <x:c r="A3" s="7" t="str">
        <x:v>BTL00184</x:v>
      </x:c>
      <x:c r="B3" s="6" t="d">
        <x:v>2024-01-15T00:00:00.000Z</x:v>
      </x:c>
      <x:c r="C3" s="7" t="str">
        <x:v>BHHS2024000277</x:v>
      </x:c>
      <x:c r="D3" s="2" t="n">
        <x:v>1</x:v>
      </x:c>
      <x:c r="E3" s="7" t="str">
        <x:v>KA150SFULL</x:v>
      </x:c>
      <x:c r="F3" s="10" t="str">
        <x:v>Máy lọc không khí diệt khuẩn bằng tia UVC - True UVC Air Purifiers - KA150S</x:v>
      </x:c>
      <x:c r="G3" s="2" t="str">
        <x:v>Cái</x:v>
      </x:c>
      <x:c r="H3" s="8" t="n">
        <x:v>1</x:v>
      </x:c>
      <x:c r="I3" s="8" t="n">
        <x:v>1020833</x:v>
      </x:c>
      <x:c r="J3" s="9" t="n">
        <x:v>1020833</x:v>
      </x:c>
      <x:c r="K3" s="2" t="n">
        <x:v>8</x:v>
      </x:c>
      <x:c r="L3" s="9" t="n">
        <x:v>81667</x:v>
      </x:c>
      <x:c r="M3" s="9" t="n">
        <x:f>J3+L3</x:f>
        <x:v>1102500</x:v>
      </x:c>
      <x:c r="N3" s="2" t="str">
        <x:v>Khách hàng Shoppe</x:v>
      </x:c>
      <x:c r="O3" s="2" t="str">
        <x:v>Có BHH gốc</x:v>
      </x:c>
      <x:c r="P3" s="2" t="str">
        <x:v>Khớp sổ AMIS 2024</x:v>
      </x:c>
      <x:c r="Q3" s="2" t="str">
        <x:v>1481</x:v>
      </x:c>
    </x:row>
    <x:row r="4" ht="42" customHeight="1">
      <x:c r="A4" s="7" t="str">
        <x:v>BTL00184</x:v>
      </x:c>
      <x:c r="B4" s="6" t="d">
        <x:v>2024-01-15T00:00:00.000Z</x:v>
      </x:c>
      <x:c r="C4" s="7" t="str">
        <x:v>BHHS2024000277</x:v>
      </x:c>
      <x:c r="D4" s="2" t="n">
        <x:v>2</x:v>
      </x:c>
      <x:c r="E4" s="7" t="str">
        <x:v>KA150SFILTERFULL</x:v>
      </x:c>
      <x:c r="F4" s="10" t="str">
        <x:v>Lõi lọc diệt khuẩn (Filter-FT-KA150S), model: FT-KA150S</x:v>
      </x:c>
      <x:c r="G4" s="2" t="str">
        <x:v>Cái</x:v>
      </x:c>
      <x:c r="H4" s="8" t="n">
        <x:v>1</x:v>
      </x:c>
      <x:c r="I4" s="8" t="n">
        <x:v>385648</x:v>
      </x:c>
      <x:c r="J4" s="9" t="n">
        <x:v>385648</x:v>
      </x:c>
      <x:c r="K4" s="2" t="n">
        <x:v>8</x:v>
      </x:c>
      <x:c r="L4" s="9" t="n">
        <x:v>30852</x:v>
      </x:c>
      <x:c r="M4" s="9" t="n">
        <x:f>J4+L4</x:f>
        <x:v>416500</x:v>
      </x:c>
      <x:c r="N4" s="2" t="str">
        <x:v>Khách hàng Shoppe</x:v>
      </x:c>
      <x:c r="O4" s="2" t="str">
        <x:v>Có BHH gốc</x:v>
      </x:c>
      <x:c r="P4" s="2" t="str">
        <x:v>Khớp sổ AMIS 2024</x:v>
      </x:c>
      <x:c r="Q4" s="2" t="str">
        <x:v>1482</x:v>
      </x:c>
    </x:row>
    <x:row r="5" ht="42" customHeight="1">
      <x:c r="A5" s="7" t="str">
        <x:v>BTL00026</x:v>
      </x:c>
      <x:c r="B5" s="6" t="d">
        <x:v>2024-01-19T00:00:00.000Z</x:v>
      </x:c>
      <x:c r="C5" s="7" t="str">
        <x:v>BHHT2024000729</x:v>
      </x:c>
      <x:c r="D5" s="2" t="n">
        <x:v>1</x:v>
      </x:c>
      <x:c r="E5" s="7" t="str">
        <x:v>KA600FULL</x:v>
      </x:c>
      <x:c r="F5" s="10" t="str">
        <x:v>Máy lọc không khí diệt khuẩn bằng tia UVC - True UVC Air Purifier . Model: KA600</x:v>
      </x:c>
      <x:c r="G5" s="2" t="str">
        <x:v>Cái</x:v>
      </x:c>
      <x:c r="H5" s="8" t="n">
        <x:v>1</x:v>
      </x:c>
      <x:c r="I5" s="8" t="n">
        <x:v>2227662</x:v>
      </x:c>
      <x:c r="J5" s="9" t="n">
        <x:v>2227662</x:v>
      </x:c>
      <x:c r="K5" s="2" t="n">
        <x:v>8</x:v>
      </x:c>
      <x:c r="L5" s="9" t="n">
        <x:v>178213</x:v>
      </x:c>
      <x:c r="M5" s="9" t="n">
        <x:f>J5+L5</x:f>
        <x:v>2405875</x:v>
      </x:c>
      <x:c r="N5" s="2" t="str">
        <x:v>Khách hàng Tiktok</x:v>
      </x:c>
      <x:c r="O5" s="2" t="str">
        <x:v>Có BHH gốc</x:v>
      </x:c>
      <x:c r="P5" s="2" t="str">
        <x:v>Khớp sổ AMIS 2024</x:v>
      </x:c>
      <x:c r="Q5" s="2" t="str">
        <x:v>1852</x:v>
      </x:c>
    </x:row>
    <x:row r="6" ht="42" customHeight="1">
      <x:c r="A6" s="7" t="str">
        <x:v>BTL00026</x:v>
      </x:c>
      <x:c r="B6" s="6" t="d">
        <x:v>2024-01-19T00:00:00.000Z</x:v>
      </x:c>
      <x:c r="C6" s="7" t="str">
        <x:v>BHHT2024000729</x:v>
      </x:c>
      <x:c r="D6" s="2" t="n">
        <x:v>2</x:v>
      </x:c>
      <x:c r="E6" s="7" t="str">
        <x:v>KA600FILTERFULL</x:v>
      </x:c>
      <x:c r="F6" s="10" t="str">
        <x:v>Lõi lọc diệt khuẩn - Filter, model:FT- KA600</x:v>
      </x:c>
      <x:c r="G6" s="2" t="str">
        <x:v>Cái</x:v>
      </x:c>
      <x:c r="H6" s="8" t="n">
        <x:v>1</x:v>
      </x:c>
      <x:c r="I6" s="8" t="n">
        <x:v>586227</x:v>
      </x:c>
      <x:c r="J6" s="9" t="n">
        <x:v>586227</x:v>
      </x:c>
      <x:c r="K6" s="2" t="n">
        <x:v>8</x:v>
      </x:c>
      <x:c r="L6" s="9" t="n">
        <x:v>46898</x:v>
      </x:c>
      <x:c r="M6" s="9" t="n">
        <x:f>J6+L6</x:f>
        <x:v>633125</x:v>
      </x:c>
      <x:c r="N6" s="2" t="str">
        <x:v>Khách hàng Tiktok</x:v>
      </x:c>
      <x:c r="O6" s="2" t="str">
        <x:v>Có BHH gốc</x:v>
      </x:c>
      <x:c r="P6" s="2" t="str">
        <x:v>Khớp sổ AMIS 2024</x:v>
      </x:c>
      <x:c r="Q6" s="2" t="str">
        <x:v>1853</x:v>
      </x:c>
    </x:row>
    <x:row r="7" ht="42" customHeight="1">
      <x:c r="A7" s="7" t="str">
        <x:v>BTL00185</x:v>
      </x:c>
      <x:c r="B7" s="6" t="d">
        <x:v>2024-01-22T00:00:00.000Z</x:v>
      </x:c>
      <x:c r="C7" s="7" t="str">
        <x:v>BHHS2024000259</x:v>
      </x:c>
      <x:c r="D7" s="2" t="n">
        <x:v>1</x:v>
      </x:c>
      <x:c r="E7" s="7" t="str">
        <x:v>KA600FULL</x:v>
      </x:c>
      <x:c r="F7" s="10" t="str">
        <x:v>Máy lọc không khí diệt khuẩn bằng tia UVC - True UVC Air Purifier . Model: KA600</x:v>
      </x:c>
      <x:c r="G7" s="2" t="str">
        <x:v>Cái</x:v>
      </x:c>
      <x:c r="H7" s="8" t="n">
        <x:v>1</x:v>
      </x:c>
      <x:c r="I7" s="8" t="n">
        <x:v>2033781</x:v>
      </x:c>
      <x:c r="J7" s="9" t="n">
        <x:v>2033781</x:v>
      </x:c>
      <x:c r="K7" s="2" t="n">
        <x:v>8</x:v>
      </x:c>
      <x:c r="L7" s="9" t="n">
        <x:v>162703</x:v>
      </x:c>
      <x:c r="M7" s="9" t="n">
        <x:f>J7+L7</x:f>
        <x:v>2196484</x:v>
      </x:c>
      <x:c r="N7" s="2" t="str">
        <x:v>Khách hàng Shoppe</x:v>
      </x:c>
      <x:c r="O7" s="2" t="str">
        <x:v>Có BHH gốc</x:v>
      </x:c>
      <x:c r="P7" s="2" t="str">
        <x:v>Khớp sổ AMIS 2024</x:v>
      </x:c>
      <x:c r="Q7" s="2" t="str">
        <x:v>2286</x:v>
      </x:c>
    </x:row>
    <x:row r="8" ht="42" customHeight="1">
      <x:c r="A8" s="7" t="str">
        <x:v>BTL00185</x:v>
      </x:c>
      <x:c r="B8" s="6" t="d">
        <x:v>2024-01-22T00:00:00.000Z</x:v>
      </x:c>
      <x:c r="C8" s="7" t="str">
        <x:v>BHHS2024000259</x:v>
      </x:c>
      <x:c r="D8" s="2" t="n">
        <x:v>2</x:v>
      </x:c>
      <x:c r="E8" s="7" t="str">
        <x:v>KA600FILTERFULL</x:v>
      </x:c>
      <x:c r="F8" s="10" t="str">
        <x:v>Lõi lọc diệt khuẩn - Filter, model:FT- KA600</x:v>
      </x:c>
      <x:c r="G8" s="2" t="str">
        <x:v>Cái</x:v>
      </x:c>
      <x:c r="H8" s="8" t="n">
        <x:v>1</x:v>
      </x:c>
      <x:c r="I8" s="8" t="n">
        <x:v>535205</x:v>
      </x:c>
      <x:c r="J8" s="9" t="n">
        <x:v>535205</x:v>
      </x:c>
      <x:c r="K8" s="2" t="n">
        <x:v>8</x:v>
      </x:c>
      <x:c r="L8" s="9" t="n">
        <x:v>42816</x:v>
      </x:c>
      <x:c r="M8" s="9" t="n">
        <x:f>J8+L8</x:f>
        <x:v>578021</x:v>
      </x:c>
      <x:c r="N8" s="2" t="str">
        <x:v>Khách hàng Shoppe</x:v>
      </x:c>
      <x:c r="O8" s="2" t="str">
        <x:v>Có BHH gốc</x:v>
      </x:c>
      <x:c r="P8" s="2" t="str">
        <x:v>Khớp sổ AMIS 2024</x:v>
      </x:c>
      <x:c r="Q8" s="2" t="str">
        <x:v>2287</x:v>
      </x:c>
    </x:row>
    <x:row r="9" ht="42" customHeight="1">
      <x:c r="A9" s="7" t="str">
        <x:v>BTL00185</x:v>
      </x:c>
      <x:c r="B9" s="6" t="d">
        <x:v>2024-01-22T00:00:00.000Z</x:v>
      </x:c>
      <x:c r="C9" s="7" t="str">
        <x:v>BHHS2024000259</x:v>
      </x:c>
      <x:c r="D9" s="2" t="n">
        <x:v>3</x:v>
      </x:c>
      <x:c r="E9" s="7" t="str">
        <x:v>KA150SFULL</x:v>
      </x:c>
      <x:c r="F9" s="10" t="str">
        <x:v>Máy lọc không khí diệt khuẩn bằng tia UVC - True UVC Air Purifiers - KA150S</x:v>
      </x:c>
      <x:c r="G9" s="2" t="str">
        <x:v>Cái</x:v>
      </x:c>
      <x:c r="H9" s="8" t="n">
        <x:v>1</x:v>
      </x:c>
      <x:c r="I9" s="8" t="n">
        <x:v>963370</x:v>
      </x:c>
      <x:c r="J9" s="9" t="n">
        <x:v>963370</x:v>
      </x:c>
      <x:c r="K9" s="2" t="n">
        <x:v>8</x:v>
      </x:c>
      <x:c r="L9" s="9" t="n">
        <x:v>77070</x:v>
      </x:c>
      <x:c r="M9" s="9" t="n">
        <x:f>J9+L9</x:f>
        <x:v>1040440</x:v>
      </x:c>
      <x:c r="N9" s="2" t="str">
        <x:v>Khách hàng Shoppe</x:v>
      </x:c>
      <x:c r="O9" s="2" t="str">
        <x:v>Có BHH gốc</x:v>
      </x:c>
      <x:c r="P9" s="2" t="str">
        <x:v>Khớp sổ AMIS 2024</x:v>
      </x:c>
      <x:c r="Q9" s="2" t="str">
        <x:v>2288</x:v>
      </x:c>
    </x:row>
    <x:row r="10" ht="42" customHeight="1">
      <x:c r="A10" s="7" t="str">
        <x:v>BTL00185</x:v>
      </x:c>
      <x:c r="B10" s="6" t="d">
        <x:v>2024-01-22T00:00:00.000Z</x:v>
      </x:c>
      <x:c r="C10" s="7" t="str">
        <x:v>BHHS2024000259</x:v>
      </x:c>
      <x:c r="D10" s="2" t="n">
        <x:v>4</x:v>
      </x:c>
      <x:c r="E10" s="7" t="str">
        <x:v>KA150SFILTERFULL</x:v>
      </x:c>
      <x:c r="F10" s="10" t="str">
        <x:v>Lõi lọc diệt khuẩn (Filter-FT-KA150S), model: FT-KA150S</x:v>
      </x:c>
      <x:c r="G10" s="2" t="str">
        <x:v>Cái</x:v>
      </x:c>
      <x:c r="H10" s="8" t="n">
        <x:v>1</x:v>
      </x:c>
      <x:c r="I10" s="8" t="n">
        <x:v>363940</x:v>
      </x:c>
      <x:c r="J10" s="9" t="n">
        <x:v>363940</x:v>
      </x:c>
      <x:c r="K10" s="2" t="n">
        <x:v>8</x:v>
      </x:c>
      <x:c r="L10" s="9" t="n">
        <x:v>29115</x:v>
      </x:c>
      <x:c r="M10" s="9" t="n">
        <x:f>J10+L10</x:f>
        <x:v>393055</x:v>
      </x:c>
      <x:c r="N10" s="2" t="str">
        <x:v>Khách hàng Shoppe</x:v>
      </x:c>
      <x:c r="O10" s="2" t="str">
        <x:v>Có BHH gốc</x:v>
      </x:c>
      <x:c r="P10" s="2" t="str">
        <x:v>Khớp sổ AMIS 2024</x:v>
      </x:c>
      <x:c r="Q10" s="2" t="str">
        <x:v>2289</x:v>
      </x:c>
    </x:row>
    <x:row r="11" ht="42" customHeight="1">
      <x:c r="A11" s="7" t="str">
        <x:v>BTL00027</x:v>
      </x:c>
      <x:c r="B11" s="6" t="d">
        <x:v>2024-01-23T00:00:00.000Z</x:v>
      </x:c>
      <x:c r="C11" s="7" t="str">
        <x:v>BHHT2024001390</x:v>
      </x:c>
      <x:c r="D11" s="2" t="n">
        <x:v>1</x:v>
      </x:c>
      <x:c r="E11" s="7" t="str">
        <x:v>KA150SFILTERFULL</x:v>
      </x:c>
      <x:c r="F11" s="10" t="str">
        <x:v>Lõi lọc diệt khuẩn (Filter-FT-KA150S), model: FT-KA150S</x:v>
      </x:c>
      <x:c r="G11" s="2" t="str">
        <x:v>Cái</x:v>
      </x:c>
      <x:c r="H11" s="8" t="n">
        <x:v>1</x:v>
      </x:c>
      <x:c r="I11" s="8" t="n">
        <x:v>972222</x:v>
      </x:c>
      <x:c r="J11" s="9" t="n">
        <x:v>972222</x:v>
      </x:c>
      <x:c r="K11" s="2" t="n">
        <x:v>8</x:v>
      </x:c>
      <x:c r="L11" s="9" t="n">
        <x:v>77778</x:v>
      </x:c>
      <x:c r="M11" s="9" t="n">
        <x:f>J11+L11</x:f>
        <x:v>1050000</x:v>
      </x:c>
      <x:c r="N11" s="2" t="str">
        <x:v>Khách hàng Tiktok</x:v>
      </x:c>
      <x:c r="O11" s="2" t="str">
        <x:v>Có BHH gốc</x:v>
      </x:c>
      <x:c r="P11" s="2" t="str">
        <x:v>Khớp sổ AMIS 2024</x:v>
      </x:c>
      <x:c r="Q11" s="2" t="str">
        <x:v>2435</x:v>
      </x:c>
    </x:row>
    <x:row r="12" ht="42" customHeight="1">
      <x:c r="A12" s="7" t="str">
        <x:v>BTL00028</x:v>
      </x:c>
      <x:c r="B12" s="6" t="d">
        <x:v>2024-01-25T00:00:00.000Z</x:v>
      </x:c>
      <x:c r="C12" s="7" t="str">
        <x:v>BHHT2024000226</x:v>
      </x:c>
      <x:c r="D12" s="2" t="n">
        <x:v>1</x:v>
      </x:c>
      <x:c r="E12" s="7" t="str">
        <x:v>KA600FILTERFULL</x:v>
      </x:c>
      <x:c r="F12" s="10" t="str">
        <x:v>Lõi lọc diệt khuẩn - Filter, model:FT- KA600</x:v>
      </x:c>
      <x:c r="G12" s="2" t="str">
        <x:v>Cái</x:v>
      </x:c>
      <x:c r="H12" s="8" t="n">
        <x:v>1</x:v>
      </x:c>
      <x:c r="I12" s="8" t="n">
        <x:v>509259</x:v>
      </x:c>
      <x:c r="J12" s="9" t="n">
        <x:v>509259</x:v>
      </x:c>
      <x:c r="K12" s="2" t="n">
        <x:v>8</x:v>
      </x:c>
      <x:c r="L12" s="9" t="n">
        <x:v>40741</x:v>
      </x:c>
      <x:c r="M12" s="9" t="n">
        <x:f>J12+L12</x:f>
        <x:v>550000</x:v>
      </x:c>
      <x:c r="N12" s="2" t="str">
        <x:v>Khách hàng Tiktok</x:v>
      </x:c>
      <x:c r="O12" s="2" t="str">
        <x:v>Có BHH gốc</x:v>
      </x:c>
      <x:c r="P12" s="2" t="str">
        <x:v>Khớp sổ AMIS 2024</x:v>
      </x:c>
      <x:c r="Q12" s="2" t="str">
        <x:v>2625</x:v>
      </x:c>
    </x:row>
    <x:row r="13" ht="42" customHeight="1">
      <x:c r="A13" s="7" t="str">
        <x:v>BTL00029</x:v>
      </x:c>
      <x:c r="B13" s="6" t="d">
        <x:v>2024-01-25T00:00:00.000Z</x:v>
      </x:c>
      <x:c r="C13" s="7" t="str">
        <x:v>BHHT2024000383</x:v>
      </x:c>
      <x:c r="D13" s="2" t="n">
        <x:v>1</x:v>
      </x:c>
      <x:c r="E13" s="7" t="str">
        <x:v>KA350LIGHTFULL</x:v>
      </x:c>
      <x:c r="F13" s="10" t="str">
        <x:v>Máy lọc không khí diệt khuẩn bằng tia UVC (True UVC Air Purifier - KA350) model KA350</x:v>
      </x:c>
      <x:c r="G13" s="2" t="str">
        <x:v>Cái</x:v>
      </x:c>
      <x:c r="H13" s="8" t="n">
        <x:v>1</x:v>
      </x:c>
      <x:c r="I13" s="8" t="n">
        <x:v>1647222</x:v>
      </x:c>
      <x:c r="J13" s="9" t="n">
        <x:v>1647222</x:v>
      </x:c>
      <x:c r="K13" s="2" t="n">
        <x:v>8</x:v>
      </x:c>
      <x:c r="L13" s="9" t="n">
        <x:v>131778</x:v>
      </x:c>
      <x:c r="M13" s="9" t="n">
        <x:f>J13+L13</x:f>
        <x:v>1779000</x:v>
      </x:c>
      <x:c r="N13" s="2" t="str">
        <x:v>Khách hàng Tiktok</x:v>
      </x:c>
      <x:c r="O13" s="2" t="str">
        <x:v>Có BHH gốc</x:v>
      </x:c>
      <x:c r="P13" s="2" t="str">
        <x:v>Khớp sổ AMIS 2024</x:v>
      </x:c>
      <x:c r="Q13" s="2" t="str">
        <x:v>2626</x:v>
      </x:c>
    </x:row>
    <x:row r="14" ht="42" customHeight="1">
      <x:c r="A14" s="7" t="str">
        <x:v>BTL00030</x:v>
      </x:c>
      <x:c r="B14" s="6" t="d">
        <x:v>2024-01-25T00:00:00.000Z</x:v>
      </x:c>
      <x:c r="C14" s="7" t="str">
        <x:v>BHHT2024001346</x:v>
      </x:c>
      <x:c r="D14" s="2" t="n">
        <x:v>1</x:v>
      </x:c>
      <x:c r="E14" s="7" t="str">
        <x:v>KA350LIGHTFULL</x:v>
      </x:c>
      <x:c r="F14" s="10" t="str">
        <x:v>Máy lọc không khí diệt khuẩn bằng tia UVC (True UVC Air Purifier - KA350) model KA350</x:v>
      </x:c>
      <x:c r="G14" s="2" t="str">
        <x:v>Cái</x:v>
      </x:c>
      <x:c r="H14" s="8" t="n">
        <x:v>1</x:v>
      </x:c>
      <x:c r="I14" s="8" t="n">
        <x:v>1619444</x:v>
      </x:c>
      <x:c r="J14" s="9" t="n">
        <x:v>1619444</x:v>
      </x:c>
      <x:c r="K14" s="2" t="n">
        <x:v>8</x:v>
      </x:c>
      <x:c r="L14" s="9" t="n">
        <x:v>129556</x:v>
      </x:c>
      <x:c r="M14" s="9" t="n">
        <x:f>J14+L14</x:f>
        <x:v>1749000</x:v>
      </x:c>
      <x:c r="N14" s="2" t="str">
        <x:v>Khách hàng Tiktok</x:v>
      </x:c>
      <x:c r="O14" s="2" t="str">
        <x:v>Có BHH gốc</x:v>
      </x:c>
      <x:c r="P14" s="2" t="str">
        <x:v>Khớp sổ AMIS 2024</x:v>
      </x:c>
      <x:c r="Q14" s="2" t="str">
        <x:v>2627</x:v>
      </x:c>
    </x:row>
    <x:row r="15" ht="42" customHeight="1">
      <x:c r="A15" s="7" t="str">
        <x:v>BTL00031</x:v>
      </x:c>
      <x:c r="B15" s="6" t="d">
        <x:v>2024-01-26T00:00:00.000Z</x:v>
      </x:c>
      <x:c r="C15" s="7" t="str">
        <x:v>BHHT2024001562</x:v>
      </x:c>
      <x:c r="D15" s="2" t="n">
        <x:v>1</x:v>
      </x:c>
      <x:c r="E15" s="7" t="str">
        <x:v>KA600FULL</x:v>
      </x:c>
      <x:c r="F15" s="10" t="str">
        <x:v>Máy lọc không khí diệt khuẩn bằng tia UVC - True UVC Air Purifier . Model: KA600</x:v>
      </x:c>
      <x:c r="G15" s="2" t="str">
        <x:v>Cái</x:v>
      </x:c>
      <x:c r="H15" s="8" t="n">
        <x:v>1</x:v>
      </x:c>
      <x:c r="I15" s="8" t="n">
        <x:v>2024247</x:v>
      </x:c>
      <x:c r="J15" s="9" t="n">
        <x:v>2024247</x:v>
      </x:c>
      <x:c r="K15" s="2" t="n">
        <x:v>8</x:v>
      </x:c>
      <x:c r="L15" s="9" t="n">
        <x:v>161940</x:v>
      </x:c>
      <x:c r="M15" s="9" t="n">
        <x:f>J15+L15</x:f>
        <x:v>2186187</x:v>
      </x:c>
      <x:c r="N15" s="2" t="str">
        <x:v>Khách hàng Tiktok</x:v>
      </x:c>
      <x:c r="O15" s="2" t="str">
        <x:v>Có BHH gốc</x:v>
      </x:c>
      <x:c r="P15" s="2" t="str">
        <x:v>Khớp sổ AMIS 2024</x:v>
      </x:c>
      <x:c r="Q15" s="2" t="str">
        <x:v>2693</x:v>
      </x:c>
    </x:row>
    <x:row r="16" ht="42" customHeight="1">
      <x:c r="A16" s="7" t="str">
        <x:v>BTL00031</x:v>
      </x:c>
      <x:c r="B16" s="6" t="d">
        <x:v>2024-01-26T00:00:00.000Z</x:v>
      </x:c>
      <x:c r="C16" s="7" t="str">
        <x:v>BHHT2024001562</x:v>
      </x:c>
      <x:c r="D16" s="2" t="n">
        <x:v>2</x:v>
      </x:c>
      <x:c r="E16" s="7" t="str">
        <x:v>KA600FILTERFULL</x:v>
      </x:c>
      <x:c r="F16" s="10" t="str">
        <x:v>Lõi lọc diệt khuẩn - Filter, model:FT- KA600</x:v>
      </x:c>
      <x:c r="G16" s="2" t="str">
        <x:v>Cái</x:v>
      </x:c>
      <x:c r="H16" s="8" t="n">
        <x:v>1</x:v>
      </x:c>
      <x:c r="I16" s="8" t="n">
        <x:v>532697</x:v>
      </x:c>
      <x:c r="J16" s="9" t="n">
        <x:v>532697</x:v>
      </x:c>
      <x:c r="K16" s="2" t="n">
        <x:v>8</x:v>
      </x:c>
      <x:c r="L16" s="9" t="n">
        <x:v>42616</x:v>
      </x:c>
      <x:c r="M16" s="9" t="n">
        <x:f>J16+L16</x:f>
        <x:v>575313</x:v>
      </x:c>
      <x:c r="N16" s="2" t="str">
        <x:v>Khách hàng Tiktok</x:v>
      </x:c>
      <x:c r="O16" s="2" t="str">
        <x:v>Có BHH gốc</x:v>
      </x:c>
      <x:c r="P16" s="2" t="str">
        <x:v>Khớp sổ AMIS 2024</x:v>
      </x:c>
      <x:c r="Q16" s="2" t="str">
        <x:v>2694</x:v>
      </x:c>
    </x:row>
    <x:row r="17" ht="42" customHeight="1">
      <x:c r="A17" s="7" t="str">
        <x:v>BTL00032</x:v>
      </x:c>
      <x:c r="B17" s="6" t="d">
        <x:v>2024-01-29T00:00:00.000Z</x:v>
      </x:c>
      <x:c r="C17" s="7" t="str">
        <x:v>BHHT2024000707</x:v>
      </x:c>
      <x:c r="D17" s="2" t="n">
        <x:v>1</x:v>
      </x:c>
      <x:c r="E17" s="7" t="str">
        <x:v>KA350LIGHTFULL</x:v>
      </x:c>
      <x:c r="F17" s="10" t="str">
        <x:v>Máy lọc không khí diệt khuẩn bằng tia UVC (True UVC Air Purifier - KA350) model KA350</x:v>
      </x:c>
      <x:c r="G17" s="2" t="str">
        <x:v>Cái</x:v>
      </x:c>
      <x:c r="H17" s="8" t="n">
        <x:v>1</x:v>
      </x:c>
      <x:c r="I17" s="8" t="n">
        <x:v>1225372</x:v>
      </x:c>
      <x:c r="J17" s="9" t="n">
        <x:v>1225372</x:v>
      </x:c>
      <x:c r="K17" s="2" t="n">
        <x:v>8</x:v>
      </x:c>
      <x:c r="L17" s="9" t="n">
        <x:v>98030</x:v>
      </x:c>
      <x:c r="M17" s="9" t="n">
        <x:f>J17+L17</x:f>
        <x:v>1323402</x:v>
      </x:c>
      <x:c r="N17" s="2" t="str">
        <x:v>Khách hàng Tiktok</x:v>
      </x:c>
      <x:c r="O17" s="2" t="str">
        <x:v>Có BHH gốc</x:v>
      </x:c>
      <x:c r="P17" s="2" t="str">
        <x:v>Khớp sổ AMIS 2024</x:v>
      </x:c>
      <x:c r="Q17" s="2" t="str">
        <x:v>2853</x:v>
      </x:c>
    </x:row>
    <x:row r="18" ht="42" customHeight="1">
      <x:c r="A18" s="7" t="str">
        <x:v>BTL00032</x:v>
      </x:c>
      <x:c r="B18" s="6" t="d">
        <x:v>2024-01-29T00:00:00.000Z</x:v>
      </x:c>
      <x:c r="C18" s="7" t="str">
        <x:v>BHHT2024000707</x:v>
      </x:c>
      <x:c r="D18" s="2" t="n">
        <x:v>2</x:v>
      </x:c>
      <x:c r="E18" s="7" t="str">
        <x:v>KA350FILTERFULL</x:v>
      </x:c>
      <x:c r="F18" s="10" t="str">
        <x:v>Lõi lọc diệt khuẩn Filter KA350 - model: FT KA350</x:v>
      </x:c>
      <x:c r="G18" s="2" t="str">
        <x:v>Cái</x:v>
      </x:c>
      <x:c r="H18" s="8" t="n">
        <x:v>1</x:v>
      </x:c>
      <x:c r="I18" s="8" t="n">
        <x:v>421850</x:v>
      </x:c>
      <x:c r="J18" s="9" t="n">
        <x:v>421850</x:v>
      </x:c>
      <x:c r="K18" s="2" t="n">
        <x:v>8</x:v>
      </x:c>
      <x:c r="L18" s="9" t="n">
        <x:v>33748</x:v>
      </x:c>
      <x:c r="M18" s="9" t="n">
        <x:f>J18+L18</x:f>
        <x:v>455598</x:v>
      </x:c>
      <x:c r="N18" s="2" t="str">
        <x:v>Khách hàng Tiktok</x:v>
      </x:c>
      <x:c r="O18" s="2" t="str">
        <x:v>Có BHH gốc</x:v>
      </x:c>
      <x:c r="P18" s="2" t="str">
        <x:v>Khớp sổ AMIS 2024</x:v>
      </x:c>
      <x:c r="Q18" s="2" t="str">
        <x:v>2854</x:v>
      </x:c>
    </x:row>
    <x:row r="19" ht="42" customHeight="1">
      <x:c r="A19" s="7" t="str">
        <x:v>BTL00186</x:v>
      </x:c>
      <x:c r="B19" s="6" t="d">
        <x:v>2024-02-02T00:00:00.000Z</x:v>
      </x:c>
      <x:c r="C19" s="7" t="str">
        <x:v>BHHT2024000977</x:v>
      </x:c>
      <x:c r="D19" s="2" t="n">
        <x:v>1</x:v>
      </x:c>
      <x:c r="E19" s="7" t="str">
        <x:v>KA150SFULL</x:v>
      </x:c>
      <x:c r="F19" s="10" t="str">
        <x:v>Máy lọc không khí diệt khuẩn bằng tia UVC - True UVC Air Purifiers - KA150S</x:v>
      </x:c>
      <x:c r="G19" s="2" t="str">
        <x:v>Cái</x:v>
      </x:c>
      <x:c r="H19" s="8" t="n">
        <x:v>1</x:v>
      </x:c>
      <x:c r="I19" s="8" t="n">
        <x:v>1091667</x:v>
      </x:c>
      <x:c r="J19" s="9" t="n">
        <x:v>1091667</x:v>
      </x:c>
      <x:c r="K19" s="2" t="n">
        <x:v>8</x:v>
      </x:c>
      <x:c r="L19" s="9" t="n">
        <x:v>87333</x:v>
      </x:c>
      <x:c r="M19" s="9" t="n">
        <x:f>J19+L19</x:f>
        <x:v>1179000</x:v>
      </x:c>
      <x:c r="N19" s="2" t="str">
        <x:v>Khách hàng Tiktok</x:v>
      </x:c>
      <x:c r="O19" s="2" t="str">
        <x:v>Có BHH gốc</x:v>
      </x:c>
      <x:c r="P19" s="2" t="str">
        <x:v>Khớp sổ AMIS 2024</x:v>
      </x:c>
      <x:c r="Q19" s="2" t="str">
        <x:v>3040</x:v>
      </x:c>
    </x:row>
    <x:row r="20" ht="42" customHeight="1">
      <x:c r="A20" s="7" t="str">
        <x:v>BTL00033</x:v>
      </x:c>
      <x:c r="B20" s="6" t="d">
        <x:v>2024-02-06T00:00:00.000Z</x:v>
      </x:c>
      <x:c r="C20" s="7" t="str">
        <x:v>BHHT2024001511</x:v>
      </x:c>
      <x:c r="D20" s="2" t="n">
        <x:v>1</x:v>
      </x:c>
      <x:c r="E20" s="7" t="str">
        <x:v>KA100UVC70</x:v>
      </x:c>
      <x:c r="F20" s="10" t="str">
        <x:v>Máy Lọc Không Khí Ô Tô, Khử Mùi, Diệt Khuẩn UVC LED UVGREEN KA100</x:v>
      </x:c>
      <x:c r="G20" s="2" t="str">
        <x:v>Bộ</x:v>
      </x:c>
      <x:c r="H20" s="8" t="n">
        <x:v>1</x:v>
      </x:c>
      <x:c r="I20" s="8" t="n">
        <x:v>1429957</x:v>
      </x:c>
      <x:c r="J20" s="9" t="n">
        <x:v>1429957</x:v>
      </x:c>
      <x:c r="K20" s="2" t="n">
        <x:v>8</x:v>
      </x:c>
      <x:c r="L20" s="9" t="n">
        <x:v>114396</x:v>
      </x:c>
      <x:c r="M20" s="9" t="n">
        <x:f>J20+L20</x:f>
        <x:v>1544353</x:v>
      </x:c>
      <x:c r="N20" s="2" t="str">
        <x:v>Khách hàng Tiktok</x:v>
      </x:c>
      <x:c r="O20" s="2" t="str">
        <x:v>Có BHH gốc</x:v>
      </x:c>
      <x:c r="P20" s="2" t="str">
        <x:v>Khớp sổ AMIS 2024</x:v>
      </x:c>
      <x:c r="Q20" s="2" t="str">
        <x:v>3155</x:v>
      </x:c>
    </x:row>
    <x:row r="21" ht="42" customHeight="1">
      <x:c r="A21" s="7" t="str">
        <x:v>BTL00033</x:v>
      </x:c>
      <x:c r="B21" s="6" t="d">
        <x:v>2024-02-06T00:00:00.000Z</x:v>
      </x:c>
      <x:c r="C21" s="7" t="str">
        <x:v>BHHT2024001511</x:v>
      </x:c>
      <x:c r="D21" s="2" t="n">
        <x:v>2</x:v>
      </x:c>
      <x:c r="E21" s="7" t="str">
        <x:v>COKACN01CBFL</x:v>
      </x:c>
      <x:c r="F21" s="10" t="str">
        <x:v>Màng lọc carbon</x:v>
      </x:c>
      <x:c r="G21" s="2" t="str">
        <x:v>Cái</x:v>
      </x:c>
      <x:c r="H21" s="8" t="n">
        <x:v>3</x:v>
      </x:c>
      <x:c r="I21" s="8" t="n">
        <x:v>16499.33</x:v>
      </x:c>
      <x:c r="J21" s="9" t="n">
        <x:v>49498</x:v>
      </x:c>
      <x:c r="K21" s="2" t="n">
        <x:v>8</x:v>
      </x:c>
      <x:c r="L21" s="9" t="n">
        <x:v>3960</x:v>
      </x:c>
      <x:c r="M21" s="9" t="n">
        <x:f>J21+L21</x:f>
        <x:v>53458</x:v>
      </x:c>
      <x:c r="N21" s="2" t="str">
        <x:v>Khách hàng Tiktok</x:v>
      </x:c>
      <x:c r="O21" s="2" t="str">
        <x:v>Có BHH gốc</x:v>
      </x:c>
      <x:c r="P21" s="2" t="str">
        <x:v>Khớp sổ AMIS 2024</x:v>
      </x:c>
      <x:c r="Q21" s="2" t="str">
        <x:v>3156</x:v>
      </x:c>
    </x:row>
    <x:row r="22" ht="42" customHeight="1">
      <x:c r="A22" s="7" t="str">
        <x:v>BTL00033</x:v>
      </x:c>
      <x:c r="B22" s="6" t="d">
        <x:v>2024-02-06T00:00:00.000Z</x:v>
      </x:c>
      <x:c r="C22" s="7" t="str">
        <x:v>BHHT2024001511</x:v>
      </x:c>
      <x:c r="D22" s="2" t="n">
        <x:v>3</x:v>
      </x:c>
      <x:c r="E22" s="7" t="str">
        <x:v>VCOKACN01STAP</x:v>
      </x:c>
      <x:c r="F22" s="10" t="str">
        <x:v>Dây đeo băng vải cao su 60cm, code: TL-RUB60, dùng kết nối xe và máy UVC tia cực tím, nhà sx Tonglu, mới 100%</x:v>
      </x:c>
      <x:c r="G22" s="2" t="str">
        <x:v>Sợi</x:v>
      </x:c>
      <x:c r="H22" s="8" t="n">
        <x:v>1</x:v>
      </x:c>
      <x:c r="I22" s="8" t="n">
        <x:v>32999</x:v>
      </x:c>
      <x:c r="J22" s="9" t="n">
        <x:v>32999</x:v>
      </x:c>
      <x:c r="K22" s="2" t="n">
        <x:v>8</x:v>
      </x:c>
      <x:c r="L22" s="9" t="n">
        <x:v>2640</x:v>
      </x:c>
      <x:c r="M22" s="9" t="n">
        <x:f>J22+L22</x:f>
        <x:v>35639</x:v>
      </x:c>
      <x:c r="N22" s="2" t="str">
        <x:v>Khách hàng Tiktok</x:v>
      </x:c>
      <x:c r="O22" s="2" t="str">
        <x:v>Có BHH gốc</x:v>
      </x:c>
      <x:c r="P22" s="2" t="str">
        <x:v>Khớp sổ AMIS 2024</x:v>
      </x:c>
      <x:c r="Q22" s="2" t="str">
        <x:v>3157</x:v>
      </x:c>
    </x:row>
    <x:row r="23" ht="42" customHeight="1">
      <x:c r="A23" s="7" t="str">
        <x:v>BTL00033</x:v>
      </x:c>
      <x:c r="B23" s="6" t="d">
        <x:v>2024-02-06T00:00:00.000Z</x:v>
      </x:c>
      <x:c r="C23" s="7" t="str">
        <x:v>BHHT2024001511</x:v>
      </x:c>
      <x:c r="D23" s="2" t="n">
        <x:v>4</x:v>
      </x:c>
      <x:c r="E23" s="7" t="str">
        <x:v>COKACN01CRCH</x:v>
      </x:c>
      <x:c r="F23" s="10" t="str">
        <x:v>Nguồn sạc điện 12V-2A</x:v>
      </x:c>
      <x:c r="G23" s="2" t="str">
        <x:v>Cái</x:v>
      </x:c>
      <x:c r="H23" s="8" t="n">
        <x:v>1</x:v>
      </x:c>
      <x:c r="I23" s="8" t="n">
        <x:v>76998</x:v>
      </x:c>
      <x:c r="J23" s="9" t="n">
        <x:v>76998</x:v>
      </x:c>
      <x:c r="K23" s="2" t="n">
        <x:v>8</x:v>
      </x:c>
      <x:c r="L23" s="9" t="n">
        <x:v>6160</x:v>
      </x:c>
      <x:c r="M23" s="9" t="n">
        <x:f>J23+L23</x:f>
        <x:v>83158</x:v>
      </x:c>
      <x:c r="N23" s="2" t="str">
        <x:v>Khách hàng Tiktok</x:v>
      </x:c>
      <x:c r="O23" s="2" t="str">
        <x:v>Có BHH gốc</x:v>
      </x:c>
      <x:c r="P23" s="2" t="str">
        <x:v>Khớp sổ AMIS 2024</x:v>
      </x:c>
      <x:c r="Q23" s="2" t="str">
        <x:v>3158</x:v>
      </x:c>
    </x:row>
    <x:row r="24" ht="42" customHeight="1">
      <x:c r="A24" s="7" t="str">
        <x:v>BTL00023</x:v>
      </x:c>
      <x:c r="B24" s="6" t="d">
        <x:v>2024-02-17T00:00:00.000Z</x:v>
      </x:c>
      <x:c r="C24" s="7" t="str">
        <x:v>BHHS2024000629</x:v>
      </x:c>
      <x:c r="D24" s="2" t="n">
        <x:v>1</x:v>
      </x:c>
      <x:c r="E24" s="7" t="str">
        <x:v>KA150SFULL</x:v>
      </x:c>
      <x:c r="F24" s="10" t="str">
        <x:v>Máy lọc không khí diệt khuẩn bằng tia UVC - True UVC Air Purifiers - KA150S</x:v>
      </x:c>
      <x:c r="G24" s="2" t="str">
        <x:v>Cái</x:v>
      </x:c>
      <x:c r="H24" s="8" t="n">
        <x:v>1</x:v>
      </x:c>
      <x:c r="I24" s="8" t="n">
        <x:v>1733199</x:v>
      </x:c>
      <x:c r="J24" s="9" t="n">
        <x:v>1733199</x:v>
      </x:c>
      <x:c r="K24" s="2" t="n">
        <x:v>8</x:v>
      </x:c>
      <x:c r="L24" s="9" t="n">
        <x:v>138656</x:v>
      </x:c>
      <x:c r="M24" s="9" t="n">
        <x:f>J24+L24</x:f>
        <x:v>1871855</x:v>
      </x:c>
      <x:c r="N24" s="2" t="str">
        <x:v>Khách hàng Shoppe</x:v>
      </x:c>
      <x:c r="O24" s="2" t="str">
        <x:v>Có BHH gốc</x:v>
      </x:c>
      <x:c r="P24" s="2" t="str">
        <x:v>Khớp sổ AMIS 2024</x:v>
      </x:c>
      <x:c r="Q24" s="2" t="str">
        <x:v>3381</x:v>
      </x:c>
    </x:row>
    <x:row r="25" ht="42" customHeight="1">
      <x:c r="A25" s="7" t="str">
        <x:v>BTL00023</x:v>
      </x:c>
      <x:c r="B25" s="6" t="d">
        <x:v>2024-02-17T00:00:00.000Z</x:v>
      </x:c>
      <x:c r="C25" s="7" t="str">
        <x:v>BHHS2024000629</x:v>
      </x:c>
      <x:c r="D25" s="2" t="n">
        <x:v>2</x:v>
      </x:c>
      <x:c r="E25" s="7" t="str">
        <x:v>KA150SFILTERFULL</x:v>
      </x:c>
      <x:c r="F25" s="10" t="str">
        <x:v>Lõi lọc diệt khuẩn (Filter-FT-KA150S), model: FT-KA150S</x:v>
      </x:c>
      <x:c r="G25" s="2" t="str">
        <x:v>Cái</x:v>
      </x:c>
      <x:c r="H25" s="8" t="n">
        <x:v>1</x:v>
      </x:c>
      <x:c r="I25" s="8" t="n">
        <x:v>747356</x:v>
      </x:c>
      <x:c r="J25" s="9" t="n">
        <x:v>747356</x:v>
      </x:c>
      <x:c r="K25" s="2" t="n">
        <x:v>8</x:v>
      </x:c>
      <x:c r="L25" s="9" t="n">
        <x:v>59789</x:v>
      </x:c>
      <x:c r="M25" s="9" t="n">
        <x:f>J25+L25</x:f>
        <x:v>807145</x:v>
      </x:c>
      <x:c r="N25" s="2" t="str">
        <x:v>Khách hàng Shoppe</x:v>
      </x:c>
      <x:c r="O25" s="2" t="str">
        <x:v>Có BHH gốc</x:v>
      </x:c>
      <x:c r="P25" s="2" t="str">
        <x:v>Khớp sổ AMIS 2024</x:v>
      </x:c>
      <x:c r="Q25" s="2" t="str">
        <x:v>3382</x:v>
      </x:c>
    </x:row>
    <x:row r="26" ht="42" customHeight="1">
      <x:c r="A26" s="7" t="str">
        <x:v>BTL00034</x:v>
      </x:c>
      <x:c r="B26" s="6" t="d">
        <x:v>2024-02-27T00:00:00.000Z</x:v>
      </x:c>
      <x:c r="C26" s="7" t="str">
        <x:v>BHHT2024000119</x:v>
      </x:c>
      <x:c r="D26" s="2" t="n">
        <x:v>1</x:v>
      </x:c>
      <x:c r="E26" s="7" t="str">
        <x:v>KA350LIGHTFULL</x:v>
      </x:c>
      <x:c r="F26" s="10" t="str">
        <x:v>Máy lọc không khí diệt khuẩn bằng tia UVC (True UVC Air Purifier - KA350) model KA350</x:v>
      </x:c>
      <x:c r="G26" s="2" t="str">
        <x:v>Cái</x:v>
      </x:c>
      <x:c r="H26" s="8" t="n">
        <x:v>1</x:v>
      </x:c>
      <x:c r="I26" s="8" t="n">
        <x:v>1647222</x:v>
      </x:c>
      <x:c r="J26" s="9" t="n">
        <x:v>1647222</x:v>
      </x:c>
      <x:c r="K26" s="2" t="n">
        <x:v>8</x:v>
      </x:c>
      <x:c r="L26" s="9" t="n">
        <x:v>131778</x:v>
      </x:c>
      <x:c r="M26" s="9" t="n">
        <x:f>J26+L26</x:f>
        <x:v>1779000</x:v>
      </x:c>
      <x:c r="N26" s="2" t="str">
        <x:v>Khách hàng Tiktok</x:v>
      </x:c>
      <x:c r="O26" s="2" t="str">
        <x:v>Có BHH gốc</x:v>
      </x:c>
      <x:c r="P26" s="2" t="str">
        <x:v>Khớp sổ AMIS 2024</x:v>
      </x:c>
      <x:c r="Q26" s="2" t="str">
        <x:v>3988</x:v>
      </x:c>
    </x:row>
    <x:row r="27" ht="42" customHeight="1">
      <x:c r="A27" s="7" t="str">
        <x:v>BTL00183</x:v>
      </x:c>
      <x:c r="B27" s="6" t="d">
        <x:v>2024-02-28T00:00:00.000Z</x:v>
      </x:c>
      <x:c r="C27" s="7" t="str">
        <x:v>BHHS2024000456</x:v>
      </x:c>
      <x:c r="D27" s="2" t="n">
        <x:v>1</x:v>
      </x:c>
      <x:c r="E27" s="7" t="str">
        <x:v>KA150SFULL</x:v>
      </x:c>
      <x:c r="F27" s="10" t="str">
        <x:v>Máy lọc không khí diệt khuẩn bằng tia UVC - True UVC Air Purifiers - KA150S</x:v>
      </x:c>
      <x:c r="G27" s="2" t="str">
        <x:v>Cái</x:v>
      </x:c>
      <x:c r="H27" s="8" t="n">
        <x:v>1</x:v>
      </x:c>
      <x:c r="I27" s="8" t="n">
        <x:v>869444</x:v>
      </x:c>
      <x:c r="J27" s="9" t="n">
        <x:v>869444</x:v>
      </x:c>
      <x:c r="K27" s="2" t="n">
        <x:v>8</x:v>
      </x:c>
      <x:c r="L27" s="9" t="n">
        <x:v>69556</x:v>
      </x:c>
      <x:c r="M27" s="9" t="n">
        <x:f>J27+L27</x:f>
        <x:v>939000</x:v>
      </x:c>
      <x:c r="N27" s="2" t="str">
        <x:v>Khách hàng Shoppe</x:v>
      </x:c>
      <x:c r="O27" s="2" t="str">
        <x:v>Có BHH gốc</x:v>
      </x:c>
      <x:c r="P27" s="2" t="str">
        <x:v>Khớp sổ AMIS 2024</x:v>
      </x:c>
      <x:c r="Q27" s="2" t="str">
        <x:v>4070</x:v>
      </x:c>
    </x:row>
    <x:row r="28" ht="42" customHeight="1">
      <x:c r="A28" s="7" t="str">
        <x:v>BTL00173</x:v>
      </x:c>
      <x:c r="B28" s="6" t="d">
        <x:v>2024-03-04T00:00:00.000Z</x:v>
      </x:c>
      <x:c r="C28" s="7" t="str">
        <x:v>BHHS2024000842</x:v>
      </x:c>
      <x:c r="D28" s="2" t="n">
        <x:v>1</x:v>
      </x:c>
      <x:c r="E28" s="7" t="str">
        <x:v>SP000031</x:v>
      </x:c>
      <x:c r="F28" s="10" t="str">
        <x:v>Bình nước giữ nhiệt thông minh UVGREEN UK100 Màu đen</x:v>
      </x:c>
      <x:c r="G28" s="2" t="str">
        <x:v>Cái</x:v>
      </x:c>
      <x:c r="H28" s="8" t="n">
        <x:v>1</x:v>
      </x:c>
      <x:c r="I28" s="8" t="n">
        <x:v>1527778</x:v>
      </x:c>
      <x:c r="J28" s="9" t="n">
        <x:v>1527778</x:v>
      </x:c>
      <x:c r="K28" s="2" t="n">
        <x:v>8</x:v>
      </x:c>
      <x:c r="L28" s="9" t="n">
        <x:v>122222</x:v>
      </x:c>
      <x:c r="M28" s="9" t="n">
        <x:f>J28+L28</x:f>
        <x:v>1650000</x:v>
      </x:c>
      <x:c r="N28" s="2" t="str">
        <x:v>Khách hàng Shoppe</x:v>
      </x:c>
      <x:c r="O28" s="2" t="str">
        <x:v>Có BHH gốc</x:v>
      </x:c>
      <x:c r="P28" s="2" t="str">
        <x:v>Khớp sổ AMIS 2024</x:v>
      </x:c>
      <x:c r="Q28" s="2" t="str">
        <x:v>4347</x:v>
      </x:c>
    </x:row>
    <x:row r="29" ht="42" customHeight="1">
      <x:c r="A29" s="7" t="str">
        <x:v>BTL00172</x:v>
      </x:c>
      <x:c r="B29" s="6" t="d">
        <x:v>2024-03-05T00:00:00.000Z</x:v>
      </x:c>
      <x:c r="C29" s="7" t="str">
        <x:v>BHHS2024000935</x:v>
      </x:c>
      <x:c r="D29" s="2" t="n">
        <x:v>1</x:v>
      </x:c>
      <x:c r="E29" s="7" t="str">
        <x:v>KA350PROFULLNEW</x:v>
      </x:c>
      <x:c r="F29" s="10" t="str">
        <x:v>Máy lọc không khí diệt khuẩn bằng tia UVC KA350 Pro</x:v>
      </x:c>
      <x:c r="G29" s="2" t="str">
        <x:v>Chiếc</x:v>
      </x:c>
      <x:c r="H29" s="8" t="n">
        <x:v>1</x:v>
      </x:c>
      <x:c r="I29" s="8" t="n">
        <x:v>2387963</x:v>
      </x:c>
      <x:c r="J29" s="9" t="n">
        <x:v>2387963</x:v>
      </x:c>
      <x:c r="K29" s="2" t="n">
        <x:v>8</x:v>
      </x:c>
      <x:c r="L29" s="9" t="n">
        <x:v>191037</x:v>
      </x:c>
      <x:c r="M29" s="9" t="n">
        <x:f>J29+L29</x:f>
        <x:v>2579000</x:v>
      </x:c>
      <x:c r="N29" s="2" t="str">
        <x:v>Khách hàng Shoppe</x:v>
      </x:c>
      <x:c r="O29" s="2" t="str">
        <x:v>Có BHH gốc</x:v>
      </x:c>
      <x:c r="P29" s="2" t="str">
        <x:v>Khớp sổ AMIS 2024</x:v>
      </x:c>
      <x:c r="Q29" s="2" t="str">
        <x:v>4451</x:v>
      </x:c>
    </x:row>
    <x:row r="30" ht="42" customHeight="1">
      <x:c r="A30" s="7" t="str">
        <x:v>BTL00035</x:v>
      </x:c>
      <x:c r="B30" s="6" t="d">
        <x:v>2024-03-14T00:00:00.000Z</x:v>
      </x:c>
      <x:c r="C30" s="7" t="str">
        <x:v>BHHT2024002719</x:v>
      </x:c>
      <x:c r="D30" s="2" t="n">
        <x:v>1</x:v>
      </x:c>
      <x:c r="E30" s="7" t="str">
        <x:v>KA350LIGHTFULL</x:v>
      </x:c>
      <x:c r="F30" s="10" t="str">
        <x:v>Máy lọc không khí diệt khuẩn bằng tia UVC (True UVC Air Purifier - KA350) model KA350</x:v>
      </x:c>
      <x:c r="G30" s="2" t="str">
        <x:v>Cái</x:v>
      </x:c>
      <x:c r="H30" s="8" t="n">
        <x:v>1</x:v>
      </x:c>
      <x:c r="I30" s="8" t="n">
        <x:v>1925000</x:v>
      </x:c>
      <x:c r="J30" s="9" t="n">
        <x:v>1925000</x:v>
      </x:c>
      <x:c r="K30" s="2" t="n">
        <x:v>8</x:v>
      </x:c>
      <x:c r="L30" s="9" t="n">
        <x:v>154000</x:v>
      </x:c>
      <x:c r="M30" s="9" t="n">
        <x:f>J30+L30</x:f>
        <x:v>2079000</x:v>
      </x:c>
      <x:c r="N30" s="2" t="str">
        <x:v>Khách hàng Tiktok</x:v>
      </x:c>
      <x:c r="O30" s="2" t="str">
        <x:v>Có BHH gốc</x:v>
      </x:c>
      <x:c r="P30" s="2" t="str">
        <x:v>Khớp sổ AMIS 2024</x:v>
      </x:c>
      <x:c r="Q30" s="2" t="str">
        <x:v>4813</x:v>
      </x:c>
    </x:row>
    <x:row r="31" ht="42" customHeight="1">
      <x:c r="A31" s="7" t="str">
        <x:v>BTL00171</x:v>
      </x:c>
      <x:c r="B31" s="6" t="d">
        <x:v>2024-03-19T00:00:00.000Z</x:v>
      </x:c>
      <x:c r="C31" s="7" t="str">
        <x:v>BHHS2024000940</x:v>
      </x:c>
      <x:c r="D31" s="2" t="n">
        <x:v>1</x:v>
      </x:c>
      <x:c r="E31" s="7" t="str">
        <x:v>KA350LIGHTFULL</x:v>
      </x:c>
      <x:c r="F31" s="10" t="str">
        <x:v>Máy lọc không khí diệt khuẩn bằng tia UVC (True UVC Air Purifier - KA350) model KA350</x:v>
      </x:c>
      <x:c r="G31" s="2" t="str">
        <x:v>Cái</x:v>
      </x:c>
      <x:c r="H31" s="8" t="n">
        <x:v>1</x:v>
      </x:c>
      <x:c r="I31" s="8" t="n">
        <x:v>1898148</x:v>
      </x:c>
      <x:c r="J31" s="9" t="n">
        <x:v>1898148</x:v>
      </x:c>
      <x:c r="K31" s="2" t="n">
        <x:v>8</x:v>
      </x:c>
      <x:c r="L31" s="9" t="n">
        <x:v>151852</x:v>
      </x:c>
      <x:c r="M31" s="9" t="n">
        <x:f>J31+L31</x:f>
        <x:v>2050000</x:v>
      </x:c>
      <x:c r="N31" s="2" t="str">
        <x:v>Khách hàng Shoppe</x:v>
      </x:c>
      <x:c r="O31" s="2" t="str">
        <x:v>Có BHH gốc</x:v>
      </x:c>
      <x:c r="P31" s="2" t="str">
        <x:v>Khớp sổ AMIS 2024</x:v>
      </x:c>
      <x:c r="Q31" s="2" t="str">
        <x:v>4869</x:v>
      </x:c>
    </x:row>
    <x:row r="32" ht="42" customHeight="1">
      <x:c r="A32" s="7" t="str">
        <x:v>BTL00036</x:v>
      </x:c>
      <x:c r="B32" s="6" t="d">
        <x:v>2024-03-23T00:00:00.000Z</x:v>
      </x:c>
      <x:c r="C32" s="7" t="str">
        <x:v>BHHT2024002285</x:v>
      </x:c>
      <x:c r="D32" s="2" t="n">
        <x:v>1</x:v>
      </x:c>
      <x:c r="E32" s="7" t="str">
        <x:v>KA350LIGHTFULL</x:v>
      </x:c>
      <x:c r="F32" s="10" t="str">
        <x:v>Máy lọc không khí diệt khuẩn bằng tia UVC (True UVC Air Purifier - KA350) model KA350</x:v>
      </x:c>
      <x:c r="G32" s="2" t="str">
        <x:v>Cái</x:v>
      </x:c>
      <x:c r="H32" s="8" t="n">
        <x:v>1</x:v>
      </x:c>
      <x:c r="I32" s="8" t="n">
        <x:v>1925000</x:v>
      </x:c>
      <x:c r="J32" s="9" t="n">
        <x:v>1925000</x:v>
      </x:c>
      <x:c r="K32" s="2" t="n">
        <x:v>8</x:v>
      </x:c>
      <x:c r="L32" s="9" t="n">
        <x:v>154000</x:v>
      </x:c>
      <x:c r="M32" s="9" t="n">
        <x:f>J32+L32</x:f>
        <x:v>2079000</x:v>
      </x:c>
      <x:c r="N32" s="2" t="str">
        <x:v>Khách hàng Tiktok</x:v>
      </x:c>
      <x:c r="O32" s="2" t="str">
        <x:v>Có BHH gốc</x:v>
      </x:c>
      <x:c r="P32" s="2" t="str">
        <x:v>Khớp sổ AMIS 2024</x:v>
      </x:c>
      <x:c r="Q32" s="2" t="str">
        <x:v>4922</x:v>
      </x:c>
    </x:row>
    <x:row r="33" ht="42" customHeight="1">
      <x:c r="A33" s="7" t="str">
        <x:v>BTL00037</x:v>
      </x:c>
      <x:c r="B33" s="6" t="d">
        <x:v>2024-04-02T00:00:00.000Z</x:v>
      </x:c>
      <x:c r="C33" s="7" t="str">
        <x:v>BHHT2024001995</x:v>
      </x:c>
      <x:c r="D33" s="2" t="n">
        <x:v>1</x:v>
      </x:c>
      <x:c r="E33" s="7" t="str">
        <x:v>KA150SFULL</x:v>
      </x:c>
      <x:c r="F33" s="10" t="str">
        <x:v>Máy lọc không khí diệt khuẩn bằng tia UVC - True UVC Air Purifiers - KA150S</x:v>
      </x:c>
      <x:c r="G33" s="2" t="str">
        <x:v>Cái</x:v>
      </x:c>
      <x:c r="H33" s="8" t="n">
        <x:v>1</x:v>
      </x:c>
      <x:c r="I33" s="8" t="n">
        <x:v>887963</x:v>
      </x:c>
      <x:c r="J33" s="9" t="n">
        <x:v>887963</x:v>
      </x:c>
      <x:c r="K33" s="2" t="n">
        <x:v>8</x:v>
      </x:c>
      <x:c r="L33" s="9" t="n">
        <x:v>71037</x:v>
      </x:c>
      <x:c r="M33" s="9" t="n">
        <x:f>J33+L33</x:f>
        <x:v>959000</x:v>
      </x:c>
      <x:c r="N33" s="2" t="str">
        <x:v>Khách hàng Tiktok</x:v>
      </x:c>
      <x:c r="O33" s="2" t="str">
        <x:v>Có BHH gốc</x:v>
      </x:c>
      <x:c r="P33" s="2" t="str">
        <x:v>Khớp sổ AMIS 2024</x:v>
      </x:c>
      <x:c r="Q33" s="2" t="str">
        <x:v>6131</x:v>
      </x:c>
    </x:row>
    <x:row r="34" ht="42" customHeight="1">
      <x:c r="A34" s="7" t="str">
        <x:v>BTL00038</x:v>
      </x:c>
      <x:c r="B34" s="6" t="d">
        <x:v>2024-04-04T00:00:00.000Z</x:v>
      </x:c>
      <x:c r="C34" s="7" t="str">
        <x:v>BHHT2024005622</x:v>
      </x:c>
      <x:c r="D34" s="2" t="n">
        <x:v>1</x:v>
      </x:c>
      <x:c r="E34" s="7" t="str">
        <x:v>KA150SFULL</x:v>
      </x:c>
      <x:c r="F34" s="10" t="str">
        <x:v>Máy lọc không khí diệt khuẩn bằng tia UVC - True UVC Air Purifiers - KA150S</x:v>
      </x:c>
      <x:c r="G34" s="2" t="str">
        <x:v>Cái</x:v>
      </x:c>
      <x:c r="H34" s="8" t="n">
        <x:v>1</x:v>
      </x:c>
      <x:c r="I34" s="8" t="n">
        <x:v>952778</x:v>
      </x:c>
      <x:c r="J34" s="9" t="n">
        <x:v>952778</x:v>
      </x:c>
      <x:c r="K34" s="2" t="n">
        <x:v>8</x:v>
      </x:c>
      <x:c r="L34" s="9" t="n">
        <x:v>76222</x:v>
      </x:c>
      <x:c r="M34" s="9" t="n">
        <x:f>J34+L34</x:f>
        <x:v>1029000</x:v>
      </x:c>
      <x:c r="N34" s="2" t="str">
        <x:v>Khách hàng Tiktok</x:v>
      </x:c>
      <x:c r="O34" s="2" t="str">
        <x:v>Có BHH gốc</x:v>
      </x:c>
      <x:c r="P34" s="2" t="str">
        <x:v>Khớp sổ AMIS 2024</x:v>
      </x:c>
      <x:c r="Q34" s="2" t="str">
        <x:v>6274</x:v>
      </x:c>
    </x:row>
    <x:row r="35" ht="42" customHeight="1">
      <x:c r="A35" s="7" t="str">
        <x:v>BTL00039</x:v>
      </x:c>
      <x:c r="B35" s="6" t="d">
        <x:v>2024-04-08T00:00:00.000Z</x:v>
      </x:c>
      <x:c r="C35" s="7" t="str">
        <x:v>BHHT2024005209</x:v>
      </x:c>
      <x:c r="D35" s="2" t="n">
        <x:v>1</x:v>
      </x:c>
      <x:c r="E35" s="7" t="str">
        <x:v>KA150SFULL</x:v>
      </x:c>
      <x:c r="F35" s="10" t="str">
        <x:v>Máy lọc không khí diệt khuẩn bằng tia UVC - True UVC Air Purifiers - KA150S</x:v>
      </x:c>
      <x:c r="G35" s="2" t="str">
        <x:v>Cái</x:v>
      </x:c>
      <x:c r="H35" s="8" t="n">
        <x:v>1</x:v>
      </x:c>
      <x:c r="I35" s="8" t="n">
        <x:v>887963</x:v>
      </x:c>
      <x:c r="J35" s="9" t="n">
        <x:v>887963</x:v>
      </x:c>
      <x:c r="K35" s="2" t="n">
        <x:v>8</x:v>
      </x:c>
      <x:c r="L35" s="9" t="n">
        <x:v>71037</x:v>
      </x:c>
      <x:c r="M35" s="9" t="n">
        <x:f>J35+L35</x:f>
        <x:v>959000</x:v>
      </x:c>
      <x:c r="N35" s="2" t="str">
        <x:v>Khách hàng Tiktok</x:v>
      </x:c>
      <x:c r="O35" s="2" t="str">
        <x:v>Có BHH gốc</x:v>
      </x:c>
      <x:c r="P35" s="2" t="str">
        <x:v>Khớp sổ AMIS 2024</x:v>
      </x:c>
      <x:c r="Q35" s="2" t="str">
        <x:v>6986</x:v>
      </x:c>
    </x:row>
    <x:row r="36" ht="42" customHeight="1">
      <x:c r="A36" s="7" t="str">
        <x:v>BTL00040</x:v>
      </x:c>
      <x:c r="B36" s="6" t="d">
        <x:v>2024-04-08T00:00:00.000Z</x:v>
      </x:c>
      <x:c r="C36" s="7" t="str">
        <x:v>BHHT2024002667</x:v>
      </x:c>
      <x:c r="D36" s="2" t="n">
        <x:v>1</x:v>
      </x:c>
      <x:c r="E36" s="7" t="str">
        <x:v>KA150SFULL</x:v>
      </x:c>
      <x:c r="F36" s="10" t="str">
        <x:v>Máy lọc không khí diệt khuẩn bằng tia UVC - True UVC Air Purifiers - KA150S</x:v>
      </x:c>
      <x:c r="G36" s="2" t="str">
        <x:v>Cái</x:v>
      </x:c>
      <x:c r="H36" s="8" t="n">
        <x:v>1</x:v>
      </x:c>
      <x:c r="I36" s="8" t="n">
        <x:v>1091667</x:v>
      </x:c>
      <x:c r="J36" s="9" t="n">
        <x:v>1091667</x:v>
      </x:c>
      <x:c r="K36" s="2" t="n">
        <x:v>8</x:v>
      </x:c>
      <x:c r="L36" s="9" t="n">
        <x:v>87333</x:v>
      </x:c>
      <x:c r="M36" s="9" t="n">
        <x:f>J36+L36</x:f>
        <x:v>1179000</x:v>
      </x:c>
      <x:c r="N36" s="2" t="str">
        <x:v>Khách hàng Tiktok</x:v>
      </x:c>
      <x:c r="O36" s="2" t="str">
        <x:v>Có BHH gốc</x:v>
      </x:c>
      <x:c r="P36" s="2" t="str">
        <x:v>Khớp sổ AMIS 2024</x:v>
      </x:c>
      <x:c r="Q36" s="2" t="str">
        <x:v>6987</x:v>
      </x:c>
    </x:row>
    <x:row r="37" ht="42" customHeight="1">
      <x:c r="A37" s="7" t="str">
        <x:v>BTL00041</x:v>
      </x:c>
      <x:c r="B37" s="6" t="d">
        <x:v>2024-04-11T00:00:00.000Z</x:v>
      </x:c>
      <x:c r="C37" s="7" t="str">
        <x:v>BHHT2024004877</x:v>
      </x:c>
      <x:c r="D37" s="2" t="n">
        <x:v>1</x:v>
      </x:c>
      <x:c r="E37" s="7" t="str">
        <x:v>KA150SFULL</x:v>
      </x:c>
      <x:c r="F37" s="10" t="str">
        <x:v>Máy lọc không khí diệt khuẩn bằng tia UVC - True UVC Air Purifiers - KA150S</x:v>
      </x:c>
      <x:c r="G37" s="2" t="str">
        <x:v>Cái</x:v>
      </x:c>
      <x:c r="H37" s="8" t="n">
        <x:v>1</x:v>
      </x:c>
      <x:c r="I37" s="8" t="n">
        <x:v>1239815</x:v>
      </x:c>
      <x:c r="J37" s="9" t="n">
        <x:v>1239815</x:v>
      </x:c>
      <x:c r="K37" s="2" t="n">
        <x:v>8</x:v>
      </x:c>
      <x:c r="L37" s="9" t="n">
        <x:v>99185</x:v>
      </x:c>
      <x:c r="M37" s="9" t="n">
        <x:f>J37+L37</x:f>
        <x:v>1339000</x:v>
      </x:c>
      <x:c r="N37" s="2" t="str">
        <x:v>Khách hàng Tiktok</x:v>
      </x:c>
      <x:c r="O37" s="2" t="str">
        <x:v>Có BHH gốc</x:v>
      </x:c>
      <x:c r="P37" s="2" t="str">
        <x:v>Khớp sổ AMIS 2024</x:v>
      </x:c>
      <x:c r="Q37" s="2" t="str">
        <x:v>7652</x:v>
      </x:c>
    </x:row>
    <x:row r="38" ht="42" customHeight="1">
      <x:c r="A38" s="7" t="str">
        <x:v>BTL00042</x:v>
      </x:c>
      <x:c r="B38" s="6" t="d">
        <x:v>2024-04-13T00:00:00.000Z</x:v>
      </x:c>
      <x:c r="C38" s="7" t="str">
        <x:v>BHHT2024005315</x:v>
      </x:c>
      <x:c r="D38" s="2" t="n">
        <x:v>1</x:v>
      </x:c>
      <x:c r="E38" s="7" t="str">
        <x:v>KA150SFULL</x:v>
      </x:c>
      <x:c r="F38" s="10" t="str">
        <x:v>Máy lọc không khí diệt khuẩn bằng tia UVC - True UVC Air Purifiers - KA150S</x:v>
      </x:c>
      <x:c r="G38" s="2" t="str">
        <x:v>Cái</x:v>
      </x:c>
      <x:c r="H38" s="8" t="n">
        <x:v>1</x:v>
      </x:c>
      <x:c r="I38" s="8" t="n">
        <x:v>1054630</x:v>
      </x:c>
      <x:c r="J38" s="9" t="n">
        <x:v>1054630</x:v>
      </x:c>
      <x:c r="K38" s="2" t="n">
        <x:v>8</x:v>
      </x:c>
      <x:c r="L38" s="9" t="n">
        <x:v>84370</x:v>
      </x:c>
      <x:c r="M38" s="9" t="n">
        <x:f>J38+L38</x:f>
        <x:v>1139000</x:v>
      </x:c>
      <x:c r="N38" s="2" t="str">
        <x:v>Khách hàng Tiktok</x:v>
      </x:c>
      <x:c r="O38" s="2" t="str">
        <x:v>Có BHH gốc</x:v>
      </x:c>
      <x:c r="P38" s="2" t="str">
        <x:v>Khớp sổ AMIS 2024</x:v>
      </x:c>
      <x:c r="Q38" s="2" t="str">
        <x:v>7914</x:v>
      </x:c>
    </x:row>
    <x:row r="39" ht="42" customHeight="1">
      <x:c r="A39" s="7" t="str">
        <x:v>BTL00043</x:v>
      </x:c>
      <x:c r="B39" s="6" t="d">
        <x:v>2024-04-13T00:00:00.000Z</x:v>
      </x:c>
      <x:c r="C39" s="7" t="str">
        <x:v>BHHT2024001801</x:v>
      </x:c>
      <x:c r="D39" s="2" t="n">
        <x:v>1</x:v>
      </x:c>
      <x:c r="E39" s="7" t="str">
        <x:v>KA350LIGHTFULL</x:v>
      </x:c>
      <x:c r="F39" s="10" t="str">
        <x:v>Máy lọc không khí diệt khuẩn bằng tia UVC (True UVC Air Purifier - KA350) model KA350</x:v>
      </x:c>
      <x:c r="G39" s="2" t="str">
        <x:v>Cái</x:v>
      </x:c>
      <x:c r="H39" s="8" t="n">
        <x:v>1</x:v>
      </x:c>
      <x:c r="I39" s="8" t="n">
        <x:v>1363132</x:v>
      </x:c>
      <x:c r="J39" s="9" t="n">
        <x:v>1363132</x:v>
      </x:c>
      <x:c r="K39" s="2" t="n">
        <x:v>8</x:v>
      </x:c>
      <x:c r="L39" s="9" t="n">
        <x:v>109051</x:v>
      </x:c>
      <x:c r="M39" s="9" t="n">
        <x:f>J39+L39</x:f>
        <x:v>1472183</x:v>
      </x:c>
      <x:c r="N39" s="2" t="str">
        <x:v>Khách hàng Tiktok</x:v>
      </x:c>
      <x:c r="O39" s="2" t="str">
        <x:v>Có BHH gốc</x:v>
      </x:c>
      <x:c r="P39" s="2" t="str">
        <x:v>Khớp sổ AMIS 2024</x:v>
      </x:c>
      <x:c r="Q39" s="2" t="str">
        <x:v>7915</x:v>
      </x:c>
    </x:row>
    <x:row r="40" ht="42" customHeight="1">
      <x:c r="A40" s="7" t="str">
        <x:v>BTL00043</x:v>
      </x:c>
      <x:c r="B40" s="6" t="d">
        <x:v>2024-04-13T00:00:00.000Z</x:v>
      </x:c>
      <x:c r="C40" s="7" t="str">
        <x:v>BHHT2024001801</x:v>
      </x:c>
      <x:c r="D40" s="2" t="n">
        <x:v>2</x:v>
      </x:c>
      <x:c r="E40" s="7" t="str">
        <x:v>KA350FILTERFULL</x:v>
      </x:c>
      <x:c r="F40" s="10" t="str">
        <x:v>Lõi lọc diệt khuẩn Filter KA350 - model: FT KA350</x:v>
      </x:c>
      <x:c r="G40" s="2" t="str">
        <x:v>Cái</x:v>
      </x:c>
      <x:c r="H40" s="8" t="n">
        <x:v>1</x:v>
      </x:c>
      <x:c r="I40" s="8" t="n">
        <x:v>469275</x:v>
      </x:c>
      <x:c r="J40" s="9" t="n">
        <x:v>469275</x:v>
      </x:c>
      <x:c r="K40" s="2" t="n">
        <x:v>8</x:v>
      </x:c>
      <x:c r="L40" s="9" t="n">
        <x:v>37542</x:v>
      </x:c>
      <x:c r="M40" s="9" t="n">
        <x:f>J40+L40</x:f>
        <x:v>506817</x:v>
      </x:c>
      <x:c r="N40" s="2" t="str">
        <x:v>Khách hàng Tiktok</x:v>
      </x:c>
      <x:c r="O40" s="2" t="str">
        <x:v>Có BHH gốc</x:v>
      </x:c>
      <x:c r="P40" s="2" t="str">
        <x:v>Khớp sổ AMIS 2024</x:v>
      </x:c>
      <x:c r="Q40" s="2" t="str">
        <x:v>7916</x:v>
      </x:c>
    </x:row>
    <x:row r="41" ht="42" customHeight="1">
      <x:c r="A41" s="7" t="str">
        <x:v>BTL00044</x:v>
      </x:c>
      <x:c r="B41" s="6" t="d">
        <x:v>2024-04-13T00:00:00.000Z</x:v>
      </x:c>
      <x:c r="C41" s="7" t="str">
        <x:v>BHHT2024002272</x:v>
      </x:c>
      <x:c r="D41" s="2" t="n">
        <x:v>1</x:v>
      </x:c>
      <x:c r="E41" s="7" t="str">
        <x:v>KA350LIGHTFULL</x:v>
      </x:c>
      <x:c r="F41" s="10" t="str">
        <x:v>Máy lọc không khí diệt khuẩn bằng tia UVC (True UVC Air Purifier - KA350) model KA350</x:v>
      </x:c>
      <x:c r="G41" s="2" t="str">
        <x:v>Cái</x:v>
      </x:c>
      <x:c r="H41" s="8" t="n">
        <x:v>1</x:v>
      </x:c>
      <x:c r="I41" s="8" t="n">
        <x:v>1931944</x:v>
      </x:c>
      <x:c r="J41" s="9" t="n">
        <x:v>1931944</x:v>
      </x:c>
      <x:c r="K41" s="2" t="n">
        <x:v>8</x:v>
      </x:c>
      <x:c r="L41" s="9" t="n">
        <x:v>154556</x:v>
      </x:c>
      <x:c r="M41" s="9" t="n">
        <x:f>J41+L41</x:f>
        <x:v>2086500</x:v>
      </x:c>
      <x:c r="N41" s="2" t="str">
        <x:v>Khách hàng Tiktok</x:v>
      </x:c>
      <x:c r="O41" s="2" t="str">
        <x:v>Có BHH gốc</x:v>
      </x:c>
      <x:c r="P41" s="2" t="str">
        <x:v>Khớp sổ AMIS 2024</x:v>
      </x:c>
      <x:c r="Q41" s="2" t="str">
        <x:v>7917</x:v>
      </x:c>
    </x:row>
    <x:row r="42" ht="42" customHeight="1">
      <x:c r="A42" s="7" t="str">
        <x:v>BTL00045</x:v>
      </x:c>
      <x:c r="B42" s="6" t="d">
        <x:v>2024-04-16T00:00:00.000Z</x:v>
      </x:c>
      <x:c r="C42" s="7" t="str">
        <x:v>BHHT2024005462</x:v>
      </x:c>
      <x:c r="D42" s="2" t="n">
        <x:v>1</x:v>
      </x:c>
      <x:c r="E42" s="7" t="str">
        <x:v>KA150SFULL</x:v>
      </x:c>
      <x:c r="F42" s="10" t="str">
        <x:v>Máy lọc không khí diệt khuẩn bằng tia UVC - True UVC Air Purifiers - KA150S</x:v>
      </x:c>
      <x:c r="G42" s="2" t="str">
        <x:v>Cái</x:v>
      </x:c>
      <x:c r="H42" s="8" t="n">
        <x:v>1</x:v>
      </x:c>
      <x:c r="I42" s="8" t="n">
        <x:v>887963</x:v>
      </x:c>
      <x:c r="J42" s="9" t="n">
        <x:v>887963</x:v>
      </x:c>
      <x:c r="K42" s="2" t="n">
        <x:v>8</x:v>
      </x:c>
      <x:c r="L42" s="9" t="n">
        <x:v>71037</x:v>
      </x:c>
      <x:c r="M42" s="9" t="n">
        <x:f>J42+L42</x:f>
        <x:v>959000</x:v>
      </x:c>
      <x:c r="N42" s="2" t="str">
        <x:v>Khách hàng Tiktok</x:v>
      </x:c>
      <x:c r="O42" s="2" t="str">
        <x:v>Có BHH gốc</x:v>
      </x:c>
      <x:c r="P42" s="2" t="str">
        <x:v>Khớp sổ AMIS 2024</x:v>
      </x:c>
      <x:c r="Q42" s="2" t="str">
        <x:v>8695</x:v>
      </x:c>
    </x:row>
    <x:row r="43" ht="42" customHeight="1">
      <x:c r="A43" s="7" t="str">
        <x:v>BTL00046</x:v>
      </x:c>
      <x:c r="B43" s="6" t="d">
        <x:v>2024-04-16T00:00:00.000Z</x:v>
      </x:c>
      <x:c r="C43" s="7" t="str">
        <x:v>BHHT2024004830</x:v>
      </x:c>
      <x:c r="D43" s="2" t="n">
        <x:v>1</x:v>
      </x:c>
      <x:c r="E43" s="7" t="str">
        <x:v>KA350LIGHTFULL</x:v>
      </x:c>
      <x:c r="F43" s="10" t="str">
        <x:v>Máy lọc không khí diệt khuẩn bằng tia UVC (True UVC Air Purifier - KA350) model KA350</x:v>
      </x:c>
      <x:c r="G43" s="2" t="str">
        <x:v>Cái</x:v>
      </x:c>
      <x:c r="H43" s="8" t="n">
        <x:v>1</x:v>
      </x:c>
      <x:c r="I43" s="8" t="n">
        <x:v>1832407</x:v>
      </x:c>
      <x:c r="J43" s="9" t="n">
        <x:v>1832407</x:v>
      </x:c>
      <x:c r="K43" s="2" t="n">
        <x:v>8</x:v>
      </x:c>
      <x:c r="L43" s="9" t="n">
        <x:v>146593</x:v>
      </x:c>
      <x:c r="M43" s="9" t="n">
        <x:f>J43+L43</x:f>
        <x:v>1979000</x:v>
      </x:c>
      <x:c r="N43" s="2" t="str">
        <x:v>Khách hàng Tiktok</x:v>
      </x:c>
      <x:c r="O43" s="2" t="str">
        <x:v>Có BHH gốc</x:v>
      </x:c>
      <x:c r="P43" s="2" t="str">
        <x:v>Khớp sổ AMIS 2024</x:v>
      </x:c>
      <x:c r="Q43" s="2" t="str">
        <x:v>8696</x:v>
      </x:c>
    </x:row>
    <x:row r="44" ht="42" customHeight="1">
      <x:c r="A44" s="7" t="str">
        <x:v>BTL00047</x:v>
      </x:c>
      <x:c r="B44" s="6" t="d">
        <x:v>2024-04-17T00:00:00.000Z</x:v>
      </x:c>
      <x:c r="C44" s="7" t="str">
        <x:v>BHHT2024004091</x:v>
      </x:c>
      <x:c r="D44" s="2" t="n">
        <x:v>1</x:v>
      </x:c>
      <x:c r="E44" s="7" t="str">
        <x:v>SP000042</x:v>
      </x:c>
      <x:c r="F44" s="10" t="str">
        <x:v>Bình nước giữ nhiệt thông minh UVGREEN UK100 Màu trắng</x:v>
      </x:c>
      <x:c r="G44" s="2" t="str">
        <x:v>Cái</x:v>
      </x:c>
      <x:c r="H44" s="8" t="n">
        <x:v>1</x:v>
      </x:c>
      <x:c r="I44" s="8" t="n">
        <x:v>425000</x:v>
      </x:c>
      <x:c r="J44" s="9" t="n">
        <x:v>425000</x:v>
      </x:c>
      <x:c r="K44" s="2" t="n">
        <x:v>8</x:v>
      </x:c>
      <x:c r="L44" s="9" t="n">
        <x:v>34000</x:v>
      </x:c>
      <x:c r="M44" s="9" t="n">
        <x:f>J44+L44</x:f>
        <x:v>459000</x:v>
      </x:c>
      <x:c r="N44" s="2" t="str">
        <x:v>Khách hàng Tiktok</x:v>
      </x:c>
      <x:c r="O44" s="2" t="str">
        <x:v>Có BHH gốc</x:v>
      </x:c>
      <x:c r="P44" s="2" t="str">
        <x:v>Khớp sổ AMIS 2024</x:v>
      </x:c>
      <x:c r="Q44" s="2" t="str">
        <x:v>9030</x:v>
      </x:c>
    </x:row>
    <x:row r="45" ht="42" customHeight="1">
      <x:c r="A45" s="7" t="str">
        <x:v>BTL00048</x:v>
      </x:c>
      <x:c r="B45" s="6" t="d">
        <x:v>2024-04-17T00:00:00.000Z</x:v>
      </x:c>
      <x:c r="C45" s="7" t="str">
        <x:v>BHHT2024004384</x:v>
      </x:c>
      <x:c r="D45" s="2" t="n">
        <x:v>1</x:v>
      </x:c>
      <x:c r="E45" s="7" t="str">
        <x:v>KA350LIGHTFULL</x:v>
      </x:c>
      <x:c r="F45" s="10" t="str">
        <x:v>Máy lọc không khí diệt khuẩn bằng tia UVC (True UVC Air Purifier - KA350) model KA350</x:v>
      </x:c>
      <x:c r="G45" s="2" t="str">
        <x:v>Cái</x:v>
      </x:c>
      <x:c r="H45" s="8" t="n">
        <x:v>1</x:v>
      </x:c>
      <x:c r="I45" s="8" t="n">
        <x:v>1239838</x:v>
      </x:c>
      <x:c r="J45" s="9" t="n">
        <x:v>1239838</x:v>
      </x:c>
      <x:c r="K45" s="2" t="n">
        <x:v>8</x:v>
      </x:c>
      <x:c r="L45" s="9" t="n">
        <x:v>99187</x:v>
      </x:c>
      <x:c r="M45" s="9" t="n">
        <x:f>J45+L45</x:f>
        <x:v>1339025</x:v>
      </x:c>
      <x:c r="N45" s="2" t="str">
        <x:v>Khách hàng Tiktok</x:v>
      </x:c>
      <x:c r="O45" s="2" t="str">
        <x:v>Có BHH gốc</x:v>
      </x:c>
      <x:c r="P45" s="2" t="str">
        <x:v>Khớp sổ AMIS 2024</x:v>
      </x:c>
      <x:c r="Q45" s="2" t="str">
        <x:v>9031</x:v>
      </x:c>
    </x:row>
    <x:row r="46" ht="42" customHeight="1">
      <x:c r="A46" s="7" t="str">
        <x:v>BTL00048</x:v>
      </x:c>
      <x:c r="B46" s="6" t="d">
        <x:v>2024-04-17T00:00:00.000Z</x:v>
      </x:c>
      <x:c r="C46" s="7" t="str">
        <x:v>BHHT2024004384</x:v>
      </x:c>
      <x:c r="D46" s="2" t="n">
        <x:v>2</x:v>
      </x:c>
      <x:c r="E46" s="7" t="str">
        <x:v>KA350FILTERFULL</x:v>
      </x:c>
      <x:c r="F46" s="10" t="str">
        <x:v>Lõi lọc diệt khuẩn Filter KA350 - model: FT KA350</x:v>
      </x:c>
      <x:c r="G46" s="2" t="str">
        <x:v>Cái</x:v>
      </x:c>
      <x:c r="H46" s="8" t="n">
        <x:v>1</x:v>
      </x:c>
      <x:c r="I46" s="8" t="n">
        <x:v>426829</x:v>
      </x:c>
      <x:c r="J46" s="9" t="n">
        <x:v>426829</x:v>
      </x:c>
      <x:c r="K46" s="2" t="n">
        <x:v>8</x:v>
      </x:c>
      <x:c r="L46" s="9" t="n">
        <x:v>34146</x:v>
      </x:c>
      <x:c r="M46" s="9" t="n">
        <x:f>J46+L46</x:f>
        <x:v>460975</x:v>
      </x:c>
      <x:c r="N46" s="2" t="str">
        <x:v>Khách hàng Tiktok</x:v>
      </x:c>
      <x:c r="O46" s="2" t="str">
        <x:v>Có BHH gốc</x:v>
      </x:c>
      <x:c r="P46" s="2" t="str">
        <x:v>Khớp sổ AMIS 2024</x:v>
      </x:c>
      <x:c r="Q46" s="2" t="str">
        <x:v>9032</x:v>
      </x:c>
    </x:row>
    <x:row r="47" ht="42" customHeight="1">
      <x:c r="A47" s="7" t="str">
        <x:v>BTL00170</x:v>
      </x:c>
      <x:c r="B47" s="6" t="d">
        <x:v>2024-04-17T00:00:00.000Z</x:v>
      </x:c>
      <x:c r="C47" s="7" t="str">
        <x:v>BHHS2024001381</x:v>
      </x:c>
      <x:c r="D47" s="2" t="n">
        <x:v>1</x:v>
      </x:c>
      <x:c r="E47" s="7" t="str">
        <x:v>KA150SFULL</x:v>
      </x:c>
      <x:c r="F47" s="10" t="str">
        <x:v>Máy lọc không khí diệt khuẩn bằng tia UVC - True UVC Air Purifiers - KA150S</x:v>
      </x:c>
      <x:c r="G47" s="2" t="str">
        <x:v>Cái</x:v>
      </x:c>
      <x:c r="H47" s="8" t="n">
        <x:v>1</x:v>
      </x:c>
      <x:c r="I47" s="8" t="n">
        <x:v>1147222</x:v>
      </x:c>
      <x:c r="J47" s="9" t="n">
        <x:v>1147222</x:v>
      </x:c>
      <x:c r="K47" s="2" t="n">
        <x:v>8</x:v>
      </x:c>
      <x:c r="L47" s="9" t="n">
        <x:v>91778</x:v>
      </x:c>
      <x:c r="M47" s="9" t="n">
        <x:f>J47+L47</x:f>
        <x:v>1239000</x:v>
      </x:c>
      <x:c r="N47" s="2" t="str">
        <x:v>Khách hàng Shoppe</x:v>
      </x:c>
      <x:c r="O47" s="2" t="str">
        <x:v>Có BHH gốc</x:v>
      </x:c>
      <x:c r="P47" s="2" t="str">
        <x:v>Khớp sổ AMIS 2024</x:v>
      </x:c>
      <x:c r="Q47" s="2" t="str">
        <x:v>9033</x:v>
      </x:c>
    </x:row>
    <x:row r="48" ht="42" customHeight="1">
      <x:c r="A48" s="7" t="str">
        <x:v>BTL00049</x:v>
      </x:c>
      <x:c r="B48" s="6" t="d">
        <x:v>2024-04-19T00:00:00.000Z</x:v>
      </x:c>
      <x:c r="C48" s="7" t="str">
        <x:v>BHHT2024004661</x:v>
      </x:c>
      <x:c r="D48" s="2" t="n">
        <x:v>1</x:v>
      </x:c>
      <x:c r="E48" s="7" t="str">
        <x:v>KA350LIGHTFULL</x:v>
      </x:c>
      <x:c r="F48" s="10" t="str">
        <x:v>Máy lọc không khí diệt khuẩn bằng tia UVC (True UVC Air Purifier - KA350) model KA350</x:v>
      </x:c>
      <x:c r="G48" s="2" t="str">
        <x:v>Cái</x:v>
      </x:c>
      <x:c r="H48" s="8" t="n">
        <x:v>1</x:v>
      </x:c>
      <x:c r="I48" s="8" t="n">
        <x:v>1266701</x:v>
      </x:c>
      <x:c r="J48" s="9" t="n">
        <x:v>1266701</x:v>
      </x:c>
      <x:c r="K48" s="2" t="n">
        <x:v>8</x:v>
      </x:c>
      <x:c r="L48" s="9" t="n">
        <x:v>101336</x:v>
      </x:c>
      <x:c r="M48" s="9" t="n">
        <x:f>J48+L48</x:f>
        <x:v>1368037</x:v>
      </x:c>
      <x:c r="N48" s="2" t="str">
        <x:v>Khách hàng Tiktok</x:v>
      </x:c>
      <x:c r="O48" s="2" t="str">
        <x:v>Có BHH gốc</x:v>
      </x:c>
      <x:c r="P48" s="2" t="str">
        <x:v>Khớp sổ AMIS 2024</x:v>
      </x:c>
      <x:c r="Q48" s="2" t="str">
        <x:v>9512</x:v>
      </x:c>
    </x:row>
    <x:row r="49" ht="42" customHeight="1">
      <x:c r="A49" s="7" t="str">
        <x:v>BTL00049</x:v>
      </x:c>
      <x:c r="B49" s="6" t="d">
        <x:v>2024-04-19T00:00:00.000Z</x:v>
      </x:c>
      <x:c r="C49" s="7" t="str">
        <x:v>BHHT2024004661</x:v>
      </x:c>
      <x:c r="D49" s="2" t="n">
        <x:v>2</x:v>
      </x:c>
      <x:c r="E49" s="7" t="str">
        <x:v>KA350FILTERFULL</x:v>
      </x:c>
      <x:c r="F49" s="10" t="str">
        <x:v>Lõi lọc diệt khuẩn Filter KA350 - model: FT KA350</x:v>
      </x:c>
      <x:c r="G49" s="2" t="str">
        <x:v>Cái</x:v>
      </x:c>
      <x:c r="H49" s="8" t="n">
        <x:v>1</x:v>
      </x:c>
      <x:c r="I49" s="8" t="n">
        <x:v>436077</x:v>
      </x:c>
      <x:c r="J49" s="9" t="n">
        <x:v>436077</x:v>
      </x:c>
      <x:c r="K49" s="2" t="n">
        <x:v>8</x:v>
      </x:c>
      <x:c r="L49" s="9" t="n">
        <x:v>34886</x:v>
      </x:c>
      <x:c r="M49" s="9" t="n">
        <x:f>J49+L49</x:f>
        <x:v>470963</x:v>
      </x:c>
      <x:c r="N49" s="2" t="str">
        <x:v>Khách hàng Tiktok</x:v>
      </x:c>
      <x:c r="O49" s="2" t="str">
        <x:v>Có BHH gốc</x:v>
      </x:c>
      <x:c r="P49" s="2" t="str">
        <x:v>Khớp sổ AMIS 2024</x:v>
      </x:c>
      <x:c r="Q49" s="2" t="str">
        <x:v>9513</x:v>
      </x:c>
    </x:row>
    <x:row r="50" ht="42" customHeight="1">
      <x:c r="A50" s="7" t="str">
        <x:v>BTL00050</x:v>
      </x:c>
      <x:c r="B50" s="6" t="d">
        <x:v>2024-04-20T00:00:00.000Z</x:v>
      </x:c>
      <x:c r="C50" s="7" t="str">
        <x:v>BHHT2024004718</x:v>
      </x:c>
      <x:c r="D50" s="2" t="n">
        <x:v>1</x:v>
      </x:c>
      <x:c r="E50" s="7" t="str">
        <x:v>KA350LIGHTFULL</x:v>
      </x:c>
      <x:c r="F50" s="10" t="str">
        <x:v>Máy lọc không khí diệt khuẩn bằng tia UVC (True UVC Air Purifier - KA350) model KA350</x:v>
      </x:c>
      <x:c r="G50" s="2" t="str">
        <x:v>Cái</x:v>
      </x:c>
      <x:c r="H50" s="8" t="n">
        <x:v>1</x:v>
      </x:c>
      <x:c r="I50" s="8" t="n">
        <x:v>1242592</x:v>
      </x:c>
      <x:c r="J50" s="9" t="n">
        <x:v>1242592</x:v>
      </x:c>
      <x:c r="K50" s="2" t="n">
        <x:v>8</x:v>
      </x:c>
      <x:c r="L50" s="9" t="n">
        <x:v>99408</x:v>
      </x:c>
      <x:c r="M50" s="9" t="n">
        <x:f>J50+L50</x:f>
        <x:v>1342000</x:v>
      </x:c>
      <x:c r="N50" s="2" t="str">
        <x:v>Khách hàng Tiktok</x:v>
      </x:c>
      <x:c r="O50" s="2" t="str">
        <x:v>Có BHH gốc</x:v>
      </x:c>
      <x:c r="P50" s="2" t="str">
        <x:v>Khớp sổ AMIS 2024</x:v>
      </x:c>
      <x:c r="Q50" s="2" t="str">
        <x:v>9611</x:v>
      </x:c>
    </x:row>
    <x:row r="51" ht="42" customHeight="1">
      <x:c r="A51" s="7" t="str">
        <x:v>BTL00050</x:v>
      </x:c>
      <x:c r="B51" s="6" t="d">
        <x:v>2024-04-20T00:00:00.000Z</x:v>
      </x:c>
      <x:c r="C51" s="7" t="str">
        <x:v>BHHT2024004718</x:v>
      </x:c>
      <x:c r="D51" s="2" t="n">
        <x:v>2</x:v>
      </x:c>
      <x:c r="E51" s="7" t="str">
        <x:v>KA350FILTERFULL</x:v>
      </x:c>
      <x:c r="F51" s="10" t="str">
        <x:v>Lõi lọc diệt khuẩn Filter KA350 - model: FT KA350</x:v>
      </x:c>
      <x:c r="G51" s="2" t="str">
        <x:v>Cái</x:v>
      </x:c>
      <x:c r="H51" s="8" t="n">
        <x:v>1</x:v>
      </x:c>
      <x:c r="I51" s="8" t="n">
        <x:v>427778</x:v>
      </x:c>
      <x:c r="J51" s="9" t="n">
        <x:v>427778</x:v>
      </x:c>
      <x:c r="K51" s="2" t="n">
        <x:v>8</x:v>
      </x:c>
      <x:c r="L51" s="9" t="n">
        <x:v>34222</x:v>
      </x:c>
      <x:c r="M51" s="9" t="n">
        <x:f>J51+L51</x:f>
        <x:v>462000</x:v>
      </x:c>
      <x:c r="N51" s="2" t="str">
        <x:v>Khách hàng Tiktok</x:v>
      </x:c>
      <x:c r="O51" s="2" t="str">
        <x:v>Có BHH gốc</x:v>
      </x:c>
      <x:c r="P51" s="2" t="str">
        <x:v>Khớp sổ AMIS 2024</x:v>
      </x:c>
      <x:c r="Q51" s="2" t="str">
        <x:v>9612</x:v>
      </x:c>
    </x:row>
    <x:row r="52" ht="42" customHeight="1">
      <x:c r="A52" s="7" t="str">
        <x:v>BTL00051</x:v>
      </x:c>
      <x:c r="B52" s="6" t="d">
        <x:v>2024-04-22T00:00:00.000Z</x:v>
      </x:c>
      <x:c r="C52" s="7" t="str">
        <x:v>BHHT2024003595</x:v>
      </x:c>
      <x:c r="D52" s="2" t="n">
        <x:v>1</x:v>
      </x:c>
      <x:c r="E52" s="7" t="str">
        <x:v>KA150SFULL</x:v>
      </x:c>
      <x:c r="F52" s="10" t="str">
        <x:v>Máy lọc không khí diệt khuẩn bằng tia UVC - True UVC Air Purifiers - KA150S</x:v>
      </x:c>
      <x:c r="G52" s="2" t="str">
        <x:v>Cái</x:v>
      </x:c>
      <x:c r="H52" s="8" t="n">
        <x:v>1</x:v>
      </x:c>
      <x:c r="I52" s="8" t="n">
        <x:v>786111</x:v>
      </x:c>
      <x:c r="J52" s="9" t="n">
        <x:v>786111</x:v>
      </x:c>
      <x:c r="K52" s="2" t="n">
        <x:v>8</x:v>
      </x:c>
      <x:c r="L52" s="9" t="n">
        <x:v>62889</x:v>
      </x:c>
      <x:c r="M52" s="9" t="n">
        <x:f>J52+L52</x:f>
        <x:v>849000</x:v>
      </x:c>
      <x:c r="N52" s="2" t="str">
        <x:v>Khách hàng Tiktok</x:v>
      </x:c>
      <x:c r="O52" s="2" t="str">
        <x:v>Có BHH gốc</x:v>
      </x:c>
      <x:c r="P52" s="2" t="str">
        <x:v>Khớp sổ AMIS 2024</x:v>
      </x:c>
      <x:c r="Q52" s="2" t="str">
        <x:v>9747</x:v>
      </x:c>
    </x:row>
    <x:row r="53" ht="42" customHeight="1">
      <x:c r="A53" s="7" t="str">
        <x:v>BTL00175</x:v>
      </x:c>
      <x:c r="B53" s="6" t="d">
        <x:v>2024-04-22T00:00:00.000Z</x:v>
      </x:c>
      <x:c r="C53" s="7" t="str">
        <x:v>BHHT2024003623</x:v>
      </x:c>
      <x:c r="D53" s="2" t="n">
        <x:v>1</x:v>
      </x:c>
      <x:c r="E53" s="7" t="str">
        <x:v>KA350LIGHTFULL</x:v>
      </x:c>
      <x:c r="F53" s="10" t="str">
        <x:v>Máy lọc không khí diệt khuẩn bằng tia UVC (True UVC Air Purifier - KA350) model KA350</x:v>
      </x:c>
      <x:c r="G53" s="2" t="str">
        <x:v>Cái</x:v>
      </x:c>
      <x:c r="H53" s="8" t="n">
        <x:v>1</x:v>
      </x:c>
      <x:c r="I53" s="8" t="n">
        <x:v>1308028</x:v>
      </x:c>
      <x:c r="J53" s="9" t="n">
        <x:v>1308028</x:v>
      </x:c>
      <x:c r="K53" s="2" t="n">
        <x:v>8</x:v>
      </x:c>
      <x:c r="L53" s="9" t="n">
        <x:v>104642</x:v>
      </x:c>
      <x:c r="M53" s="9" t="n">
        <x:f>J53+L53</x:f>
        <x:v>1412670</x:v>
      </x:c>
      <x:c r="N53" s="2" t="str">
        <x:v>Khách hàng Tiktok</x:v>
      </x:c>
      <x:c r="O53" s="2" t="str">
        <x:v>Có BHH gốc</x:v>
      </x:c>
      <x:c r="P53" s="2" t="str">
        <x:v>Khớp sổ AMIS 2024</x:v>
      </x:c>
      <x:c r="Q53" s="2" t="str">
        <x:v>9748</x:v>
      </x:c>
    </x:row>
    <x:row r="54" ht="42" customHeight="1">
      <x:c r="A54" s="7" t="str">
        <x:v>BTL00175</x:v>
      </x:c>
      <x:c r="B54" s="6" t="d">
        <x:v>2024-04-22T00:00:00.000Z</x:v>
      </x:c>
      <x:c r="C54" s="7" t="str">
        <x:v>BHHT2024003623</x:v>
      </x:c>
      <x:c r="D54" s="2" t="n">
        <x:v>2</x:v>
      </x:c>
      <x:c r="E54" s="7" t="str">
        <x:v>KA350FILTERFULL</x:v>
      </x:c>
      <x:c r="F54" s="10" t="str">
        <x:v>Lõi lọc diệt khuẩn Filter KA350 - model: FT KA350</x:v>
      </x:c>
      <x:c r="G54" s="2" t="str">
        <x:v>Cái</x:v>
      </x:c>
      <x:c r="H54" s="8" t="n">
        <x:v>1</x:v>
      </x:c>
      <x:c r="I54" s="8" t="n">
        <x:v>450305</x:v>
      </x:c>
      <x:c r="J54" s="9" t="n">
        <x:v>450305</x:v>
      </x:c>
      <x:c r="K54" s="2" t="n">
        <x:v>8</x:v>
      </x:c>
      <x:c r="L54" s="9" t="n">
        <x:v>36025</x:v>
      </x:c>
      <x:c r="M54" s="9" t="n">
        <x:f>J54+L54</x:f>
        <x:v>486330</x:v>
      </x:c>
      <x:c r="N54" s="2" t="str">
        <x:v>Khách hàng Tiktok</x:v>
      </x:c>
      <x:c r="O54" s="2" t="str">
        <x:v>Có BHH gốc</x:v>
      </x:c>
      <x:c r="P54" s="2" t="str">
        <x:v>Khớp sổ AMIS 2024</x:v>
      </x:c>
      <x:c r="Q54" s="2" t="str">
        <x:v>9749</x:v>
      </x:c>
    </x:row>
    <x:row r="55" ht="42" customHeight="1">
      <x:c r="A55" s="7" t="str">
        <x:v>BTL00176</x:v>
      </x:c>
      <x:c r="B55" s="6" t="d">
        <x:v>2024-04-22T00:00:00.000Z</x:v>
      </x:c>
      <x:c r="C55" s="7" t="str">
        <x:v>BHHT2024003622</x:v>
      </x:c>
      <x:c r="D55" s="2" t="n">
        <x:v>1</x:v>
      </x:c>
      <x:c r="E55" s="7" t="str">
        <x:v>KA350LIGHTFULL</x:v>
      </x:c>
      <x:c r="F55" s="10" t="str">
        <x:v>Máy lọc không khí diệt khuẩn bằng tia UVC (True UVC Air Purifier - KA350) model KA350</x:v>
      </x:c>
      <x:c r="G55" s="2" t="str">
        <x:v>Cái</x:v>
      </x:c>
      <x:c r="H55" s="8" t="n">
        <x:v>1</x:v>
      </x:c>
      <x:c r="I55" s="8" t="n">
        <x:v>1445789</x:v>
      </x:c>
      <x:c r="J55" s="9" t="n">
        <x:v>1445789</x:v>
      </x:c>
      <x:c r="K55" s="2" t="n">
        <x:v>8</x:v>
      </x:c>
      <x:c r="L55" s="9" t="n">
        <x:v>115662</x:v>
      </x:c>
      <x:c r="M55" s="9" t="n">
        <x:f>J55+L55</x:f>
        <x:v>1561451</x:v>
      </x:c>
      <x:c r="N55" s="2" t="str">
        <x:v>Khách hàng Tiktok</x:v>
      </x:c>
      <x:c r="O55" s="2" t="str">
        <x:v>Có BHH gốc</x:v>
      </x:c>
      <x:c r="P55" s="2" t="str">
        <x:v>Khớp sổ AMIS 2024</x:v>
      </x:c>
      <x:c r="Q55" s="2" t="str">
        <x:v>9750</x:v>
      </x:c>
    </x:row>
    <x:row r="56" ht="42" customHeight="1">
      <x:c r="A56" s="7" t="str">
        <x:v>BTL00176</x:v>
      </x:c>
      <x:c r="B56" s="6" t="d">
        <x:v>2024-04-22T00:00:00.000Z</x:v>
      </x:c>
      <x:c r="C56" s="7" t="str">
        <x:v>BHHT2024003622</x:v>
      </x:c>
      <x:c r="D56" s="2" t="n">
        <x:v>2</x:v>
      </x:c>
      <x:c r="E56" s="7" t="str">
        <x:v>KA350FILTERFULL</x:v>
      </x:c>
      <x:c r="F56" s="10" t="str">
        <x:v>Lõi lọc diệt khuẩn Filter KA350 - model: FT KA350</x:v>
      </x:c>
      <x:c r="G56" s="2" t="str">
        <x:v>Cái</x:v>
      </x:c>
      <x:c r="H56" s="8" t="n">
        <x:v>1</x:v>
      </x:c>
      <x:c r="I56" s="8" t="n">
        <x:v>497730</x:v>
      </x:c>
      <x:c r="J56" s="9" t="n">
        <x:v>497730</x:v>
      </x:c>
      <x:c r="K56" s="2" t="n">
        <x:v>8</x:v>
      </x:c>
      <x:c r="L56" s="9" t="n">
        <x:v>39819</x:v>
      </x:c>
      <x:c r="M56" s="9" t="n">
        <x:f>J56+L56</x:f>
        <x:v>537549</x:v>
      </x:c>
      <x:c r="N56" s="2" t="str">
        <x:v>Khách hàng Tiktok</x:v>
      </x:c>
      <x:c r="O56" s="2" t="str">
        <x:v>Có BHH gốc</x:v>
      </x:c>
      <x:c r="P56" s="2" t="str">
        <x:v>Khớp sổ AMIS 2024</x:v>
      </x:c>
      <x:c r="Q56" s="2" t="str">
        <x:v>9751</x:v>
      </x:c>
    </x:row>
    <x:row r="57" ht="42" customHeight="1">
      <x:c r="A57" s="7" t="str">
        <x:v>BTL00052</x:v>
      </x:c>
      <x:c r="B57" s="6" t="d">
        <x:v>2024-05-02T00:00:00.000Z</x:v>
      </x:c>
      <x:c r="C57" s="7" t="str">
        <x:v>BHHT2024003432</x:v>
      </x:c>
      <x:c r="D57" s="2" t="n">
        <x:v>1</x:v>
      </x:c>
      <x:c r="E57" s="7" t="str">
        <x:v>KA350FILTERFULL</x:v>
      </x:c>
      <x:c r="F57" s="10" t="str">
        <x:v>Lõi lọc diệt khuẩn Filter KA350 - model: FT KA350</x:v>
      </x:c>
      <x:c r="G57" s="2" t="str">
        <x:v>Cái</x:v>
      </x:c>
      <x:c r="H57" s="8" t="n">
        <x:v>1</x:v>
      </x:c>
      <x:c r="I57" s="8" t="n">
        <x:v>501063</x:v>
      </x:c>
      <x:c r="J57" s="9" t="n">
        <x:v>501063</x:v>
      </x:c>
      <x:c r="K57" s="2" t="n">
        <x:v>8</x:v>
      </x:c>
      <x:c r="L57" s="9" t="n">
        <x:v>40085</x:v>
      </x:c>
      <x:c r="M57" s="9" t="n">
        <x:f>J57+L57</x:f>
        <x:v>541148</x:v>
      </x:c>
      <x:c r="N57" s="2" t="str">
        <x:v>Khách hàng Tiktok</x:v>
      </x:c>
      <x:c r="O57" s="2" t="str">
        <x:v>Có BHH gốc</x:v>
      </x:c>
      <x:c r="P57" s="2" t="str">
        <x:v>Khớp sổ AMIS 2024</x:v>
      </x:c>
      <x:c r="Q57" s="2" t="str">
        <x:v>10495</x:v>
      </x:c>
    </x:row>
    <x:row r="58" ht="42" customHeight="1">
      <x:c r="A58" s="7" t="str">
        <x:v>BTL00053</x:v>
      </x:c>
      <x:c r="B58" s="6" t="d">
        <x:v>2024-05-02T00:00:00.000Z</x:v>
      </x:c>
      <x:c r="C58" s="7" t="str">
        <x:v>BHHT2024003162</x:v>
      </x:c>
      <x:c r="D58" s="2" t="n">
        <x:v>1</x:v>
      </x:c>
      <x:c r="E58" s="7" t="str">
        <x:v>KA350LIGHTFULL</x:v>
      </x:c>
      <x:c r="F58" s="10" t="str">
        <x:v>Máy lọc không khí diệt khuẩn bằng tia UVC (True UVC Air Purifier - KA350) model KA350</x:v>
      </x:c>
      <x:c r="G58" s="2" t="str">
        <x:v>Cái</x:v>
      </x:c>
      <x:c r="H58" s="8" t="n">
        <x:v>1</x:v>
      </x:c>
      <x:c r="I58" s="8" t="n">
        <x:v>1712037</x:v>
      </x:c>
      <x:c r="J58" s="9" t="n">
        <x:v>1712037</x:v>
      </x:c>
      <x:c r="K58" s="2" t="n">
        <x:v>8</x:v>
      </x:c>
      <x:c r="L58" s="9" t="n">
        <x:v>136963</x:v>
      </x:c>
      <x:c r="M58" s="9" t="n">
        <x:f>J58+L58</x:f>
        <x:v>1849000</x:v>
      </x:c>
      <x:c r="N58" s="2" t="str">
        <x:v>Khách hàng Tiktok</x:v>
      </x:c>
      <x:c r="O58" s="2" t="str">
        <x:v>Có BHH gốc</x:v>
      </x:c>
      <x:c r="P58" s="2" t="str">
        <x:v>Khớp sổ AMIS 2024</x:v>
      </x:c>
      <x:c r="Q58" s="2" t="str">
        <x:v>10496</x:v>
      </x:c>
    </x:row>
    <x:row r="59" ht="42" customHeight="1">
      <x:c r="A59" s="7" t="str">
        <x:v>BTL00054</x:v>
      </x:c>
      <x:c r="B59" s="6" t="d">
        <x:v>2024-05-06T00:00:00.000Z</x:v>
      </x:c>
      <x:c r="C59" s="7" t="str">
        <x:v>BHHT2024004376</x:v>
      </x:c>
      <x:c r="D59" s="2" t="n">
        <x:v>1</x:v>
      </x:c>
      <x:c r="E59" s="7" t="str">
        <x:v>KA150SFULL</x:v>
      </x:c>
      <x:c r="F59" s="10" t="str">
        <x:v>Máy lọc không khí diệt khuẩn bằng tia UVC - True UVC Air Purifiers - KA150S</x:v>
      </x:c>
      <x:c r="G59" s="2" t="str">
        <x:v>Cái</x:v>
      </x:c>
      <x:c r="H59" s="8" t="n">
        <x:v>1</x:v>
      </x:c>
      <x:c r="I59" s="8" t="n">
        <x:v>869444</x:v>
      </x:c>
      <x:c r="J59" s="9" t="n">
        <x:v>869444</x:v>
      </x:c>
      <x:c r="K59" s="2" t="n">
        <x:v>8</x:v>
      </x:c>
      <x:c r="L59" s="9" t="n">
        <x:v>69556</x:v>
      </x:c>
      <x:c r="M59" s="9" t="n">
        <x:f>J59+L59</x:f>
        <x:v>939000</x:v>
      </x:c>
      <x:c r="N59" s="2" t="str">
        <x:v>Khách hàng Tiktok</x:v>
      </x:c>
      <x:c r="O59" s="2" t="str">
        <x:v>Có BHH gốc</x:v>
      </x:c>
      <x:c r="P59" s="2" t="str">
        <x:v>Khớp sổ AMIS 2024</x:v>
      </x:c>
      <x:c r="Q59" s="2" t="str">
        <x:v>11090</x:v>
      </x:c>
    </x:row>
    <x:row r="60" ht="42" customHeight="1">
      <x:c r="A60" s="7" t="str">
        <x:v>BTL00055</x:v>
      </x:c>
      <x:c r="B60" s="6" t="d">
        <x:v>2024-05-14T00:00:00.000Z</x:v>
      </x:c>
      <x:c r="C60" s="7" t="str">
        <x:v>BHHT2024007142</x:v>
      </x:c>
      <x:c r="D60" s="2" t="n">
        <x:v>1</x:v>
      </x:c>
      <x:c r="E60" s="7" t="str">
        <x:v>KA600FULL</x:v>
      </x:c>
      <x:c r="F60" s="10" t="str">
        <x:v>Máy lọc không khí diệt khuẩn bằng tia UVC - True UVC Air Purifier . Model: KA600</x:v>
      </x:c>
      <x:c r="G60" s="2" t="str">
        <x:v>Cái</x:v>
      </x:c>
      <x:c r="H60" s="8" t="n">
        <x:v>1</x:v>
      </x:c>
      <x:c r="I60" s="8" t="n">
        <x:v>2793056</x:v>
      </x:c>
      <x:c r="J60" s="9" t="n">
        <x:v>2793056</x:v>
      </x:c>
      <x:c r="K60" s="2" t="n">
        <x:v>8</x:v>
      </x:c>
      <x:c r="L60" s="9" t="n">
        <x:v>223444</x:v>
      </x:c>
      <x:c r="M60" s="9" t="n">
        <x:f>J60+L60</x:f>
        <x:v>3016500</x:v>
      </x:c>
      <x:c r="N60" s="2" t="str">
        <x:v>Khách hàng Tiktok</x:v>
      </x:c>
      <x:c r="O60" s="2" t="str">
        <x:v>Có BHH gốc</x:v>
      </x:c>
      <x:c r="P60" s="2" t="str">
        <x:v>Khớp sổ AMIS 2024</x:v>
      </x:c>
      <x:c r="Q60" s="2" t="str">
        <x:v>12435</x:v>
      </x:c>
    </x:row>
    <x:row r="61" ht="42" customHeight="1">
      <x:c r="A61" s="7" t="str">
        <x:v>BTL00056</x:v>
      </x:c>
      <x:c r="B61" s="6" t="d">
        <x:v>2024-05-18T00:00:00.000Z</x:v>
      </x:c>
      <x:c r="C61" s="7" t="str">
        <x:v>BHHT2024001010</x:v>
      </x:c>
      <x:c r="D61" s="2" t="n">
        <x:v>1</x:v>
      </x:c>
      <x:c r="E61" s="7" t="str">
        <x:v>KA350LIGHTFULL</x:v>
      </x:c>
      <x:c r="F61" s="10" t="str">
        <x:v>Máy lọc không khí diệt khuẩn bằng tia UVC (True UVC Air Purifier - KA350) model KA350</x:v>
      </x:c>
      <x:c r="G61" s="2" t="str">
        <x:v>Cái</x:v>
      </x:c>
      <x:c r="H61" s="8" t="n">
        <x:v>1</x:v>
      </x:c>
      <x:c r="I61" s="8" t="n">
        <x:v>1857407</x:v>
      </x:c>
      <x:c r="J61" s="9" t="n">
        <x:v>1857407</x:v>
      </x:c>
      <x:c r="K61" s="2" t="n">
        <x:v>8</x:v>
      </x:c>
      <x:c r="L61" s="9" t="n">
        <x:v>148593</x:v>
      </x:c>
      <x:c r="M61" s="9" t="n">
        <x:f>J61+L61</x:f>
        <x:v>2006000</x:v>
      </x:c>
      <x:c r="N61" s="2" t="str">
        <x:v>Khách hàng Tiktok</x:v>
      </x:c>
      <x:c r="O61" s="2" t="str">
        <x:v>Có BHH gốc</x:v>
      </x:c>
      <x:c r="P61" s="2" t="str">
        <x:v>Khớp sổ AMIS 2024</x:v>
      </x:c>
      <x:c r="Q61" s="2" t="str">
        <x:v>12752</x:v>
      </x:c>
    </x:row>
    <x:row r="62" ht="42" customHeight="1">
      <x:c r="A62" s="7" t="str">
        <x:v>BTL00057</x:v>
      </x:c>
      <x:c r="B62" s="6" t="d">
        <x:v>2024-05-21T00:00:00.000Z</x:v>
      </x:c>
      <x:c r="C62" s="7" t="str">
        <x:v>BHHT2024006046</x:v>
      </x:c>
      <x:c r="D62" s="2" t="n">
        <x:v>1</x:v>
      </x:c>
      <x:c r="E62" s="7" t="str">
        <x:v>KA150SFILTERFULL</x:v>
      </x:c>
      <x:c r="F62" s="10" t="str">
        <x:v>Lõi lọc diệt khuẩn (Filter-FT-KA150S), model: FT-KA150S</x:v>
      </x:c>
      <x:c r="G62" s="2" t="str">
        <x:v>Cái</x:v>
      </x:c>
      <x:c r="H62" s="8" t="n">
        <x:v>1</x:v>
      </x:c>
      <x:c r="I62" s="8" t="n">
        <x:v>462963</x:v>
      </x:c>
      <x:c r="J62" s="9" t="n">
        <x:v>462963</x:v>
      </x:c>
      <x:c r="K62" s="2" t="n">
        <x:v>8</x:v>
      </x:c>
      <x:c r="L62" s="9" t="n">
        <x:v>37037</x:v>
      </x:c>
      <x:c r="M62" s="9" t="n">
        <x:f>J62+L62</x:f>
        <x:v>500000</x:v>
      </x:c>
      <x:c r="N62" s="2" t="str">
        <x:v>Khách hàng Tiktok</x:v>
      </x:c>
      <x:c r="O62" s="2" t="str">
        <x:v>Có BHH gốc</x:v>
      </x:c>
      <x:c r="P62" s="2" t="str">
        <x:v>Khớp sổ AMIS 2024</x:v>
      </x:c>
      <x:c r="Q62" s="2" t="str">
        <x:v>12865</x:v>
      </x:c>
    </x:row>
    <x:row r="63" ht="42" customHeight="1">
      <x:c r="A63" s="7" t="str">
        <x:v>BTL00058</x:v>
      </x:c>
      <x:c r="B63" s="6" t="d">
        <x:v>2024-05-21T00:00:00.000Z</x:v>
      </x:c>
      <x:c r="C63" s="7" t="str">
        <x:v>BHHT2024006130</x:v>
      </x:c>
      <x:c r="D63" s="2" t="n">
        <x:v>1</x:v>
      </x:c>
      <x:c r="E63" s="7" t="str">
        <x:v>KA350LIGHTFULL</x:v>
      </x:c>
      <x:c r="F63" s="10" t="str">
        <x:v>Máy lọc không khí diệt khuẩn bằng tia UVC (True UVC Air Purifier - KA350) model KA350</x:v>
      </x:c>
      <x:c r="G63" s="2" t="str">
        <x:v>Cái</x:v>
      </x:c>
      <x:c r="H63" s="8" t="n">
        <x:v>1</x:v>
      </x:c>
      <x:c r="I63" s="8" t="n">
        <x:v>1795370</x:v>
      </x:c>
      <x:c r="J63" s="9" t="n">
        <x:v>1795370</x:v>
      </x:c>
      <x:c r="K63" s="2" t="n">
        <x:v>8</x:v>
      </x:c>
      <x:c r="L63" s="9" t="n">
        <x:v>143630</x:v>
      </x:c>
      <x:c r="M63" s="9" t="n">
        <x:f>J63+L63</x:f>
        <x:v>1939000</x:v>
      </x:c>
      <x:c r="N63" s="2" t="str">
        <x:v>Khách hàng Tiktok</x:v>
      </x:c>
      <x:c r="O63" s="2" t="str">
        <x:v>Có BHH gốc</x:v>
      </x:c>
      <x:c r="P63" s="2" t="str">
        <x:v>Khớp sổ AMIS 2024</x:v>
      </x:c>
      <x:c r="Q63" s="2" t="str">
        <x:v>12866</x:v>
      </x:c>
    </x:row>
    <x:row r="64" ht="42" customHeight="1">
      <x:c r="A64" s="7" t="str">
        <x:v>BTL00059</x:v>
      </x:c>
      <x:c r="B64" s="6" t="d">
        <x:v>2024-06-04T00:00:00.000Z</x:v>
      </x:c>
      <x:c r="C64" s="7" t="str">
        <x:v>BHHT2024005700</x:v>
      </x:c>
      <x:c r="D64" s="2" t="n">
        <x:v>1</x:v>
      </x:c>
      <x:c r="E64" s="7" t="str">
        <x:v>KM300FULL</x:v>
      </x:c>
      <x:c r="F64" s="10" t="str">
        <x:v>Đèn bắt muỗi, ruồi và các loại côn trùng UVA Electronical Mosquito Killer, Model: KM300</x:v>
      </x:c>
      <x:c r="G64" s="2" t="str">
        <x:v>Cái</x:v>
      </x:c>
      <x:c r="H64" s="8" t="n">
        <x:v>1</x:v>
      </x:c>
      <x:c r="I64" s="8" t="n">
        <x:v>462037</x:v>
      </x:c>
      <x:c r="J64" s="9" t="n">
        <x:v>462037</x:v>
      </x:c>
      <x:c r="K64" s="2" t="n">
        <x:v>8</x:v>
      </x:c>
      <x:c r="L64" s="9" t="n">
        <x:v>36963</x:v>
      </x:c>
      <x:c r="M64" s="9" t="n">
        <x:f>J64+L64</x:f>
        <x:v>499000</x:v>
      </x:c>
      <x:c r="N64" s="2" t="str">
        <x:v>Khách hàng Tiktok</x:v>
      </x:c>
      <x:c r="O64" s="2" t="str">
        <x:v>Có BHH gốc</x:v>
      </x:c>
      <x:c r="P64" s="2" t="str">
        <x:v>Khớp sổ AMIS 2024</x:v>
      </x:c>
      <x:c r="Q64" s="2" t="str">
        <x:v>13968</x:v>
      </x:c>
    </x:row>
    <x:row r="65" ht="42" customHeight="1">
      <x:c r="A65" s="7" t="str">
        <x:v>BTL00060</x:v>
      </x:c>
      <x:c r="B65" s="6" t="d">
        <x:v>2024-06-05T00:00:00.000Z</x:v>
      </x:c>
      <x:c r="C65" s="7" t="str">
        <x:v>BHHT2024005898</x:v>
      </x:c>
      <x:c r="D65" s="2" t="n">
        <x:v>1</x:v>
      </x:c>
      <x:c r="E65" s="7" t="str">
        <x:v>KM100FULL</x:v>
      </x:c>
      <x:c r="F65" s="10" t="str">
        <x:v>Đèn bắt muỗi, ruồi và các loại côn trùng KM100</x:v>
      </x:c>
      <x:c r="G65" s="2" t="str">
        <x:v>Cái</x:v>
      </x:c>
      <x:c r="H65" s="8" t="n">
        <x:v>1</x:v>
      </x:c>
      <x:c r="I65" s="8" t="n">
        <x:v>184259</x:v>
      </x:c>
      <x:c r="J65" s="9" t="n">
        <x:v>184259</x:v>
      </x:c>
      <x:c r="K65" s="2" t="n">
        <x:v>8</x:v>
      </x:c>
      <x:c r="L65" s="9" t="n">
        <x:v>14741</x:v>
      </x:c>
      <x:c r="M65" s="9" t="n">
        <x:f>J65+L65</x:f>
        <x:v>199000</x:v>
      </x:c>
      <x:c r="N65" s="2" t="str">
        <x:v>Khách hàng Tiktok</x:v>
      </x:c>
      <x:c r="O65" s="2" t="str">
        <x:v>Có BHH gốc</x:v>
      </x:c>
      <x:c r="P65" s="2" t="str">
        <x:v>Khớp sổ AMIS 2024</x:v>
      </x:c>
      <x:c r="Q65" s="2" t="str">
        <x:v>14222</x:v>
      </x:c>
    </x:row>
    <x:row r="66" ht="42" customHeight="1">
      <x:c r="A66" s="7" t="str">
        <x:v>BTL00061</x:v>
      </x:c>
      <x:c r="B66" s="6" t="d">
        <x:v>2024-06-05T00:00:00.000Z</x:v>
      </x:c>
      <x:c r="C66" s="7" t="str">
        <x:v>BHHT2024006012</x:v>
      </x:c>
      <x:c r="D66" s="2" t="n">
        <x:v>1</x:v>
      </x:c>
      <x:c r="E66" s="7" t="str">
        <x:v>KA150SFULL</x:v>
      </x:c>
      <x:c r="F66" s="10" t="str">
        <x:v>Máy lọc không khí diệt khuẩn bằng tia UVC - True UVC Air Purifiers - KA150S</x:v>
      </x:c>
      <x:c r="G66" s="2" t="str">
        <x:v>Cái</x:v>
      </x:c>
      <x:c r="H66" s="8" t="n">
        <x:v>1</x:v>
      </x:c>
      <x:c r="I66" s="8" t="n">
        <x:v>1054630</x:v>
      </x:c>
      <x:c r="J66" s="9" t="n">
        <x:v>1054630</x:v>
      </x:c>
      <x:c r="K66" s="2" t="n">
        <x:v>8</x:v>
      </x:c>
      <x:c r="L66" s="9" t="n">
        <x:v>84370</x:v>
      </x:c>
      <x:c r="M66" s="9" t="n">
        <x:f>J66+L66</x:f>
        <x:v>1139000</x:v>
      </x:c>
      <x:c r="N66" s="2" t="str">
        <x:v>Khách hàng Tiktok</x:v>
      </x:c>
      <x:c r="O66" s="2" t="str">
        <x:v>Có BHH gốc</x:v>
      </x:c>
      <x:c r="P66" s="2" t="str">
        <x:v>Khớp sổ AMIS 2024</x:v>
      </x:c>
      <x:c r="Q66" s="2" t="str">
        <x:v>14223</x:v>
      </x:c>
    </x:row>
    <x:row r="67" ht="42" customHeight="1">
      <x:c r="A67" s="7" t="str">
        <x:v>BTL00062</x:v>
      </x:c>
      <x:c r="B67" s="6" t="d">
        <x:v>2024-06-06T00:00:00.000Z</x:v>
      </x:c>
      <x:c r="C67" s="7" t="str">
        <x:v>BHHT2024009243</x:v>
      </x:c>
      <x:c r="D67" s="2" t="n">
        <x:v>1</x:v>
      </x:c>
      <x:c r="E67" s="7" t="str">
        <x:v>KA350LIGHTFULL</x:v>
      </x:c>
      <x:c r="F67" s="10" t="str">
        <x:v>Máy lọc không khí diệt khuẩn bằng tia UVC (True UVC Air Purifier - KA350) model KA350</x:v>
      </x:c>
      <x:c r="G67" s="2" t="str">
        <x:v>Cái</x:v>
      </x:c>
      <x:c r="H67" s="8" t="n">
        <x:v>1</x:v>
      </x:c>
      <x:c r="I67" s="8" t="n">
        <x:v>1795370</x:v>
      </x:c>
      <x:c r="J67" s="9" t="n">
        <x:v>1795370</x:v>
      </x:c>
      <x:c r="K67" s="2" t="n">
        <x:v>8</x:v>
      </x:c>
      <x:c r="L67" s="9" t="n">
        <x:v>143630</x:v>
      </x:c>
      <x:c r="M67" s="9" t="n">
        <x:f>J67+L67</x:f>
        <x:v>1939000</x:v>
      </x:c>
      <x:c r="N67" s="2" t="str">
        <x:v>Khách hàng Tiktok</x:v>
      </x:c>
      <x:c r="O67" s="2" t="str">
        <x:v>Có BHH gốc</x:v>
      </x:c>
      <x:c r="P67" s="2" t="str">
        <x:v>Khớp sổ AMIS 2024</x:v>
      </x:c>
      <x:c r="Q67" s="2" t="str">
        <x:v>14540</x:v>
      </x:c>
    </x:row>
    <x:row r="68" ht="42" customHeight="1">
      <x:c r="A68" s="7" t="str">
        <x:v>BTL00063</x:v>
      </x:c>
      <x:c r="B68" s="6" t="d">
        <x:v>2024-06-08T00:00:00.000Z</x:v>
      </x:c>
      <x:c r="C68" s="7" t="str">
        <x:v>BHHT2024005852</x:v>
      </x:c>
      <x:c r="D68" s="2" t="n">
        <x:v>1</x:v>
      </x:c>
      <x:c r="E68" s="7" t="str">
        <x:v>KM300FULL</x:v>
      </x:c>
      <x:c r="F68" s="10" t="str">
        <x:v>Đèn bắt muỗi, ruồi và các loại côn trùng UVA Electronical Mosquito Killer, Model: KM300</x:v>
      </x:c>
      <x:c r="G68" s="2" t="str">
        <x:v>Cái</x:v>
      </x:c>
      <x:c r="H68" s="8" t="n">
        <x:v>1</x:v>
      </x:c>
      <x:c r="I68" s="8" t="n">
        <x:v>369444</x:v>
      </x:c>
      <x:c r="J68" s="9" t="n">
        <x:v>369444</x:v>
      </x:c>
      <x:c r="K68" s="2" t="n">
        <x:v>8</x:v>
      </x:c>
      <x:c r="L68" s="9" t="n">
        <x:v>29556</x:v>
      </x:c>
      <x:c r="M68" s="9" t="n">
        <x:f>J68+L68</x:f>
        <x:v>399000</x:v>
      </x:c>
      <x:c r="N68" s="2" t="str">
        <x:v>Khách hàng Tiktok</x:v>
      </x:c>
      <x:c r="O68" s="2" t="str">
        <x:v>Có BHH gốc</x:v>
      </x:c>
      <x:c r="P68" s="2" t="str">
        <x:v>Khớp sổ AMIS 2024</x:v>
      </x:c>
      <x:c r="Q68" s="2" t="str">
        <x:v>15308</x:v>
      </x:c>
    </x:row>
    <x:row r="69" ht="42" customHeight="1">
      <x:c r="A69" s="7" t="str">
        <x:v>BTL00169</x:v>
      </x:c>
      <x:c r="B69" s="6" t="d">
        <x:v>2024-06-08T00:00:00.000Z</x:v>
      </x:c>
      <x:c r="C69" s="7" t="str">
        <x:v>BHHS2024002364</x:v>
      </x:c>
      <x:c r="D69" s="2" t="n">
        <x:v>1</x:v>
      </x:c>
      <x:c r="E69" s="7" t="str">
        <x:v>KA100UVC70</x:v>
      </x:c>
      <x:c r="F69" s="10" t="str">
        <x:v>Máy Lọc Không Khí Ô Tô, Khử Mùi, Diệt Khuẩn UVC LED UVGREEN KA100</x:v>
      </x:c>
      <x:c r="G69" s="2" t="str">
        <x:v>Bộ</x:v>
      </x:c>
      <x:c r="H69" s="8" t="n">
        <x:v>1</x:v>
      </x:c>
      <x:c r="I69" s="8" t="n">
        <x:v>979284</x:v>
      </x:c>
      <x:c r="J69" s="9" t="n">
        <x:v>979284</x:v>
      </x:c>
      <x:c r="K69" s="2" t="n">
        <x:v>8</x:v>
      </x:c>
      <x:c r="L69" s="9" t="n">
        <x:v>78343</x:v>
      </x:c>
      <x:c r="M69" s="9" t="n">
        <x:f>J69+L69</x:f>
        <x:v>1057627</x:v>
      </x:c>
      <x:c r="N69" s="2" t="str">
        <x:v>Khách hàng Shoppe</x:v>
      </x:c>
      <x:c r="O69" s="2" t="str">
        <x:v>Có BHH gốc</x:v>
      </x:c>
      <x:c r="P69" s="2" t="str">
        <x:v>Khớp sổ AMIS 2024</x:v>
      </x:c>
      <x:c r="Q69" s="2" t="str">
        <x:v>15309</x:v>
      </x:c>
    </x:row>
    <x:row r="70" ht="42" customHeight="1">
      <x:c r="A70" s="7" t="str">
        <x:v>BTL00169</x:v>
      </x:c>
      <x:c r="B70" s="6" t="d">
        <x:v>2024-06-08T00:00:00.000Z</x:v>
      </x:c>
      <x:c r="C70" s="7" t="str">
        <x:v>BHHS2024002364</x:v>
      </x:c>
      <x:c r="D70" s="2" t="n">
        <x:v>2</x:v>
      </x:c>
      <x:c r="E70" s="7" t="str">
        <x:v>COKACN01CBFL</x:v>
      </x:c>
      <x:c r="F70" s="10" t="str">
        <x:v>Màng lọc carbon</x:v>
      </x:c>
      <x:c r="G70" s="2" t="str">
        <x:v>Cái</x:v>
      </x:c>
      <x:c r="H70" s="8" t="n">
        <x:v>3</x:v>
      </x:c>
      <x:c r="I70" s="8" t="n">
        <x:v>11299.33</x:v>
      </x:c>
      <x:c r="J70" s="9" t="n">
        <x:v>33898</x:v>
      </x:c>
      <x:c r="K70" s="2" t="n">
        <x:v>8</x:v>
      </x:c>
      <x:c r="L70" s="9" t="n">
        <x:v>2712</x:v>
      </x:c>
      <x:c r="M70" s="9" t="n">
        <x:f>J70+L70</x:f>
        <x:v>36610</x:v>
      </x:c>
      <x:c r="N70" s="2" t="str">
        <x:v>Khách hàng Shoppe</x:v>
      </x:c>
      <x:c r="O70" s="2" t="str">
        <x:v>Có BHH gốc</x:v>
      </x:c>
      <x:c r="P70" s="2" t="str">
        <x:v>Khớp sổ AMIS 2024</x:v>
      </x:c>
      <x:c r="Q70" s="2" t="str">
        <x:v>15310</x:v>
      </x:c>
    </x:row>
    <x:row r="71" ht="42" customHeight="1">
      <x:c r="A71" s="7" t="str">
        <x:v>BTL00169</x:v>
      </x:c>
      <x:c r="B71" s="6" t="d">
        <x:v>2024-06-08T00:00:00.000Z</x:v>
      </x:c>
      <x:c r="C71" s="7" t="str">
        <x:v>BHHS2024002364</x:v>
      </x:c>
      <x:c r="D71" s="2" t="n">
        <x:v>3</x:v>
      </x:c>
      <x:c r="E71" s="7" t="str">
        <x:v>VCOKACN01STAP</x:v>
      </x:c>
      <x:c r="F71" s="10" t="str">
        <x:v>Dây đeo băng vải cao su 60cm, code: TL-RUB60, dùng kết nối xe và máy UVC tia cực tím, nhà sx Tonglu, mới 100%</x:v>
      </x:c>
      <x:c r="G71" s="2" t="str">
        <x:v>Sợi</x:v>
      </x:c>
      <x:c r="H71" s="8" t="n">
        <x:v>1</x:v>
      </x:c>
      <x:c r="I71" s="8" t="n">
        <x:v>22599</x:v>
      </x:c>
      <x:c r="J71" s="9" t="n">
        <x:v>22599</x:v>
      </x:c>
      <x:c r="K71" s="2" t="n">
        <x:v>8</x:v>
      </x:c>
      <x:c r="L71" s="9" t="n">
        <x:v>1808</x:v>
      </x:c>
      <x:c r="M71" s="9" t="n">
        <x:f>J71+L71</x:f>
        <x:v>24407</x:v>
      </x:c>
      <x:c r="N71" s="2" t="str">
        <x:v>Khách hàng Shoppe</x:v>
      </x:c>
      <x:c r="O71" s="2" t="str">
        <x:v>Có BHH gốc</x:v>
      </x:c>
      <x:c r="P71" s="2" t="str">
        <x:v>Khớp sổ AMIS 2024</x:v>
      </x:c>
      <x:c r="Q71" s="2" t="str">
        <x:v>15311, 15313</x:v>
      </x:c>
    </x:row>
    <x:row r="72" ht="42" customHeight="1">
      <x:c r="A72" s="7" t="str">
        <x:v>BTL00169</x:v>
      </x:c>
      <x:c r="B72" s="6" t="d">
        <x:v>2024-06-08T00:00:00.000Z</x:v>
      </x:c>
      <x:c r="C72" s="7" t="str">
        <x:v>BHHS2024002364</x:v>
      </x:c>
      <x:c r="D72" s="2" t="n">
        <x:v>4</x:v>
      </x:c>
      <x:c r="E72" s="7" t="str">
        <x:v>COKACN01CRCH</x:v>
      </x:c>
      <x:c r="F72" s="10" t="str">
        <x:v>Nguồn sạc điện 12V-2A</x:v>
      </x:c>
      <x:c r="G72" s="2" t="str">
        <x:v>Cái</x:v>
      </x:c>
      <x:c r="H72" s="8" t="n">
        <x:v>1</x:v>
      </x:c>
      <x:c r="I72" s="8" t="n">
        <x:v>52731</x:v>
      </x:c>
      <x:c r="J72" s="9" t="n">
        <x:v>52731</x:v>
      </x:c>
      <x:c r="K72" s="2" t="n">
        <x:v>8</x:v>
      </x:c>
      <x:c r="L72" s="9" t="n">
        <x:v>4218</x:v>
      </x:c>
      <x:c r="M72" s="9" t="n">
        <x:f>J72+L72</x:f>
        <x:v>56949</x:v>
      </x:c>
      <x:c r="N72" s="2" t="str">
        <x:v>Khách hàng Shoppe</x:v>
      </x:c>
      <x:c r="O72" s="2" t="str">
        <x:v>Có BHH gốc</x:v>
      </x:c>
      <x:c r="P72" s="2" t="str">
        <x:v>Khớp sổ AMIS 2024</x:v>
      </x:c>
      <x:c r="Q72" s="2" t="str">
        <x:v>15312</x:v>
      </x:c>
    </x:row>
    <x:row r="73" ht="42" customHeight="1">
      <x:c r="A73" s="7" t="str">
        <x:v>BTL00169</x:v>
      </x:c>
      <x:c r="B73" s="6" t="d">
        <x:v>2024-06-08T00:00:00.000Z</x:v>
      </x:c>
      <x:c r="C73" s="7" t="str">
        <x:v>BHHS2024002364</x:v>
      </x:c>
      <x:c r="D73" s="2" t="n">
        <x:v>5</x:v>
      </x:c>
      <x:c r="E73" s="7" t="str">
        <x:v>VCOKACN01STAP</x:v>
      </x:c>
      <x:c r="F73" s="10" t="str">
        <x:v>Dây đeo băng vải cao su 60cm, code: TL-RUB60, dùng kết nối xe và máy UVC tia cực tím, nhà sx Tonglu, mới 100%</x:v>
      </x:c>
      <x:c r="G73" s="2" t="str">
        <x:v>Sợi</x:v>
      </x:c>
      <x:c r="H73" s="8" t="n">
        <x:v>1</x:v>
      </x:c>
      <x:c r="I73" s="8" t="n">
        <x:v>22599</x:v>
      </x:c>
      <x:c r="J73" s="9" t="n">
        <x:v>22599</x:v>
      </x:c>
      <x:c r="K73" s="2" t="n">
        <x:v>8</x:v>
      </x:c>
      <x:c r="L73" s="9" t="n">
        <x:v>1808</x:v>
      </x:c>
      <x:c r="M73" s="9" t="n">
        <x:f>J73+L73</x:f>
        <x:v>24407</x:v>
      </x:c>
      <x:c r="N73" s="2" t="str">
        <x:v>Khách hàng Shoppe</x:v>
      </x:c>
      <x:c r="O73" s="2" t="str">
        <x:v>Có BHH gốc</x:v>
      </x:c>
      <x:c r="P73" s="2" t="str">
        <x:v>Khớp sổ AMIS 2024</x:v>
      </x:c>
      <x:c r="Q73" s="2" t="str">
        <x:v>15311, 15313</x:v>
      </x:c>
    </x:row>
    <x:row r="74" ht="42" customHeight="1">
      <x:c r="A74" s="7" t="str">
        <x:v>BTL00064</x:v>
      </x:c>
      <x:c r="B74" s="6" t="d">
        <x:v>2024-06-11T00:00:00.000Z</x:v>
      </x:c>
      <x:c r="C74" s="7" t="str">
        <x:v>BHHT2024005715</x:v>
      </x:c>
      <x:c r="D74" s="2" t="n">
        <x:v>1</x:v>
      </x:c>
      <x:c r="E74" s="7" t="str">
        <x:v>KM200FULL</x:v>
      </x:c>
      <x:c r="F74" s="10" t="str">
        <x:v>Đèn bắt muỗi, ruồi và các loại côn trùng KM200</x:v>
      </x:c>
      <x:c r="G74" s="2" t="str">
        <x:v>Cái</x:v>
      </x:c>
      <x:c r="H74" s="8" t="n">
        <x:v>1</x:v>
      </x:c>
      <x:c r="I74" s="8" t="n">
        <x:v>276852</x:v>
      </x:c>
      <x:c r="J74" s="9" t="n">
        <x:v>276852</x:v>
      </x:c>
      <x:c r="K74" s="2" t="n">
        <x:v>8</x:v>
      </x:c>
      <x:c r="L74" s="9" t="n">
        <x:v>22148</x:v>
      </x:c>
      <x:c r="M74" s="9" t="n">
        <x:f>J74+L74</x:f>
        <x:v>299000</x:v>
      </x:c>
      <x:c r="N74" s="2" t="str">
        <x:v>Khách hàng Tiktok</x:v>
      </x:c>
      <x:c r="O74" s="2" t="str">
        <x:v>Có BHH gốc</x:v>
      </x:c>
      <x:c r="P74" s="2" t="str">
        <x:v>Khớp sổ AMIS 2024</x:v>
      </x:c>
      <x:c r="Q74" s="2" t="str">
        <x:v>15759</x:v>
      </x:c>
    </x:row>
    <x:row r="75" ht="42" customHeight="1">
      <x:c r="A75" s="7" t="str">
        <x:v>BTL00174</x:v>
      </x:c>
      <x:c r="B75" s="6" t="d">
        <x:v>2024-06-11T00:00:00.000Z</x:v>
      </x:c>
      <x:c r="C75" s="7" t="str">
        <x:v>BHHS2024002718</x:v>
      </x:c>
      <x:c r="D75" s="2" t="n">
        <x:v>1</x:v>
      </x:c>
      <x:c r="E75" s="7" t="str">
        <x:v>KK100FULL</x:v>
      </x:c>
      <x:c r="F75" s="10" t="str">
        <x:v>Máy tiệt trùng sấy khô bằng tia UVC - True UVC Kitchenware Drying Sterilizer - Model KK100</x:v>
      </x:c>
      <x:c r="G75" s="2" t="str">
        <x:v>Cái</x:v>
      </x:c>
      <x:c r="H75" s="8" t="n">
        <x:v>1</x:v>
      </x:c>
      <x:c r="I75" s="8" t="n">
        <x:v>869444</x:v>
      </x:c>
      <x:c r="J75" s="9" t="n">
        <x:v>869444</x:v>
      </x:c>
      <x:c r="K75" s="2" t="n">
        <x:v>8</x:v>
      </x:c>
      <x:c r="L75" s="9" t="n">
        <x:v>69556</x:v>
      </x:c>
      <x:c r="M75" s="9" t="n">
        <x:f>J75+L75</x:f>
        <x:v>939000</x:v>
      </x:c>
      <x:c r="N75" s="2" t="str">
        <x:v>Khách hàng Shoppe</x:v>
      </x:c>
      <x:c r="O75" s="2" t="str">
        <x:v>Có BHH gốc</x:v>
      </x:c>
      <x:c r="P75" s="2" t="str">
        <x:v>Khớp sổ AMIS 2024</x:v>
      </x:c>
      <x:c r="Q75" s="2" t="str">
        <x:v>15760</x:v>
      </x:c>
    </x:row>
    <x:row r="76" ht="42" customHeight="1">
      <x:c r="A76" s="7" t="str">
        <x:v>BTL00065</x:v>
      </x:c>
      <x:c r="B76" s="6" t="d">
        <x:v>2024-06-12T00:00:00.000Z</x:v>
      </x:c>
      <x:c r="C76" s="7" t="str">
        <x:v>BHHT2024009413</x:v>
      </x:c>
      <x:c r="D76" s="2" t="n">
        <x:v>1</x:v>
      </x:c>
      <x:c r="E76" s="7" t="str">
        <x:v>KA150SFULL</x:v>
      </x:c>
      <x:c r="F76" s="10" t="str">
        <x:v>Máy lọc không khí diệt khuẩn bằng tia UVC - True UVC Air Purifiers - KA150S</x:v>
      </x:c>
      <x:c r="G76" s="2" t="str">
        <x:v>Cái</x:v>
      </x:c>
      <x:c r="H76" s="8" t="n">
        <x:v>1</x:v>
      </x:c>
      <x:c r="I76" s="8" t="n">
        <x:v>869444</x:v>
      </x:c>
      <x:c r="J76" s="9" t="n">
        <x:v>869444</x:v>
      </x:c>
      <x:c r="K76" s="2" t="n">
        <x:v>8</x:v>
      </x:c>
      <x:c r="L76" s="9" t="n">
        <x:v>69556</x:v>
      </x:c>
      <x:c r="M76" s="9" t="n">
        <x:f>J76+L76</x:f>
        <x:v>939000</x:v>
      </x:c>
      <x:c r="N76" s="2" t="str">
        <x:v>Khách hàng Tiktok</x:v>
      </x:c>
      <x:c r="O76" s="2" t="str">
        <x:v>Có BHH gốc</x:v>
      </x:c>
      <x:c r="P76" s="2" t="str">
        <x:v>Khớp sổ AMIS 2024</x:v>
      </x:c>
      <x:c r="Q76" s="2" t="str">
        <x:v>15840</x:v>
      </x:c>
    </x:row>
    <x:row r="77" ht="42" customHeight="1">
      <x:c r="A77" s="7" t="str">
        <x:v>BTL00066</x:v>
      </x:c>
      <x:c r="B77" s="6" t="d">
        <x:v>2024-06-13T00:00:00.000Z</x:v>
      </x:c>
      <x:c r="C77" s="7" t="str">
        <x:v>BHHT2024006530</x:v>
      </x:c>
      <x:c r="D77" s="2" t="n">
        <x:v>1</x:v>
      </x:c>
      <x:c r="E77" s="7" t="str">
        <x:v>KA150SFULL</x:v>
      </x:c>
      <x:c r="F77" s="10" t="str">
        <x:v>Máy lọc không khí diệt khuẩn bằng tia UVC - True UVC Air Purifiers - KA150S</x:v>
      </x:c>
      <x:c r="G77" s="2" t="str">
        <x:v>Cái</x:v>
      </x:c>
      <x:c r="H77" s="8" t="n">
        <x:v>1</x:v>
      </x:c>
      <x:c r="I77" s="8" t="n">
        <x:v>813889</x:v>
      </x:c>
      <x:c r="J77" s="9" t="n">
        <x:v>813889</x:v>
      </x:c>
      <x:c r="K77" s="2" t="n">
        <x:v>8</x:v>
      </x:c>
      <x:c r="L77" s="9" t="n">
        <x:v>65111</x:v>
      </x:c>
      <x:c r="M77" s="9" t="n">
        <x:f>J77+L77</x:f>
        <x:v>879000</x:v>
      </x:c>
      <x:c r="N77" s="2" t="str">
        <x:v>Khách hàng Tiktok</x:v>
      </x:c>
      <x:c r="O77" s="2" t="str">
        <x:v>Có BHH gốc</x:v>
      </x:c>
      <x:c r="P77" s="2" t="str">
        <x:v>Khớp sổ AMIS 2024</x:v>
      </x:c>
      <x:c r="Q77" s="2" t="str">
        <x:v>15918</x:v>
      </x:c>
    </x:row>
    <x:row r="78" ht="42" customHeight="1">
      <x:c r="A78" s="7" t="str">
        <x:v>BTL00067</x:v>
      </x:c>
      <x:c r="B78" s="6" t="d">
        <x:v>2024-06-14T00:00:00.000Z</x:v>
      </x:c>
      <x:c r="C78" s="7" t="str">
        <x:v>BHHT2024001935</x:v>
      </x:c>
      <x:c r="D78" s="2" t="n">
        <x:v>1</x:v>
      </x:c>
      <x:c r="E78" s="7" t="str">
        <x:v>SP000031</x:v>
      </x:c>
      <x:c r="F78" s="10" t="str">
        <x:v>Bình nước giữ nhiệt thông minh UVGREEN UK100 Màu đen</x:v>
      </x:c>
      <x:c r="G78" s="2" t="str">
        <x:v>Cái</x:v>
      </x:c>
      <x:c r="H78" s="8" t="n">
        <x:v>1</x:v>
      </x:c>
      <x:c r="I78" s="8" t="n">
        <x:v>443519</x:v>
      </x:c>
      <x:c r="J78" s="9" t="n">
        <x:v>443519</x:v>
      </x:c>
      <x:c r="K78" s="2" t="n">
        <x:v>8</x:v>
      </x:c>
      <x:c r="L78" s="9" t="n">
        <x:v>35481</x:v>
      </x:c>
      <x:c r="M78" s="9" t="n">
        <x:f>J78+L78</x:f>
        <x:v>479000</x:v>
      </x:c>
      <x:c r="N78" s="2" t="str">
        <x:v>Khách hàng Tiktok</x:v>
      </x:c>
      <x:c r="O78" s="2" t="str">
        <x:v>Có BHH gốc</x:v>
      </x:c>
      <x:c r="P78" s="2" t="str">
        <x:v>Khớp sổ AMIS 2024</x:v>
      </x:c>
      <x:c r="Q78" s="2" t="str">
        <x:v>15997</x:v>
      </x:c>
    </x:row>
    <x:row r="79" ht="42" customHeight="1">
      <x:c r="A79" s="7" t="str">
        <x:v>BTL00068</x:v>
      </x:c>
      <x:c r="B79" s="6" t="d">
        <x:v>2024-06-17T00:00:00.000Z</x:v>
      </x:c>
      <x:c r="C79" s="7" t="str">
        <x:v>BHHT2024009221</x:v>
      </x:c>
      <x:c r="D79" s="2" t="n">
        <x:v>1</x:v>
      </x:c>
      <x:c r="E79" s="7" t="str">
        <x:v>KA150SFULL</x:v>
      </x:c>
      <x:c r="F79" s="10" t="str">
        <x:v>Máy lọc không khí diệt khuẩn bằng tia UVC - True UVC Air Purifiers - KA150S</x:v>
      </x:c>
      <x:c r="G79" s="2" t="str">
        <x:v>Cái</x:v>
      </x:c>
      <x:c r="H79" s="8" t="n">
        <x:v>1</x:v>
      </x:c>
      <x:c r="I79" s="8" t="n">
        <x:v>906481</x:v>
      </x:c>
      <x:c r="J79" s="9" t="n">
        <x:v>906481</x:v>
      </x:c>
      <x:c r="K79" s="2" t="n">
        <x:v>8</x:v>
      </x:c>
      <x:c r="L79" s="9" t="n">
        <x:v>72519</x:v>
      </x:c>
      <x:c r="M79" s="9" t="n">
        <x:f>J79+L79</x:f>
        <x:v>979000</x:v>
      </x:c>
      <x:c r="N79" s="2" t="str">
        <x:v>Khách hàng Tiktok</x:v>
      </x:c>
      <x:c r="O79" s="2" t="str">
        <x:v>Có BHH gốc</x:v>
      </x:c>
      <x:c r="P79" s="2" t="str">
        <x:v>Khớp sổ AMIS 2024</x:v>
      </x:c>
      <x:c r="Q79" s="2" t="str">
        <x:v>16355</x:v>
      </x:c>
    </x:row>
    <x:row r="80" ht="42" customHeight="1">
      <x:c r="A80" s="7" t="str">
        <x:v>BTL00070</x:v>
      </x:c>
      <x:c r="B80" s="6" t="d">
        <x:v>2024-06-18T00:00:00.000Z</x:v>
      </x:c>
      <x:c r="C80" s="7" t="str">
        <x:v>BHHT2024006103</x:v>
      </x:c>
      <x:c r="D80" s="2" t="n">
        <x:v>1</x:v>
      </x:c>
      <x:c r="E80" s="7" t="str">
        <x:v>KM300FULL</x:v>
      </x:c>
      <x:c r="F80" s="10" t="str">
        <x:v>Đèn bắt muỗi, ruồi và các loại côn trùng UVA Electronical Mosquito Killer, Model: KM300</x:v>
      </x:c>
      <x:c r="G80" s="2" t="str">
        <x:v>Cái</x:v>
      </x:c>
      <x:c r="H80" s="8" t="n">
        <x:v>1</x:v>
      </x:c>
      <x:c r="I80" s="8" t="n">
        <x:v>81539</x:v>
      </x:c>
      <x:c r="J80" s="9" t="n">
        <x:v>81539</x:v>
      </x:c>
      <x:c r="K80" s="2" t="n">
        <x:v>8</x:v>
      </x:c>
      <x:c r="L80" s="9" t="n">
        <x:v>6523</x:v>
      </x:c>
      <x:c r="M80" s="9" t="n">
        <x:f>J80+L80</x:f>
        <x:v>88062</x:v>
      </x:c>
      <x:c r="N80" s="2" t="str">
        <x:v>Khách hàng Tiktok</x:v>
      </x:c>
      <x:c r="O80" s="2" t="str">
        <x:v>Có BHH gốc</x:v>
      </x:c>
      <x:c r="P80" s="2" t="str">
        <x:v>Khớp sổ AMIS 2024</x:v>
      </x:c>
      <x:c r="Q80" s="2" t="str">
        <x:v>16484</x:v>
      </x:c>
    </x:row>
    <x:row r="81" ht="42" customHeight="1">
      <x:c r="A81" s="7" t="str">
        <x:v>BTL00070</x:v>
      </x:c>
      <x:c r="B81" s="6" t="d">
        <x:v>2024-06-18T00:00:00.000Z</x:v>
      </x:c>
      <x:c r="C81" s="7" t="str">
        <x:v>BHHT2024006103</x:v>
      </x:c>
      <x:c r="D81" s="2" t="n">
        <x:v>2</x:v>
      </x:c>
      <x:c r="E81" s="7" t="str">
        <x:v>KA150SFULL</x:v>
      </x:c>
      <x:c r="F81" s="10" t="str">
        <x:v>Máy lọc không khí diệt khuẩn bằng tia UVC - True UVC Air Purifiers - KA150S</x:v>
      </x:c>
      <x:c r="G81" s="2" t="str">
        <x:v>Cái</x:v>
      </x:c>
      <x:c r="H81" s="8" t="n">
        <x:v>1</x:v>
      </x:c>
      <x:c r="I81" s="8" t="n">
        <x:v>917317.5</x:v>
      </x:c>
      <x:c r="J81" s="9" t="n">
        <x:v>917318</x:v>
      </x:c>
      <x:c r="K81" s="2" t="n">
        <x:v>8</x:v>
      </x:c>
      <x:c r="L81" s="9" t="n">
        <x:v>73385</x:v>
      </x:c>
      <x:c r="M81" s="9" t="n">
        <x:f>J81+L81</x:f>
        <x:v>990703</x:v>
      </x:c>
      <x:c r="N81" s="2" t="str">
        <x:v>Khách hàng Tiktok</x:v>
      </x:c>
      <x:c r="O81" s="2" t="str">
        <x:v>Có BHH gốc</x:v>
      </x:c>
      <x:c r="P81" s="2" t="str">
        <x:v>Khớp sổ AMIS 2024</x:v>
      </x:c>
      <x:c r="Q81" s="2" t="str">
        <x:v>16485</x:v>
      </x:c>
    </x:row>
    <x:row r="82" ht="42" customHeight="1">
      <x:c r="A82" s="7" t="str">
        <x:v>BTL00070</x:v>
      </x:c>
      <x:c r="B82" s="6" t="d">
        <x:v>2024-06-18T00:00:00.000Z</x:v>
      </x:c>
      <x:c r="C82" s="7" t="str">
        <x:v>BHHT2024006103</x:v>
      </x:c>
      <x:c r="D82" s="2" t="n">
        <x:v>3</x:v>
      </x:c>
      <x:c r="E82" s="7" t="str">
        <x:v>KA150SFILTERFULL</x:v>
      </x:c>
      <x:c r="F82" s="10" t="str">
        <x:v>Lõi lọc diệt khuẩn (Filter-FT-KA150S), model: FT-KA150S</x:v>
      </x:c>
      <x:c r="G82" s="2" t="str">
        <x:v>Cái</x:v>
      </x:c>
      <x:c r="H82" s="8" t="n">
        <x:v>1</x:v>
      </x:c>
      <x:c r="I82" s="8" t="n">
        <x:v>346542.5</x:v>
      </x:c>
      <x:c r="J82" s="9" t="n">
        <x:v>346543</x:v>
      </x:c>
      <x:c r="K82" s="2" t="n">
        <x:v>8</x:v>
      </x:c>
      <x:c r="L82" s="9" t="n">
        <x:v>27723</x:v>
      </x:c>
      <x:c r="M82" s="9" t="n">
        <x:f>J82+L82</x:f>
        <x:v>374266</x:v>
      </x:c>
      <x:c r="N82" s="2" t="str">
        <x:v>Khách hàng Tiktok</x:v>
      </x:c>
      <x:c r="O82" s="2" t="str">
        <x:v>Có BHH gốc</x:v>
      </x:c>
      <x:c r="P82" s="2" t="str">
        <x:v>Khớp sổ AMIS 2024</x:v>
      </x:c>
      <x:c r="Q82" s="2" t="str">
        <x:v>16486</x:v>
      </x:c>
    </x:row>
    <x:row r="83" ht="42" customHeight="1">
      <x:c r="A83" s="7" t="str">
        <x:v>BTL00074</x:v>
      </x:c>
      <x:c r="B83" s="6" t="d">
        <x:v>2024-06-19T00:00:00.000Z</x:v>
      </x:c>
      <x:c r="C83" s="7" t="str">
        <x:v>BHHT2024009087</x:v>
      </x:c>
      <x:c r="D83" s="2" t="n">
        <x:v>1</x:v>
      </x:c>
      <x:c r="E83" s="7" t="str">
        <x:v>KA150SFULL</x:v>
      </x:c>
      <x:c r="F83" s="10" t="str">
        <x:v>Máy lọc không khí diệt khuẩn bằng tia UVC - True UVC Air Purifiers - KA150S</x:v>
      </x:c>
      <x:c r="G83" s="2" t="str">
        <x:v>Cái</x:v>
      </x:c>
      <x:c r="H83" s="8" t="n">
        <x:v>1</x:v>
      </x:c>
      <x:c r="I83" s="8" t="n">
        <x:v>869444</x:v>
      </x:c>
      <x:c r="J83" s="9" t="n">
        <x:v>869444</x:v>
      </x:c>
      <x:c r="K83" s="2" t="n">
        <x:v>8</x:v>
      </x:c>
      <x:c r="L83" s="9" t="n">
        <x:v>69556</x:v>
      </x:c>
      <x:c r="M83" s="9" t="n">
        <x:f>J83+L83</x:f>
        <x:v>939000</x:v>
      </x:c>
      <x:c r="N83" s="2" t="str">
        <x:v>Khách hàng Tiktok</x:v>
      </x:c>
      <x:c r="O83" s="2" t="str">
        <x:v>Có BHH gốc</x:v>
      </x:c>
      <x:c r="P83" s="2" t="str">
        <x:v>Khớp sổ AMIS 2024</x:v>
      </x:c>
      <x:c r="Q83" s="2" t="str">
        <x:v>16641</x:v>
      </x:c>
    </x:row>
    <x:row r="84" ht="42" customHeight="1">
      <x:c r="A84" s="7" t="str">
        <x:v>BTL00075</x:v>
      </x:c>
      <x:c r="B84" s="6" t="d">
        <x:v>2024-06-19T00:00:00.000Z</x:v>
      </x:c>
      <x:c r="C84" s="7" t="str">
        <x:v>BHHT2024009171</x:v>
      </x:c>
      <x:c r="D84" s="2" t="n">
        <x:v>1</x:v>
      </x:c>
      <x:c r="E84" s="7" t="str">
        <x:v>KA150SFULL</x:v>
      </x:c>
      <x:c r="F84" s="10" t="str">
        <x:v>Máy lọc không khí diệt khuẩn bằng tia UVC - True UVC Air Purifiers - KA150S</x:v>
      </x:c>
      <x:c r="G84" s="2" t="str">
        <x:v>Cái</x:v>
      </x:c>
      <x:c r="H84" s="8" t="n">
        <x:v>1</x:v>
      </x:c>
      <x:c r="I84" s="8" t="n">
        <x:v>869444</x:v>
      </x:c>
      <x:c r="J84" s="9" t="n">
        <x:v>869444</x:v>
      </x:c>
      <x:c r="K84" s="2" t="n">
        <x:v>8</x:v>
      </x:c>
      <x:c r="L84" s="9" t="n">
        <x:v>69556</x:v>
      </x:c>
      <x:c r="M84" s="9" t="n">
        <x:f>J84+L84</x:f>
        <x:v>939000</x:v>
      </x:c>
      <x:c r="N84" s="2" t="str">
        <x:v>Khách hàng Tiktok</x:v>
      </x:c>
      <x:c r="O84" s="2" t="str">
        <x:v>Có BHH gốc</x:v>
      </x:c>
      <x:c r="P84" s="2" t="str">
        <x:v>Khớp sổ AMIS 2024</x:v>
      </x:c>
      <x:c r="Q84" s="2" t="str">
        <x:v>16642</x:v>
      </x:c>
    </x:row>
    <x:row r="85" ht="42" customHeight="1">
      <x:c r="A85" s="7" t="str">
        <x:v>BTL00076</x:v>
      </x:c>
      <x:c r="B85" s="6" t="d">
        <x:v>2024-06-20T00:00:00.000Z</x:v>
      </x:c>
      <x:c r="C85" s="7" t="str">
        <x:v>BHHT2024005796</x:v>
      </x:c>
      <x:c r="D85" s="2" t="n">
        <x:v>1</x:v>
      </x:c>
      <x:c r="E85" s="7" t="str">
        <x:v>KM100FULL</x:v>
      </x:c>
      <x:c r="F85" s="10" t="str">
        <x:v>Đèn bắt muỗi, ruồi và các loại côn trùng KM100</x:v>
      </x:c>
      <x:c r="G85" s="2" t="str">
        <x:v>Cái</x:v>
      </x:c>
      <x:c r="H85" s="8" t="n">
        <x:v>1</x:v>
      </x:c>
      <x:c r="I85" s="8" t="n">
        <x:v>165741</x:v>
      </x:c>
      <x:c r="J85" s="9" t="n">
        <x:v>165741</x:v>
      </x:c>
      <x:c r="K85" s="2" t="n">
        <x:v>8</x:v>
      </x:c>
      <x:c r="L85" s="9" t="n">
        <x:v>13259</x:v>
      </x:c>
      <x:c r="M85" s="9" t="n">
        <x:f>J85+L85</x:f>
        <x:v>179000</x:v>
      </x:c>
      <x:c r="N85" s="2" t="str">
        <x:v>Khách hàng Tiktok</x:v>
      </x:c>
      <x:c r="O85" s="2" t="str">
        <x:v>Có BHH gốc</x:v>
      </x:c>
      <x:c r="P85" s="2" t="str">
        <x:v>Khớp sổ AMIS 2024</x:v>
      </x:c>
      <x:c r="Q85" s="2" t="str">
        <x:v>16750</x:v>
      </x:c>
    </x:row>
    <x:row r="86" ht="42" customHeight="1">
      <x:c r="A86" s="7" t="str">
        <x:v>BTL00168</x:v>
      </x:c>
      <x:c r="B86" s="6" t="d">
        <x:v>2024-06-20T00:00:00.000Z</x:v>
      </x:c>
      <x:c r="C86" s="7" t="str">
        <x:v>BHHS2024002845</x:v>
      </x:c>
      <x:c r="D86" s="2" t="n">
        <x:v>1</x:v>
      </x:c>
      <x:c r="E86" s="7" t="str">
        <x:v>SP000042</x:v>
      </x:c>
      <x:c r="F86" s="10" t="str">
        <x:v>Bình nước giữ nhiệt thông minh UVGREEN UK100 Màu trắng</x:v>
      </x:c>
      <x:c r="G86" s="2" t="str">
        <x:v>Cái</x:v>
      </x:c>
      <x:c r="H86" s="8" t="n">
        <x:v>1</x:v>
      </x:c>
      <x:c r="I86" s="8" t="n">
        <x:v>1527778</x:v>
      </x:c>
      <x:c r="J86" s="9" t="n">
        <x:v>1527778</x:v>
      </x:c>
      <x:c r="K86" s="2" t="n">
        <x:v>8</x:v>
      </x:c>
      <x:c r="L86" s="9" t="n">
        <x:v>122222</x:v>
      </x:c>
      <x:c r="M86" s="9" t="n">
        <x:f>J86+L86</x:f>
        <x:v>1650000</x:v>
      </x:c>
      <x:c r="N86" s="2" t="str">
        <x:v>Khách hàng Shoppe</x:v>
      </x:c>
      <x:c r="O86" s="2" t="str">
        <x:v>Có BHH gốc</x:v>
      </x:c>
      <x:c r="P86" s="2" t="str">
        <x:v>Khớp sổ AMIS 2024</x:v>
      </x:c>
      <x:c r="Q86" s="2" t="str">
        <x:v>16751</x:v>
      </x:c>
    </x:row>
    <x:row r="87" ht="42" customHeight="1">
      <x:c r="A87" s="7" t="str">
        <x:v>BTL00077</x:v>
      </x:c>
      <x:c r="B87" s="6" t="d">
        <x:v>2024-06-26T00:00:00.000Z</x:v>
      </x:c>
      <x:c r="C87" s="7" t="str">
        <x:v>BHHT2024007556</x:v>
      </x:c>
      <x:c r="D87" s="2" t="n">
        <x:v>1</x:v>
      </x:c>
      <x:c r="E87" s="7" t="str">
        <x:v>KA350LIGHTFULL</x:v>
      </x:c>
      <x:c r="F87" s="10" t="str">
        <x:v>Máy lọc không khí diệt khuẩn bằng tia UVC (True UVC Air Purifier - KA350) model KA350</x:v>
      </x:c>
      <x:c r="G87" s="2" t="str">
        <x:v>Cái</x:v>
      </x:c>
      <x:c r="H87" s="8" t="n">
        <x:v>1</x:v>
      </x:c>
      <x:c r="I87" s="8" t="n">
        <x:v>1739815</x:v>
      </x:c>
      <x:c r="J87" s="9" t="n">
        <x:v>1739815</x:v>
      </x:c>
      <x:c r="K87" s="2" t="n">
        <x:v>8</x:v>
      </x:c>
      <x:c r="L87" s="9" t="n">
        <x:v>139185</x:v>
      </x:c>
      <x:c r="M87" s="9" t="n">
        <x:f>J87+L87</x:f>
        <x:v>1879000</x:v>
      </x:c>
      <x:c r="N87" s="2" t="str">
        <x:v>Khách hàng Tiktok</x:v>
      </x:c>
      <x:c r="O87" s="2" t="str">
        <x:v>Có BHH gốc</x:v>
      </x:c>
      <x:c r="P87" s="2" t="str">
        <x:v>Khớp sổ AMIS 2024</x:v>
      </x:c>
      <x:c r="Q87" s="2" t="str">
        <x:v>17207</x:v>
      </x:c>
    </x:row>
    <x:row r="88" ht="42" customHeight="1">
      <x:c r="A88" s="7" t="str">
        <x:v>BTL00078</x:v>
      </x:c>
      <x:c r="B88" s="6" t="d">
        <x:v>2024-06-27T00:00:00.000Z</x:v>
      </x:c>
      <x:c r="C88" s="7" t="str">
        <x:v>BHHT2024008113</x:v>
      </x:c>
      <x:c r="D88" s="2" t="n">
        <x:v>1</x:v>
      </x:c>
      <x:c r="E88" s="7" t="str">
        <x:v>KA100UVC70</x:v>
      </x:c>
      <x:c r="F88" s="10" t="str">
        <x:v>Máy Lọc Không Khí Ô Tô, Khử Mùi, Diệt Khuẩn UVC LED UVGREEN KA100</x:v>
      </x:c>
      <x:c r="G88" s="2" t="str">
        <x:v>Bộ</x:v>
      </x:c>
      <x:c r="H88" s="8" t="n">
        <x:v>1</x:v>
      </x:c>
      <x:c r="I88" s="8" t="n">
        <x:v>893320</x:v>
      </x:c>
      <x:c r="J88" s="9" t="n">
        <x:v>893320</x:v>
      </x:c>
      <x:c r="K88" s="2" t="n">
        <x:v>8</x:v>
      </x:c>
      <x:c r="L88" s="9" t="n">
        <x:v>71466</x:v>
      </x:c>
      <x:c r="M88" s="9" t="n">
        <x:f>J88+L88</x:f>
        <x:v>964786</x:v>
      </x:c>
      <x:c r="N88" s="2" t="str">
        <x:v>Khách hàng Tiktok</x:v>
      </x:c>
      <x:c r="O88" s="2" t="str">
        <x:v>Có BHH gốc</x:v>
      </x:c>
      <x:c r="P88" s="2" t="str">
        <x:v>Khớp sổ AMIS 2024</x:v>
      </x:c>
      <x:c r="Q88" s="2" t="str">
        <x:v>17347</x:v>
      </x:c>
    </x:row>
    <x:row r="89" ht="42" customHeight="1">
      <x:c r="A89" s="7" t="str">
        <x:v>BTL00078</x:v>
      </x:c>
      <x:c r="B89" s="6" t="d">
        <x:v>2024-06-27T00:00:00.000Z</x:v>
      </x:c>
      <x:c r="C89" s="7" t="str">
        <x:v>BHHT2024008113</x:v>
      </x:c>
      <x:c r="D89" s="2" t="n">
        <x:v>2</x:v>
      </x:c>
      <x:c r="E89" s="7" t="str">
        <x:v>COKACN01CRCH</x:v>
      </x:c>
      <x:c r="F89" s="10" t="str">
        <x:v>Nguồn sạc điện 12V-2A</x:v>
      </x:c>
      <x:c r="G89" s="2" t="str">
        <x:v>Cái</x:v>
      </x:c>
      <x:c r="H89" s="8" t="n">
        <x:v>1</x:v>
      </x:c>
      <x:c r="I89" s="8" t="n">
        <x:v>48102</x:v>
      </x:c>
      <x:c r="J89" s="9" t="n">
        <x:v>48102</x:v>
      </x:c>
      <x:c r="K89" s="2" t="n">
        <x:v>8</x:v>
      </x:c>
      <x:c r="L89" s="9" t="n">
        <x:v>3848</x:v>
      </x:c>
      <x:c r="M89" s="9" t="n">
        <x:f>J89+L89</x:f>
        <x:v>51950</x:v>
      </x:c>
      <x:c r="N89" s="2" t="str">
        <x:v>Khách hàng Tiktok</x:v>
      </x:c>
      <x:c r="O89" s="2" t="str">
        <x:v>Có BHH gốc</x:v>
      </x:c>
      <x:c r="P89" s="2" t="str">
        <x:v>Khớp sổ AMIS 2024</x:v>
      </x:c>
      <x:c r="Q89" s="2" t="str">
        <x:v>17348</x:v>
      </x:c>
    </x:row>
    <x:row r="90" ht="42" customHeight="1">
      <x:c r="A90" s="7" t="str">
        <x:v>BTL00078</x:v>
      </x:c>
      <x:c r="B90" s="6" t="d">
        <x:v>2024-06-27T00:00:00.000Z</x:v>
      </x:c>
      <x:c r="C90" s="7" t="str">
        <x:v>BHHT2024008113</x:v>
      </x:c>
      <x:c r="D90" s="2" t="n">
        <x:v>3</x:v>
      </x:c>
      <x:c r="E90" s="7" t="str">
        <x:v>VCOKACN01STAP</x:v>
      </x:c>
      <x:c r="F90" s="10" t="str">
        <x:v>Dây đeo băng vải cao su 60cm, code: TL-RUB60, dùng kết nối xe và máy UVC tia cực tím, nhà sx Tonglu, mới 100%</x:v>
      </x:c>
      <x:c r="G90" s="2" t="str">
        <x:v>Sợi</x:v>
      </x:c>
      <x:c r="H90" s="8" t="n">
        <x:v>1</x:v>
      </x:c>
      <x:c r="I90" s="8" t="n">
        <x:v>20615</x:v>
      </x:c>
      <x:c r="J90" s="9" t="n">
        <x:v>20615</x:v>
      </x:c>
      <x:c r="K90" s="2" t="n">
        <x:v>8</x:v>
      </x:c>
      <x:c r="L90" s="9" t="n">
        <x:v>1649</x:v>
      </x:c>
      <x:c r="M90" s="9" t="n">
        <x:f>J90+L90</x:f>
        <x:v>22264</x:v>
      </x:c>
      <x:c r="N90" s="2" t="str">
        <x:v>Khách hàng Tiktok</x:v>
      </x:c>
      <x:c r="O90" s="2" t="str">
        <x:v>Có BHH gốc</x:v>
      </x:c>
      <x:c r="P90" s="2" t="str">
        <x:v>Khớp sổ AMIS 2024</x:v>
      </x:c>
      <x:c r="Q90" s="2" t="str">
        <x:v>17349</x:v>
      </x:c>
    </x:row>
    <x:row r="91" ht="42" customHeight="1">
      <x:c r="A91" s="7" t="str">
        <x:v>BTL00167</x:v>
      </x:c>
      <x:c r="B91" s="6" t="d">
        <x:v>2024-07-02T00:00:00.000Z</x:v>
      </x:c>
      <x:c r="C91" s="7" t="str">
        <x:v>BHHS2024003188</x:v>
      </x:c>
      <x:c r="D91" s="2" t="n">
        <x:v>1</x:v>
      </x:c>
      <x:c r="E91" s="7" t="str">
        <x:v>KA600FULL</x:v>
      </x:c>
      <x:c r="F91" s="10" t="str">
        <x:v>Máy lọc không khí diệt khuẩn bằng tia UVC - True UVC Air Purifier . Model: KA600</x:v>
      </x:c>
      <x:c r="G91" s="2" t="str">
        <x:v>Cái</x:v>
      </x:c>
      <x:c r="H91" s="8" t="n">
        <x:v>1</x:v>
      </x:c>
      <x:c r="I91" s="8" t="n">
        <x:v>2037076</x:v>
      </x:c>
      <x:c r="J91" s="9" t="n">
        <x:v>2037076</x:v>
      </x:c>
      <x:c r="K91" s="2" t="n">
        <x:v>8</x:v>
      </x:c>
      <x:c r="L91" s="9" t="n">
        <x:v>162966</x:v>
      </x:c>
      <x:c r="M91" s="9" t="n">
        <x:f>J91+L91</x:f>
        <x:v>2200042</x:v>
      </x:c>
      <x:c r="N91" s="2" t="str">
        <x:v>Khách hàng Shoppe</x:v>
      </x:c>
      <x:c r="O91" s="2" t="str">
        <x:v>Có BHH gốc</x:v>
      </x:c>
      <x:c r="P91" s="2" t="str">
        <x:v>Khớp sổ AMIS 2024</x:v>
      </x:c>
      <x:c r="Q91" s="2" t="str">
        <x:v>17710</x:v>
      </x:c>
    </x:row>
    <x:row r="92" ht="42" customHeight="1">
      <x:c r="A92" s="7" t="str">
        <x:v>BTL00167</x:v>
      </x:c>
      <x:c r="B92" s="6" t="d">
        <x:v>2024-07-02T00:00:00.000Z</x:v>
      </x:c>
      <x:c r="C92" s="7" t="str">
        <x:v>BHHS2024003188</x:v>
      </x:c>
      <x:c r="D92" s="2" t="n">
        <x:v>2</x:v>
      </x:c>
      <x:c r="E92" s="7" t="str">
        <x:v>KA600FILTERFULL</x:v>
      </x:c>
      <x:c r="F92" s="10" t="str">
        <x:v>Lõi lọc diệt khuẩn - Filter, model:FT- KA600</x:v>
      </x:c>
      <x:c r="G92" s="2" t="str">
        <x:v>Cái</x:v>
      </x:c>
      <x:c r="H92" s="8" t="n">
        <x:v>1</x:v>
      </x:c>
      <x:c r="I92" s="8" t="n">
        <x:v>536072</x:v>
      </x:c>
      <x:c r="J92" s="9" t="n">
        <x:v>536072</x:v>
      </x:c>
      <x:c r="K92" s="2" t="n">
        <x:v>8</x:v>
      </x:c>
      <x:c r="L92" s="9" t="n">
        <x:v>42886</x:v>
      </x:c>
      <x:c r="M92" s="9" t="n">
        <x:f>J92+L92</x:f>
        <x:v>578958</x:v>
      </x:c>
      <x:c r="N92" s="2" t="str">
        <x:v>Khách hàng Shoppe</x:v>
      </x:c>
      <x:c r="O92" s="2" t="str">
        <x:v>Có BHH gốc</x:v>
      </x:c>
      <x:c r="P92" s="2" t="str">
        <x:v>Khớp sổ AMIS 2024</x:v>
      </x:c>
      <x:c r="Q92" s="2" t="str">
        <x:v>17711</x:v>
      </x:c>
    </x:row>
    <x:row r="93" ht="42" customHeight="1">
      <x:c r="A93" s="7" t="str">
        <x:v>BTL00080</x:v>
      </x:c>
      <x:c r="B93" s="6" t="d">
        <x:v>2024-07-04T00:00:00.000Z</x:v>
      </x:c>
      <x:c r="C93" s="7" t="str">
        <x:v>BHHT2024008892</x:v>
      </x:c>
      <x:c r="D93" s="2" t="n">
        <x:v>1</x:v>
      </x:c>
      <x:c r="E93" s="7" t="str">
        <x:v>KA350LIGHTFULL</x:v>
      </x:c>
      <x:c r="F93" s="10" t="str">
        <x:v>Máy lọc không khí diệt khuẩn bằng tia UVC (True UVC Air Purifier - KA350) model KA350</x:v>
      </x:c>
      <x:c r="G93" s="2" t="str">
        <x:v>Cái</x:v>
      </x:c>
      <x:c r="H93" s="8" t="n">
        <x:v>1</x:v>
      </x:c>
      <x:c r="I93" s="8" t="n">
        <x:v>1252924</x:v>
      </x:c>
      <x:c r="J93" s="9" t="n">
        <x:v>1252924</x:v>
      </x:c>
      <x:c r="K93" s="2" t="n">
        <x:v>8</x:v>
      </x:c>
      <x:c r="L93" s="9" t="n">
        <x:v>100234</x:v>
      </x:c>
      <x:c r="M93" s="9" t="n">
        <x:f>J93+L93</x:f>
        <x:v>1353158</x:v>
      </x:c>
      <x:c r="N93" s="2" t="str">
        <x:v>Khách hàng Tiktok</x:v>
      </x:c>
      <x:c r="O93" s="2" t="str">
        <x:v>Có BHH gốc</x:v>
      </x:c>
      <x:c r="P93" s="2" t="str">
        <x:v>Khớp sổ AMIS 2024</x:v>
      </x:c>
      <x:c r="Q93" s="2" t="str">
        <x:v>17816</x:v>
      </x:c>
    </x:row>
    <x:row r="94" ht="42" customHeight="1">
      <x:c r="A94" s="7" t="str">
        <x:v>BTL00080</x:v>
      </x:c>
      <x:c r="B94" s="6" t="d">
        <x:v>2024-07-04T00:00:00.000Z</x:v>
      </x:c>
      <x:c r="C94" s="7" t="str">
        <x:v>BHHT2024008892</x:v>
      </x:c>
      <x:c r="D94" s="2" t="n">
        <x:v>2</x:v>
      </x:c>
      <x:c r="E94" s="7" t="str">
        <x:v>KA350FILTERFULL</x:v>
      </x:c>
      <x:c r="F94" s="10" t="str">
        <x:v>Lõi lọc diệt khuẩn Filter KA350 - model: FT KA350</x:v>
      </x:c>
      <x:c r="G94" s="2" t="str">
        <x:v>Cái</x:v>
      </x:c>
      <x:c r="H94" s="8" t="n">
        <x:v>1</x:v>
      </x:c>
      <x:c r="I94" s="8" t="n">
        <x:v>431335</x:v>
      </x:c>
      <x:c r="J94" s="9" t="n">
        <x:v>431335</x:v>
      </x:c>
      <x:c r="K94" s="2" t="n">
        <x:v>8</x:v>
      </x:c>
      <x:c r="L94" s="9" t="n">
        <x:v>34507</x:v>
      </x:c>
      <x:c r="M94" s="9" t="n">
        <x:f>J94+L94</x:f>
        <x:v>465842</x:v>
      </x:c>
      <x:c r="N94" s="2" t="str">
        <x:v>Khách hàng Tiktok</x:v>
      </x:c>
      <x:c r="O94" s="2" t="str">
        <x:v>Có BHH gốc</x:v>
      </x:c>
      <x:c r="P94" s="2" t="str">
        <x:v>Khớp sổ AMIS 2024</x:v>
      </x:c>
      <x:c r="Q94" s="2" t="str">
        <x:v>17817</x:v>
      </x:c>
    </x:row>
    <x:row r="95" ht="42" customHeight="1">
      <x:c r="A95" s="7" t="str">
        <x:v>BTL00081</x:v>
      </x:c>
      <x:c r="B95" s="6" t="d">
        <x:v>2024-07-06T00:00:00.000Z</x:v>
      </x:c>
      <x:c r="C95" s="7" t="str">
        <x:v>BHHT2024007951</x:v>
      </x:c>
      <x:c r="D95" s="2" t="n">
        <x:v>1</x:v>
      </x:c>
      <x:c r="E95" s="7" t="str">
        <x:v>KA350LIGHTFULL</x:v>
      </x:c>
      <x:c r="F95" s="10" t="str">
        <x:v>Máy lọc không khí diệt khuẩn bằng tia UVC (True UVC Air Purifier - KA350) model KA350</x:v>
      </x:c>
      <x:c r="G95" s="2" t="str">
        <x:v>Cái</x:v>
      </x:c>
      <x:c r="H95" s="8" t="n">
        <x:v>1</x:v>
      </x:c>
      <x:c r="I95" s="8" t="n">
        <x:v>1702778</x:v>
      </x:c>
      <x:c r="J95" s="9" t="n">
        <x:v>1702778</x:v>
      </x:c>
      <x:c r="K95" s="2" t="n">
        <x:v>8</x:v>
      </x:c>
      <x:c r="L95" s="9" t="n">
        <x:v>136222</x:v>
      </x:c>
      <x:c r="M95" s="9" t="n">
        <x:f>J95+L95</x:f>
        <x:v>1839000</x:v>
      </x:c>
      <x:c r="N95" s="2" t="str">
        <x:v>Khách hàng Tiktok</x:v>
      </x:c>
      <x:c r="O95" s="2" t="str">
        <x:v>Có BHH gốc</x:v>
      </x:c>
      <x:c r="P95" s="2" t="str">
        <x:v>Khớp sổ AMIS 2024</x:v>
      </x:c>
      <x:c r="Q95" s="2" t="str">
        <x:v>17927</x:v>
      </x:c>
    </x:row>
    <x:row r="96" ht="42" customHeight="1">
      <x:c r="A96" s="7" t="str">
        <x:v>BTL00082</x:v>
      </x:c>
      <x:c r="B96" s="6" t="d">
        <x:v>2024-07-10T00:00:00.000Z</x:v>
      </x:c>
      <x:c r="C96" s="7" t="str">
        <x:v>BHHT2024011737</x:v>
      </x:c>
      <x:c r="D96" s="2" t="n">
        <x:v>1</x:v>
      </x:c>
      <x:c r="E96" s="7" t="str">
        <x:v>KA150SFULL</x:v>
      </x:c>
      <x:c r="F96" s="10" t="str">
        <x:v>Máy lọc không khí diệt khuẩn bằng tia UVC - True UVC Air Purifiers - KA150S</x:v>
      </x:c>
      <x:c r="G96" s="2" t="str">
        <x:v>Cái</x:v>
      </x:c>
      <x:c r="H96" s="8" t="n">
        <x:v>1</x:v>
      </x:c>
      <x:c r="I96" s="8" t="n">
        <x:v>999074</x:v>
      </x:c>
      <x:c r="J96" s="9" t="n">
        <x:v>999074</x:v>
      </x:c>
      <x:c r="K96" s="2" t="n">
        <x:v>8</x:v>
      </x:c>
      <x:c r="L96" s="9" t="n">
        <x:v>79926</x:v>
      </x:c>
      <x:c r="M96" s="9" t="n">
        <x:f>J96+L96</x:f>
        <x:v>1079000</x:v>
      </x:c>
      <x:c r="N96" s="2" t="str">
        <x:v>Khách hàng Tiktok</x:v>
      </x:c>
      <x:c r="O96" s="2" t="str">
        <x:v>Có BHH gốc</x:v>
      </x:c>
      <x:c r="P96" s="2" t="str">
        <x:v>Khớp sổ AMIS 2024</x:v>
      </x:c>
      <x:c r="Q96" s="2" t="str">
        <x:v>18718</x:v>
      </x:c>
    </x:row>
    <x:row r="97" ht="42" customHeight="1">
      <x:c r="A97" s="7" t="str">
        <x:v>BTL00084</x:v>
      </x:c>
      <x:c r="B97" s="6" t="d">
        <x:v>2024-07-10T00:00:00.000Z</x:v>
      </x:c>
      <x:c r="C97" s="7" t="str">
        <x:v>BHHT2024011825</x:v>
      </x:c>
      <x:c r="D97" s="2" t="n">
        <x:v>1</x:v>
      </x:c>
      <x:c r="E97" s="7" t="str">
        <x:v>KA150SFULL</x:v>
      </x:c>
      <x:c r="F97" s="10" t="str">
        <x:v>Máy lọc không khí diệt khuẩn bằng tia UVC - True UVC Air Purifiers - KA150S</x:v>
      </x:c>
      <x:c r="G97" s="2" t="str">
        <x:v>Cái</x:v>
      </x:c>
      <x:c r="H97" s="8" t="n">
        <x:v>1</x:v>
      </x:c>
      <x:c r="I97" s="8" t="n">
        <x:v>962037</x:v>
      </x:c>
      <x:c r="J97" s="9" t="n">
        <x:v>962037</x:v>
      </x:c>
      <x:c r="K97" s="2" t="n">
        <x:v>8</x:v>
      </x:c>
      <x:c r="L97" s="9" t="n">
        <x:v>76963</x:v>
      </x:c>
      <x:c r="M97" s="9" t="n">
        <x:f>J97+L97</x:f>
        <x:v>1039000</x:v>
      </x:c>
      <x:c r="N97" s="2" t="str">
        <x:v>Khách hàng Tiktok</x:v>
      </x:c>
      <x:c r="O97" s="2" t="str">
        <x:v>Có BHH gốc</x:v>
      </x:c>
      <x:c r="P97" s="2" t="str">
        <x:v>Khớp sổ AMIS 2024</x:v>
      </x:c>
      <x:c r="Q97" s="2" t="str">
        <x:v>18719</x:v>
      </x:c>
    </x:row>
    <x:row r="98" ht="42" customHeight="1">
      <x:c r="A98" s="7" t="str">
        <x:v>BTL00160</x:v>
      </x:c>
      <x:c r="B98" s="6" t="d">
        <x:v>2024-07-13T00:00:00.000Z</x:v>
      </x:c>
      <x:c r="C98" s="7" t="str">
        <x:v>BHHT2024012087</x:v>
      </x:c>
      <x:c r="D98" s="2" t="n">
        <x:v>1</x:v>
      </x:c>
      <x:c r="E98" s="7" t="str">
        <x:v>KA150SFULL</x:v>
      </x:c>
      <x:c r="F98" s="10" t="str">
        <x:v>Máy lọc không khí diệt khuẩn bằng tia UVC - True UVC Air Purifiers - KA150S</x:v>
      </x:c>
      <x:c r="G98" s="2" t="str">
        <x:v>Cái</x:v>
      </x:c>
      <x:c r="H98" s="8" t="n">
        <x:v>1</x:v>
      </x:c>
      <x:c r="I98" s="8" t="n">
        <x:v>962037</x:v>
      </x:c>
      <x:c r="J98" s="9" t="n">
        <x:v>962037</x:v>
      </x:c>
      <x:c r="K98" s="2" t="n">
        <x:v>8</x:v>
      </x:c>
      <x:c r="L98" s="9" t="n">
        <x:v>76963</x:v>
      </x:c>
      <x:c r="M98" s="9" t="n">
        <x:f>J98+L98</x:f>
        <x:v>1039000</x:v>
      </x:c>
      <x:c r="N98" s="2" t="str">
        <x:v>Khách hàng Tiktok</x:v>
      </x:c>
      <x:c r="O98" s="2" t="str">
        <x:v>Có BHH gốc</x:v>
      </x:c>
      <x:c r="P98" s="2" t="str">
        <x:v>Khớp sổ AMIS 2024</x:v>
      </x:c>
      <x:c r="Q98" s="2" t="str">
        <x:v>19202</x:v>
      </x:c>
    </x:row>
    <x:row r="99" ht="42" customHeight="1">
      <x:c r="A99" s="7" t="str">
        <x:v>BTL00087</x:v>
      </x:c>
      <x:c r="B99" s="6" t="d">
        <x:v>2024-07-19T00:00:00.000Z</x:v>
      </x:c>
      <x:c r="C99" s="7" t="str">
        <x:v>BHHT2024010786</x:v>
      </x:c>
      <x:c r="D99" s="2" t="n">
        <x:v>1</x:v>
      </x:c>
      <x:c r="E99" s="7" t="str">
        <x:v>KA150SFULL</x:v>
      </x:c>
      <x:c r="F99" s="10" t="str">
        <x:v>Máy lọc không khí diệt khuẩn bằng tia UVC - True UVC Air Purifiers - KA150S</x:v>
      </x:c>
      <x:c r="G99" s="2" t="str">
        <x:v>Cái</x:v>
      </x:c>
      <x:c r="H99" s="8" t="n">
        <x:v>1</x:v>
      </x:c>
      <x:c r="I99" s="8" t="n">
        <x:v>962037</x:v>
      </x:c>
      <x:c r="J99" s="9" t="n">
        <x:v>962037</x:v>
      </x:c>
      <x:c r="K99" s="2" t="n">
        <x:v>8</x:v>
      </x:c>
      <x:c r="L99" s="9" t="n">
        <x:v>76963</x:v>
      </x:c>
      <x:c r="M99" s="9" t="n">
        <x:f>J99+L99</x:f>
        <x:v>1039000</x:v>
      </x:c>
      <x:c r="N99" s="2" t="str">
        <x:v>Khách hàng Tiktok</x:v>
      </x:c>
      <x:c r="O99" s="2" t="str">
        <x:v>Có BHH gốc</x:v>
      </x:c>
      <x:c r="P99" s="2" t="str">
        <x:v>Khớp sổ AMIS 2024</x:v>
      </x:c>
      <x:c r="Q99" s="2" t="str">
        <x:v>19925</x:v>
      </x:c>
    </x:row>
    <x:row r="100" ht="42" customHeight="1">
      <x:c r="A100" s="7" t="str">
        <x:v>BTL00089</x:v>
      </x:c>
      <x:c r="B100" s="6" t="d">
        <x:v>2024-07-24T00:00:00.000Z</x:v>
      </x:c>
      <x:c r="C100" s="7" t="str">
        <x:v>BHHT2024009354</x:v>
      </x:c>
      <x:c r="D100" s="2" t="n">
        <x:v>1</x:v>
      </x:c>
      <x:c r="E100" s="7" t="str">
        <x:v>KA350LIGHTFULL</x:v>
      </x:c>
      <x:c r="F100" s="10" t="str">
        <x:v>Máy lọc không khí diệt khuẩn bằng tia UVC (True UVC Air Purifier - KA350) model KA350</x:v>
      </x:c>
      <x:c r="G100" s="2" t="str">
        <x:v>Cái</x:v>
      </x:c>
      <x:c r="H100" s="8" t="n">
        <x:v>1</x:v>
      </x:c>
      <x:c r="I100" s="8" t="n">
        <x:v>1266701</x:v>
      </x:c>
      <x:c r="J100" s="9" t="n">
        <x:v>1266701</x:v>
      </x:c>
      <x:c r="K100" s="2" t="n">
        <x:v>8</x:v>
      </x:c>
      <x:c r="L100" s="9" t="n">
        <x:v>101336</x:v>
      </x:c>
      <x:c r="M100" s="9" t="n">
        <x:f>J100+L100</x:f>
        <x:v>1368037</x:v>
      </x:c>
      <x:c r="N100" s="2" t="str">
        <x:v>Khách hàng Tiktok</x:v>
      </x:c>
      <x:c r="O100" s="2" t="str">
        <x:v>Có BHH gốc</x:v>
      </x:c>
      <x:c r="P100" s="2" t="str">
        <x:v>Khớp sổ AMIS 2024</x:v>
      </x:c>
      <x:c r="Q100" s="2" t="str">
        <x:v>20581</x:v>
      </x:c>
    </x:row>
    <x:row r="101" ht="42" customHeight="1">
      <x:c r="A101" s="7" t="str">
        <x:v>BTL00089</x:v>
      </x:c>
      <x:c r="B101" s="6" t="d">
        <x:v>2024-07-24T00:00:00.000Z</x:v>
      </x:c>
      <x:c r="C101" s="7" t="str">
        <x:v>BHHT2024009354</x:v>
      </x:c>
      <x:c r="D101" s="2" t="n">
        <x:v>2</x:v>
      </x:c>
      <x:c r="E101" s="7" t="str">
        <x:v>KA350FILTERFULL</x:v>
      </x:c>
      <x:c r="F101" s="10" t="str">
        <x:v>Lõi lọc diệt khuẩn Filter KA350 - model: FT KA350</x:v>
      </x:c>
      <x:c r="G101" s="2" t="str">
        <x:v>Cái</x:v>
      </x:c>
      <x:c r="H101" s="8" t="n">
        <x:v>1</x:v>
      </x:c>
      <x:c r="I101" s="8" t="n">
        <x:v>436077</x:v>
      </x:c>
      <x:c r="J101" s="9" t="n">
        <x:v>436077</x:v>
      </x:c>
      <x:c r="K101" s="2" t="n">
        <x:v>8</x:v>
      </x:c>
      <x:c r="L101" s="9" t="n">
        <x:v>34886</x:v>
      </x:c>
      <x:c r="M101" s="9" t="n">
        <x:f>J101+L101</x:f>
        <x:v>470963</x:v>
      </x:c>
      <x:c r="N101" s="2" t="str">
        <x:v>Khách hàng Tiktok</x:v>
      </x:c>
      <x:c r="O101" s="2" t="str">
        <x:v>Có BHH gốc</x:v>
      </x:c>
      <x:c r="P101" s="2" t="str">
        <x:v>Khớp sổ AMIS 2024</x:v>
      </x:c>
      <x:c r="Q101" s="2" t="str">
        <x:v>20582</x:v>
      </x:c>
    </x:row>
    <x:row r="102" ht="42" customHeight="1">
      <x:c r="A102" s="7" t="str">
        <x:v>BTL00090</x:v>
      </x:c>
      <x:c r="B102" s="6" t="d">
        <x:v>2024-07-30T00:00:00.000Z</x:v>
      </x:c>
      <x:c r="C102" s="7" t="str">
        <x:v>BHHT2024010747</x:v>
      </x:c>
      <x:c r="D102" s="2" t="n">
        <x:v>1</x:v>
      </x:c>
      <x:c r="E102" s="7" t="str">
        <x:v>KA600FULL</x:v>
      </x:c>
      <x:c r="F102" s="10" t="str">
        <x:v>Máy lọc không khí diệt khuẩn bằng tia UVC - True UVC Air Purifier . Model: KA600</x:v>
      </x:c>
      <x:c r="G102" s="2" t="str">
        <x:v>Cái</x:v>
      </x:c>
      <x:c r="H102" s="8" t="n">
        <x:v>1</x:v>
      </x:c>
      <x:c r="I102" s="8" t="n">
        <x:v>2037076</x:v>
      </x:c>
      <x:c r="J102" s="9" t="n">
        <x:v>2037076</x:v>
      </x:c>
      <x:c r="K102" s="2" t="n">
        <x:v>8</x:v>
      </x:c>
      <x:c r="L102" s="9" t="n">
        <x:v>162966</x:v>
      </x:c>
      <x:c r="M102" s="9" t="n">
        <x:f>J102+L102</x:f>
        <x:v>2200042</x:v>
      </x:c>
      <x:c r="N102" s="2" t="str">
        <x:v>Khách hàng Tiktok</x:v>
      </x:c>
      <x:c r="O102" s="2" t="str">
        <x:v>Có BHH gốc</x:v>
      </x:c>
      <x:c r="P102" s="2" t="str">
        <x:v>Khớp sổ AMIS 2024</x:v>
      </x:c>
      <x:c r="Q102" s="2" t="str">
        <x:v>21523</x:v>
      </x:c>
    </x:row>
    <x:row r="103" ht="42" customHeight="1">
      <x:c r="A103" s="7" t="str">
        <x:v>BTL00090</x:v>
      </x:c>
      <x:c r="B103" s="6" t="d">
        <x:v>2024-07-30T00:00:00.000Z</x:v>
      </x:c>
      <x:c r="C103" s="7" t="str">
        <x:v>BHHT2024010747</x:v>
      </x:c>
      <x:c r="D103" s="2" t="n">
        <x:v>2</x:v>
      </x:c>
      <x:c r="E103" s="7" t="str">
        <x:v>KA600FILTERFULL</x:v>
      </x:c>
      <x:c r="F103" s="10" t="str">
        <x:v>Lõi lọc diệt khuẩn - Filter, model:FT- KA600</x:v>
      </x:c>
      <x:c r="G103" s="2" t="str">
        <x:v>Cái</x:v>
      </x:c>
      <x:c r="H103" s="8" t="n">
        <x:v>1</x:v>
      </x:c>
      <x:c r="I103" s="8" t="n">
        <x:v>536072</x:v>
      </x:c>
      <x:c r="J103" s="9" t="n">
        <x:v>536072</x:v>
      </x:c>
      <x:c r="K103" s="2" t="n">
        <x:v>8</x:v>
      </x:c>
      <x:c r="L103" s="9" t="n">
        <x:v>42886</x:v>
      </x:c>
      <x:c r="M103" s="9" t="n">
        <x:f>J103+L103</x:f>
        <x:v>578958</x:v>
      </x:c>
      <x:c r="N103" s="2" t="str">
        <x:v>Khách hàng Tiktok</x:v>
      </x:c>
      <x:c r="O103" s="2" t="str">
        <x:v>Có BHH gốc</x:v>
      </x:c>
      <x:c r="P103" s="2" t="str">
        <x:v>Khớp sổ AMIS 2024</x:v>
      </x:c>
      <x:c r="Q103" s="2" t="str">
        <x:v>21524</x:v>
      </x:c>
    </x:row>
    <x:row r="104" ht="42" customHeight="1">
      <x:c r="A104" s="7" t="str">
        <x:v>BTL00166</x:v>
      </x:c>
      <x:c r="B104" s="6" t="d">
        <x:v>2024-07-30T00:00:00.000Z</x:v>
      </x:c>
      <x:c r="C104" s="7" t="str">
        <x:v>BHHS2024003749</x:v>
      </x:c>
      <x:c r="D104" s="2" t="n">
        <x:v>1</x:v>
      </x:c>
      <x:c r="E104" s="7" t="str">
        <x:v>KA350LIGHTFULL</x:v>
      </x:c>
      <x:c r="F104" s="10" t="str">
        <x:v>Máy lọc không khí diệt khuẩn bằng tia UVC (True UVC Air Purifier - KA350) model KA350</x:v>
      </x:c>
      <x:c r="G104" s="2" t="str">
        <x:v>Cái</x:v>
      </x:c>
      <x:c r="H104" s="8" t="n">
        <x:v>1</x:v>
      </x:c>
      <x:c r="I104" s="8" t="n">
        <x:v>1266701</x:v>
      </x:c>
      <x:c r="J104" s="9" t="n">
        <x:v>1266701</x:v>
      </x:c>
      <x:c r="K104" s="2" t="n">
        <x:v>8</x:v>
      </x:c>
      <x:c r="L104" s="9" t="n">
        <x:v>101336</x:v>
      </x:c>
      <x:c r="M104" s="9" t="n">
        <x:f>J104+L104</x:f>
        <x:v>1368037</x:v>
      </x:c>
      <x:c r="N104" s="2" t="str">
        <x:v>Khách hàng Shoppe</x:v>
      </x:c>
      <x:c r="O104" s="2" t="str">
        <x:v>Có BHH gốc</x:v>
      </x:c>
      <x:c r="P104" s="2" t="str">
        <x:v>Khớp sổ AMIS 2024</x:v>
      </x:c>
      <x:c r="Q104" s="2" t="str">
        <x:v>21525</x:v>
      </x:c>
    </x:row>
    <x:row r="105" ht="42" customHeight="1">
      <x:c r="A105" s="7" t="str">
        <x:v>BTL00166</x:v>
      </x:c>
      <x:c r="B105" s="6" t="d">
        <x:v>2024-07-30T00:00:00.000Z</x:v>
      </x:c>
      <x:c r="C105" s="7" t="str">
        <x:v>BHHS2024003749</x:v>
      </x:c>
      <x:c r="D105" s="2" t="n">
        <x:v>2</x:v>
      </x:c>
      <x:c r="E105" s="7" t="str">
        <x:v>KA350FILTERFULL</x:v>
      </x:c>
      <x:c r="F105" s="10" t="str">
        <x:v>Lõi lọc diệt khuẩn Filter KA350 - model: FT KA350</x:v>
      </x:c>
      <x:c r="G105" s="2" t="str">
        <x:v>Cái</x:v>
      </x:c>
      <x:c r="H105" s="8" t="n">
        <x:v>1</x:v>
      </x:c>
      <x:c r="I105" s="8" t="n">
        <x:v>436077</x:v>
      </x:c>
      <x:c r="J105" s="9" t="n">
        <x:v>436077</x:v>
      </x:c>
      <x:c r="K105" s="2" t="n">
        <x:v>8</x:v>
      </x:c>
      <x:c r="L105" s="9" t="n">
        <x:v>34886</x:v>
      </x:c>
      <x:c r="M105" s="9" t="n">
        <x:f>J105+L105</x:f>
        <x:v>470963</x:v>
      </x:c>
      <x:c r="N105" s="2" t="str">
        <x:v>Khách hàng Shoppe</x:v>
      </x:c>
      <x:c r="O105" s="2" t="str">
        <x:v>Có BHH gốc</x:v>
      </x:c>
      <x:c r="P105" s="2" t="str">
        <x:v>Khớp sổ AMIS 2024</x:v>
      </x:c>
      <x:c r="Q105" s="2" t="str">
        <x:v>21526</x:v>
      </x:c>
    </x:row>
    <x:row r="106" ht="42" customHeight="1">
      <x:c r="A106" s="7" t="str">
        <x:v>BTL00165</x:v>
      </x:c>
      <x:c r="B106" s="6" t="d">
        <x:v>2024-07-31T00:00:00.000Z</x:v>
      </x:c>
      <x:c r="C106" s="7" t="str">
        <x:v>BHHS2024003694</x:v>
      </x:c>
      <x:c r="D106" s="2" t="n">
        <x:v>1</x:v>
      </x:c>
      <x:c r="E106" s="7" t="str">
        <x:v>KM100FULL</x:v>
      </x:c>
      <x:c r="F106" s="10" t="str">
        <x:v>Đèn bắt muỗi, ruồi và các loại côn trùng KM100</x:v>
      </x:c>
      <x:c r="G106" s="2" t="str">
        <x:v>Cái</x:v>
      </x:c>
      <x:c r="H106" s="8" t="n">
        <x:v>2</x:v>
      </x:c>
      <x:c r="I106" s="8" t="n">
        <x:v>193518.5</x:v>
      </x:c>
      <x:c r="J106" s="9" t="n">
        <x:v>387037</x:v>
      </x:c>
      <x:c r="K106" s="2" t="n">
        <x:v>8</x:v>
      </x:c>
      <x:c r="L106" s="9" t="n">
        <x:v>30963</x:v>
      </x:c>
      <x:c r="M106" s="9" t="n">
        <x:f>J106+L106</x:f>
        <x:v>418000</x:v>
      </x:c>
      <x:c r="N106" s="2" t="str">
        <x:v>Khách hàng Shoppe</x:v>
      </x:c>
      <x:c r="O106" s="2" t="str">
        <x:v>Có BHH gốc</x:v>
      </x:c>
      <x:c r="P106" s="2" t="str">
        <x:v>Khớp sổ AMIS 2024</x:v>
      </x:c>
      <x:c r="Q106" s="2" t="str">
        <x:v>21659</x:v>
      </x:c>
    </x:row>
    <x:row r="107" ht="42" customHeight="1">
      <x:c r="A107" s="7" t="str">
        <x:v>BTL00092</x:v>
      </x:c>
      <x:c r="B107" s="6" t="d">
        <x:v>2024-08-01T00:00:00.000Z</x:v>
      </x:c>
      <x:c r="C107" s="7" t="str">
        <x:v>BHHT2024011482</x:v>
      </x:c>
      <x:c r="D107" s="2" t="n">
        <x:v>1</x:v>
      </x:c>
      <x:c r="E107" s="7" t="str">
        <x:v>KA350LIGHTFULL</x:v>
      </x:c>
      <x:c r="F107" s="10" t="str">
        <x:v>Máy lọc không khí diệt khuẩn bằng tia UVC (True UVC Air Purifier - KA350) model KA350</x:v>
      </x:c>
      <x:c r="G107" s="2" t="str">
        <x:v>Cái</x:v>
      </x:c>
      <x:c r="H107" s="8" t="n">
        <x:v>1</x:v>
      </x:c>
      <x:c r="I107" s="8" t="n">
        <x:v>1266701</x:v>
      </x:c>
      <x:c r="J107" s="9" t="n">
        <x:v>1266701</x:v>
      </x:c>
      <x:c r="K107" s="2" t="n">
        <x:v>8</x:v>
      </x:c>
      <x:c r="L107" s="9" t="n">
        <x:v>101336</x:v>
      </x:c>
      <x:c r="M107" s="9" t="n">
        <x:f>J107+L107</x:f>
        <x:v>1368037</x:v>
      </x:c>
      <x:c r="N107" s="2" t="str">
        <x:v>Khách hàng Tiktok</x:v>
      </x:c>
      <x:c r="O107" s="2" t="str">
        <x:v>Có BHH gốc</x:v>
      </x:c>
      <x:c r="P107" s="2" t="str">
        <x:v>Khớp sổ AMIS 2024</x:v>
      </x:c>
      <x:c r="Q107" s="2" t="str">
        <x:v>21858</x:v>
      </x:c>
    </x:row>
    <x:row r="108" ht="42" customHeight="1">
      <x:c r="A108" s="7" t="str">
        <x:v>BTL00092</x:v>
      </x:c>
      <x:c r="B108" s="6" t="d">
        <x:v>2024-08-01T00:00:00.000Z</x:v>
      </x:c>
      <x:c r="C108" s="7" t="str">
        <x:v>BHHT2024011482</x:v>
      </x:c>
      <x:c r="D108" s="2" t="n">
        <x:v>2</x:v>
      </x:c>
      <x:c r="E108" s="7" t="str">
        <x:v>KA350FILTERFULL</x:v>
      </x:c>
      <x:c r="F108" s="10" t="str">
        <x:v>Lõi lọc diệt khuẩn Filter KA350 - model: FT KA350</x:v>
      </x:c>
      <x:c r="G108" s="2" t="str">
        <x:v>Cái</x:v>
      </x:c>
      <x:c r="H108" s="8" t="n">
        <x:v>1</x:v>
      </x:c>
      <x:c r="I108" s="8" t="n">
        <x:v>436077</x:v>
      </x:c>
      <x:c r="J108" s="9" t="n">
        <x:v>436077</x:v>
      </x:c>
      <x:c r="K108" s="2" t="n">
        <x:v>8</x:v>
      </x:c>
      <x:c r="L108" s="9" t="n">
        <x:v>34886</x:v>
      </x:c>
      <x:c r="M108" s="9" t="n">
        <x:f>J108+L108</x:f>
        <x:v>470963</x:v>
      </x:c>
      <x:c r="N108" s="2" t="str">
        <x:v>Khách hàng Tiktok</x:v>
      </x:c>
      <x:c r="O108" s="2" t="str">
        <x:v>Có BHH gốc</x:v>
      </x:c>
      <x:c r="P108" s="2" t="str">
        <x:v>Khớp sổ AMIS 2024</x:v>
      </x:c>
      <x:c r="Q108" s="2" t="str">
        <x:v>21859</x:v>
      </x:c>
    </x:row>
    <x:row r="109" ht="42" customHeight="1">
      <x:c r="A109" s="7" t="str">
        <x:v>BTL00093</x:v>
      </x:c>
      <x:c r="B109" s="6" t="d">
        <x:v>2024-08-08T00:00:00.000Z</x:v>
      </x:c>
      <x:c r="C109" s="7" t="str">
        <x:v>BHHT2024014145</x:v>
      </x:c>
      <x:c r="D109" s="2" t="n">
        <x:v>1</x:v>
      </x:c>
      <x:c r="E109" s="7" t="str">
        <x:v>KA150SFULL</x:v>
      </x:c>
      <x:c r="F109" s="10" t="str">
        <x:v>Máy lọc không khí diệt khuẩn bằng tia UVC - True UVC Air Purifiers - KA150S</x:v>
      </x:c>
      <x:c r="G109" s="2" t="str">
        <x:v>Cái</x:v>
      </x:c>
      <x:c r="H109" s="8" t="n">
        <x:v>1</x:v>
      </x:c>
      <x:c r="I109" s="8" t="n">
        <x:v>962037</x:v>
      </x:c>
      <x:c r="J109" s="9" t="n">
        <x:v>962037</x:v>
      </x:c>
      <x:c r="K109" s="2" t="n">
        <x:v>8</x:v>
      </x:c>
      <x:c r="L109" s="9" t="n">
        <x:v>76963</x:v>
      </x:c>
      <x:c r="M109" s="9" t="n">
        <x:f>J109+L109</x:f>
        <x:v>1039000</x:v>
      </x:c>
      <x:c r="N109" s="2" t="str">
        <x:v>Khách hàng Tiktok</x:v>
      </x:c>
      <x:c r="O109" s="2" t="str">
        <x:v>Có BHH gốc</x:v>
      </x:c>
      <x:c r="P109" s="2" t="str">
        <x:v>Khớp sổ AMIS 2024</x:v>
      </x:c>
      <x:c r="Q109" s="2" t="str">
        <x:v>22901</x:v>
      </x:c>
    </x:row>
    <x:row r="110" ht="42" customHeight="1">
      <x:c r="A110" s="7" t="str">
        <x:v>BTL00094</x:v>
      </x:c>
      <x:c r="B110" s="6" t="d">
        <x:v>2024-08-10T00:00:00.000Z</x:v>
      </x:c>
      <x:c r="C110" s="7" t="str">
        <x:v>BHHT2024014393</x:v>
      </x:c>
      <x:c r="D110" s="2" t="n">
        <x:v>1</x:v>
      </x:c>
      <x:c r="E110" s="7" t="str">
        <x:v>KA600FULL</x:v>
      </x:c>
      <x:c r="F110" s="10" t="str">
        <x:v>Máy lọc không khí diệt khuẩn bằng tia UVC - True UVC Air Purifier . Model: KA600</x:v>
      </x:c>
      <x:c r="G110" s="2" t="str">
        <x:v>Cái</x:v>
      </x:c>
      <x:c r="H110" s="8" t="n">
        <x:v>1</x:v>
      </x:c>
      <x:c r="I110" s="8" t="n">
        <x:v>2573148</x:v>
      </x:c>
      <x:c r="J110" s="9" t="n">
        <x:v>2573148</x:v>
      </x:c>
      <x:c r="K110" s="2" t="n">
        <x:v>8</x:v>
      </x:c>
      <x:c r="L110" s="9" t="n">
        <x:v>205852</x:v>
      </x:c>
      <x:c r="M110" s="9" t="n">
        <x:f>J110+L110</x:f>
        <x:v>2779000</x:v>
      </x:c>
      <x:c r="N110" s="2" t="str">
        <x:v>Khách hàng Tiktok</x:v>
      </x:c>
      <x:c r="O110" s="2" t="str">
        <x:v>Có BHH gốc</x:v>
      </x:c>
      <x:c r="P110" s="2" t="str">
        <x:v>Khớp sổ AMIS 2024</x:v>
      </x:c>
      <x:c r="Q110" s="2" t="str">
        <x:v>23441</x:v>
      </x:c>
    </x:row>
    <x:row r="111" ht="42" customHeight="1">
      <x:c r="A111" s="7" t="str">
        <x:v>BTL00095</x:v>
      </x:c>
      <x:c r="B111" s="6" t="d">
        <x:v>2024-08-13T00:00:00.000Z</x:v>
      </x:c>
      <x:c r="C111" s="7" t="str">
        <x:v>BHHT2024014174</x:v>
      </x:c>
      <x:c r="D111" s="2" t="n">
        <x:v>1</x:v>
      </x:c>
      <x:c r="E111" s="7" t="str">
        <x:v>KA350LIGHTFULL</x:v>
      </x:c>
      <x:c r="F111" s="10" t="str">
        <x:v>Máy lọc không khí diệt khuẩn bằng tia UVC (True UVC Air Purifier - KA350) model KA350</x:v>
      </x:c>
      <x:c r="G111" s="2" t="str">
        <x:v>Cái</x:v>
      </x:c>
      <x:c r="H111" s="8" t="n">
        <x:v>1</x:v>
      </x:c>
      <x:c r="I111" s="8" t="n">
        <x:v>1739815</x:v>
      </x:c>
      <x:c r="J111" s="9" t="n">
        <x:v>1739815</x:v>
      </x:c>
      <x:c r="K111" s="2" t="n">
        <x:v>8</x:v>
      </x:c>
      <x:c r="L111" s="9" t="n">
        <x:v>139185</x:v>
      </x:c>
      <x:c r="M111" s="9" t="n">
        <x:f>J111+L111</x:f>
        <x:v>1879000</x:v>
      </x:c>
      <x:c r="N111" s="2" t="str">
        <x:v>Khách hàng Tiktok</x:v>
      </x:c>
      <x:c r="O111" s="2" t="str">
        <x:v>Có BHH gốc</x:v>
      </x:c>
      <x:c r="P111" s="2" t="str">
        <x:v>Khớp sổ AMIS 2024</x:v>
      </x:c>
      <x:c r="Q111" s="2" t="str">
        <x:v>23934</x:v>
      </x:c>
    </x:row>
    <x:row r="112" ht="42" customHeight="1">
      <x:c r="A112" s="7" t="str">
        <x:v>BTL00096</x:v>
      </x:c>
      <x:c r="B112" s="6" t="d">
        <x:v>2024-08-17T00:00:00.000Z</x:v>
      </x:c>
      <x:c r="C112" s="7" t="str">
        <x:v>BHHT2024013129</x:v>
      </x:c>
      <x:c r="D112" s="2" t="n">
        <x:v>1</x:v>
      </x:c>
      <x:c r="E112" s="7" t="str">
        <x:v>KA350LIGHTFULL</x:v>
      </x:c>
      <x:c r="F112" s="10" t="str">
        <x:v>Máy lọc không khí diệt khuẩn bằng tia UVC (True UVC Air Purifier - KA350) model KA350</x:v>
      </x:c>
      <x:c r="G112" s="2" t="str">
        <x:v>Cái</x:v>
      </x:c>
      <x:c r="H112" s="8" t="n">
        <x:v>1</x:v>
      </x:c>
      <x:c r="I112" s="8" t="n">
        <x:v>1266701</x:v>
      </x:c>
      <x:c r="J112" s="9" t="n">
        <x:v>1266701</x:v>
      </x:c>
      <x:c r="K112" s="2" t="n">
        <x:v>8</x:v>
      </x:c>
      <x:c r="L112" s="9" t="n">
        <x:v>101336</x:v>
      </x:c>
      <x:c r="M112" s="9" t="n">
        <x:f>J112+L112</x:f>
        <x:v>1368037</x:v>
      </x:c>
      <x:c r="N112" s="2" t="str">
        <x:v>Khách hàng Tiktok</x:v>
      </x:c>
      <x:c r="O112" s="2" t="str">
        <x:v>Có BHH gốc</x:v>
      </x:c>
      <x:c r="P112" s="2" t="str">
        <x:v>Khớp sổ AMIS 2024</x:v>
      </x:c>
      <x:c r="Q112" s="2" t="str">
        <x:v>24800</x:v>
      </x:c>
    </x:row>
    <x:row r="113" ht="42" customHeight="1">
      <x:c r="A113" s="7" t="str">
        <x:v>BTL00096</x:v>
      </x:c>
      <x:c r="B113" s="6" t="d">
        <x:v>2024-08-17T00:00:00.000Z</x:v>
      </x:c>
      <x:c r="C113" s="7" t="str">
        <x:v>BHHT2024013129</x:v>
      </x:c>
      <x:c r="D113" s="2" t="n">
        <x:v>2</x:v>
      </x:c>
      <x:c r="E113" s="7" t="str">
        <x:v>KA350FILTERFULL</x:v>
      </x:c>
      <x:c r="F113" s="10" t="str">
        <x:v>Lõi lọc diệt khuẩn Filter KA350 - model: FT KA350</x:v>
      </x:c>
      <x:c r="G113" s="2" t="str">
        <x:v>Cái</x:v>
      </x:c>
      <x:c r="H113" s="8" t="n">
        <x:v>1</x:v>
      </x:c>
      <x:c r="I113" s="8" t="n">
        <x:v>436077</x:v>
      </x:c>
      <x:c r="J113" s="9" t="n">
        <x:v>436077</x:v>
      </x:c>
      <x:c r="K113" s="2" t="n">
        <x:v>8</x:v>
      </x:c>
      <x:c r="L113" s="9" t="n">
        <x:v>34886</x:v>
      </x:c>
      <x:c r="M113" s="9" t="n">
        <x:f>J113+L113</x:f>
        <x:v>470963</x:v>
      </x:c>
      <x:c r="N113" s="2" t="str">
        <x:v>Khách hàng Tiktok</x:v>
      </x:c>
      <x:c r="O113" s="2" t="str">
        <x:v>Có BHH gốc</x:v>
      </x:c>
      <x:c r="P113" s="2" t="str">
        <x:v>Khớp sổ AMIS 2024</x:v>
      </x:c>
      <x:c r="Q113" s="2" t="str">
        <x:v>24801</x:v>
      </x:c>
    </x:row>
    <x:row r="114" ht="42" customHeight="1">
      <x:c r="A114" s="7" t="str">
        <x:v>BTL00097</x:v>
      </x:c>
      <x:c r="B114" s="6" t="d">
        <x:v>2024-08-20T00:00:00.000Z</x:v>
      </x:c>
      <x:c r="C114" s="7" t="str">
        <x:v>BHHT2024012463</x:v>
      </x:c>
      <x:c r="D114" s="2" t="n">
        <x:v>1</x:v>
      </x:c>
      <x:c r="E114" s="7" t="str">
        <x:v>KA350LIGHTFULL</x:v>
      </x:c>
      <x:c r="F114" s="10" t="str">
        <x:v>Máy lọc không khí diệt khuẩn bằng tia UVC (True UVC Air Purifier - KA350) model KA350</x:v>
      </x:c>
      <x:c r="G114" s="2" t="str">
        <x:v>Cái</x:v>
      </x:c>
      <x:c r="H114" s="8" t="n">
        <x:v>1</x:v>
      </x:c>
      <x:c r="I114" s="8" t="n">
        <x:v>1266701</x:v>
      </x:c>
      <x:c r="J114" s="9" t="n">
        <x:v>1266701</x:v>
      </x:c>
      <x:c r="K114" s="2" t="n">
        <x:v>8</x:v>
      </x:c>
      <x:c r="L114" s="9" t="n">
        <x:v>101336</x:v>
      </x:c>
      <x:c r="M114" s="9" t="n">
        <x:f>J114+L114</x:f>
        <x:v>1368037</x:v>
      </x:c>
      <x:c r="N114" s="2" t="str">
        <x:v>Khách hàng Tiktok</x:v>
      </x:c>
      <x:c r="O114" s="2" t="str">
        <x:v>Có BHH gốc</x:v>
      </x:c>
      <x:c r="P114" s="2" t="str">
        <x:v>Khớp sổ AMIS 2024</x:v>
      </x:c>
      <x:c r="Q114" s="2" t="str">
        <x:v>25050</x:v>
      </x:c>
    </x:row>
    <x:row r="115" ht="42" customHeight="1">
      <x:c r="A115" s="7" t="str">
        <x:v>BTL00097</x:v>
      </x:c>
      <x:c r="B115" s="6" t="d">
        <x:v>2024-08-20T00:00:00.000Z</x:v>
      </x:c>
      <x:c r="C115" s="7" t="str">
        <x:v>BHHT2024012463</x:v>
      </x:c>
      <x:c r="D115" s="2" t="n">
        <x:v>2</x:v>
      </x:c>
      <x:c r="E115" s="7" t="str">
        <x:v>KA350FILTERFULL</x:v>
      </x:c>
      <x:c r="F115" s="10" t="str">
        <x:v>Lõi lọc diệt khuẩn Filter KA350 - model: FT KA350</x:v>
      </x:c>
      <x:c r="G115" s="2" t="str">
        <x:v>Cái</x:v>
      </x:c>
      <x:c r="H115" s="8" t="n">
        <x:v>1</x:v>
      </x:c>
      <x:c r="I115" s="8" t="n">
        <x:v>436077</x:v>
      </x:c>
      <x:c r="J115" s="9" t="n">
        <x:v>436077</x:v>
      </x:c>
      <x:c r="K115" s="2" t="n">
        <x:v>8</x:v>
      </x:c>
      <x:c r="L115" s="9" t="n">
        <x:v>34886</x:v>
      </x:c>
      <x:c r="M115" s="9" t="n">
        <x:f>J115+L115</x:f>
        <x:v>470963</x:v>
      </x:c>
      <x:c r="N115" s="2" t="str">
        <x:v>Khách hàng Tiktok</x:v>
      </x:c>
      <x:c r="O115" s="2" t="str">
        <x:v>Có BHH gốc</x:v>
      </x:c>
      <x:c r="P115" s="2" t="str">
        <x:v>Khớp sổ AMIS 2024</x:v>
      </x:c>
      <x:c r="Q115" s="2" t="str">
        <x:v>25051</x:v>
      </x:c>
    </x:row>
    <x:row r="116" ht="42" customHeight="1">
      <x:c r="A116" s="7" t="str">
        <x:v>BTL00098</x:v>
      </x:c>
      <x:c r="B116" s="6" t="d">
        <x:v>2024-08-28T00:00:00.000Z</x:v>
      </x:c>
      <x:c r="C116" s="7" t="str">
        <x:v>BHHT2024012648</x:v>
      </x:c>
      <x:c r="D116" s="2" t="n">
        <x:v>1</x:v>
      </x:c>
      <x:c r="E116" s="7" t="str">
        <x:v>KA150SFULL</x:v>
      </x:c>
      <x:c r="F116" s="10" t="str">
        <x:v>Máy lọc không khí diệt khuẩn bằng tia UVC - True UVC Air Purifiers - KA150S</x:v>
      </x:c>
      <x:c r="G116" s="2" t="str">
        <x:v>Cái</x:v>
      </x:c>
      <x:c r="H116" s="8" t="n">
        <x:v>1</x:v>
      </x:c>
      <x:c r="I116" s="8" t="n">
        <x:v>962037</x:v>
      </x:c>
      <x:c r="J116" s="9" t="n">
        <x:v>962037</x:v>
      </x:c>
      <x:c r="K116" s="2" t="n">
        <x:v>8</x:v>
      </x:c>
      <x:c r="L116" s="9" t="n">
        <x:v>76963</x:v>
      </x:c>
      <x:c r="M116" s="9" t="n">
        <x:f>J116+L116</x:f>
        <x:v>1039000</x:v>
      </x:c>
      <x:c r="N116" s="2" t="str">
        <x:v>Khách hàng Tiktok</x:v>
      </x:c>
      <x:c r="O116" s="2" t="str">
        <x:v>Có BHH gốc</x:v>
      </x:c>
      <x:c r="P116" s="2" t="str">
        <x:v>Khớp sổ AMIS 2024</x:v>
      </x:c>
      <x:c r="Q116" s="2" t="str">
        <x:v>25770</x:v>
      </x:c>
    </x:row>
    <x:row r="117" ht="42" customHeight="1">
      <x:c r="A117" s="7" t="str">
        <x:v>BTL00099</x:v>
      </x:c>
      <x:c r="B117" s="6" t="d">
        <x:v>2024-08-30T00:00:00.000Z</x:v>
      </x:c>
      <x:c r="C117" s="7" t="str">
        <x:v>BHHT2024017020</x:v>
      </x:c>
      <x:c r="D117" s="2" t="n">
        <x:v>1</x:v>
      </x:c>
      <x:c r="E117" s="7" t="str">
        <x:v>COKACN01CRCH</x:v>
      </x:c>
      <x:c r="F117" s="10" t="str">
        <x:v>Nguồn sạc điện 12V-2A</x:v>
      </x:c>
      <x:c r="G117" s="2" t="str">
        <x:v>Cái</x:v>
      </x:c>
      <x:c r="H117" s="8" t="n">
        <x:v>1</x:v>
      </x:c>
      <x:c r="I117" s="8" t="n">
        <x:v>51978</x:v>
      </x:c>
      <x:c r="J117" s="9" t="n">
        <x:v>51978</x:v>
      </x:c>
      <x:c r="K117" s="2" t="n">
        <x:v>8</x:v>
      </x:c>
      <x:c r="L117" s="9" t="n">
        <x:v>4159</x:v>
      </x:c>
      <x:c r="M117" s="9" t="n">
        <x:f>J117+L117</x:f>
        <x:v>56137</x:v>
      </x:c>
      <x:c r="N117" s="2" t="str">
        <x:v>Khách hàng Tiktok</x:v>
      </x:c>
      <x:c r="O117" s="2" t="str">
        <x:v>Có BHH gốc</x:v>
      </x:c>
      <x:c r="P117" s="2" t="str">
        <x:v>Khớp sổ AMIS 2024</x:v>
      </x:c>
      <x:c r="Q117" s="2" t="str">
        <x:v>25985</x:v>
      </x:c>
    </x:row>
    <x:row r="118" ht="42" customHeight="1">
      <x:c r="A118" s="7" t="str">
        <x:v>BTL00099</x:v>
      </x:c>
      <x:c r="B118" s="6" t="d">
        <x:v>2024-08-30T00:00:00.000Z</x:v>
      </x:c>
      <x:c r="C118" s="7" t="str">
        <x:v>BHHT2024017020</x:v>
      </x:c>
      <x:c r="D118" s="2" t="n">
        <x:v>2</x:v>
      </x:c>
      <x:c r="E118" s="7" t="str">
        <x:v>VCOKACN01STAP</x:v>
      </x:c>
      <x:c r="F118" s="10" t="str">
        <x:v>Dây đeo băng vải cao su 60cm, code: TL-RUB60, dùng kết nối xe và máy UVC tia cực tím, nhà sx Tonglu, mới 100%</x:v>
      </x:c>
      <x:c r="G118" s="2" t="str">
        <x:v>Sợi</x:v>
      </x:c>
      <x:c r="H118" s="8" t="n">
        <x:v>1</x:v>
      </x:c>
      <x:c r="I118" s="8" t="n">
        <x:v>22276</x:v>
      </x:c>
      <x:c r="J118" s="9" t="n">
        <x:v>22276</x:v>
      </x:c>
      <x:c r="K118" s="2" t="n">
        <x:v>8</x:v>
      </x:c>
      <x:c r="L118" s="9" t="n">
        <x:v>1782</x:v>
      </x:c>
      <x:c r="M118" s="9" t="n">
        <x:f>J118+L118</x:f>
        <x:v>24058</x:v>
      </x:c>
      <x:c r="N118" s="2" t="str">
        <x:v>Khách hàng Tiktok</x:v>
      </x:c>
      <x:c r="O118" s="2" t="str">
        <x:v>Có BHH gốc</x:v>
      </x:c>
      <x:c r="P118" s="2" t="str">
        <x:v>Khớp sổ AMIS 2024</x:v>
      </x:c>
      <x:c r="Q118" s="2" t="str">
        <x:v>25986, 25989</x:v>
      </x:c>
    </x:row>
    <x:row r="119" ht="42" customHeight="1">
      <x:c r="A119" s="7" t="str">
        <x:v>BTL00099</x:v>
      </x:c>
      <x:c r="B119" s="6" t="d">
        <x:v>2024-08-30T00:00:00.000Z</x:v>
      </x:c>
      <x:c r="C119" s="7" t="str">
        <x:v>BHHT2024017020</x:v>
      </x:c>
      <x:c r="D119" s="2" t="n">
        <x:v>3</x:v>
      </x:c>
      <x:c r="E119" s="7" t="str">
        <x:v>KA100UVC70</x:v>
      </x:c>
      <x:c r="F119" s="10" t="str">
        <x:v>Máy Lọc Không Khí Ô Tô, Khử Mùi, Diệt Khuẩn UVC LED UVGREEN KA100</x:v>
      </x:c>
      <x:c r="G119" s="2" t="str">
        <x:v>Bộ</x:v>
      </x:c>
      <x:c r="H119" s="8" t="n">
        <x:v>1</x:v>
      </x:c>
      <x:c r="I119" s="8" t="n">
        <x:v>965300</x:v>
      </x:c>
      <x:c r="J119" s="9" t="n">
        <x:v>965300</x:v>
      </x:c>
      <x:c r="K119" s="2" t="n">
        <x:v>8</x:v>
      </x:c>
      <x:c r="L119" s="9" t="n">
        <x:v>77224</x:v>
      </x:c>
      <x:c r="M119" s="9" t="n">
        <x:f>J119+L119</x:f>
        <x:v>1042524</x:v>
      </x:c>
      <x:c r="N119" s="2" t="str">
        <x:v>Khách hàng Tiktok</x:v>
      </x:c>
      <x:c r="O119" s="2" t="str">
        <x:v>Có BHH gốc</x:v>
      </x:c>
      <x:c r="P119" s="2" t="str">
        <x:v>Khớp sổ AMIS 2024</x:v>
      </x:c>
      <x:c r="Q119" s="2" t="str">
        <x:v>25987</x:v>
      </x:c>
    </x:row>
    <x:row r="120" ht="42" customHeight="1">
      <x:c r="A120" s="7" t="str">
        <x:v>BTL00099</x:v>
      </x:c>
      <x:c r="B120" s="6" t="d">
        <x:v>2024-08-30T00:00:00.000Z</x:v>
      </x:c>
      <x:c r="C120" s="7" t="str">
        <x:v>BHHT2024017020</x:v>
      </x:c>
      <x:c r="D120" s="2" t="n">
        <x:v>4</x:v>
      </x:c>
      <x:c r="E120" s="7" t="str">
        <x:v>COKACN01CBFL</x:v>
      </x:c>
      <x:c r="F120" s="10" t="str">
        <x:v>Màng lọc carbon</x:v>
      </x:c>
      <x:c r="G120" s="2" t="str">
        <x:v>Cái</x:v>
      </x:c>
      <x:c r="H120" s="8" t="n">
        <x:v>3</x:v>
      </x:c>
      <x:c r="I120" s="8" t="n">
        <x:v>11138</x:v>
      </x:c>
      <x:c r="J120" s="9" t="n">
        <x:v>33414</x:v>
      </x:c>
      <x:c r="K120" s="2" t="n">
        <x:v>8</x:v>
      </x:c>
      <x:c r="L120" s="9" t="n">
        <x:v>2673</x:v>
      </x:c>
      <x:c r="M120" s="9" t="n">
        <x:f>J120+L120</x:f>
        <x:v>36087</x:v>
      </x:c>
      <x:c r="N120" s="2" t="str">
        <x:v>Khách hàng Tiktok</x:v>
      </x:c>
      <x:c r="O120" s="2" t="str">
        <x:v>Có BHH gốc</x:v>
      </x:c>
      <x:c r="P120" s="2" t="str">
        <x:v>Khớp sổ AMIS 2024</x:v>
      </x:c>
      <x:c r="Q120" s="2" t="str">
        <x:v>25988</x:v>
      </x:c>
    </x:row>
    <x:row r="121" ht="42" customHeight="1">
      <x:c r="A121" s="7" t="str">
        <x:v>BTL00099</x:v>
      </x:c>
      <x:c r="B121" s="6" t="d">
        <x:v>2024-08-30T00:00:00.000Z</x:v>
      </x:c>
      <x:c r="C121" s="7" t="str">
        <x:v>BHHT2024017020</x:v>
      </x:c>
      <x:c r="D121" s="2" t="n">
        <x:v>5</x:v>
      </x:c>
      <x:c r="E121" s="7" t="str">
        <x:v>VCOKACN01STAP</x:v>
      </x:c>
      <x:c r="F121" s="10" t="str">
        <x:v>Dây đeo băng vải cao su 60cm, code: TL-RUB60, dùng kết nối xe và máy UVC tia cực tím, nhà sx Tonglu, mới 100%</x:v>
      </x:c>
      <x:c r="G121" s="2" t="str">
        <x:v>Sợi</x:v>
      </x:c>
      <x:c r="H121" s="8" t="n">
        <x:v>1</x:v>
      </x:c>
      <x:c r="I121" s="8" t="n">
        <x:v>22276</x:v>
      </x:c>
      <x:c r="J121" s="9" t="n">
        <x:v>22276</x:v>
      </x:c>
      <x:c r="K121" s="2" t="n">
        <x:v>8</x:v>
      </x:c>
      <x:c r="L121" s="9" t="n">
        <x:v>1782</x:v>
      </x:c>
      <x:c r="M121" s="9" t="n">
        <x:f>J121+L121</x:f>
        <x:v>24058</x:v>
      </x:c>
      <x:c r="N121" s="2" t="str">
        <x:v>Khách hàng Tiktok</x:v>
      </x:c>
      <x:c r="O121" s="2" t="str">
        <x:v>Có BHH gốc</x:v>
      </x:c>
      <x:c r="P121" s="2" t="str">
        <x:v>Khớp sổ AMIS 2024</x:v>
      </x:c>
      <x:c r="Q121" s="2" t="str">
        <x:v>25986, 25989</x:v>
      </x:c>
    </x:row>
    <x:row r="122" ht="42" customHeight="1">
      <x:c r="A122" s="7" t="str">
        <x:v>BTL00099</x:v>
      </x:c>
      <x:c r="B122" s="6" t="d">
        <x:v>2024-08-30T00:00:00.000Z</x:v>
      </x:c>
      <x:c r="C122" s="7" t="str">
        <x:v>BHHT2024017020</x:v>
      </x:c>
      <x:c r="D122" s="2" t="n">
        <x:v>6</x:v>
      </x:c>
      <x:c r="E122" s="7" t="str">
        <x:v>COKACN01CRCH</x:v>
      </x:c>
      <x:c r="F122" s="10" t="str">
        <x:v>Nguồn sạc điện 12V-2A</x:v>
      </x:c>
      <x:c r="G122" s="2" t="str">
        <x:v>Cái</x:v>
      </x:c>
      <x:c r="H122" s="8" t="n">
        <x:v>1</x:v>
      </x:c>
      <x:c r="I122" s="8" t="n">
        <x:v>51978</x:v>
      </x:c>
      <x:c r="J122" s="9" t="n">
        <x:v>51978</x:v>
      </x:c>
      <x:c r="K122" s="2" t="n">
        <x:v>8</x:v>
      </x:c>
      <x:c r="L122" s="9" t="n">
        <x:v>4158</x:v>
      </x:c>
      <x:c r="M122" s="9" t="n">
        <x:f>J122+L122</x:f>
        <x:v>56136</x:v>
      </x:c>
      <x:c r="N122" s="2" t="str">
        <x:v>Khách hàng Tiktok</x:v>
      </x:c>
      <x:c r="O122" s="2" t="str">
        <x:v>Có BHH gốc</x:v>
      </x:c>
      <x:c r="P122" s="2" t="str">
        <x:v>Khớp sổ AMIS 2024</x:v>
      </x:c>
      <x:c r="Q122" s="2" t="str">
        <x:v>25990</x:v>
      </x:c>
    </x:row>
    <x:row r="123" ht="42" customHeight="1">
      <x:c r="A123" s="7" t="str">
        <x:v>BTL00100</x:v>
      </x:c>
      <x:c r="B123" s="6" t="d">
        <x:v>2024-09-04T00:00:00.000Z</x:v>
      </x:c>
      <x:c r="C123" s="7" t="str">
        <x:v>BHHT2024012234</x:v>
      </x:c>
      <x:c r="D123" s="2" t="n">
        <x:v>1</x:v>
      </x:c>
      <x:c r="E123" s="7" t="str">
        <x:v>KA150SFULL</x:v>
      </x:c>
      <x:c r="F123" s="10" t="str">
        <x:v>Máy lọc không khí diệt khuẩn bằng tia UVC - True UVC Air Purifiers - KA150S</x:v>
      </x:c>
      <x:c r="G123" s="2" t="str">
        <x:v>Cái</x:v>
      </x:c>
      <x:c r="H123" s="8" t="n">
        <x:v>1</x:v>
      </x:c>
      <x:c r="I123" s="8" t="n">
        <x:v>943519</x:v>
      </x:c>
      <x:c r="J123" s="9" t="n">
        <x:v>943519</x:v>
      </x:c>
      <x:c r="K123" s="2" t="n">
        <x:v>8</x:v>
      </x:c>
      <x:c r="L123" s="9" t="n">
        <x:v>75481</x:v>
      </x:c>
      <x:c r="M123" s="9" t="n">
        <x:f>J123+L123</x:f>
        <x:v>1019000</x:v>
      </x:c>
      <x:c r="N123" s="2" t="str">
        <x:v>Khách hàng Tiktok</x:v>
      </x:c>
      <x:c r="O123" s="2" t="str">
        <x:v>Có BHH gốc</x:v>
      </x:c>
      <x:c r="P123" s="2" t="str">
        <x:v>Khớp sổ AMIS 2024</x:v>
      </x:c>
      <x:c r="Q123" s="2" t="str">
        <x:v>26542</x:v>
      </x:c>
    </x:row>
    <x:row r="124" ht="42" customHeight="1">
      <x:c r="A124" s="7" t="str">
        <x:v>BTL00101</x:v>
      </x:c>
      <x:c r="B124" s="6" t="d">
        <x:v>2024-09-04T00:00:00.000Z</x:v>
      </x:c>
      <x:c r="C124" s="7" t="str">
        <x:v>BHHT2024012197</x:v>
      </x:c>
      <x:c r="D124" s="2" t="n">
        <x:v>1</x:v>
      </x:c>
      <x:c r="E124" s="7" t="str">
        <x:v>KA150SFULL</x:v>
      </x:c>
      <x:c r="F124" s="10" t="str">
        <x:v>Máy lọc không khí diệt khuẩn bằng tia UVC - True UVC Air Purifiers - KA150S</x:v>
      </x:c>
      <x:c r="G124" s="2" t="str">
        <x:v>Cái</x:v>
      </x:c>
      <x:c r="H124" s="8" t="n">
        <x:v>1</x:v>
      </x:c>
      <x:c r="I124" s="8" t="n">
        <x:v>962037</x:v>
      </x:c>
      <x:c r="J124" s="9" t="n">
        <x:v>962037</x:v>
      </x:c>
      <x:c r="K124" s="2" t="n">
        <x:v>8</x:v>
      </x:c>
      <x:c r="L124" s="9" t="n">
        <x:v>76963</x:v>
      </x:c>
      <x:c r="M124" s="9" t="n">
        <x:f>J124+L124</x:f>
        <x:v>1039000</x:v>
      </x:c>
      <x:c r="N124" s="2" t="str">
        <x:v>Khách hàng Tiktok</x:v>
      </x:c>
      <x:c r="O124" s="2" t="str">
        <x:v>Có BHH gốc</x:v>
      </x:c>
      <x:c r="P124" s="2" t="str">
        <x:v>Khớp sổ AMIS 2024</x:v>
      </x:c>
      <x:c r="Q124" s="2" t="str">
        <x:v>26543</x:v>
      </x:c>
    </x:row>
    <x:row r="125" ht="42" customHeight="1">
      <x:c r="A125" s="7" t="str">
        <x:v>BTL00102</x:v>
      </x:c>
      <x:c r="B125" s="6" t="d">
        <x:v>2024-09-07T00:00:00.000Z</x:v>
      </x:c>
      <x:c r="C125" s="7" t="str">
        <x:v>BHHT2024013685</x:v>
      </x:c>
      <x:c r="D125" s="2" t="n">
        <x:v>1</x:v>
      </x:c>
      <x:c r="E125" s="7" t="str">
        <x:v>KM300FULL</x:v>
      </x:c>
      <x:c r="F125" s="10" t="str">
        <x:v>Đèn bắt muỗi, ruồi và các loại côn trùng UVA Electronical Mosquito Killer, Model: KM300</x:v>
      </x:c>
      <x:c r="G125" s="2" t="str">
        <x:v>Cái</x:v>
      </x:c>
      <x:c r="H125" s="8" t="n">
        <x:v>3</x:v>
      </x:c>
      <x:c r="I125" s="8" t="n">
        <x:v>455864.33</x:v>
      </x:c>
      <x:c r="J125" s="9" t="n">
        <x:v>1367593</x:v>
      </x:c>
      <x:c r="K125" s="2" t="n">
        <x:v>8</x:v>
      </x:c>
      <x:c r="L125" s="9" t="n">
        <x:v>109407</x:v>
      </x:c>
      <x:c r="M125" s="9" t="n">
        <x:f>J125+L125</x:f>
        <x:v>1477000</x:v>
      </x:c>
      <x:c r="N125" s="2" t="str">
        <x:v>Khách hàng Tiktok</x:v>
      </x:c>
      <x:c r="O125" s="2" t="str">
        <x:v>Có BHH gốc</x:v>
      </x:c>
      <x:c r="P125" s="2" t="str">
        <x:v>Khớp sổ AMIS 2024</x:v>
      </x:c>
      <x:c r="Q125" s="2" t="str">
        <x:v>26840</x:v>
      </x:c>
    </x:row>
    <x:row r="126" ht="42" customHeight="1">
      <x:c r="A126" s="7" t="str">
        <x:v>BTL00164</x:v>
      </x:c>
      <x:c r="B126" s="6" t="d">
        <x:v>2024-09-11T00:00:00.000Z</x:v>
      </x:c>
      <x:c r="C126" s="7" t="str">
        <x:v>BHHS2024004950</x:v>
      </x:c>
      <x:c r="D126" s="2" t="n">
        <x:v>1</x:v>
      </x:c>
      <x:c r="E126" s="7" t="str">
        <x:v>KA350LIGHTFULL</x:v>
      </x:c>
      <x:c r="F126" s="10" t="str">
        <x:v>Máy lọc không khí diệt khuẩn bằng tia UVC (True UVC Air Purifier - KA350) model KA350</x:v>
      </x:c>
      <x:c r="G126" s="2" t="str">
        <x:v>Cái</x:v>
      </x:c>
      <x:c r="H126" s="8" t="n">
        <x:v>1</x:v>
      </x:c>
      <x:c r="I126" s="8" t="n">
        <x:v>1542220</x:v>
      </x:c>
      <x:c r="J126" s="9" t="n">
        <x:v>1542220</x:v>
      </x:c>
      <x:c r="K126" s="2" t="n">
        <x:v>8</x:v>
      </x:c>
      <x:c r="L126" s="9" t="n">
        <x:v>123378</x:v>
      </x:c>
      <x:c r="M126" s="9" t="n">
        <x:f>J126+L126</x:f>
        <x:v>1665598</x:v>
      </x:c>
      <x:c r="N126" s="2" t="str">
        <x:v>Khách hàng Shoppe</x:v>
      </x:c>
      <x:c r="O126" s="2" t="str">
        <x:v>Có BHH gốc</x:v>
      </x:c>
      <x:c r="P126" s="2" t="str">
        <x:v>Khớp sổ AMIS 2024</x:v>
      </x:c>
      <x:c r="Q126" s="2" t="str">
        <x:v>27875</x:v>
      </x:c>
    </x:row>
    <x:row r="127" ht="42" customHeight="1">
      <x:c r="A127" s="7" t="str">
        <x:v>BTL00164</x:v>
      </x:c>
      <x:c r="B127" s="6" t="d">
        <x:v>2024-09-11T00:00:00.000Z</x:v>
      </x:c>
      <x:c r="C127" s="7" t="str">
        <x:v>BHHS2024004950</x:v>
      </x:c>
      <x:c r="D127" s="2" t="n">
        <x:v>2</x:v>
      </x:c>
      <x:c r="E127" s="7" t="str">
        <x:v>KA350FILTERFULL</x:v>
      </x:c>
      <x:c r="F127" s="10" t="str">
        <x:v>Lõi lọc diệt khuẩn Filter KA350 - model: FT KA350</x:v>
      </x:c>
      <x:c r="G127" s="2" t="str">
        <x:v>Cái</x:v>
      </x:c>
      <x:c r="H127" s="8" t="n">
        <x:v>1</x:v>
      </x:c>
      <x:c r="I127" s="8" t="n">
        <x:v>530928</x:v>
      </x:c>
      <x:c r="J127" s="9" t="n">
        <x:v>530928</x:v>
      </x:c>
      <x:c r="K127" s="2" t="n">
        <x:v>8</x:v>
      </x:c>
      <x:c r="L127" s="9" t="n">
        <x:v>42474</x:v>
      </x:c>
      <x:c r="M127" s="9" t="n">
        <x:f>J127+L127</x:f>
        <x:v>573402</x:v>
      </x:c>
      <x:c r="N127" s="2" t="str">
        <x:v>Khách hàng Shoppe</x:v>
      </x:c>
      <x:c r="O127" s="2" t="str">
        <x:v>Có BHH gốc</x:v>
      </x:c>
      <x:c r="P127" s="2" t="str">
        <x:v>Khớp sổ AMIS 2024</x:v>
      </x:c>
      <x:c r="Q127" s="2" t="str">
        <x:v>27876</x:v>
      </x:c>
    </x:row>
    <x:row r="128" ht="42" customHeight="1">
      <x:c r="A128" s="7" t="str">
        <x:v>BTL00103</x:v>
      </x:c>
      <x:c r="B128" s="6" t="d">
        <x:v>2024-09-14T00:00:00.000Z</x:v>
      </x:c>
      <x:c r="C128" s="7" t="str">
        <x:v>BHHT2024015945</x:v>
      </x:c>
      <x:c r="D128" s="2" t="n">
        <x:v>1</x:v>
      </x:c>
      <x:c r="E128" s="7" t="str">
        <x:v>KA150SFULL</x:v>
      </x:c>
      <x:c r="F128" s="10" t="str">
        <x:v>Máy lọc không khí diệt khuẩn bằng tia UVC - True UVC Air Purifiers - KA150S</x:v>
      </x:c>
      <x:c r="G128" s="2" t="str">
        <x:v>Cái</x:v>
      </x:c>
      <x:c r="H128" s="8" t="n">
        <x:v>1</x:v>
      </x:c>
      <x:c r="I128" s="8" t="n">
        <x:v>962037</x:v>
      </x:c>
      <x:c r="J128" s="9" t="n">
        <x:v>962037</x:v>
      </x:c>
      <x:c r="K128" s="2" t="n">
        <x:v>8</x:v>
      </x:c>
      <x:c r="L128" s="9" t="n">
        <x:v>76963</x:v>
      </x:c>
      <x:c r="M128" s="9" t="n">
        <x:f>J128+L128</x:f>
        <x:v>1039000</x:v>
      </x:c>
      <x:c r="N128" s="2" t="str">
        <x:v>Khách hàng Tiktok</x:v>
      </x:c>
      <x:c r="O128" s="2" t="str">
        <x:v>Có BHH gốc</x:v>
      </x:c>
      <x:c r="P128" s="2" t="str">
        <x:v>Khớp sổ AMIS 2024</x:v>
      </x:c>
      <x:c r="Q128" s="2" t="str">
        <x:v>28337</x:v>
      </x:c>
    </x:row>
    <x:row r="129" ht="42" customHeight="1">
      <x:c r="A129" s="7" t="str">
        <x:v>BTL00104</x:v>
      </x:c>
      <x:c r="B129" s="6" t="d">
        <x:v>2024-09-14T00:00:00.000Z</x:v>
      </x:c>
      <x:c r="C129" s="7" t="str">
        <x:v>BHHT2024016643</x:v>
      </x:c>
      <x:c r="D129" s="2" t="n">
        <x:v>1</x:v>
      </x:c>
      <x:c r="E129" s="7" t="str">
        <x:v>KA150SFULL</x:v>
      </x:c>
      <x:c r="F129" s="10" t="str">
        <x:v>Máy lọc không khí diệt khuẩn bằng tia UVC - True UVC Air Purifiers - KA150S</x:v>
      </x:c>
      <x:c r="G129" s="2" t="str">
        <x:v>Cái</x:v>
      </x:c>
      <x:c r="H129" s="8" t="n">
        <x:v>1</x:v>
      </x:c>
      <x:c r="I129" s="8" t="n">
        <x:v>962037</x:v>
      </x:c>
      <x:c r="J129" s="9" t="n">
        <x:v>962037</x:v>
      </x:c>
      <x:c r="K129" s="2" t="n">
        <x:v>8</x:v>
      </x:c>
      <x:c r="L129" s="9" t="n">
        <x:v>76963</x:v>
      </x:c>
      <x:c r="M129" s="9" t="n">
        <x:f>J129+L129</x:f>
        <x:v>1039000</x:v>
      </x:c>
      <x:c r="N129" s="2" t="str">
        <x:v>Khách hàng Tiktok</x:v>
      </x:c>
      <x:c r="O129" s="2" t="str">
        <x:v>Có BHH gốc</x:v>
      </x:c>
      <x:c r="P129" s="2" t="str">
        <x:v>Khớp sổ AMIS 2024</x:v>
      </x:c>
      <x:c r="Q129" s="2" t="str">
        <x:v>28338</x:v>
      </x:c>
    </x:row>
    <x:row r="130" ht="42" customHeight="1">
      <x:c r="A130" s="7" t="str">
        <x:v>BTL00105</x:v>
      </x:c>
      <x:c r="B130" s="6" t="d">
        <x:v>2024-09-14T00:00:00.000Z</x:v>
      </x:c>
      <x:c r="C130" s="7" t="str">
        <x:v>BHHT2024007997</x:v>
      </x:c>
      <x:c r="D130" s="2" t="n">
        <x:v>1</x:v>
      </x:c>
      <x:c r="E130" s="7" t="str">
        <x:v>KA350LIGHTFULL</x:v>
      </x:c>
      <x:c r="F130" s="10" t="str">
        <x:v>Máy lọc không khí diệt khuẩn bằng tia UVC (True UVC Air Purifier - KA350) model KA350</x:v>
      </x:c>
      <x:c r="G130" s="2" t="str">
        <x:v>Cái</x:v>
      </x:c>
      <x:c r="H130" s="8" t="n">
        <x:v>1</x:v>
      </x:c>
      <x:c r="I130" s="8" t="n">
        <x:v>1239149</x:v>
      </x:c>
      <x:c r="J130" s="9" t="n">
        <x:v>1239149</x:v>
      </x:c>
      <x:c r="K130" s="2" t="n">
        <x:v>8</x:v>
      </x:c>
      <x:c r="L130" s="9" t="n">
        <x:v>99132</x:v>
      </x:c>
      <x:c r="M130" s="9" t="n">
        <x:f>J130+L130</x:f>
        <x:v>1338281</x:v>
      </x:c>
      <x:c r="N130" s="2" t="str">
        <x:v>Khách hàng Tiktok</x:v>
      </x:c>
      <x:c r="O130" s="2" t="str">
        <x:v>Có BHH gốc</x:v>
      </x:c>
      <x:c r="P130" s="2" t="str">
        <x:v>Khớp sổ AMIS 2024</x:v>
      </x:c>
      <x:c r="Q130" s="2" t="str">
        <x:v>28339</x:v>
      </x:c>
    </x:row>
    <x:row r="131" ht="42" customHeight="1">
      <x:c r="A131" s="7" t="str">
        <x:v>BTL00105</x:v>
      </x:c>
      <x:c r="B131" s="6" t="d">
        <x:v>2024-09-14T00:00:00.000Z</x:v>
      </x:c>
      <x:c r="C131" s="7" t="str">
        <x:v>BHHT2024007997</x:v>
      </x:c>
      <x:c r="D131" s="2" t="n">
        <x:v>2</x:v>
      </x:c>
      <x:c r="E131" s="7" t="str">
        <x:v>KA350FILTERFULL</x:v>
      </x:c>
      <x:c r="F131" s="10" t="str">
        <x:v>Lõi lọc diệt khuẩn Filter KA350 - model: FT KA350</x:v>
      </x:c>
      <x:c r="G131" s="2" t="str">
        <x:v>Cái</x:v>
      </x:c>
      <x:c r="H131" s="8" t="n">
        <x:v>1</x:v>
      </x:c>
      <x:c r="I131" s="8" t="n">
        <x:v>426592</x:v>
      </x:c>
      <x:c r="J131" s="9" t="n">
        <x:v>426592</x:v>
      </x:c>
      <x:c r="K131" s="2" t="n">
        <x:v>8</x:v>
      </x:c>
      <x:c r="L131" s="9" t="n">
        <x:v>34127</x:v>
      </x:c>
      <x:c r="M131" s="9" t="n">
        <x:f>J131+L131</x:f>
        <x:v>460719</x:v>
      </x:c>
      <x:c r="N131" s="2" t="str">
        <x:v>Khách hàng Tiktok</x:v>
      </x:c>
      <x:c r="O131" s="2" t="str">
        <x:v>Có BHH gốc</x:v>
      </x:c>
      <x:c r="P131" s="2" t="str">
        <x:v>Khớp sổ AMIS 2024</x:v>
      </x:c>
      <x:c r="Q131" s="2" t="str">
        <x:v>28340</x:v>
      </x:c>
    </x:row>
    <x:row r="132" ht="42" customHeight="1">
      <x:c r="A132" s="7" t="str">
        <x:v>BTL00106</x:v>
      </x:c>
      <x:c r="B132" s="6" t="d">
        <x:v>2024-09-16T00:00:00.000Z</x:v>
      </x:c>
      <x:c r="C132" s="7" t="str">
        <x:v>BHHT2024015976</x:v>
      </x:c>
      <x:c r="D132" s="2" t="n">
        <x:v>1</x:v>
      </x:c>
      <x:c r="E132" s="7" t="str">
        <x:v>KA150SFULL</x:v>
      </x:c>
      <x:c r="F132" s="10" t="str">
        <x:v>Máy lọc không khí diệt khuẩn bằng tia UVC - True UVC Air Purifiers - KA150S</x:v>
      </x:c>
      <x:c r="G132" s="2" t="str">
        <x:v>Cái</x:v>
      </x:c>
      <x:c r="H132" s="8" t="n">
        <x:v>1</x:v>
      </x:c>
      <x:c r="I132" s="8" t="n">
        <x:v>950926</x:v>
      </x:c>
      <x:c r="J132" s="9" t="n">
        <x:v>950926</x:v>
      </x:c>
      <x:c r="K132" s="2" t="n">
        <x:v>8</x:v>
      </x:c>
      <x:c r="L132" s="9" t="n">
        <x:v>76074</x:v>
      </x:c>
      <x:c r="M132" s="9" t="n">
        <x:f>J132+L132</x:f>
        <x:v>1027000</x:v>
      </x:c>
      <x:c r="N132" s="2" t="str">
        <x:v>Khách hàng Tiktok</x:v>
      </x:c>
      <x:c r="O132" s="2" t="str">
        <x:v>Có BHH gốc</x:v>
      </x:c>
      <x:c r="P132" s="2" t="str">
        <x:v>Khớp sổ AMIS 2024</x:v>
      </x:c>
      <x:c r="Q132" s="2" t="str">
        <x:v>28719</x:v>
      </x:c>
    </x:row>
    <x:row r="133" ht="42" customHeight="1">
      <x:c r="A133" s="7" t="str">
        <x:v>BTL00162</x:v>
      </x:c>
      <x:c r="B133" s="6" t="d">
        <x:v>2024-09-16T00:00:00.000Z</x:v>
      </x:c>
      <x:c r="C133" s="7" t="str">
        <x:v>BHHS2024004547</x:v>
      </x:c>
      <x:c r="D133" s="2" t="n">
        <x:v>1</x:v>
      </x:c>
      <x:c r="E133" s="7" t="str">
        <x:v>KA350LIGHTFULL</x:v>
      </x:c>
      <x:c r="F133" s="10" t="str">
        <x:v>Máy lọc không khí diệt khuẩn bằng tia UVC (True UVC Air Purifier - KA350) model KA350</x:v>
      </x:c>
      <x:c r="G133" s="2" t="str">
        <x:v>Cái</x:v>
      </x:c>
      <x:c r="H133" s="8" t="n">
        <x:v>1</x:v>
      </x:c>
      <x:c r="I133" s="8" t="n">
        <x:v>1739815</x:v>
      </x:c>
      <x:c r="J133" s="9" t="n">
        <x:v>1739815</x:v>
      </x:c>
      <x:c r="K133" s="2" t="n">
        <x:v>8</x:v>
      </x:c>
      <x:c r="L133" s="9" t="n">
        <x:v>139185</x:v>
      </x:c>
      <x:c r="M133" s="9" t="n">
        <x:f>J133+L133</x:f>
        <x:v>1879000</x:v>
      </x:c>
      <x:c r="N133" s="2" t="str">
        <x:v>Khách hàng Shoppe</x:v>
      </x:c>
      <x:c r="O133" s="2" t="str">
        <x:v>Có BHH gốc</x:v>
      </x:c>
      <x:c r="P133" s="2" t="str">
        <x:v>Khớp sổ AMIS 2024</x:v>
      </x:c>
      <x:c r="Q133" s="2" t="str">
        <x:v>28720</x:v>
      </x:c>
    </x:row>
    <x:row r="134" ht="42" customHeight="1">
      <x:c r="A134" s="7" t="str">
        <x:v>BTL00163</x:v>
      </x:c>
      <x:c r="B134" s="6" t="d">
        <x:v>2024-09-16T00:00:00.000Z</x:v>
      </x:c>
      <x:c r="C134" s="7" t="str">
        <x:v>BHHS2024004811</x:v>
      </x:c>
      <x:c r="D134" s="2" t="n">
        <x:v>1</x:v>
      </x:c>
      <x:c r="E134" s="7" t="str">
        <x:v>KM300FULL</x:v>
      </x:c>
      <x:c r="F134" s="10" t="str">
        <x:v>Đèn bắt muỗi, ruồi và các loại côn trùng UVA Electronical Mosquito Killer, Model: KM300</x:v>
      </x:c>
      <x:c r="G134" s="2" t="str">
        <x:v>Cái</x:v>
      </x:c>
      <x:c r="H134" s="8" t="n">
        <x:v>1</x:v>
      </x:c>
      <x:c r="I134" s="8" t="n">
        <x:v>434259</x:v>
      </x:c>
      <x:c r="J134" s="9" t="n">
        <x:v>434259</x:v>
      </x:c>
      <x:c r="K134" s="2" t="n">
        <x:v>8</x:v>
      </x:c>
      <x:c r="L134" s="9" t="n">
        <x:v>34741</x:v>
      </x:c>
      <x:c r="M134" s="9" t="n">
        <x:f>J134+L134</x:f>
        <x:v>469000</x:v>
      </x:c>
      <x:c r="N134" s="2" t="str">
        <x:v>Khách hàng Shoppe</x:v>
      </x:c>
      <x:c r="O134" s="2" t="str">
        <x:v>Có BHH gốc</x:v>
      </x:c>
      <x:c r="P134" s="2" t="str">
        <x:v>Khớp sổ AMIS 2024</x:v>
      </x:c>
      <x:c r="Q134" s="2" t="str">
        <x:v>28721</x:v>
      </x:c>
    </x:row>
    <x:row r="135" ht="42" customHeight="1">
      <x:c r="A135" s="7" t="str">
        <x:v>BTL00182</x:v>
      </x:c>
      <x:c r="B135" s="6" t="d">
        <x:v>2024-09-16T00:00:00.000Z</x:v>
      </x:c>
      <x:c r="C135" s="7" t="str">
        <x:v>BHHS2024005256</x:v>
      </x:c>
      <x:c r="D135" s="2" t="n">
        <x:v>1</x:v>
      </x:c>
      <x:c r="E135" s="7" t="str">
        <x:v>KA600FULL</x:v>
      </x:c>
      <x:c r="F135" s="10" t="str">
        <x:v>Máy lọc không khí diệt khuẩn bằng tia UVC - True UVC Air Purifier . Model: KA600</x:v>
      </x:c>
      <x:c r="G135" s="2" t="str">
        <x:v>Cái</x:v>
      </x:c>
      <x:c r="H135" s="8" t="n">
        <x:v>1</x:v>
      </x:c>
      <x:c r="I135" s="8" t="n">
        <x:v>2037076</x:v>
      </x:c>
      <x:c r="J135" s="9" t="n">
        <x:v>2037076</x:v>
      </x:c>
      <x:c r="K135" s="2" t="n">
        <x:v>8</x:v>
      </x:c>
      <x:c r="L135" s="9" t="n">
        <x:v>162966</x:v>
      </x:c>
      <x:c r="M135" s="9" t="n">
        <x:f>J135+L135</x:f>
        <x:v>2200042</x:v>
      </x:c>
      <x:c r="N135" s="2" t="str">
        <x:v>Khách hàng Shoppe</x:v>
      </x:c>
      <x:c r="O135" s="2" t="str">
        <x:v>Có BHH gốc</x:v>
      </x:c>
      <x:c r="P135" s="2" t="str">
        <x:v>Khớp sổ AMIS 2024</x:v>
      </x:c>
      <x:c r="Q135" s="2" t="str">
        <x:v>28722</x:v>
      </x:c>
    </x:row>
    <x:row r="136" ht="42" customHeight="1">
      <x:c r="A136" s="7" t="str">
        <x:v>BTL00182</x:v>
      </x:c>
      <x:c r="B136" s="6" t="d">
        <x:v>2024-09-16T00:00:00.000Z</x:v>
      </x:c>
      <x:c r="C136" s="7" t="str">
        <x:v>BHHS2024005256</x:v>
      </x:c>
      <x:c r="D136" s="2" t="n">
        <x:v>2</x:v>
      </x:c>
      <x:c r="E136" s="7" t="str">
        <x:v>KA600FILTERFULL</x:v>
      </x:c>
      <x:c r="F136" s="10" t="str">
        <x:v>Lõi lọc diệt khuẩn - Filter, model:FT- KA600</x:v>
      </x:c>
      <x:c r="G136" s="2" t="str">
        <x:v>Cái</x:v>
      </x:c>
      <x:c r="H136" s="8" t="n">
        <x:v>1</x:v>
      </x:c>
      <x:c r="I136" s="8" t="n">
        <x:v>536073</x:v>
      </x:c>
      <x:c r="J136" s="9" t="n">
        <x:v>536073</x:v>
      </x:c>
      <x:c r="K136" s="2" t="n">
        <x:v>8</x:v>
      </x:c>
      <x:c r="L136" s="9" t="n">
        <x:v>42885</x:v>
      </x:c>
      <x:c r="M136" s="9" t="n">
        <x:f>J136+L136</x:f>
        <x:v>578958</x:v>
      </x:c>
      <x:c r="N136" s="2" t="str">
        <x:v>Khách hàng Shoppe</x:v>
      </x:c>
      <x:c r="O136" s="2" t="str">
        <x:v>Có BHH gốc</x:v>
      </x:c>
      <x:c r="P136" s="2" t="str">
        <x:v>Khớp sổ AMIS 2024</x:v>
      </x:c>
      <x:c r="Q136" s="2" t="str">
        <x:v>28723</x:v>
      </x:c>
    </x:row>
    <x:row r="137" ht="42" customHeight="1">
      <x:c r="A137" s="7" t="str">
        <x:v>BTL00024</x:v>
      </x:c>
      <x:c r="B137" s="6" t="d">
        <x:v>2024-09-24T00:00:00.000Z</x:v>
      </x:c>
      <x:c r="C137" s="7" t="str">
        <x:v>BHHS2024005761</x:v>
      </x:c>
      <x:c r="D137" s="2" t="n">
        <x:v>1</x:v>
      </x:c>
      <x:c r="E137" s="7" t="str">
        <x:v>KM100FULL</x:v>
      </x:c>
      <x:c r="F137" s="10" t="str">
        <x:v>Đèn bắt muỗi, ruồi và các loại côn trùng KM100</x:v>
      </x:c>
      <x:c r="G137" s="2" t="str">
        <x:v>Cái</x:v>
      </x:c>
      <x:c r="H137" s="8" t="n">
        <x:v>1</x:v>
      </x:c>
      <x:c r="I137" s="8" t="n">
        <x:v>202778</x:v>
      </x:c>
      <x:c r="J137" s="9" t="n">
        <x:v>202778</x:v>
      </x:c>
      <x:c r="K137" s="2" t="n">
        <x:v>8</x:v>
      </x:c>
      <x:c r="L137" s="9" t="n">
        <x:v>16222</x:v>
      </x:c>
      <x:c r="M137" s="9" t="n">
        <x:f>J137+L137</x:f>
        <x:v>219000</x:v>
      </x:c>
      <x:c r="N137" s="2" t="str">
        <x:v>Khách hàng Shoppe</x:v>
      </x:c>
      <x:c r="O137" s="2" t="str">
        <x:v>Có BHH gốc</x:v>
      </x:c>
      <x:c r="P137" s="2" t="str">
        <x:v>Khớp sổ AMIS 2024</x:v>
      </x:c>
      <x:c r="Q137" s="2" t="str">
        <x:v>30054</x:v>
      </x:c>
    </x:row>
    <x:row r="138" ht="42" customHeight="1">
      <x:c r="A138" s="7" t="str">
        <x:v>BTL00130</x:v>
      </x:c>
      <x:c r="B138" s="6" t="d">
        <x:v>2024-09-24T00:00:00.000Z</x:v>
      </x:c>
      <x:c r="C138" s="7" t="str">
        <x:v>BHHS2024005303</x:v>
      </x:c>
      <x:c r="D138" s="2" t="n">
        <x:v>1</x:v>
      </x:c>
      <x:c r="E138" s="7" t="str">
        <x:v>KA350LIGHTFULL</x:v>
      </x:c>
      <x:c r="F138" s="10" t="str">
        <x:v>Máy lọc không khí diệt khuẩn bằng tia UVC (True UVC Air Purifier - KA350) model KA350</x:v>
      </x:c>
      <x:c r="G138" s="2" t="str">
        <x:v>Cái</x:v>
      </x:c>
      <x:c r="H138" s="8" t="n">
        <x:v>1</x:v>
      </x:c>
      <x:c r="I138" s="8" t="n">
        <x:v>1739815</x:v>
      </x:c>
      <x:c r="J138" s="9" t="n">
        <x:v>1739815</x:v>
      </x:c>
      <x:c r="K138" s="2" t="n">
        <x:v>8</x:v>
      </x:c>
      <x:c r="L138" s="9" t="n">
        <x:v>139185</x:v>
      </x:c>
      <x:c r="M138" s="9" t="n">
        <x:f>J138+L138</x:f>
        <x:v>1879000</x:v>
      </x:c>
      <x:c r="N138" s="2" t="str">
        <x:v>Khách hàng Shoppe</x:v>
      </x:c>
      <x:c r="O138" s="2" t="str">
        <x:v>Có BHH gốc</x:v>
      </x:c>
      <x:c r="P138" s="2" t="str">
        <x:v>Khớp sổ AMIS 2024</x:v>
      </x:c>
      <x:c r="Q138" s="2" t="str">
        <x:v>30055</x:v>
      </x:c>
    </x:row>
    <x:row r="139" ht="42" customHeight="1">
      <x:c r="A139" s="7" t="str">
        <x:v>BTL00131</x:v>
      </x:c>
      <x:c r="B139" s="6" t="d">
        <x:v>2024-09-24T00:00:00.000Z</x:v>
      </x:c>
      <x:c r="C139" s="7" t="str">
        <x:v>BHHS2024005127</x:v>
      </x:c>
      <x:c r="D139" s="2" t="n">
        <x:v>1</x:v>
      </x:c>
      <x:c r="E139" s="7" t="str">
        <x:v>KA150SFILTERFULL</x:v>
      </x:c>
      <x:c r="F139" s="10" t="str">
        <x:v>Lõi lọc diệt khuẩn (Filter-FT-KA150S), model: FT-KA150S</x:v>
      </x:c>
      <x:c r="G139" s="2" t="str">
        <x:v>Cái</x:v>
      </x:c>
      <x:c r="H139" s="8" t="n">
        <x:v>1</x:v>
      </x:c>
      <x:c r="I139" s="8" t="n">
        <x:v>462963</x:v>
      </x:c>
      <x:c r="J139" s="9" t="n">
        <x:v>462963</x:v>
      </x:c>
      <x:c r="K139" s="2" t="n">
        <x:v>8</x:v>
      </x:c>
      <x:c r="L139" s="9" t="n">
        <x:v>37037</x:v>
      </x:c>
      <x:c r="M139" s="9" t="n">
        <x:f>J139+L139</x:f>
        <x:v>500000</x:v>
      </x:c>
      <x:c r="N139" s="2" t="str">
        <x:v>Khách hàng Shoppe</x:v>
      </x:c>
      <x:c r="O139" s="2" t="str">
        <x:v>Có BHH gốc</x:v>
      </x:c>
      <x:c r="P139" s="2" t="str">
        <x:v>Khớp sổ AMIS 2024</x:v>
      </x:c>
      <x:c r="Q139" s="2" t="str">
        <x:v>30056</x:v>
      </x:c>
    </x:row>
    <x:row r="140" ht="42" customHeight="1">
      <x:c r="A140" s="7" t="str">
        <x:v>BTL00161</x:v>
      </x:c>
      <x:c r="B140" s="6" t="d">
        <x:v>2024-09-24T00:00:00.000Z</x:v>
      </x:c>
      <x:c r="C140" s="7" t="str">
        <x:v>BHHS2024005124</x:v>
      </x:c>
      <x:c r="D140" s="2" t="n">
        <x:v>1</x:v>
      </x:c>
      <x:c r="E140" s="7" t="str">
        <x:v>KM300FULL</x:v>
      </x:c>
      <x:c r="F140" s="10" t="str">
        <x:v>Đèn bắt muỗi, ruồi và các loại côn trùng UVA Electronical Mosquito Killer, Model: KM300</x:v>
      </x:c>
      <x:c r="G140" s="2" t="str">
        <x:v>Cái</x:v>
      </x:c>
      <x:c r="H140" s="8" t="n">
        <x:v>1</x:v>
      </x:c>
      <x:c r="I140" s="8" t="n">
        <x:v>416667</x:v>
      </x:c>
      <x:c r="J140" s="9" t="n">
        <x:v>416667</x:v>
      </x:c>
      <x:c r="K140" s="2" t="n">
        <x:v>8</x:v>
      </x:c>
      <x:c r="L140" s="9" t="n">
        <x:v>33333</x:v>
      </x:c>
      <x:c r="M140" s="9" t="n">
        <x:f>J140+L140</x:f>
        <x:v>450000</x:v>
      </x:c>
      <x:c r="N140" s="2" t="str">
        <x:v>Khách hàng Shoppe</x:v>
      </x:c>
      <x:c r="O140" s="2" t="str">
        <x:v>Có BHH gốc</x:v>
      </x:c>
      <x:c r="P140" s="2" t="str">
        <x:v>Khớp sổ AMIS 2024</x:v>
      </x:c>
      <x:c r="Q140" s="2" t="str">
        <x:v>30057</x:v>
      </x:c>
    </x:row>
    <x:row r="141" ht="42" customHeight="1">
      <x:c r="A141" s="7" t="str">
        <x:v>BTL00181</x:v>
      </x:c>
      <x:c r="B141" s="6" t="d">
        <x:v>2024-09-24T00:00:00.000Z</x:v>
      </x:c>
      <x:c r="C141" s="7" t="str">
        <x:v>BHHL2024000079</x:v>
      </x:c>
      <x:c r="D141" s="2" t="n">
        <x:v>1</x:v>
      </x:c>
      <x:c r="E141" s="7" t="str">
        <x:v>KA150SFILTERFULL</x:v>
      </x:c>
      <x:c r="F141" s="10" t="str">
        <x:v>Lõi lọc diệt khuẩn (Filter-FT-KA150S), model: FT-KA150S</x:v>
      </x:c>
      <x:c r="G141" s="2" t="str">
        <x:v>Cái</x:v>
      </x:c>
      <x:c r="H141" s="8" t="n">
        <x:v>1</x:v>
      </x:c>
      <x:c r="I141" s="8" t="n">
        <x:v>412037</x:v>
      </x:c>
      <x:c r="J141" s="9" t="n">
        <x:v>412037</x:v>
      </x:c>
      <x:c r="K141" s="2" t="n">
        <x:v>8</x:v>
      </x:c>
      <x:c r="L141" s="9" t="n">
        <x:v>32963</x:v>
      </x:c>
      <x:c r="M141" s="9" t="n">
        <x:f>J141+L141</x:f>
        <x:v>445000</x:v>
      </x:c>
      <x:c r="N141" s="2" t="str">
        <x:v>Khách hàng Lazada</x:v>
      </x:c>
      <x:c r="O141" s="2" t="str">
        <x:v>Có BHH gốc</x:v>
      </x:c>
      <x:c r="P141" s="2" t="str">
        <x:v>Khớp sổ AMIS 2024</x:v>
      </x:c>
      <x:c r="Q141" s="2" t="str">
        <x:v>30058</x:v>
      </x:c>
    </x:row>
    <x:row r="142" ht="42" customHeight="1">
      <x:c r="A142" s="7" t="str">
        <x:v>BTL00108</x:v>
      </x:c>
      <x:c r="B142" s="6" t="d">
        <x:v>2024-09-26T00:00:00.000Z</x:v>
      </x:c>
      <x:c r="C142" s="7" t="str">
        <x:v>BHHT2024015848</x:v>
      </x:c>
      <x:c r="D142" s="2" t="n">
        <x:v>1</x:v>
      </x:c>
      <x:c r="E142" s="7" t="str">
        <x:v>KA600FULL</x:v>
      </x:c>
      <x:c r="F142" s="10" t="str">
        <x:v>Máy lọc không khí diệt khuẩn bằng tia UVC - True UVC Air Purifier . Model: KA600</x:v>
      </x:c>
      <x:c r="G142" s="2" t="str">
        <x:v>Cái</x:v>
      </x:c>
      <x:c r="H142" s="8" t="n">
        <x:v>1</x:v>
      </x:c>
      <x:c r="I142" s="8" t="n">
        <x:v>2037076</x:v>
      </x:c>
      <x:c r="J142" s="9" t="n">
        <x:v>2037076</x:v>
      </x:c>
      <x:c r="K142" s="2" t="n">
        <x:v>8</x:v>
      </x:c>
      <x:c r="L142" s="9" t="n">
        <x:v>162966</x:v>
      </x:c>
      <x:c r="M142" s="9" t="n">
        <x:f>J142+L142</x:f>
        <x:v>2200042</x:v>
      </x:c>
      <x:c r="N142" s="2" t="str">
        <x:v>Khách hàng Tiktok</x:v>
      </x:c>
      <x:c r="O142" s="2" t="str">
        <x:v>Có BHH gốc</x:v>
      </x:c>
      <x:c r="P142" s="2" t="str">
        <x:v>Khớp sổ AMIS 2024</x:v>
      </x:c>
      <x:c r="Q142" s="2" t="str">
        <x:v>30401</x:v>
      </x:c>
    </x:row>
    <x:row r="143" ht="42" customHeight="1">
      <x:c r="A143" s="7" t="str">
        <x:v>BTL00108</x:v>
      </x:c>
      <x:c r="B143" s="6" t="d">
        <x:v>2024-09-26T00:00:00.000Z</x:v>
      </x:c>
      <x:c r="C143" s="7" t="str">
        <x:v>BHHT2024015848</x:v>
      </x:c>
      <x:c r="D143" s="2" t="n">
        <x:v>2</x:v>
      </x:c>
      <x:c r="E143" s="7" t="str">
        <x:v>KA600FILTERFULL</x:v>
      </x:c>
      <x:c r="F143" s="10" t="str">
        <x:v>Lõi lọc diệt khuẩn - Filter, model:FT- KA600</x:v>
      </x:c>
      <x:c r="G143" s="2" t="str">
        <x:v>Cái</x:v>
      </x:c>
      <x:c r="H143" s="8" t="n">
        <x:v>1</x:v>
      </x:c>
      <x:c r="I143" s="8" t="n">
        <x:v>536072</x:v>
      </x:c>
      <x:c r="J143" s="9" t="n">
        <x:v>536072</x:v>
      </x:c>
      <x:c r="K143" s="2" t="n">
        <x:v>8</x:v>
      </x:c>
      <x:c r="L143" s="9" t="n">
        <x:v>42886</x:v>
      </x:c>
      <x:c r="M143" s="9" t="n">
        <x:f>J143+L143</x:f>
        <x:v>578958</x:v>
      </x:c>
      <x:c r="N143" s="2" t="str">
        <x:v>Khách hàng Tiktok</x:v>
      </x:c>
      <x:c r="O143" s="2" t="str">
        <x:v>Có BHH gốc</x:v>
      </x:c>
      <x:c r="P143" s="2" t="str">
        <x:v>Khớp sổ AMIS 2024</x:v>
      </x:c>
      <x:c r="Q143" s="2" t="str">
        <x:v>30402</x:v>
      </x:c>
    </x:row>
    <x:row r="144" ht="42" customHeight="1">
      <x:c r="A144" s="7" t="str">
        <x:v>BTL00109</x:v>
      </x:c>
      <x:c r="B144" s="6" t="d">
        <x:v>2024-09-28T00:00:00.000Z</x:v>
      </x:c>
      <x:c r="C144" s="7" t="str">
        <x:v>BHHT2024014868</x:v>
      </x:c>
      <x:c r="D144" s="2" t="n">
        <x:v>1</x:v>
      </x:c>
      <x:c r="E144" s="7" t="str">
        <x:v>KA350LIGHTFULL</x:v>
      </x:c>
      <x:c r="F144" s="10" t="str">
        <x:v>Máy lọc không khí diệt khuẩn bằng tia UVC (True UVC Air Purifier - KA350) model KA350</x:v>
      </x:c>
      <x:c r="G144" s="2" t="str">
        <x:v>Cái</x:v>
      </x:c>
      <x:c r="H144" s="8" t="n">
        <x:v>1</x:v>
      </x:c>
      <x:c r="I144" s="8" t="n">
        <x:v>1702778</x:v>
      </x:c>
      <x:c r="J144" s="9" t="n">
        <x:v>1702778</x:v>
      </x:c>
      <x:c r="K144" s="2" t="n">
        <x:v>8</x:v>
      </x:c>
      <x:c r="L144" s="9" t="n">
        <x:v>136222</x:v>
      </x:c>
      <x:c r="M144" s="9" t="n">
        <x:f>J144+L144</x:f>
        <x:v>1839000</x:v>
      </x:c>
      <x:c r="N144" s="2" t="str">
        <x:v>Khách hàng Tiktok</x:v>
      </x:c>
      <x:c r="O144" s="2" t="str">
        <x:v>Có BHH gốc</x:v>
      </x:c>
      <x:c r="P144" s="2" t="str">
        <x:v>Khớp sổ AMIS 2024</x:v>
      </x:c>
      <x:c r="Q144" s="2" t="str">
        <x:v>30603</x:v>
      </x:c>
    </x:row>
    <x:row r="145" ht="42" customHeight="1">
      <x:c r="A145" s="7" t="str">
        <x:v>BTL00129</x:v>
      </x:c>
      <x:c r="B145" s="6" t="d">
        <x:v>2024-09-28T00:00:00.000Z</x:v>
      </x:c>
      <x:c r="C145" s="7" t="str">
        <x:v>BHHS2024004695</x:v>
      </x:c>
      <x:c r="D145" s="2" t="n">
        <x:v>1</x:v>
      </x:c>
      <x:c r="E145" s="7" t="str">
        <x:v>KA600FULL</x:v>
      </x:c>
      <x:c r="F145" s="10" t="str">
        <x:v>Máy lọc không khí diệt khuẩn bằng tia UVC - True UVC Air Purifier . Model: KA600</x:v>
      </x:c>
      <x:c r="G145" s="2" t="str">
        <x:v>Cái</x:v>
      </x:c>
      <x:c r="H145" s="8" t="n">
        <x:v>1</x:v>
      </x:c>
      <x:c r="I145" s="8" t="n">
        <x:v>2037076</x:v>
      </x:c>
      <x:c r="J145" s="9" t="n">
        <x:v>2037076</x:v>
      </x:c>
      <x:c r="K145" s="2" t="n">
        <x:v>8</x:v>
      </x:c>
      <x:c r="L145" s="9" t="n">
        <x:v>162966</x:v>
      </x:c>
      <x:c r="M145" s="9" t="n">
        <x:f>J145+L145</x:f>
        <x:v>2200042</x:v>
      </x:c>
      <x:c r="N145" s="2" t="str">
        <x:v>Khách hàng Shoppe</x:v>
      </x:c>
      <x:c r="O145" s="2" t="str">
        <x:v>Có BHH gốc</x:v>
      </x:c>
      <x:c r="P145" s="2" t="str">
        <x:v>Khớp sổ AMIS 2024</x:v>
      </x:c>
      <x:c r="Q145" s="2" t="str">
        <x:v>30604</x:v>
      </x:c>
    </x:row>
    <x:row r="146" ht="42" customHeight="1">
      <x:c r="A146" s="7" t="str">
        <x:v>BTL00129</x:v>
      </x:c>
      <x:c r="B146" s="6" t="d">
        <x:v>2024-09-28T00:00:00.000Z</x:v>
      </x:c>
      <x:c r="C146" s="7" t="str">
        <x:v>BHHS2024004695</x:v>
      </x:c>
      <x:c r="D146" s="2" t="n">
        <x:v>2</x:v>
      </x:c>
      <x:c r="E146" s="7" t="str">
        <x:v>KA600FILTERFULL</x:v>
      </x:c>
      <x:c r="F146" s="10" t="str">
        <x:v>Lõi lọc diệt khuẩn - Filter, model:FT- KA600</x:v>
      </x:c>
      <x:c r="G146" s="2" t="str">
        <x:v>Cái</x:v>
      </x:c>
      <x:c r="H146" s="8" t="n">
        <x:v>1</x:v>
      </x:c>
      <x:c r="I146" s="8" t="n">
        <x:v>536072</x:v>
      </x:c>
      <x:c r="J146" s="9" t="n">
        <x:v>536072</x:v>
      </x:c>
      <x:c r="K146" s="2" t="n">
        <x:v>8</x:v>
      </x:c>
      <x:c r="L146" s="9" t="n">
        <x:v>42886</x:v>
      </x:c>
      <x:c r="M146" s="9" t="n">
        <x:f>J146+L146</x:f>
        <x:v>578958</x:v>
      </x:c>
      <x:c r="N146" s="2" t="str">
        <x:v>Khách hàng Shoppe</x:v>
      </x:c>
      <x:c r="O146" s="2" t="str">
        <x:v>Có BHH gốc</x:v>
      </x:c>
      <x:c r="P146" s="2" t="str">
        <x:v>Khớp sổ AMIS 2024</x:v>
      </x:c>
      <x:c r="Q146" s="2" t="str">
        <x:v>30605</x:v>
      </x:c>
    </x:row>
    <x:row r="147" ht="42" customHeight="1">
      <x:c r="A147" s="7" t="str">
        <x:v>BTL00110</x:v>
      </x:c>
      <x:c r="B147" s="6" t="d">
        <x:v>2024-10-02T00:00:00.000Z</x:v>
      </x:c>
      <x:c r="C147" s="7" t="str">
        <x:v>BHHT2024012208</x:v>
      </x:c>
      <x:c r="D147" s="2" t="n">
        <x:v>1</x:v>
      </x:c>
      <x:c r="E147" s="7" t="str">
        <x:v>KA350LIGHTFULL</x:v>
      </x:c>
      <x:c r="F147" s="10" t="str">
        <x:v>Máy lọc không khí diệt khuẩn bằng tia UVC (True UVC Air Purifier - KA350) model KA350</x:v>
      </x:c>
      <x:c r="G147" s="2" t="str">
        <x:v>Cái</x:v>
      </x:c>
      <x:c r="H147" s="8" t="n">
        <x:v>1</x:v>
      </x:c>
      <x:c r="I147" s="8" t="n">
        <x:v>1739815</x:v>
      </x:c>
      <x:c r="J147" s="9" t="n">
        <x:v>1739815</x:v>
      </x:c>
      <x:c r="K147" s="2" t="n">
        <x:v>8</x:v>
      </x:c>
      <x:c r="L147" s="9" t="n">
        <x:v>139185</x:v>
      </x:c>
      <x:c r="M147" s="9" t="n">
        <x:f>J147+L147</x:f>
        <x:v>1879000</x:v>
      </x:c>
      <x:c r="N147" s="2" t="str">
        <x:v>Khách hàng Tiktok</x:v>
      </x:c>
      <x:c r="O147" s="2" t="str">
        <x:v>Có BHH gốc</x:v>
      </x:c>
      <x:c r="P147" s="2" t="str">
        <x:v>Khớp sổ AMIS 2024</x:v>
      </x:c>
      <x:c r="Q147" s="2" t="str">
        <x:v>30961</x:v>
      </x:c>
    </x:row>
    <x:row r="148" ht="42" customHeight="1">
      <x:c r="A148" s="7" t="str">
        <x:v>BTL00111</x:v>
      </x:c>
      <x:c r="B148" s="6" t="d">
        <x:v>2024-10-03T00:00:00.000Z</x:v>
      </x:c>
      <x:c r="C148" s="7" t="str">
        <x:v>BHHT2024019620</x:v>
      </x:c>
      <x:c r="D148" s="2" t="n">
        <x:v>1</x:v>
      </x:c>
      <x:c r="E148" s="7" t="str">
        <x:v>KA150SFULL</x:v>
      </x:c>
      <x:c r="F148" s="10" t="str">
        <x:v>Máy lọc không khí diệt khuẩn bằng tia UVC - True UVC Air Purifiers - KA150S</x:v>
      </x:c>
      <x:c r="G148" s="2" t="str">
        <x:v>Cái</x:v>
      </x:c>
      <x:c r="H148" s="8" t="n">
        <x:v>1</x:v>
      </x:c>
      <x:c r="I148" s="8" t="n">
        <x:v>952417</x:v>
      </x:c>
      <x:c r="J148" s="9" t="n">
        <x:v>952417</x:v>
      </x:c>
      <x:c r="K148" s="2" t="n">
        <x:v>8</x:v>
      </x:c>
      <x:c r="L148" s="9" t="n">
        <x:v>76193</x:v>
      </x:c>
      <x:c r="M148" s="9" t="n">
        <x:f>J148+L148</x:f>
        <x:v>1028610</x:v>
      </x:c>
      <x:c r="N148" s="2" t="str">
        <x:v>Khách hàng Tiktok</x:v>
      </x:c>
      <x:c r="O148" s="2" t="str">
        <x:v>Có BHH gốc</x:v>
      </x:c>
      <x:c r="P148" s="2" t="str">
        <x:v>Khớp sổ AMIS 2024</x:v>
      </x:c>
      <x:c r="Q148" s="2" t="str">
        <x:v>31047</x:v>
      </x:c>
    </x:row>
    <x:row r="149" ht="42" customHeight="1">
      <x:c r="A149" s="7" t="str">
        <x:v>BTL00107</x:v>
      </x:c>
      <x:c r="B149" s="6" t="d">
        <x:v>2024-10-04T00:00:00.000Z</x:v>
      </x:c>
      <x:c r="C149" s="7" t="str">
        <x:v>BHHS2024005508</x:v>
      </x:c>
      <x:c r="D149" s="2" t="n">
        <x:v>1</x:v>
      </x:c>
      <x:c r="E149" s="7" t="str">
        <x:v>KA150SFULL</x:v>
      </x:c>
      <x:c r="F149" s="10" t="str">
        <x:v>Máy lọc không khí diệt khuẩn bằng tia UVC - True UVC Air Purifiers - KA150S</x:v>
      </x:c>
      <x:c r="G149" s="2" t="str">
        <x:v>Cái</x:v>
      </x:c>
      <x:c r="H149" s="8" t="n">
        <x:v>1</x:v>
      </x:c>
      <x:c r="I149" s="8" t="n">
        <x:v>925000</x:v>
      </x:c>
      <x:c r="J149" s="9" t="n">
        <x:v>925000</x:v>
      </x:c>
      <x:c r="K149" s="2" t="n">
        <x:v>8</x:v>
      </x:c>
      <x:c r="L149" s="9" t="n">
        <x:v>74000</x:v>
      </x:c>
      <x:c r="M149" s="9" t="n">
        <x:f>J149+L149</x:f>
        <x:v>999000</x:v>
      </x:c>
      <x:c r="N149" s="2" t="str">
        <x:v>Khách hàng Shoppe</x:v>
      </x:c>
      <x:c r="O149" s="2" t="str">
        <x:v>Có BHH gốc</x:v>
      </x:c>
      <x:c r="P149" s="2" t="str">
        <x:v>Khớp sổ AMIS 2024</x:v>
      </x:c>
      <x:c r="Q149" s="2" t="str">
        <x:v>31132</x:v>
      </x:c>
    </x:row>
    <x:row r="150" ht="42" customHeight="1">
      <x:c r="A150" s="7" t="str">
        <x:v>BTL00128</x:v>
      </x:c>
      <x:c r="B150" s="6" t="d">
        <x:v>2024-10-04T00:00:00.000Z</x:v>
      </x:c>
      <x:c r="C150" s="7" t="str">
        <x:v>BHHS2024005689</x:v>
      </x:c>
      <x:c r="D150" s="2" t="n">
        <x:v>1</x:v>
      </x:c>
      <x:c r="E150" s="7" t="str">
        <x:v>KM100FULL</x:v>
      </x:c>
      <x:c r="F150" s="10" t="str">
        <x:v>Đèn bắt muỗi, ruồi và các loại côn trùng KM100</x:v>
      </x:c>
      <x:c r="G150" s="2" t="str">
        <x:v>Cái</x:v>
      </x:c>
      <x:c r="H150" s="8" t="n">
        <x:v>1</x:v>
      </x:c>
      <x:c r="I150" s="8" t="n">
        <x:v>165741</x:v>
      </x:c>
      <x:c r="J150" s="9" t="n">
        <x:v>165741</x:v>
      </x:c>
      <x:c r="K150" s="2" t="n">
        <x:v>8</x:v>
      </x:c>
      <x:c r="L150" s="9" t="n">
        <x:v>13259</x:v>
      </x:c>
      <x:c r="M150" s="9" t="n">
        <x:f>J150+L150</x:f>
        <x:v>179000</x:v>
      </x:c>
      <x:c r="N150" s="2" t="str">
        <x:v>Khách hàng Shoppe</x:v>
      </x:c>
      <x:c r="O150" s="2" t="str">
        <x:v>Có BHH gốc</x:v>
      </x:c>
      <x:c r="P150" s="2" t="str">
        <x:v>Khớp sổ AMIS 2024</x:v>
      </x:c>
      <x:c r="Q150" s="2" t="str">
        <x:v>31133</x:v>
      </x:c>
    </x:row>
    <x:row r="151" ht="42" customHeight="1">
      <x:c r="A151" s="7" t="str">
        <x:v>BTL00112</x:v>
      </x:c>
      <x:c r="B151" s="6" t="d">
        <x:v>2024-10-07T00:00:00.000Z</x:v>
      </x:c>
      <x:c r="C151" s="7" t="str">
        <x:v>BHHT2024019621</x:v>
      </x:c>
      <x:c r="D151" s="2" t="n">
        <x:v>1</x:v>
      </x:c>
      <x:c r="E151" s="7" t="str">
        <x:v>KA350LIGHTFULL</x:v>
      </x:c>
      <x:c r="F151" s="10" t="str">
        <x:v>Máy lọc không khí diệt khuẩn bằng tia UVC (True UVC Air Purifier - KA350) model KA350</x:v>
      </x:c>
      <x:c r="G151" s="2" t="str">
        <x:v>Cái</x:v>
      </x:c>
      <x:c r="H151" s="8" t="n">
        <x:v>1</x:v>
      </x:c>
      <x:c r="I151" s="8" t="n">
        <x:v>1702778</x:v>
      </x:c>
      <x:c r="J151" s="9" t="n">
        <x:v>1702778</x:v>
      </x:c>
      <x:c r="K151" s="2" t="n">
        <x:v>8</x:v>
      </x:c>
      <x:c r="L151" s="9" t="n">
        <x:v>136222</x:v>
      </x:c>
      <x:c r="M151" s="9" t="n">
        <x:f>J151+L151</x:f>
        <x:v>1839000</x:v>
      </x:c>
      <x:c r="N151" s="2" t="str">
        <x:v>Khách hàng Tiktok</x:v>
      </x:c>
      <x:c r="O151" s="2" t="str">
        <x:v>Có BHH gốc</x:v>
      </x:c>
      <x:c r="P151" s="2" t="str">
        <x:v>Khớp sổ AMIS 2024</x:v>
      </x:c>
      <x:c r="Q151" s="2" t="str">
        <x:v>31337</x:v>
      </x:c>
    </x:row>
    <x:row r="152" ht="42" customHeight="1">
      <x:c r="A152" s="7" t="str">
        <x:v>BTL00113</x:v>
      </x:c>
      <x:c r="B152" s="6" t="d">
        <x:v>2024-10-09T00:00:00.000Z</x:v>
      </x:c>
      <x:c r="C152" s="7" t="str">
        <x:v>BHHT2024015528</x:v>
      </x:c>
      <x:c r="D152" s="2" t="n">
        <x:v>1</x:v>
      </x:c>
      <x:c r="E152" s="7" t="str">
        <x:v>KM300FULL</x:v>
      </x:c>
      <x:c r="F152" s="10" t="str">
        <x:v>Đèn bắt muỗi, ruồi và các loại côn trùng UVA Electronical Mosquito Killer, Model: KM300</x:v>
      </x:c>
      <x:c r="G152" s="2" t="str">
        <x:v>Cái</x:v>
      </x:c>
      <x:c r="H152" s="8" t="n">
        <x:v>1</x:v>
      </x:c>
      <x:c r="I152" s="8" t="n">
        <x:v>401852</x:v>
      </x:c>
      <x:c r="J152" s="9" t="n">
        <x:v>401852</x:v>
      </x:c>
      <x:c r="K152" s="2" t="n">
        <x:v>8</x:v>
      </x:c>
      <x:c r="L152" s="9" t="n">
        <x:v>32148</x:v>
      </x:c>
      <x:c r="M152" s="9" t="n">
        <x:f>J152+L152</x:f>
        <x:v>434000</x:v>
      </x:c>
      <x:c r="N152" s="2" t="str">
        <x:v>Khách hàng Tiktok</x:v>
      </x:c>
      <x:c r="O152" s="2" t="str">
        <x:v>Có BHH gốc</x:v>
      </x:c>
      <x:c r="P152" s="2" t="str">
        <x:v>Khớp sổ AMIS 2024</x:v>
      </x:c>
      <x:c r="Q152" s="2" t="str">
        <x:v>31508</x:v>
      </x:c>
    </x:row>
    <x:row r="153" ht="42" customHeight="1">
      <x:c r="A153" s="7" t="str">
        <x:v>BTL00114</x:v>
      </x:c>
      <x:c r="B153" s="6" t="d">
        <x:v>2024-10-13T00:00:00.000Z</x:v>
      </x:c>
      <x:c r="C153" s="7" t="str">
        <x:v>BHHT2024019209</x:v>
      </x:c>
      <x:c r="D153" s="2" t="n">
        <x:v>1</x:v>
      </x:c>
      <x:c r="E153" s="7" t="str">
        <x:v>KA600FULL</x:v>
      </x:c>
      <x:c r="F153" s="10" t="str">
        <x:v>Máy lọc không khí diệt khuẩn bằng tia UVC - True UVC Air Purifier . Model: KA600</x:v>
      </x:c>
      <x:c r="G153" s="2" t="str">
        <x:v>Cái</x:v>
      </x:c>
      <x:c r="H153" s="8" t="n">
        <x:v>1</x:v>
      </x:c>
      <x:c r="I153" s="8" t="n">
        <x:v>2573148</x:v>
      </x:c>
      <x:c r="J153" s="9" t="n">
        <x:v>2573148</x:v>
      </x:c>
      <x:c r="K153" s="2" t="n">
        <x:v>8</x:v>
      </x:c>
      <x:c r="L153" s="9" t="n">
        <x:v>205852</x:v>
      </x:c>
      <x:c r="M153" s="9" t="n">
        <x:f>J153+L153</x:f>
        <x:v>2779000</x:v>
      </x:c>
      <x:c r="N153" s="2" t="str">
        <x:v>Khách hàng Tiktok</x:v>
      </x:c>
      <x:c r="O153" s="2" t="str">
        <x:v>Có BHH gốc</x:v>
      </x:c>
      <x:c r="P153" s="2" t="str">
        <x:v>Khớp sổ AMIS 2024</x:v>
      </x:c>
      <x:c r="Q153" s="2" t="str">
        <x:v>32591</x:v>
      </x:c>
    </x:row>
    <x:row r="154" ht="42" customHeight="1">
      <x:c r="A154" s="7" t="str">
        <x:v>BTL00115</x:v>
      </x:c>
      <x:c r="B154" s="6" t="d">
        <x:v>2024-10-14T00:00:00.000Z</x:v>
      </x:c>
      <x:c r="C154" s="7" t="str">
        <x:v>BHHT2024019120</x:v>
      </x:c>
      <x:c r="D154" s="2" t="n">
        <x:v>1</x:v>
      </x:c>
      <x:c r="E154" s="7" t="str">
        <x:v>KA150SFULL</x:v>
      </x:c>
      <x:c r="F154" s="10" t="str">
        <x:v>Máy lọc không khí diệt khuẩn bằng tia UVC - True UVC Air Purifiers - KA150S</x:v>
      </x:c>
      <x:c r="G154" s="2" t="str">
        <x:v>Cái</x:v>
      </x:c>
      <x:c r="H154" s="8" t="n">
        <x:v>1</x:v>
      </x:c>
      <x:c r="I154" s="8" t="n">
        <x:v>962037</x:v>
      </x:c>
      <x:c r="J154" s="9" t="n">
        <x:v>962037</x:v>
      </x:c>
      <x:c r="K154" s="2" t="n">
        <x:v>8</x:v>
      </x:c>
      <x:c r="L154" s="9" t="n">
        <x:v>76963</x:v>
      </x:c>
      <x:c r="M154" s="9" t="n">
        <x:f>J154+L154</x:f>
        <x:v>1039000</x:v>
      </x:c>
      <x:c r="N154" s="2" t="str">
        <x:v>Khách hàng Tiktok</x:v>
      </x:c>
      <x:c r="O154" s="2" t="str">
        <x:v>Có BHH gốc</x:v>
      </x:c>
      <x:c r="P154" s="2" t="str">
        <x:v>Khớp sổ AMIS 2024</x:v>
      </x:c>
      <x:c r="Q154" s="2" t="str">
        <x:v>32833</x:v>
      </x:c>
    </x:row>
    <x:row r="155" ht="42" customHeight="1">
      <x:c r="A155" s="7" t="str">
        <x:v>BTL00116</x:v>
      </x:c>
      <x:c r="B155" s="6" t="d">
        <x:v>2024-10-15T00:00:00.000Z</x:v>
      </x:c>
      <x:c r="C155" s="7" t="str">
        <x:v>BHHT2024018878</x:v>
      </x:c>
      <x:c r="D155" s="2" t="n">
        <x:v>1</x:v>
      </x:c>
      <x:c r="E155" s="7" t="str">
        <x:v>KA150SFULL</x:v>
      </x:c>
      <x:c r="F155" s="10" t="str">
        <x:v>Máy lọc không khí diệt khuẩn bằng tia UVC - True UVC Air Purifiers - KA150S</x:v>
      </x:c>
      <x:c r="G155" s="2" t="str">
        <x:v>Cái</x:v>
      </x:c>
      <x:c r="H155" s="8" t="n">
        <x:v>1</x:v>
      </x:c>
      <x:c r="I155" s="8" t="n">
        <x:v>962037</x:v>
      </x:c>
      <x:c r="J155" s="9" t="n">
        <x:v>962037</x:v>
      </x:c>
      <x:c r="K155" s="2" t="n">
        <x:v>8</x:v>
      </x:c>
      <x:c r="L155" s="9" t="n">
        <x:v>76963</x:v>
      </x:c>
      <x:c r="M155" s="9" t="n">
        <x:f>J155+L155</x:f>
        <x:v>1039000</x:v>
      </x:c>
      <x:c r="N155" s="2" t="str">
        <x:v>Khách hàng Tiktok</x:v>
      </x:c>
      <x:c r="O155" s="2" t="str">
        <x:v>Có BHH gốc</x:v>
      </x:c>
      <x:c r="P155" s="2" t="str">
        <x:v>Khớp sổ AMIS 2024</x:v>
      </x:c>
      <x:c r="Q155" s="2" t="str">
        <x:v>33012</x:v>
      </x:c>
    </x:row>
    <x:row r="156" ht="42" customHeight="1">
      <x:c r="A156" s="7" t="str">
        <x:v>BTL00117</x:v>
      </x:c>
      <x:c r="B156" s="6" t="d">
        <x:v>2024-10-15T00:00:00.000Z</x:v>
      </x:c>
      <x:c r="C156" s="7" t="str">
        <x:v>BHHT2024018930</x:v>
      </x:c>
      <x:c r="D156" s="2" t="n">
        <x:v>1</x:v>
      </x:c>
      <x:c r="E156" s="7" t="str">
        <x:v>KA350LIGHTFULL</x:v>
      </x:c>
      <x:c r="F156" s="10" t="str">
        <x:v>Máy lọc không khí diệt khuẩn bằng tia UVC (True UVC Air Purifier - KA350) model KA350</x:v>
      </x:c>
      <x:c r="G156" s="2" t="str">
        <x:v>Cái</x:v>
      </x:c>
      <x:c r="H156" s="8" t="n">
        <x:v>1</x:v>
      </x:c>
      <x:c r="I156" s="8" t="n">
        <x:v>1266701</x:v>
      </x:c>
      <x:c r="J156" s="9" t="n">
        <x:v>1266701</x:v>
      </x:c>
      <x:c r="K156" s="2" t="n">
        <x:v>8</x:v>
      </x:c>
      <x:c r="L156" s="9" t="n">
        <x:v>101336</x:v>
      </x:c>
      <x:c r="M156" s="9" t="n">
        <x:f>J156+L156</x:f>
        <x:v>1368037</x:v>
      </x:c>
      <x:c r="N156" s="2" t="str">
        <x:v>Khách hàng Tiktok</x:v>
      </x:c>
      <x:c r="O156" s="2" t="str">
        <x:v>Có BHH gốc</x:v>
      </x:c>
      <x:c r="P156" s="2" t="str">
        <x:v>Khớp sổ AMIS 2024</x:v>
      </x:c>
      <x:c r="Q156" s="2" t="str">
        <x:v>33013</x:v>
      </x:c>
    </x:row>
    <x:row r="157" ht="42" customHeight="1">
      <x:c r="A157" s="7" t="str">
        <x:v>BTL00117</x:v>
      </x:c>
      <x:c r="B157" s="6" t="d">
        <x:v>2024-10-15T00:00:00.000Z</x:v>
      </x:c>
      <x:c r="C157" s="7" t="str">
        <x:v>BHHT2024018930</x:v>
      </x:c>
      <x:c r="D157" s="2" t="n">
        <x:v>2</x:v>
      </x:c>
      <x:c r="E157" s="7" t="str">
        <x:v>KA350FILTERFULL</x:v>
      </x:c>
      <x:c r="F157" s="10" t="str">
        <x:v>Lõi lọc diệt khuẩn Filter KA350 - model: FT KA350</x:v>
      </x:c>
      <x:c r="G157" s="2" t="str">
        <x:v>Cái</x:v>
      </x:c>
      <x:c r="H157" s="8" t="n">
        <x:v>1</x:v>
      </x:c>
      <x:c r="I157" s="8" t="n">
        <x:v>436077</x:v>
      </x:c>
      <x:c r="J157" s="9" t="n">
        <x:v>436077</x:v>
      </x:c>
      <x:c r="K157" s="2" t="n">
        <x:v>8</x:v>
      </x:c>
      <x:c r="L157" s="9" t="n">
        <x:v>34886</x:v>
      </x:c>
      <x:c r="M157" s="9" t="n">
        <x:f>J157+L157</x:f>
        <x:v>470963</x:v>
      </x:c>
      <x:c r="N157" s="2" t="str">
        <x:v>Khách hàng Tiktok</x:v>
      </x:c>
      <x:c r="O157" s="2" t="str">
        <x:v>Có BHH gốc</x:v>
      </x:c>
      <x:c r="P157" s="2" t="str">
        <x:v>Khớp sổ AMIS 2024</x:v>
      </x:c>
      <x:c r="Q157" s="2" t="str">
        <x:v>33014</x:v>
      </x:c>
    </x:row>
    <x:row r="158" ht="42" customHeight="1">
      <x:c r="A158" s="7" t="str">
        <x:v>BTL00118</x:v>
      </x:c>
      <x:c r="B158" s="6" t="d">
        <x:v>2024-10-17T00:00:00.000Z</x:v>
      </x:c>
      <x:c r="C158" s="7" t="str">
        <x:v>BHHT2024019578</x:v>
      </x:c>
      <x:c r="D158" s="2" t="n">
        <x:v>1</x:v>
      </x:c>
      <x:c r="E158" s="7" t="str">
        <x:v>KA350LIGHTFULL</x:v>
      </x:c>
      <x:c r="F158" s="10" t="str">
        <x:v>Máy lọc không khí diệt khuẩn bằng tia UVC (True UVC Air Purifier - KA350) model KA350</x:v>
      </x:c>
      <x:c r="G158" s="2" t="str">
        <x:v>Cái</x:v>
      </x:c>
      <x:c r="H158" s="8" t="n">
        <x:v>1</x:v>
      </x:c>
      <x:c r="I158" s="8" t="n">
        <x:v>1702778</x:v>
      </x:c>
      <x:c r="J158" s="9" t="n">
        <x:v>1702778</x:v>
      </x:c>
      <x:c r="K158" s="2" t="n">
        <x:v>8</x:v>
      </x:c>
      <x:c r="L158" s="9" t="n">
        <x:v>136222</x:v>
      </x:c>
      <x:c r="M158" s="9" t="n">
        <x:f>J158+L158</x:f>
        <x:v>1839000</x:v>
      </x:c>
      <x:c r="N158" s="2" t="str">
        <x:v>Khách hàng Tiktok</x:v>
      </x:c>
      <x:c r="O158" s="2" t="str">
        <x:v>Có BHH gốc</x:v>
      </x:c>
      <x:c r="P158" s="2" t="str">
        <x:v>Khớp sổ AMIS 2024</x:v>
      </x:c>
      <x:c r="Q158" s="2" t="str">
        <x:v>33472</x:v>
      </x:c>
    </x:row>
    <x:row r="159" ht="42" customHeight="1">
      <x:c r="A159" s="7" t="str">
        <x:v>BTL00119</x:v>
      </x:c>
      <x:c r="B159" s="6" t="d">
        <x:v>2024-10-17T00:00:00.000Z</x:v>
      </x:c>
      <x:c r="C159" s="7" t="str">
        <x:v>BHHT2024012010</x:v>
      </x:c>
      <x:c r="D159" s="2" t="n">
        <x:v>1</x:v>
      </x:c>
      <x:c r="E159" s="7" t="str">
        <x:v>KA350LIGHTFULL</x:v>
      </x:c>
      <x:c r="F159" s="10" t="str">
        <x:v>Máy lọc không khí diệt khuẩn bằng tia UVC (True UVC Air Purifier - KA350) model KA350</x:v>
      </x:c>
      <x:c r="G159" s="2" t="str">
        <x:v>Cái</x:v>
      </x:c>
      <x:c r="H159" s="8" t="n">
        <x:v>1</x:v>
      </x:c>
      <x:c r="I159" s="8" t="n">
        <x:v>1702778</x:v>
      </x:c>
      <x:c r="J159" s="9" t="n">
        <x:v>1702778</x:v>
      </x:c>
      <x:c r="K159" s="2" t="n">
        <x:v>8</x:v>
      </x:c>
      <x:c r="L159" s="9" t="n">
        <x:v>136222</x:v>
      </x:c>
      <x:c r="M159" s="9" t="n">
        <x:f>J159+L159</x:f>
        <x:v>1839000</x:v>
      </x:c>
      <x:c r="N159" s="2" t="str">
        <x:v>Khách hàng Tiktok</x:v>
      </x:c>
      <x:c r="O159" s="2" t="str">
        <x:v>Có BHH gốc</x:v>
      </x:c>
      <x:c r="P159" s="2" t="str">
        <x:v>Khớp sổ AMIS 2024</x:v>
      </x:c>
      <x:c r="Q159" s="2" t="str">
        <x:v>33473</x:v>
      </x:c>
    </x:row>
    <x:row r="160" ht="42" customHeight="1">
      <x:c r="A160" s="7" t="str">
        <x:v>BTL00159</x:v>
      </x:c>
      <x:c r="B160" s="6" t="d">
        <x:v>2024-10-17T00:00:00.000Z</x:v>
      </x:c>
      <x:c r="C160" s="7" t="str">
        <x:v>BHHS2024005878</x:v>
      </x:c>
      <x:c r="D160" s="2" t="n">
        <x:v>1</x:v>
      </x:c>
      <x:c r="E160" s="7" t="str">
        <x:v>KA600FULL</x:v>
      </x:c>
      <x:c r="F160" s="10" t="str">
        <x:v>Máy lọc không khí diệt khuẩn bằng tia UVC - True UVC Air Purifier . Model: KA600</x:v>
      </x:c>
      <x:c r="G160" s="2" t="str">
        <x:v>Cái</x:v>
      </x:c>
      <x:c r="H160" s="8" t="n">
        <x:v>1</x:v>
      </x:c>
      <x:c r="I160" s="8" t="n">
        <x:v>2573148</x:v>
      </x:c>
      <x:c r="J160" s="9" t="n">
        <x:v>2573148</x:v>
      </x:c>
      <x:c r="K160" s="2" t="n">
        <x:v>8</x:v>
      </x:c>
      <x:c r="L160" s="9" t="n">
        <x:v>205852</x:v>
      </x:c>
      <x:c r="M160" s="9" t="n">
        <x:f>J160+L160</x:f>
        <x:v>2779000</x:v>
      </x:c>
      <x:c r="N160" s="2" t="str">
        <x:v>Khách hàng Shoppe</x:v>
      </x:c>
      <x:c r="O160" s="2" t="str">
        <x:v>Có BHH gốc</x:v>
      </x:c>
      <x:c r="P160" s="2" t="str">
        <x:v>Khớp sổ AMIS 2024</x:v>
      </x:c>
      <x:c r="Q160" s="2" t="str">
        <x:v>33474</x:v>
      </x:c>
    </x:row>
    <x:row r="161" ht="42" customHeight="1">
      <x:c r="A161" s="7" t="str">
        <x:v>BTL00088</x:v>
      </x:c>
      <x:c r="B161" s="6" t="d">
        <x:v>2024-10-18T00:00:00.000Z</x:v>
      </x:c>
      <x:c r="C161" s="7" t="str">
        <x:v>BHHS2024006318</x:v>
      </x:c>
      <x:c r="D161" s="2" t="n">
        <x:v>1</x:v>
      </x:c>
      <x:c r="E161" s="7" t="str">
        <x:v>KA600FULL</x:v>
      </x:c>
      <x:c r="F161" s="10" t="str">
        <x:v>Máy lọc không khí diệt khuẩn bằng tia UVC - True UVC Air Purifier . Model: KA600</x:v>
      </x:c>
      <x:c r="G161" s="2" t="str">
        <x:v>Cái</x:v>
      </x:c>
      <x:c r="H161" s="8" t="n">
        <x:v>1</x:v>
      </x:c>
      <x:c r="I161" s="8" t="n">
        <x:v>2037076</x:v>
      </x:c>
      <x:c r="J161" s="9" t="n">
        <x:v>2037076</x:v>
      </x:c>
      <x:c r="K161" s="2" t="n">
        <x:v>8</x:v>
      </x:c>
      <x:c r="L161" s="9" t="n">
        <x:v>162966</x:v>
      </x:c>
      <x:c r="M161" s="9" t="n">
        <x:f>J161+L161</x:f>
        <x:v>2200042</x:v>
      </x:c>
      <x:c r="N161" s="2" t="str">
        <x:v>Khách hàng Shoppe</x:v>
      </x:c>
      <x:c r="O161" s="2" t="str">
        <x:v>Có BHH gốc</x:v>
      </x:c>
      <x:c r="P161" s="2" t="str">
        <x:v>Khớp sổ AMIS 2024</x:v>
      </x:c>
      <x:c r="Q161" s="2" t="str">
        <x:v>33715</x:v>
      </x:c>
    </x:row>
    <x:row r="162" ht="42" customHeight="1">
      <x:c r="A162" s="7" t="str">
        <x:v>BTL00088</x:v>
      </x:c>
      <x:c r="B162" s="6" t="d">
        <x:v>2024-10-18T00:00:00.000Z</x:v>
      </x:c>
      <x:c r="C162" s="7" t="str">
        <x:v>BHHS2024006318</x:v>
      </x:c>
      <x:c r="D162" s="2" t="n">
        <x:v>2</x:v>
      </x:c>
      <x:c r="E162" s="7" t="str">
        <x:v>KA600FILTERFULL</x:v>
      </x:c>
      <x:c r="F162" s="10" t="str">
        <x:v>Lõi lọc diệt khuẩn - Filter, model:FT- KA600</x:v>
      </x:c>
      <x:c r="G162" s="2" t="str">
        <x:v>Cái</x:v>
      </x:c>
      <x:c r="H162" s="8" t="n">
        <x:v>1</x:v>
      </x:c>
      <x:c r="I162" s="8" t="n">
        <x:v>536072</x:v>
      </x:c>
      <x:c r="J162" s="9" t="n">
        <x:v>536072</x:v>
      </x:c>
      <x:c r="K162" s="2" t="n">
        <x:v>8</x:v>
      </x:c>
      <x:c r="L162" s="9" t="n">
        <x:v>42886</x:v>
      </x:c>
      <x:c r="M162" s="9" t="n">
        <x:f>J162+L162</x:f>
        <x:v>578958</x:v>
      </x:c>
      <x:c r="N162" s="2" t="str">
        <x:v>Khách hàng Shoppe</x:v>
      </x:c>
      <x:c r="O162" s="2" t="str">
        <x:v>Có BHH gốc</x:v>
      </x:c>
      <x:c r="P162" s="2" t="str">
        <x:v>Khớp sổ AMIS 2024</x:v>
      </x:c>
      <x:c r="Q162" s="2" t="str">
        <x:v>33716</x:v>
      </x:c>
    </x:row>
    <x:row r="163" ht="42" customHeight="1">
      <x:c r="A163" s="7" t="str">
        <x:v>BTL00091</x:v>
      </x:c>
      <x:c r="B163" s="6" t="d">
        <x:v>2024-10-18T00:00:00.000Z</x:v>
      </x:c>
      <x:c r="C163" s="7" t="str">
        <x:v>BHHS2024006036</x:v>
      </x:c>
      <x:c r="D163" s="2" t="n">
        <x:v>1</x:v>
      </x:c>
      <x:c r="E163" s="7" t="str">
        <x:v>KA150SFULL</x:v>
      </x:c>
      <x:c r="F163" s="10" t="str">
        <x:v>Máy lọc không khí diệt khuẩn bằng tia UVC - True UVC Air Purifiers - KA150S</x:v>
      </x:c>
      <x:c r="G163" s="2" t="str">
        <x:v>Cái</x:v>
      </x:c>
      <x:c r="H163" s="8" t="n">
        <x:v>1</x:v>
      </x:c>
      <x:c r="I163" s="8" t="n">
        <x:v>962037</x:v>
      </x:c>
      <x:c r="J163" s="9" t="n">
        <x:v>962037</x:v>
      </x:c>
      <x:c r="K163" s="2" t="n">
        <x:v>8</x:v>
      </x:c>
      <x:c r="L163" s="9" t="n">
        <x:v>76963</x:v>
      </x:c>
      <x:c r="M163" s="9" t="n">
        <x:f>J163+L163</x:f>
        <x:v>1039000</x:v>
      </x:c>
      <x:c r="N163" s="2" t="str">
        <x:v>Khách hàng Shoppe</x:v>
      </x:c>
      <x:c r="O163" s="2" t="str">
        <x:v>Có BHH gốc</x:v>
      </x:c>
      <x:c r="P163" s="2" t="str">
        <x:v>Khớp sổ AMIS 2024</x:v>
      </x:c>
      <x:c r="Q163" s="2" t="str">
        <x:v>33717</x:v>
      </x:c>
    </x:row>
    <x:row r="164" ht="42" customHeight="1">
      <x:c r="A164" s="7" t="str">
        <x:v>BTL00086</x:v>
      </x:c>
      <x:c r="B164" s="6" t="d">
        <x:v>2024-10-22T00:00:00.000Z</x:v>
      </x:c>
      <x:c r="C164" s="7" t="str">
        <x:v>BHHS2024006455</x:v>
      </x:c>
      <x:c r="D164" s="2" t="n">
        <x:v>1</x:v>
      </x:c>
      <x:c r="E164" s="7" t="str">
        <x:v>KM200FULL</x:v>
      </x:c>
      <x:c r="F164" s="10" t="str">
        <x:v>Đèn bắt muỗi, ruồi và các loại côn trùng KM200</x:v>
      </x:c>
      <x:c r="G164" s="2" t="str">
        <x:v>Cái</x:v>
      </x:c>
      <x:c r="H164" s="8" t="n">
        <x:v>1</x:v>
      </x:c>
      <x:c r="I164" s="8" t="n">
        <x:v>258333</x:v>
      </x:c>
      <x:c r="J164" s="9" t="n">
        <x:v>258333</x:v>
      </x:c>
      <x:c r="K164" s="2" t="n">
        <x:v>8</x:v>
      </x:c>
      <x:c r="L164" s="9" t="n">
        <x:v>20667</x:v>
      </x:c>
      <x:c r="M164" s="9" t="n">
        <x:f>J164+L164</x:f>
        <x:v>279000</x:v>
      </x:c>
      <x:c r="N164" s="2" t="str">
        <x:v>Khách hàng Shoppe</x:v>
      </x:c>
      <x:c r="O164" s="2" t="str">
        <x:v>Có BHH gốc</x:v>
      </x:c>
      <x:c r="P164" s="2" t="str">
        <x:v>Khớp sổ AMIS 2024</x:v>
      </x:c>
      <x:c r="Q164" s="2" t="str">
        <x:v>34219</x:v>
      </x:c>
    </x:row>
    <x:row r="165" ht="42" customHeight="1">
      <x:c r="A165" s="7" t="str">
        <x:v>BTL00120</x:v>
      </x:c>
      <x:c r="B165" s="6" t="d">
        <x:v>2024-10-22T00:00:00.000Z</x:v>
      </x:c>
      <x:c r="C165" s="7" t="str">
        <x:v>BHHT2024017854</x:v>
      </x:c>
      <x:c r="D165" s="2" t="n">
        <x:v>1</x:v>
      </x:c>
      <x:c r="E165" s="7" t="str">
        <x:v>KM300FULL</x:v>
      </x:c>
      <x:c r="F165" s="10" t="str">
        <x:v>Đèn bắt muỗi, ruồi và các loại côn trùng UVA Electronical Mosquito Killer, Model: KM300</x:v>
      </x:c>
      <x:c r="G165" s="2" t="str">
        <x:v>Cái</x:v>
      </x:c>
      <x:c r="H165" s="8" t="n">
        <x:v>1</x:v>
      </x:c>
      <x:c r="I165" s="8" t="n">
        <x:v>415741</x:v>
      </x:c>
      <x:c r="J165" s="9" t="n">
        <x:v>415741</x:v>
      </x:c>
      <x:c r="K165" s="2" t="n">
        <x:v>8</x:v>
      </x:c>
      <x:c r="L165" s="9" t="n">
        <x:v>33259</x:v>
      </x:c>
      <x:c r="M165" s="9" t="n">
        <x:f>J165+L165</x:f>
        <x:v>449000</x:v>
      </x:c>
      <x:c r="N165" s="2" t="str">
        <x:v>Khách hàng Tiktok</x:v>
      </x:c>
      <x:c r="O165" s="2" t="str">
        <x:v>Có BHH gốc</x:v>
      </x:c>
      <x:c r="P165" s="2" t="str">
        <x:v>Khớp sổ AMIS 2024</x:v>
      </x:c>
      <x:c r="Q165" s="2" t="str">
        <x:v>34220</x:v>
      </x:c>
    </x:row>
    <x:row r="166" ht="42" customHeight="1">
      <x:c r="A166" s="7" t="str">
        <x:v>BTL00121</x:v>
      </x:c>
      <x:c r="B166" s="6" t="d">
        <x:v>2024-10-23T00:00:00.000Z</x:v>
      </x:c>
      <x:c r="C166" s="7" t="str">
        <x:v>BHHT2024018508</x:v>
      </x:c>
      <x:c r="D166" s="2" t="n">
        <x:v>1</x:v>
      </x:c>
      <x:c r="E166" s="7" t="str">
        <x:v>KA350LIGHTFULL</x:v>
      </x:c>
      <x:c r="F166" s="10" t="str">
        <x:v>Máy lọc không khí diệt khuẩn bằng tia UVC (True UVC Air Purifier - KA350) model KA350</x:v>
      </x:c>
      <x:c r="G166" s="2" t="str">
        <x:v>Cái</x:v>
      </x:c>
      <x:c r="H166" s="8" t="n">
        <x:v>1</x:v>
      </x:c>
      <x:c r="I166" s="8" t="n">
        <x:v>1663519</x:v>
      </x:c>
      <x:c r="J166" s="9" t="n">
        <x:v>1663519</x:v>
      </x:c>
      <x:c r="K166" s="2" t="n">
        <x:v>8</x:v>
      </x:c>
      <x:c r="L166" s="9" t="n">
        <x:v>133081</x:v>
      </x:c>
      <x:c r="M166" s="9" t="n">
        <x:f>J166+L166</x:f>
        <x:v>1796600</x:v>
      </x:c>
      <x:c r="N166" s="2" t="str">
        <x:v>Khách hàng Tiktok</x:v>
      </x:c>
      <x:c r="O166" s="2" t="str">
        <x:v>Có BHH gốc</x:v>
      </x:c>
      <x:c r="P166" s="2" t="str">
        <x:v>Khớp sổ AMIS 2024</x:v>
      </x:c>
      <x:c r="Q166" s="2" t="str">
        <x:v>34326</x:v>
      </x:c>
    </x:row>
    <x:row r="167" ht="42" customHeight="1">
      <x:c r="A167" s="7" t="str">
        <x:v>BTL00122</x:v>
      </x:c>
      <x:c r="B167" s="6" t="d">
        <x:v>2024-10-25T00:00:00.000Z</x:v>
      </x:c>
      <x:c r="C167" s="7" t="str">
        <x:v>BHHT2024018446</x:v>
      </x:c>
      <x:c r="D167" s="2" t="n">
        <x:v>1</x:v>
      </x:c>
      <x:c r="E167" s="7" t="str">
        <x:v>KA350LIGHTFULL</x:v>
      </x:c>
      <x:c r="F167" s="10" t="str">
        <x:v>Máy lọc không khí diệt khuẩn bằng tia UVC (True UVC Air Purifier - KA350) model KA350</x:v>
      </x:c>
      <x:c r="G167" s="2" t="str">
        <x:v>Cái</x:v>
      </x:c>
      <x:c r="H167" s="8" t="n">
        <x:v>1</x:v>
      </x:c>
      <x:c r="I167" s="8" t="n">
        <x:v>1702778</x:v>
      </x:c>
      <x:c r="J167" s="9" t="n">
        <x:v>1702778</x:v>
      </x:c>
      <x:c r="K167" s="2" t="n">
        <x:v>8</x:v>
      </x:c>
      <x:c r="L167" s="9" t="n">
        <x:v>136222</x:v>
      </x:c>
      <x:c r="M167" s="9" t="n">
        <x:f>J167+L167</x:f>
        <x:v>1839000</x:v>
      </x:c>
      <x:c r="N167" s="2" t="str">
        <x:v>Khách hàng Tiktok</x:v>
      </x:c>
      <x:c r="O167" s="2" t="str">
        <x:v>Có BHH gốc</x:v>
      </x:c>
      <x:c r="P167" s="2" t="str">
        <x:v>Khớp sổ AMIS 2024</x:v>
      </x:c>
      <x:c r="Q167" s="2" t="str">
        <x:v>34725</x:v>
      </x:c>
    </x:row>
    <x:row r="168" ht="42" customHeight="1">
      <x:c r="A168" s="7" t="str">
        <x:v>BTL00123</x:v>
      </x:c>
      <x:c r="B168" s="6" t="d">
        <x:v>2024-10-26T00:00:00.000Z</x:v>
      </x:c>
      <x:c r="C168" s="7" t="str">
        <x:v>BHHT2024018751</x:v>
      </x:c>
      <x:c r="D168" s="2" t="n">
        <x:v>1</x:v>
      </x:c>
      <x:c r="E168" s="7" t="str">
        <x:v>KA350LIGHTFULL</x:v>
      </x:c>
      <x:c r="F168" s="10" t="str">
        <x:v>Máy lọc không khí diệt khuẩn bằng tia UVC (True UVC Air Purifier - KA350) model KA350</x:v>
      </x:c>
      <x:c r="G168" s="2" t="str">
        <x:v>Cái</x:v>
      </x:c>
      <x:c r="H168" s="8" t="n">
        <x:v>1</x:v>
      </x:c>
      <x:c r="I168" s="8" t="n">
        <x:v>1702778</x:v>
      </x:c>
      <x:c r="J168" s="9" t="n">
        <x:v>1702778</x:v>
      </x:c>
      <x:c r="K168" s="2" t="n">
        <x:v>8</x:v>
      </x:c>
      <x:c r="L168" s="9" t="n">
        <x:v>136222</x:v>
      </x:c>
      <x:c r="M168" s="9" t="n">
        <x:f>J168+L168</x:f>
        <x:v>1839000</x:v>
      </x:c>
      <x:c r="N168" s="2" t="str">
        <x:v>Khách hàng Tiktok</x:v>
      </x:c>
      <x:c r="O168" s="2" t="str">
        <x:v>Có BHH gốc</x:v>
      </x:c>
      <x:c r="P168" s="2" t="str">
        <x:v>Khớp sổ AMIS 2024</x:v>
      </x:c>
      <x:c r="Q168" s="2" t="str">
        <x:v>34882</x:v>
      </x:c>
    </x:row>
    <x:row r="169" ht="42" customHeight="1">
      <x:c r="A169" s="7" t="str">
        <x:v>BTL00177</x:v>
      </x:c>
      <x:c r="B169" s="6" t="d">
        <x:v>2024-10-26T00:00:00.000Z</x:v>
      </x:c>
      <x:c r="C169" s="7" t="str">
        <x:v>BHHT2024018262</x:v>
      </x:c>
      <x:c r="D169" s="2" t="n">
        <x:v>1</x:v>
      </x:c>
      <x:c r="E169" s="7" t="str">
        <x:v>KA350LIGHTFULL</x:v>
      </x:c>
      <x:c r="F169" s="10" t="str">
        <x:v>Máy lọc không khí diệt khuẩn bằng tia UVC (True UVC Air Purifier - KA350) model KA350</x:v>
      </x:c>
      <x:c r="G169" s="2" t="str">
        <x:v>Cái</x:v>
      </x:c>
      <x:c r="H169" s="8" t="n">
        <x:v>1</x:v>
      </x:c>
      <x:c r="I169" s="8" t="n">
        <x:v>1266701</x:v>
      </x:c>
      <x:c r="J169" s="9" t="n">
        <x:v>1266701</x:v>
      </x:c>
      <x:c r="K169" s="2" t="n">
        <x:v>8</x:v>
      </x:c>
      <x:c r="L169" s="9" t="n">
        <x:v>101336</x:v>
      </x:c>
      <x:c r="M169" s="9" t="n">
        <x:f>J169+L169</x:f>
        <x:v>1368037</x:v>
      </x:c>
      <x:c r="N169" s="2" t="str">
        <x:v>Khách hàng Tiktok</x:v>
      </x:c>
      <x:c r="O169" s="2" t="str">
        <x:v>Có BHH gốc</x:v>
      </x:c>
      <x:c r="P169" s="2" t="str">
        <x:v>Khớp sổ AMIS 2024</x:v>
      </x:c>
      <x:c r="Q169" s="2" t="str">
        <x:v>34883</x:v>
      </x:c>
    </x:row>
    <x:row r="170" ht="42" customHeight="1">
      <x:c r="A170" s="7" t="str">
        <x:v>BTL00177</x:v>
      </x:c>
      <x:c r="B170" s="6" t="d">
        <x:v>2024-10-26T00:00:00.000Z</x:v>
      </x:c>
      <x:c r="C170" s="7" t="str">
        <x:v>BHHT2024018262</x:v>
      </x:c>
      <x:c r="D170" s="2" t="n">
        <x:v>2</x:v>
      </x:c>
      <x:c r="E170" s="7" t="str">
        <x:v>KA350FILTERFULL</x:v>
      </x:c>
      <x:c r="F170" s="10" t="str">
        <x:v>Lõi lọc diệt khuẩn Filter KA350 - model: FT KA350</x:v>
      </x:c>
      <x:c r="G170" s="2" t="str">
        <x:v>Cái</x:v>
      </x:c>
      <x:c r="H170" s="8" t="n">
        <x:v>1</x:v>
      </x:c>
      <x:c r="I170" s="8" t="n">
        <x:v>436077</x:v>
      </x:c>
      <x:c r="J170" s="9" t="n">
        <x:v>436077</x:v>
      </x:c>
      <x:c r="K170" s="2" t="n">
        <x:v>8</x:v>
      </x:c>
      <x:c r="L170" s="9" t="n">
        <x:v>34886</x:v>
      </x:c>
      <x:c r="M170" s="9" t="n">
        <x:f>J170+L170</x:f>
        <x:v>470963</x:v>
      </x:c>
      <x:c r="N170" s="2" t="str">
        <x:v>Khách hàng Tiktok</x:v>
      </x:c>
      <x:c r="O170" s="2" t="str">
        <x:v>Có BHH gốc</x:v>
      </x:c>
      <x:c r="P170" s="2" t="str">
        <x:v>Khớp sổ AMIS 2024</x:v>
      </x:c>
      <x:c r="Q170" s="2" t="str">
        <x:v>34884</x:v>
      </x:c>
    </x:row>
    <x:row r="171" ht="42" customHeight="1">
      <x:c r="A171" s="7" t="str">
        <x:v>BTL00124</x:v>
      </x:c>
      <x:c r="B171" s="6" t="d">
        <x:v>2024-10-29T00:00:00.000Z</x:v>
      </x:c>
      <x:c r="C171" s="7" t="str">
        <x:v>BHHT2024017215</x:v>
      </x:c>
      <x:c r="D171" s="2" t="n">
        <x:v>1</x:v>
      </x:c>
      <x:c r="E171" s="7" t="str">
        <x:v>KA150SFULL</x:v>
      </x:c>
      <x:c r="F171" s="10" t="str">
        <x:v>Máy lọc không khí diệt khuẩn bằng tia UVC - True UVC Air Purifiers - KA150S</x:v>
      </x:c>
      <x:c r="G171" s="2" t="str">
        <x:v>Cái</x:v>
      </x:c>
      <x:c r="H171" s="8" t="n">
        <x:v>1</x:v>
      </x:c>
      <x:c r="I171" s="8" t="n">
        <x:v>962037</x:v>
      </x:c>
      <x:c r="J171" s="9" t="n">
        <x:v>962037</x:v>
      </x:c>
      <x:c r="K171" s="2" t="n">
        <x:v>8</x:v>
      </x:c>
      <x:c r="L171" s="9" t="n">
        <x:v>76963</x:v>
      </x:c>
      <x:c r="M171" s="9" t="n">
        <x:f>J171+L171</x:f>
        <x:v>1039000</x:v>
      </x:c>
      <x:c r="N171" s="2" t="str">
        <x:v>Khách hàng Tiktok</x:v>
      </x:c>
      <x:c r="O171" s="2" t="str">
        <x:v>Có BHH gốc</x:v>
      </x:c>
      <x:c r="P171" s="2" t="str">
        <x:v>Khớp sổ AMIS 2024</x:v>
      </x:c>
      <x:c r="Q171" s="2" t="str">
        <x:v>35297</x:v>
      </x:c>
    </x:row>
    <x:row r="172" ht="42" customHeight="1">
      <x:c r="A172" s="7" t="str">
        <x:v>BTL00125</x:v>
      </x:c>
      <x:c r="B172" s="6" t="d">
        <x:v>2024-10-29T00:00:00.000Z</x:v>
      </x:c>
      <x:c r="C172" s="7" t="str">
        <x:v>BHHT2024017420</x:v>
      </x:c>
      <x:c r="D172" s="2" t="n">
        <x:v>1</x:v>
      </x:c>
      <x:c r="E172" s="7" t="str">
        <x:v>KA150PFULL</x:v>
      </x:c>
      <x:c r="F172" s="10" t="str">
        <x:v>Máy lọc không khí diệt khuẩn bằng tia UVC - True UVC Air Purifiers - KA150P</x:v>
      </x:c>
      <x:c r="G172" s="2" t="str">
        <x:v>Cái</x:v>
      </x:c>
      <x:c r="H172" s="8" t="n">
        <x:v>1</x:v>
      </x:c>
      <x:c r="I172" s="8" t="n">
        <x:v>1276852</x:v>
      </x:c>
      <x:c r="J172" s="9" t="n">
        <x:v>1276852</x:v>
      </x:c>
      <x:c r="K172" s="2" t="n">
        <x:v>8</x:v>
      </x:c>
      <x:c r="L172" s="9" t="n">
        <x:v>102148</x:v>
      </x:c>
      <x:c r="M172" s="9" t="n">
        <x:f>J172+L172</x:f>
        <x:v>1379000</x:v>
      </x:c>
      <x:c r="N172" s="2" t="str">
        <x:v>Khách hàng Tiktok</x:v>
      </x:c>
      <x:c r="O172" s="2" t="str">
        <x:v>Có BHH gốc</x:v>
      </x:c>
      <x:c r="P172" s="2" t="str">
        <x:v>Khớp sổ AMIS 2024</x:v>
      </x:c>
      <x:c r="Q172" s="2" t="str">
        <x:v>35298</x:v>
      </x:c>
    </x:row>
    <x:row r="173" ht="42" customHeight="1">
      <x:c r="A173" s="7" t="str">
        <x:v>BTL00126</x:v>
      </x:c>
      <x:c r="B173" s="6" t="d">
        <x:v>2024-10-30T00:00:00.000Z</x:v>
      </x:c>
      <x:c r="C173" s="7" t="str">
        <x:v>BHHT2024018052</x:v>
      </x:c>
      <x:c r="D173" s="2" t="n">
        <x:v>1</x:v>
      </x:c>
      <x:c r="E173" s="7" t="str">
        <x:v>KA150SFULL</x:v>
      </x:c>
      <x:c r="F173" s="10" t="str">
        <x:v>Máy lọc không khí diệt khuẩn bằng tia UVC - True UVC Air Purifiers - KA150S</x:v>
      </x:c>
      <x:c r="G173" s="2" t="str">
        <x:v>Cái</x:v>
      </x:c>
      <x:c r="H173" s="8" t="n">
        <x:v>1</x:v>
      </x:c>
      <x:c r="I173" s="8" t="n">
        <x:v>962037</x:v>
      </x:c>
      <x:c r="J173" s="9" t="n">
        <x:v>962037</x:v>
      </x:c>
      <x:c r="K173" s="2" t="n">
        <x:v>8</x:v>
      </x:c>
      <x:c r="L173" s="9" t="n">
        <x:v>76963</x:v>
      </x:c>
      <x:c r="M173" s="9" t="n">
        <x:f>J173+L173</x:f>
        <x:v>1039000</x:v>
      </x:c>
      <x:c r="N173" s="2" t="str">
        <x:v>Khách hàng Tiktok</x:v>
      </x:c>
      <x:c r="O173" s="2" t="str">
        <x:v>Có BHH gốc</x:v>
      </x:c>
      <x:c r="P173" s="2" t="str">
        <x:v>Khớp sổ AMIS 2024</x:v>
      </x:c>
      <x:c r="Q173" s="2" t="str">
        <x:v>35468</x:v>
      </x:c>
    </x:row>
    <x:row r="174" ht="42" customHeight="1">
      <x:c r="A174" s="7" t="str">
        <x:v>BTL00178</x:v>
      </x:c>
      <x:c r="B174" s="6" t="d">
        <x:v>2024-11-02T00:00:00.000Z</x:v>
      </x:c>
      <x:c r="C174" s="7" t="str">
        <x:v>BHHT2024017754</x:v>
      </x:c>
      <x:c r="D174" s="2" t="n">
        <x:v>1</x:v>
      </x:c>
      <x:c r="E174" s="7" t="str">
        <x:v>KA600FILTERFULL</x:v>
      </x:c>
      <x:c r="F174" s="10" t="str">
        <x:v>Lõi lọc diệt khuẩn - Filter, model:FT- KA600</x:v>
      </x:c>
      <x:c r="G174" s="2" t="str">
        <x:v>Cái</x:v>
      </x:c>
      <x:c r="H174" s="8" t="n">
        <x:v>1</x:v>
      </x:c>
      <x:c r="I174" s="8" t="n">
        <x:v>508333</x:v>
      </x:c>
      <x:c r="J174" s="9" t="n">
        <x:v>508333</x:v>
      </x:c>
      <x:c r="K174" s="2" t="n">
        <x:v>8</x:v>
      </x:c>
      <x:c r="L174" s="9" t="n">
        <x:v>40667</x:v>
      </x:c>
      <x:c r="M174" s="9" t="n">
        <x:f>J174+L174</x:f>
        <x:v>549000</x:v>
      </x:c>
      <x:c r="N174" s="2" t="str">
        <x:v>Khách hàng Tiktok</x:v>
      </x:c>
      <x:c r="O174" s="2" t="str">
        <x:v>Có BHH gốc</x:v>
      </x:c>
      <x:c r="P174" s="2" t="str">
        <x:v>Khớp sổ AMIS 2024</x:v>
      </x:c>
      <x:c r="Q174" s="2" t="str">
        <x:v>35834</x:v>
      </x:c>
    </x:row>
    <x:row r="175" ht="42" customHeight="1">
      <x:c r="A175" s="7" t="str">
        <x:v>BTL00179</x:v>
      </x:c>
      <x:c r="B175" s="6" t="d">
        <x:v>2024-11-02T00:00:00.000Z</x:v>
      </x:c>
      <x:c r="C175" s="7" t="str">
        <x:v>BHHT2024017809</x:v>
      </x:c>
      <x:c r="D175" s="2" t="n">
        <x:v>1</x:v>
      </x:c>
      <x:c r="E175" s="7" t="str">
        <x:v>KA600FULL</x:v>
      </x:c>
      <x:c r="F175" s="10" t="str">
        <x:v>Máy lọc không khí diệt khuẩn bằng tia UVC - True UVC Air Purifier . Model: KA600</x:v>
      </x:c>
      <x:c r="G175" s="2" t="str">
        <x:v>Cái</x:v>
      </x:c>
      <x:c r="H175" s="8" t="n">
        <x:v>1</x:v>
      </x:c>
      <x:c r="I175" s="8" t="n">
        <x:v>2526852</x:v>
      </x:c>
      <x:c r="J175" s="9" t="n">
        <x:v>2526852</x:v>
      </x:c>
      <x:c r="K175" s="2" t="n">
        <x:v>8</x:v>
      </x:c>
      <x:c r="L175" s="9" t="n">
        <x:v>202148</x:v>
      </x:c>
      <x:c r="M175" s="9" t="n">
        <x:f>J175+L175</x:f>
        <x:v>2729000</x:v>
      </x:c>
      <x:c r="N175" s="2" t="str">
        <x:v>Khách hàng Tiktok</x:v>
      </x:c>
      <x:c r="O175" s="2" t="str">
        <x:v>Có BHH gốc</x:v>
      </x:c>
      <x:c r="P175" s="2" t="str">
        <x:v>Khớp sổ AMIS 2024</x:v>
      </x:c>
      <x:c r="Q175" s="2" t="str">
        <x:v>35835</x:v>
      </x:c>
    </x:row>
    <x:row r="176" ht="42" customHeight="1">
      <x:c r="A176" s="7" t="str">
        <x:v>BTL00187</x:v>
      </x:c>
      <x:c r="B176" s="6" t="d">
        <x:v>2024-11-03T00:00:00.000Z</x:v>
      </x:c>
      <x:c r="C176" s="7" t="str">
        <x:v>BHHN2024000165</x:v>
      </x:c>
      <x:c r="D176" s="2" t="n">
        <x:v>1</x:v>
      </x:c>
      <x:c r="E176" s="7" t="str">
        <x:v>KA150SFILTERFULL</x:v>
      </x:c>
      <x:c r="F176" s="10" t="str">
        <x:v>Lõi lọc diệt khuẩn (Filter-FT-KA150S), model: FT-KA150S</x:v>
      </x:c>
      <x:c r="G176" s="2" t="str">
        <x:v>Cái</x:v>
      </x:c>
      <x:c r="H176" s="8" t="n">
        <x:v>1</x:v>
      </x:c>
      <x:c r="I176" s="8" t="n">
        <x:v>480556</x:v>
      </x:c>
      <x:c r="J176" s="9" t="n">
        <x:v>480556</x:v>
      </x:c>
      <x:c r="K176" s="2" t="n">
        <x:v>8</x:v>
      </x:c>
      <x:c r="L176" s="9" t="n">
        <x:v>38444</x:v>
      </x:c>
      <x:c r="M176" s="9" t="n">
        <x:f>J176+L176</x:f>
        <x:v>519000</x:v>
      </x:c>
      <x:c r="N176" s="2" t="str">
        <x:v>Phong Cao</x:v>
      </x:c>
      <x:c r="O176" s="2" t="str">
        <x:v>Có BHH gốc</x:v>
      </x:c>
      <x:c r="P176" s="2" t="str">
        <x:v>Khớp sổ AMIS 2024</x:v>
      </x:c>
      <x:c r="Q176" s="2" t="str">
        <x:v>35899</x:v>
      </x:c>
    </x:row>
    <x:row r="177" ht="42" customHeight="1">
      <x:c r="A177" s="7" t="str">
        <x:v>BTL00083</x:v>
      </x:c>
      <x:c r="B177" s="6" t="d">
        <x:v>2024-11-04T00:00:00.000Z</x:v>
      </x:c>
      <x:c r="C177" s="7" t="str">
        <x:v>BHHS2024006823</x:v>
      </x:c>
      <x:c r="D177" s="2" t="n">
        <x:v>1</x:v>
      </x:c>
      <x:c r="E177" s="7" t="str">
        <x:v>KA600FULL</x:v>
      </x:c>
      <x:c r="F177" s="10" t="str">
        <x:v>Máy lọc không khí diệt khuẩn bằng tia UVC - True UVC Air Purifier . Model: KA600</x:v>
      </x:c>
      <x:c r="G177" s="2" t="str">
        <x:v>Cái</x:v>
      </x:c>
      <x:c r="H177" s="8" t="n">
        <x:v>1</x:v>
      </x:c>
      <x:c r="I177" s="8" t="n">
        <x:v>2037076</x:v>
      </x:c>
      <x:c r="J177" s="9" t="n">
        <x:v>2037076</x:v>
      </x:c>
      <x:c r="K177" s="2" t="n">
        <x:v>8</x:v>
      </x:c>
      <x:c r="L177" s="9" t="n">
        <x:v>162966</x:v>
      </x:c>
      <x:c r="M177" s="9" t="n">
        <x:f>J177+L177</x:f>
        <x:v>2200042</x:v>
      </x:c>
      <x:c r="N177" s="2" t="str">
        <x:v>Khách hàng Shoppe</x:v>
      </x:c>
      <x:c r="O177" s="2" t="str">
        <x:v>Có BHH gốc</x:v>
      </x:c>
      <x:c r="P177" s="2" t="str">
        <x:v>Khớp sổ AMIS 2024</x:v>
      </x:c>
      <x:c r="Q177" s="2" t="str">
        <x:v>36006</x:v>
      </x:c>
    </x:row>
    <x:row r="178" ht="42" customHeight="1">
      <x:c r="A178" s="7" t="str">
        <x:v>BTL00083</x:v>
      </x:c>
      <x:c r="B178" s="6" t="d">
        <x:v>2024-11-04T00:00:00.000Z</x:v>
      </x:c>
      <x:c r="C178" s="7" t="str">
        <x:v>BHHS2024006823</x:v>
      </x:c>
      <x:c r="D178" s="2" t="n">
        <x:v>2</x:v>
      </x:c>
      <x:c r="E178" s="7" t="str">
        <x:v>KA600FILTERFULL</x:v>
      </x:c>
      <x:c r="F178" s="10" t="str">
        <x:v>Lõi lọc diệt khuẩn - Filter, model:FT- KA600</x:v>
      </x:c>
      <x:c r="G178" s="2" t="str">
        <x:v>Cái</x:v>
      </x:c>
      <x:c r="H178" s="8" t="n">
        <x:v>1</x:v>
      </x:c>
      <x:c r="I178" s="8" t="n">
        <x:v>536072</x:v>
      </x:c>
      <x:c r="J178" s="9" t="n">
        <x:v>536072</x:v>
      </x:c>
      <x:c r="K178" s="2" t="n">
        <x:v>8</x:v>
      </x:c>
      <x:c r="L178" s="9" t="n">
        <x:v>42886</x:v>
      </x:c>
      <x:c r="M178" s="9" t="n">
        <x:f>J178+L178</x:f>
        <x:v>578958</x:v>
      </x:c>
      <x:c r="N178" s="2" t="str">
        <x:v>Khách hàng Shoppe</x:v>
      </x:c>
      <x:c r="O178" s="2" t="str">
        <x:v>Có BHH gốc</x:v>
      </x:c>
      <x:c r="P178" s="2" t="str">
        <x:v>Khớp sổ AMIS 2024</x:v>
      </x:c>
      <x:c r="Q178" s="2" t="str">
        <x:v>36007</x:v>
      </x:c>
    </x:row>
    <x:row r="179" ht="42" customHeight="1">
      <x:c r="A179" s="7" t="str">
        <x:v>BTL00085</x:v>
      </x:c>
      <x:c r="B179" s="6" t="d">
        <x:v>2024-11-04T00:00:00.000Z</x:v>
      </x:c>
      <x:c r="C179" s="7" t="str">
        <x:v>BHHS2024006209</x:v>
      </x:c>
      <x:c r="D179" s="2" t="n">
        <x:v>1</x:v>
      </x:c>
      <x:c r="E179" s="7" t="str">
        <x:v>KA350LIGHTFULL</x:v>
      </x:c>
      <x:c r="F179" s="10" t="str">
        <x:v>Máy lọc không khí diệt khuẩn bằng tia UVC (True UVC Air Purifier - KA350) model KA350</x:v>
      </x:c>
      <x:c r="G179" s="2" t="str">
        <x:v>Cái</x:v>
      </x:c>
      <x:c r="H179" s="8" t="n">
        <x:v>1</x:v>
      </x:c>
      <x:c r="I179" s="8" t="n">
        <x:v>1294253</x:v>
      </x:c>
      <x:c r="J179" s="9" t="n">
        <x:v>1294253</x:v>
      </x:c>
      <x:c r="K179" s="2" t="n">
        <x:v>8</x:v>
      </x:c>
      <x:c r="L179" s="9" t="n">
        <x:v>103540</x:v>
      </x:c>
      <x:c r="M179" s="9" t="n">
        <x:f>J179+L179</x:f>
        <x:v>1397793</x:v>
      </x:c>
      <x:c r="N179" s="2" t="str">
        <x:v>Khách hàng Shoppe</x:v>
      </x:c>
      <x:c r="O179" s="2" t="str">
        <x:v>Có BHH gốc</x:v>
      </x:c>
      <x:c r="P179" s="2" t="str">
        <x:v>Khớp sổ AMIS 2024</x:v>
      </x:c>
      <x:c r="Q179" s="2" t="str">
        <x:v>36008</x:v>
      </x:c>
    </x:row>
    <x:row r="180" ht="42" customHeight="1">
      <x:c r="A180" s="7" t="str">
        <x:v>BTL00085</x:v>
      </x:c>
      <x:c r="B180" s="6" t="d">
        <x:v>2024-11-04T00:00:00.000Z</x:v>
      </x:c>
      <x:c r="C180" s="7" t="str">
        <x:v>BHHS2024006209</x:v>
      </x:c>
      <x:c r="D180" s="2" t="n">
        <x:v>2</x:v>
      </x:c>
      <x:c r="E180" s="7" t="str">
        <x:v>KA350FILTERFULL</x:v>
      </x:c>
      <x:c r="F180" s="10" t="str">
        <x:v>Lõi lọc diệt khuẩn Filter KA350 - model: FT KA350</x:v>
      </x:c>
      <x:c r="G180" s="2" t="str">
        <x:v>Cái</x:v>
      </x:c>
      <x:c r="H180" s="8" t="n">
        <x:v>1</x:v>
      </x:c>
      <x:c r="I180" s="8" t="n">
        <x:v>445562</x:v>
      </x:c>
      <x:c r="J180" s="9" t="n">
        <x:v>445562</x:v>
      </x:c>
      <x:c r="K180" s="2" t="n">
        <x:v>8</x:v>
      </x:c>
      <x:c r="L180" s="9" t="n">
        <x:v>35645</x:v>
      </x:c>
      <x:c r="M180" s="9" t="n">
        <x:f>J180+L180</x:f>
        <x:v>481207</x:v>
      </x:c>
      <x:c r="N180" s="2" t="str">
        <x:v>Khách hàng Shoppe</x:v>
      </x:c>
      <x:c r="O180" s="2" t="str">
        <x:v>Có BHH gốc</x:v>
      </x:c>
      <x:c r="P180" s="2" t="str">
        <x:v>Khớp sổ AMIS 2024</x:v>
      </x:c>
      <x:c r="Q180" s="2" t="str">
        <x:v>36009</x:v>
      </x:c>
    </x:row>
    <x:row r="181" ht="42" customHeight="1">
      <x:c r="A181" s="7" t="str">
        <x:v>BTL00132</x:v>
      </x:c>
      <x:c r="B181" s="6" t="d">
        <x:v>2024-11-04T00:00:00.000Z</x:v>
      </x:c>
      <x:c r="C181" s="7" t="str">
        <x:v>BHHT2024017243</x:v>
      </x:c>
      <x:c r="D181" s="2" t="n">
        <x:v>1</x:v>
      </x:c>
      <x:c r="E181" s="7" t="str">
        <x:v>KM200FULL</x:v>
      </x:c>
      <x:c r="F181" s="10" t="str">
        <x:v>Đèn bắt muỗi, ruồi và các loại côn trùng KM200</x:v>
      </x:c>
      <x:c r="G181" s="2" t="str">
        <x:v>Cái</x:v>
      </x:c>
      <x:c r="H181" s="8" t="n">
        <x:v>1</x:v>
      </x:c>
      <x:c r="I181" s="8" t="n">
        <x:v>258333</x:v>
      </x:c>
      <x:c r="J181" s="9" t="n">
        <x:v>258333</x:v>
      </x:c>
      <x:c r="K181" s="2" t="n">
        <x:v>8</x:v>
      </x:c>
      <x:c r="L181" s="9" t="n">
        <x:v>20667</x:v>
      </x:c>
      <x:c r="M181" s="9" t="n">
        <x:f>J181+L181</x:f>
        <x:v>279000</x:v>
      </x:c>
      <x:c r="N181" s="2" t="str">
        <x:v>Khách hàng Tiktok</x:v>
      </x:c>
      <x:c r="O181" s="2" t="str">
        <x:v>Có BHH gốc</x:v>
      </x:c>
      <x:c r="P181" s="2" t="str">
        <x:v>Khớp sổ AMIS 2024</x:v>
      </x:c>
      <x:c r="Q181" s="2" t="str">
        <x:v>36010</x:v>
      </x:c>
    </x:row>
    <x:row r="182" ht="42" customHeight="1">
      <x:c r="A182" s="7" t="str">
        <x:v>BTL00133</x:v>
      </x:c>
      <x:c r="B182" s="6" t="d">
        <x:v>2024-11-05T00:00:00.000Z</x:v>
      </x:c>
      <x:c r="C182" s="7" t="str">
        <x:v>BHHT2024022352</x:v>
      </x:c>
      <x:c r="D182" s="2" t="n">
        <x:v>1</x:v>
      </x:c>
      <x:c r="E182" s="7" t="str">
        <x:v>KA350LIGHTFULL</x:v>
      </x:c>
      <x:c r="F182" s="10" t="str">
        <x:v>Máy lọc không khí diệt khuẩn bằng tia UVC (True UVC Air Purifier - KA350) model KA350</x:v>
      </x:c>
      <x:c r="G182" s="2" t="str">
        <x:v>Cái</x:v>
      </x:c>
      <x:c r="H182" s="8" t="n">
        <x:v>1</x:v>
      </x:c>
      <x:c r="I182" s="8" t="n">
        <x:v>1702778</x:v>
      </x:c>
      <x:c r="J182" s="9" t="n">
        <x:v>1702778</x:v>
      </x:c>
      <x:c r="K182" s="2" t="n">
        <x:v>8</x:v>
      </x:c>
      <x:c r="L182" s="9" t="n">
        <x:v>136222</x:v>
      </x:c>
      <x:c r="M182" s="9" t="n">
        <x:f>J182+L182</x:f>
        <x:v>1839000</x:v>
      </x:c>
      <x:c r="N182" s="2" t="str">
        <x:v>Khách hàng Tiktok</x:v>
      </x:c>
      <x:c r="O182" s="2" t="str">
        <x:v>Có BHH gốc</x:v>
      </x:c>
      <x:c r="P182" s="2" t="str">
        <x:v>Khớp sổ AMIS 2024</x:v>
      </x:c>
      <x:c r="Q182" s="2" t="str">
        <x:v>36109</x:v>
      </x:c>
    </x:row>
    <x:row r="183" ht="42" customHeight="1">
      <x:c r="A183" s="7" t="str">
        <x:v>BTL00079</x:v>
      </x:c>
      <x:c r="B183" s="6" t="d">
        <x:v>2024-11-08T00:00:00.000Z</x:v>
      </x:c>
      <x:c r="C183" s="7" t="str">
        <x:v>BHHS2024006117</x:v>
      </x:c>
      <x:c r="D183" s="2" t="n">
        <x:v>1</x:v>
      </x:c>
      <x:c r="E183" s="7" t="str">
        <x:v>KA600FULL</x:v>
      </x:c>
      <x:c r="F183" s="10" t="str">
        <x:v>Máy lọc không khí diệt khuẩn bằng tia UVC - True UVC Air Purifier . Model: KA600</x:v>
      </x:c>
      <x:c r="G183" s="2" t="str">
        <x:v>Cái</x:v>
      </x:c>
      <x:c r="H183" s="8" t="n">
        <x:v>1</x:v>
      </x:c>
      <x:c r="I183" s="8" t="n">
        <x:v>2573148</x:v>
      </x:c>
      <x:c r="J183" s="9" t="n">
        <x:v>2573148</x:v>
      </x:c>
      <x:c r="K183" s="2" t="n">
        <x:v>8</x:v>
      </x:c>
      <x:c r="L183" s="9" t="n">
        <x:v>205852</x:v>
      </x:c>
      <x:c r="M183" s="9" t="n">
        <x:f>J183+L183</x:f>
        <x:v>2779000</x:v>
      </x:c>
      <x:c r="N183" s="2" t="str">
        <x:v>Khách hàng Shoppe</x:v>
      </x:c>
      <x:c r="O183" s="2" t="str">
        <x:v>Có BHH gốc</x:v>
      </x:c>
      <x:c r="P183" s="2" t="str">
        <x:v>Khớp sổ AMIS 2024</x:v>
      </x:c>
      <x:c r="Q183" s="2" t="str">
        <x:v>36336</x:v>
      </x:c>
    </x:row>
    <x:row r="184" ht="42" customHeight="1">
      <x:c r="A184" s="7" t="str">
        <x:v>BTL00134</x:v>
      </x:c>
      <x:c r="B184" s="6" t="d">
        <x:v>2024-11-13T00:00:00.000Z</x:v>
      </x:c>
      <x:c r="C184" s="7" t="str">
        <x:v>BHHT2024021563</x:v>
      </x:c>
      <x:c r="D184" s="2" t="n">
        <x:v>1</x:v>
      </x:c>
      <x:c r="E184" s="7" t="str">
        <x:v>KM200FULL</x:v>
      </x:c>
      <x:c r="F184" s="10" t="str">
        <x:v>Đèn bắt muỗi, ruồi và các loại côn trùng KM200</x:v>
      </x:c>
      <x:c r="G184" s="2" t="str">
        <x:v>Cái</x:v>
      </x:c>
      <x:c r="H184" s="8" t="n">
        <x:v>1</x:v>
      </x:c>
      <x:c r="I184" s="8" t="n">
        <x:v>258333</x:v>
      </x:c>
      <x:c r="J184" s="9" t="n">
        <x:v>258333</x:v>
      </x:c>
      <x:c r="K184" s="2" t="n">
        <x:v>8</x:v>
      </x:c>
      <x:c r="L184" s="9" t="n">
        <x:v>20667</x:v>
      </x:c>
      <x:c r="M184" s="9" t="n">
        <x:f>J184+L184</x:f>
        <x:v>279000</x:v>
      </x:c>
      <x:c r="N184" s="2" t="str">
        <x:v>Khách hàng Tiktok</x:v>
      </x:c>
      <x:c r="O184" s="2" t="str">
        <x:v>Có BHH gốc</x:v>
      </x:c>
      <x:c r="P184" s="2" t="str">
        <x:v>Khớp sổ AMIS 2024</x:v>
      </x:c>
      <x:c r="Q184" s="2" t="str">
        <x:v>37368</x:v>
      </x:c>
    </x:row>
    <x:row r="185" ht="42" customHeight="1">
      <x:c r="A185" s="7" t="str">
        <x:v>BTL00135</x:v>
      </x:c>
      <x:c r="B185" s="6" t="d">
        <x:v>2024-11-16T00:00:00.000Z</x:v>
      </x:c>
      <x:c r="C185" s="7" t="str">
        <x:v>BHHT2024020876</x:v>
      </x:c>
      <x:c r="D185" s="2" t="n">
        <x:v>1</x:v>
      </x:c>
      <x:c r="E185" s="7" t="str">
        <x:v>KA350LIGHTFULL</x:v>
      </x:c>
      <x:c r="F185" s="10" t="str">
        <x:v>Máy lọc không khí diệt khuẩn bằng tia UVC (True UVC Air Purifier - KA350) model KA350</x:v>
      </x:c>
      <x:c r="G185" s="2" t="str">
        <x:v>Cái</x:v>
      </x:c>
      <x:c r="H185" s="8" t="n">
        <x:v>1</x:v>
      </x:c>
      <x:c r="I185" s="8" t="n">
        <x:v>1702778</x:v>
      </x:c>
      <x:c r="J185" s="9" t="n">
        <x:v>1702778</x:v>
      </x:c>
      <x:c r="K185" s="2" t="n">
        <x:v>8</x:v>
      </x:c>
      <x:c r="L185" s="9" t="n">
        <x:v>136222</x:v>
      </x:c>
      <x:c r="M185" s="9" t="n">
        <x:f>J185+L185</x:f>
        <x:v>1839000</x:v>
      </x:c>
      <x:c r="N185" s="2" t="str">
        <x:v>Khách hàng Tiktok</x:v>
      </x:c>
      <x:c r="O185" s="2" t="str">
        <x:v>Có BHH gốc</x:v>
      </x:c>
      <x:c r="P185" s="2" t="str">
        <x:v>Khớp sổ AMIS 2024</x:v>
      </x:c>
      <x:c r="Q185" s="2" t="str">
        <x:v>38035</x:v>
      </x:c>
    </x:row>
    <x:row r="186" ht="42" customHeight="1">
      <x:c r="A186" s="7" t="str">
        <x:v>BTL00136</x:v>
      </x:c>
      <x:c r="B186" s="6" t="d">
        <x:v>2024-11-18T00:00:00.000Z</x:v>
      </x:c>
      <x:c r="C186" s="7" t="str">
        <x:v>BHHT2024021404</x:v>
      </x:c>
      <x:c r="D186" s="2" t="n">
        <x:v>1</x:v>
      </x:c>
      <x:c r="E186" s="7" t="str">
        <x:v>KA150PFULL</x:v>
      </x:c>
      <x:c r="F186" s="10" t="str">
        <x:v>Máy lọc không khí diệt khuẩn bằng tia UVC - True UVC Air Purifiers - KA150P</x:v>
      </x:c>
      <x:c r="G186" s="2" t="str">
        <x:v>Cái</x:v>
      </x:c>
      <x:c r="H186" s="8" t="n">
        <x:v>1</x:v>
      </x:c>
      <x:c r="I186" s="8" t="n">
        <x:v>1369444</x:v>
      </x:c>
      <x:c r="J186" s="9" t="n">
        <x:v>1369444</x:v>
      </x:c>
      <x:c r="K186" s="2" t="n">
        <x:v>8</x:v>
      </x:c>
      <x:c r="L186" s="9" t="n">
        <x:v>109556</x:v>
      </x:c>
      <x:c r="M186" s="9" t="n">
        <x:f>J186+L186</x:f>
        <x:v>1479000</x:v>
      </x:c>
      <x:c r="N186" s="2" t="str">
        <x:v>Khách hàng Tiktok</x:v>
      </x:c>
      <x:c r="O186" s="2" t="str">
        <x:v>Có BHH gốc</x:v>
      </x:c>
      <x:c r="P186" s="2" t="str">
        <x:v>Khớp sổ AMIS 2024</x:v>
      </x:c>
      <x:c r="Q186" s="2" t="str">
        <x:v>38443</x:v>
      </x:c>
    </x:row>
    <x:row r="187" ht="42" customHeight="1">
      <x:c r="A187" s="7" t="str">
        <x:v>BTL00137</x:v>
      </x:c>
      <x:c r="B187" s="6" t="d">
        <x:v>2024-11-19T00:00:00.000Z</x:v>
      </x:c>
      <x:c r="C187" s="7" t="str">
        <x:v>BHHT2024021245</x:v>
      </x:c>
      <x:c r="D187" s="2" t="n">
        <x:v>1</x:v>
      </x:c>
      <x:c r="E187" s="7" t="str">
        <x:v>KM200FULL</x:v>
      </x:c>
      <x:c r="F187" s="10" t="str">
        <x:v>Đèn bắt muỗi, ruồi và các loại côn trùng KM200</x:v>
      </x:c>
      <x:c r="G187" s="2" t="str">
        <x:v>Cái</x:v>
      </x:c>
      <x:c r="H187" s="8" t="n">
        <x:v>1</x:v>
      </x:c>
      <x:c r="I187" s="8" t="n">
        <x:v>237417</x:v>
      </x:c>
      <x:c r="J187" s="9" t="n">
        <x:v>237417</x:v>
      </x:c>
      <x:c r="K187" s="2" t="n">
        <x:v>8</x:v>
      </x:c>
      <x:c r="L187" s="9" t="n">
        <x:v>18993</x:v>
      </x:c>
      <x:c r="M187" s="9" t="n">
        <x:f>J187+L187</x:f>
        <x:v>256410</x:v>
      </x:c>
      <x:c r="N187" s="2" t="str">
        <x:v>Khách hàng Tiktok</x:v>
      </x:c>
      <x:c r="O187" s="2" t="str">
        <x:v>Có BHH gốc</x:v>
      </x:c>
      <x:c r="P187" s="2" t="str">
        <x:v>Khớp sổ AMIS 2024</x:v>
      </x:c>
      <x:c r="Q187" s="2" t="str">
        <x:v>38681</x:v>
      </x:c>
    </x:row>
    <x:row r="188" ht="42" customHeight="1">
      <x:c r="A188" s="7" t="str">
        <x:v>BTL00138</x:v>
      </x:c>
      <x:c r="B188" s="6" t="d">
        <x:v>2024-11-21T00:00:00.000Z</x:v>
      </x:c>
      <x:c r="C188" s="7" t="str">
        <x:v>BHHT2024020920</x:v>
      </x:c>
      <x:c r="D188" s="2" t="n">
        <x:v>1</x:v>
      </x:c>
      <x:c r="E188" s="7" t="str">
        <x:v>KM200FULL</x:v>
      </x:c>
      <x:c r="F188" s="10" t="str">
        <x:v>Đèn bắt muỗi, ruồi và các loại côn trùng KM200</x:v>
      </x:c>
      <x:c r="G188" s="2" t="str">
        <x:v>Cái</x:v>
      </x:c>
      <x:c r="H188" s="8" t="n">
        <x:v>1</x:v>
      </x:c>
      <x:c r="I188" s="8" t="n">
        <x:v>237417</x:v>
      </x:c>
      <x:c r="J188" s="9" t="n">
        <x:v>237417</x:v>
      </x:c>
      <x:c r="K188" s="2" t="n">
        <x:v>8</x:v>
      </x:c>
      <x:c r="L188" s="9" t="n">
        <x:v>18993</x:v>
      </x:c>
      <x:c r="M188" s="9" t="n">
        <x:f>J188+L188</x:f>
        <x:v>256410</x:v>
      </x:c>
      <x:c r="N188" s="2" t="str">
        <x:v>Khách hàng Tiktok</x:v>
      </x:c>
      <x:c r="O188" s="2" t="str">
        <x:v>Có BHH gốc</x:v>
      </x:c>
      <x:c r="P188" s="2" t="str">
        <x:v>Khớp sổ AMIS 2024</x:v>
      </x:c>
      <x:c r="Q188" s="2" t="str">
        <x:v>38895</x:v>
      </x:c>
    </x:row>
    <x:row r="189" ht="42" customHeight="1">
      <x:c r="A189" s="7" t="str">
        <x:v>BTL00139</x:v>
      </x:c>
      <x:c r="B189" s="6" t="d">
        <x:v>2024-11-22T00:00:00.000Z</x:v>
      </x:c>
      <x:c r="C189" s="7" t="str">
        <x:v>BHHT2024021064</x:v>
      </x:c>
      <x:c r="D189" s="2" t="n">
        <x:v>1</x:v>
      </x:c>
      <x:c r="E189" s="7" t="str">
        <x:v>KA600FULL</x:v>
      </x:c>
      <x:c r="F189" s="10" t="str">
        <x:v>Máy lọc không khí diệt khuẩn bằng tia UVC - True UVC Air Purifier . Model: KA600</x:v>
      </x:c>
      <x:c r="G189" s="2" t="str">
        <x:v>Cái</x:v>
      </x:c>
      <x:c r="H189" s="8" t="n">
        <x:v>1</x:v>
      </x:c>
      <x:c r="I189" s="8" t="n">
        <x:v>1991188</x:v>
      </x:c>
      <x:c r="J189" s="9" t="n">
        <x:v>1991188</x:v>
      </x:c>
      <x:c r="K189" s="2" t="n">
        <x:v>8</x:v>
      </x:c>
      <x:c r="L189" s="9" t="n">
        <x:v>159295</x:v>
      </x:c>
      <x:c r="M189" s="9" t="n">
        <x:f>J189+L189</x:f>
        <x:v>2150483</x:v>
      </x:c>
      <x:c r="N189" s="2" t="str">
        <x:v>Khách hàng Tiktok</x:v>
      </x:c>
      <x:c r="O189" s="2" t="str">
        <x:v>Có BHH gốc</x:v>
      </x:c>
      <x:c r="P189" s="2" t="str">
        <x:v>Khớp sổ AMIS 2024</x:v>
      </x:c>
      <x:c r="Q189" s="2" t="str">
        <x:v>38963</x:v>
      </x:c>
    </x:row>
    <x:row r="190" ht="42" customHeight="1">
      <x:c r="A190" s="7" t="str">
        <x:v>BTL00139</x:v>
      </x:c>
      <x:c r="B190" s="6" t="d">
        <x:v>2024-11-22T00:00:00.000Z</x:v>
      </x:c>
      <x:c r="C190" s="7" t="str">
        <x:v>BHHT2024021064</x:v>
      </x:c>
      <x:c r="D190" s="2" t="n">
        <x:v>2</x:v>
      </x:c>
      <x:c r="E190" s="7" t="str">
        <x:v>KA600FILTERFULL</x:v>
      </x:c>
      <x:c r="F190" s="10" t="str">
        <x:v>Lõi lọc diệt khuẩn - Filter, model:FT- KA600</x:v>
      </x:c>
      <x:c r="G190" s="2" t="str">
        <x:v>Cái</x:v>
      </x:c>
      <x:c r="H190" s="8" t="n">
        <x:v>1</x:v>
      </x:c>
      <x:c r="I190" s="8" t="n">
        <x:v>523997</x:v>
      </x:c>
      <x:c r="J190" s="9" t="n">
        <x:v>523997</x:v>
      </x:c>
      <x:c r="K190" s="2" t="n">
        <x:v>8</x:v>
      </x:c>
      <x:c r="L190" s="9" t="n">
        <x:v>41920</x:v>
      </x:c>
      <x:c r="M190" s="9" t="n">
        <x:f>J190+L190</x:f>
        <x:v>565917</x:v>
      </x:c>
      <x:c r="N190" s="2" t="str">
        <x:v>Khách hàng Tiktok</x:v>
      </x:c>
      <x:c r="O190" s="2" t="str">
        <x:v>Có BHH gốc</x:v>
      </x:c>
      <x:c r="P190" s="2" t="str">
        <x:v>Khớp sổ AMIS 2024</x:v>
      </x:c>
      <x:c r="Q190" s="2" t="str">
        <x:v>38964</x:v>
      </x:c>
    </x:row>
    <x:row r="191" ht="42" customHeight="1">
      <x:c r="A191" s="7" t="str">
        <x:v>BTL00140</x:v>
      </x:c>
      <x:c r="B191" s="6" t="d">
        <x:v>2024-11-25T00:00:00.000Z</x:v>
      </x:c>
      <x:c r="C191" s="7" t="str">
        <x:v>BHHT2024021229</x:v>
      </x:c>
      <x:c r="D191" s="2" t="n">
        <x:v>1</x:v>
      </x:c>
      <x:c r="E191" s="7" t="str">
        <x:v>KA150SFULL</x:v>
      </x:c>
      <x:c r="F191" s="10" t="str">
        <x:v>Máy lọc không khí diệt khuẩn bằng tia UVC - True UVC Air Purifiers - KA150S</x:v>
      </x:c>
      <x:c r="G191" s="2" t="str">
        <x:v>Cái</x:v>
      </x:c>
      <x:c r="H191" s="8" t="n">
        <x:v>1</x:v>
      </x:c>
      <x:c r="I191" s="8" t="n">
        <x:v>938889</x:v>
      </x:c>
      <x:c r="J191" s="9" t="n">
        <x:v>938889</x:v>
      </x:c>
      <x:c r="K191" s="2" t="n">
        <x:v>8</x:v>
      </x:c>
      <x:c r="L191" s="9" t="n">
        <x:v>75111</x:v>
      </x:c>
      <x:c r="M191" s="9" t="n">
        <x:f>J191+L191</x:f>
        <x:v>1014000</x:v>
      </x:c>
      <x:c r="N191" s="2" t="str">
        <x:v>Khách hàng Tiktok</x:v>
      </x:c>
      <x:c r="O191" s="2" t="str">
        <x:v>Có BHH gốc</x:v>
      </x:c>
      <x:c r="P191" s="2" t="str">
        <x:v>Khớp sổ AMIS 2024</x:v>
      </x:c>
      <x:c r="Q191" s="2" t="str">
        <x:v>39262</x:v>
      </x:c>
    </x:row>
    <x:row r="192" ht="42" customHeight="1">
      <x:c r="A192" s="7" t="str">
        <x:v>BTL00141</x:v>
      </x:c>
      <x:c r="B192" s="6" t="d">
        <x:v>2024-11-28T00:00:00.000Z</x:v>
      </x:c>
      <x:c r="C192" s="7" t="str">
        <x:v>BHHT2024020489</x:v>
      </x:c>
      <x:c r="D192" s="2" t="n">
        <x:v>1</x:v>
      </x:c>
      <x:c r="E192" s="7" t="str">
        <x:v>KM200FULL</x:v>
      </x:c>
      <x:c r="F192" s="10" t="str">
        <x:v>Đèn bắt muỗi, ruồi và các loại côn trùng KM200</x:v>
      </x:c>
      <x:c r="G192" s="2" t="str">
        <x:v>Cái</x:v>
      </x:c>
      <x:c r="H192" s="8" t="n">
        <x:v>1</x:v>
      </x:c>
      <x:c r="I192" s="8" t="n">
        <x:v>221296</x:v>
      </x:c>
      <x:c r="J192" s="9" t="n">
        <x:v>221296</x:v>
      </x:c>
      <x:c r="K192" s="2" t="n">
        <x:v>8</x:v>
      </x:c>
      <x:c r="L192" s="9" t="n">
        <x:v>17704</x:v>
      </x:c>
      <x:c r="M192" s="9" t="n">
        <x:f>J192+L192</x:f>
        <x:v>239000</x:v>
      </x:c>
      <x:c r="N192" s="2" t="str">
        <x:v>Khách hàng Tiktok</x:v>
      </x:c>
      <x:c r="O192" s="2" t="str">
        <x:v>Có BHH gốc</x:v>
      </x:c>
      <x:c r="P192" s="2" t="str">
        <x:v>Khớp sổ AMIS 2024</x:v>
      </x:c>
      <x:c r="Q192" s="2" t="str">
        <x:v>39635</x:v>
      </x:c>
    </x:row>
    <x:row r="193" ht="42" customHeight="1">
      <x:c r="A193" s="7" t="str">
        <x:v>BTL00142</x:v>
      </x:c>
      <x:c r="B193" s="6" t="d">
        <x:v>2024-11-30T00:00:00.000Z</x:v>
      </x:c>
      <x:c r="C193" s="7" t="str">
        <x:v>BHHT2024020800</x:v>
      </x:c>
      <x:c r="D193" s="2" t="n">
        <x:v>1</x:v>
      </x:c>
      <x:c r="E193" s="7" t="str">
        <x:v>KA150SFULL</x:v>
      </x:c>
      <x:c r="F193" s="10" t="str">
        <x:v>Máy lọc không khí diệt khuẩn bằng tia UVC - True UVC Air Purifiers - KA150S</x:v>
      </x:c>
      <x:c r="G193" s="2" t="str">
        <x:v>Cái</x:v>
      </x:c>
      <x:c r="H193" s="8" t="n">
        <x:v>1</x:v>
      </x:c>
      <x:c r="I193" s="8" t="n">
        <x:v>962037</x:v>
      </x:c>
      <x:c r="J193" s="9" t="n">
        <x:v>962037</x:v>
      </x:c>
      <x:c r="K193" s="2" t="n">
        <x:v>8</x:v>
      </x:c>
      <x:c r="L193" s="9" t="n">
        <x:v>76963</x:v>
      </x:c>
      <x:c r="M193" s="9" t="n">
        <x:f>J193+L193</x:f>
        <x:v>1039000</x:v>
      </x:c>
      <x:c r="N193" s="2" t="str">
        <x:v>Khách hàng Tiktok</x:v>
      </x:c>
      <x:c r="O193" s="2" t="str">
        <x:v>Có BHH gốc</x:v>
      </x:c>
      <x:c r="P193" s="2" t="str">
        <x:v>Khớp sổ AMIS 2024</x:v>
      </x:c>
      <x:c r="Q193" s="2" t="str">
        <x:v>40021</x:v>
      </x:c>
    </x:row>
    <x:row r="194" ht="42" customHeight="1">
      <x:c r="A194" s="7" t="str">
        <x:v>BTL00143</x:v>
      </x:c>
      <x:c r="B194" s="6" t="d">
        <x:v>2024-12-03T00:00:00.000Z</x:v>
      </x:c>
      <x:c r="C194" s="7" t="str">
        <x:v>BHHT2024020204</x:v>
      </x:c>
      <x:c r="D194" s="2" t="n">
        <x:v>1</x:v>
      </x:c>
      <x:c r="E194" s="7" t="str">
        <x:v>KM200FULL</x:v>
      </x:c>
      <x:c r="F194" s="10" t="str">
        <x:v>Đèn bắt muỗi, ruồi và các loại côn trùng KM200</x:v>
      </x:c>
      <x:c r="G194" s="2" t="str">
        <x:v>Cái</x:v>
      </x:c>
      <x:c r="H194" s="8" t="n">
        <x:v>1</x:v>
      </x:c>
      <x:c r="I194" s="8" t="n">
        <x:v>258333</x:v>
      </x:c>
      <x:c r="J194" s="9" t="n">
        <x:v>258333</x:v>
      </x:c>
      <x:c r="K194" s="2" t="n">
        <x:v>8</x:v>
      </x:c>
      <x:c r="L194" s="9" t="n">
        <x:v>20667</x:v>
      </x:c>
      <x:c r="M194" s="9" t="n">
        <x:f>J194+L194</x:f>
        <x:v>279000</x:v>
      </x:c>
      <x:c r="N194" s="2" t="str">
        <x:v>Khách hàng Tiktok</x:v>
      </x:c>
      <x:c r="O194" s="2" t="str">
        <x:v>Có BHH gốc</x:v>
      </x:c>
      <x:c r="P194" s="2" t="str">
        <x:v>Khớp sổ AMIS 2024</x:v>
      </x:c>
      <x:c r="Q194" s="2" t="str">
        <x:v>40631</x:v>
      </x:c>
    </x:row>
    <x:row r="195" ht="42" customHeight="1">
      <x:c r="A195" s="7" t="str">
        <x:v>BTL00144</x:v>
      </x:c>
      <x:c r="B195" s="6" t="d">
        <x:v>2024-12-03T00:00:00.000Z</x:v>
      </x:c>
      <x:c r="C195" s="7" t="str">
        <x:v>BHHT2024020202</x:v>
      </x:c>
      <x:c r="D195" s="2" t="n">
        <x:v>1</x:v>
      </x:c>
      <x:c r="E195" s="7" t="str">
        <x:v>KM200FULL</x:v>
      </x:c>
      <x:c r="F195" s="10" t="str">
        <x:v>Đèn bắt muỗi, ruồi và các loại côn trùng KM200</x:v>
      </x:c>
      <x:c r="G195" s="2" t="str">
        <x:v>Cái</x:v>
      </x:c>
      <x:c r="H195" s="8" t="n">
        <x:v>1</x:v>
      </x:c>
      <x:c r="I195" s="8" t="n">
        <x:v>258333</x:v>
      </x:c>
      <x:c r="J195" s="9" t="n">
        <x:v>258333</x:v>
      </x:c>
      <x:c r="K195" s="2" t="n">
        <x:v>8</x:v>
      </x:c>
      <x:c r="L195" s="9" t="n">
        <x:v>20667</x:v>
      </x:c>
      <x:c r="M195" s="9" t="n">
        <x:f>J195+L195</x:f>
        <x:v>279000</x:v>
      </x:c>
      <x:c r="N195" s="2" t="str">
        <x:v>Khách hàng Tiktok</x:v>
      </x:c>
      <x:c r="O195" s="2" t="str">
        <x:v>Có BHH gốc</x:v>
      </x:c>
      <x:c r="P195" s="2" t="str">
        <x:v>Khớp sổ AMIS 2024</x:v>
      </x:c>
      <x:c r="Q195" s="2" t="str">
        <x:v>40632</x:v>
      </x:c>
    </x:row>
    <x:row r="196" ht="42" customHeight="1">
      <x:c r="A196" s="7" t="str">
        <x:v>BTL00145</x:v>
      </x:c>
      <x:c r="B196" s="6" t="d">
        <x:v>2024-12-03T00:00:00.000Z</x:v>
      </x:c>
      <x:c r="C196" s="7" t="str"/>
      <x:c r="D196" s="2" t="n">
        <x:v>1</x:v>
      </x:c>
      <x:c r="E196" s="7" t="str">
        <x:v>SP000042</x:v>
      </x:c>
      <x:c r="F196" s="10" t="str">
        <x:v>Bình nước giữ nhiệt thông minh UVGREEN UK100 Màu trắng</x:v>
      </x:c>
      <x:c r="G196" s="2" t="str">
        <x:v>Cái</x:v>
      </x:c>
      <x:c r="H196" s="8" t="n">
        <x:v>1</x:v>
      </x:c>
      <x:c r="I196" s="8" t="n">
        <x:v>972222</x:v>
      </x:c>
      <x:c r="J196" s="9" t="n">
        <x:v>972222</x:v>
      </x:c>
      <x:c r="K196" s="2" t="n">
        <x:v>8</x:v>
      </x:c>
      <x:c r="L196" s="9" t="n">
        <x:v>77778</x:v>
      </x:c>
      <x:c r="M196" s="9" t="n">
        <x:f>J196+L196</x:f>
        <x:v>1050000</x:v>
      </x:c>
      <x:c r="N196" s="2" t="str">
        <x:v>Khách hàng Tiktok</x:v>
      </x:c>
      <x:c r="O196" s="2" t="str">
        <x:v>Trống BHH trên AMIS</x:v>
      </x:c>
      <x:c r="P196" s="2" t="str">
        <x:v>Khớp sổ AMIS 2024</x:v>
      </x:c>
      <x:c r="Q196" s="2" t="str">
        <x:v>40633</x:v>
      </x:c>
    </x:row>
    <x:row r="197" ht="42" customHeight="1">
      <x:c r="A197" s="7" t="str">
        <x:v>BTL00146</x:v>
      </x:c>
      <x:c r="B197" s="6" t="d">
        <x:v>2024-12-04T00:00:00.000Z</x:v>
      </x:c>
      <x:c r="C197" s="7" t="str">
        <x:v>BHHT2024024917</x:v>
      </x:c>
      <x:c r="D197" s="2" t="n">
        <x:v>1</x:v>
      </x:c>
      <x:c r="E197" s="7" t="str">
        <x:v>KA350LIGHTFULL</x:v>
      </x:c>
      <x:c r="F197" s="10" t="str">
        <x:v>Máy lọc không khí diệt khuẩn bằng tia UVC (True UVC Air Purifier - KA350) model KA350</x:v>
      </x:c>
      <x:c r="G197" s="2" t="str">
        <x:v>Cái</x:v>
      </x:c>
      <x:c r="H197" s="8" t="n">
        <x:v>1</x:v>
      </x:c>
      <x:c r="I197" s="8" t="n">
        <x:v>1702778</x:v>
      </x:c>
      <x:c r="J197" s="9" t="n">
        <x:v>1702778</x:v>
      </x:c>
      <x:c r="K197" s="2" t="n">
        <x:v>8</x:v>
      </x:c>
      <x:c r="L197" s="9" t="n">
        <x:v>136222</x:v>
      </x:c>
      <x:c r="M197" s="9" t="n">
        <x:f>J197+L197</x:f>
        <x:v>1839000</x:v>
      </x:c>
      <x:c r="N197" s="2" t="str">
        <x:v>Khách hàng Tiktok</x:v>
      </x:c>
      <x:c r="O197" s="2" t="str">
        <x:v>Có BHH gốc</x:v>
      </x:c>
      <x:c r="P197" s="2" t="str">
        <x:v>Khớp sổ AMIS 2024</x:v>
      </x:c>
      <x:c r="Q197" s="2" t="str">
        <x:v>40776</x:v>
      </x:c>
    </x:row>
    <x:row r="198" ht="42" customHeight="1">
      <x:c r="A198" s="7" t="str">
        <x:v>BTL00147</x:v>
      </x:c>
      <x:c r="B198" s="6" t="d">
        <x:v>2024-12-05T00:00:00.000Z</x:v>
      </x:c>
      <x:c r="C198" s="7" t="str">
        <x:v>BHHT2024024570</x:v>
      </x:c>
      <x:c r="D198" s="2" t="n">
        <x:v>1</x:v>
      </x:c>
      <x:c r="E198" s="7" t="str">
        <x:v>KA600FULL</x:v>
      </x:c>
      <x:c r="F198" s="10" t="str">
        <x:v>Máy lọc không khí diệt khuẩn bằng tia UVC - True UVC Air Purifier . Model: KA600</x:v>
      </x:c>
      <x:c r="G198" s="2" t="str">
        <x:v>Cái</x:v>
      </x:c>
      <x:c r="H198" s="8" t="n">
        <x:v>1</x:v>
      </x:c>
      <x:c r="I198" s="8" t="n">
        <x:v>1873435</x:v>
      </x:c>
      <x:c r="J198" s="9" t="n">
        <x:v>1873435</x:v>
      </x:c>
      <x:c r="K198" s="2" t="n">
        <x:v>8</x:v>
      </x:c>
      <x:c r="L198" s="9" t="n">
        <x:v>149875</x:v>
      </x:c>
      <x:c r="M198" s="9" t="n">
        <x:f>J198+L198</x:f>
        <x:v>2023310</x:v>
      </x:c>
      <x:c r="N198" s="2" t="str">
        <x:v>Khách hàng Tiktok</x:v>
      </x:c>
      <x:c r="O198" s="2" t="str">
        <x:v>Có BHH gốc</x:v>
      </x:c>
      <x:c r="P198" s="2" t="str">
        <x:v>Khớp sổ AMIS 2024</x:v>
      </x:c>
      <x:c r="Q198" s="2" t="str">
        <x:v>40940</x:v>
      </x:c>
    </x:row>
    <x:row r="199" ht="42" customHeight="1">
      <x:c r="A199" s="7" t="str">
        <x:v>BTL00147</x:v>
      </x:c>
      <x:c r="B199" s="6" t="d">
        <x:v>2024-12-05T00:00:00.000Z</x:v>
      </x:c>
      <x:c r="C199" s="7" t="str">
        <x:v>BHHT2024024570</x:v>
      </x:c>
      <x:c r="D199" s="2" t="n">
        <x:v>2</x:v>
      </x:c>
      <x:c r="E199" s="7" t="str">
        <x:v>KA600FILTERFULL</x:v>
      </x:c>
      <x:c r="F199" s="10" t="str">
        <x:v>Lõi lọc diệt khuẩn - Filter, model:FT- KA600</x:v>
      </x:c>
      <x:c r="G199" s="2" t="str">
        <x:v>Cái</x:v>
      </x:c>
      <x:c r="H199" s="8" t="n">
        <x:v>1</x:v>
      </x:c>
      <x:c r="I199" s="8" t="n">
        <x:v>493009</x:v>
      </x:c>
      <x:c r="J199" s="9" t="n">
        <x:v>493009</x:v>
      </x:c>
      <x:c r="K199" s="2" t="n">
        <x:v>8</x:v>
      </x:c>
      <x:c r="L199" s="9" t="n">
        <x:v>39441</x:v>
      </x:c>
      <x:c r="M199" s="9" t="n">
        <x:f>J199+L199</x:f>
        <x:v>532450</x:v>
      </x:c>
      <x:c r="N199" s="2" t="str">
        <x:v>Khách hàng Tiktok</x:v>
      </x:c>
      <x:c r="O199" s="2" t="str">
        <x:v>Có BHH gốc</x:v>
      </x:c>
      <x:c r="P199" s="2" t="str">
        <x:v>Khớp sổ AMIS 2024</x:v>
      </x:c>
      <x:c r="Q199" s="2" t="str">
        <x:v>40941</x:v>
      </x:c>
    </x:row>
    <x:row r="200" ht="42" customHeight="1">
      <x:c r="A200" s="7" t="str">
        <x:v>BTL00148</x:v>
      </x:c>
      <x:c r="B200" s="6" t="d">
        <x:v>2024-12-05T00:00:00.000Z</x:v>
      </x:c>
      <x:c r="C200" s="7" t="str">
        <x:v>BHHT2024024644</x:v>
      </x:c>
      <x:c r="D200" s="2" t="n">
        <x:v>1</x:v>
      </x:c>
      <x:c r="E200" s="7" t="str">
        <x:v>KA600FULL</x:v>
      </x:c>
      <x:c r="F200" s="10" t="str">
        <x:v>Máy lọc không khí diệt khuẩn bằng tia UVC - True UVC Air Purifier . Model: KA600</x:v>
      </x:c>
      <x:c r="G200" s="2" t="str">
        <x:v>Cái</x:v>
      </x:c>
      <x:c r="H200" s="8" t="n">
        <x:v>1</x:v>
      </x:c>
      <x:c r="I200" s="8" t="n">
        <x:v>2573148</x:v>
      </x:c>
      <x:c r="J200" s="9" t="n">
        <x:v>2573148</x:v>
      </x:c>
      <x:c r="K200" s="2" t="n">
        <x:v>8</x:v>
      </x:c>
      <x:c r="L200" s="9" t="n">
        <x:v>205852</x:v>
      </x:c>
      <x:c r="M200" s="9" t="n">
        <x:f>J200+L200</x:f>
        <x:v>2779000</x:v>
      </x:c>
      <x:c r="N200" s="2" t="str">
        <x:v>Khách hàng Tiktok</x:v>
      </x:c>
      <x:c r="O200" s="2" t="str">
        <x:v>Có BHH gốc</x:v>
      </x:c>
      <x:c r="P200" s="2" t="str">
        <x:v>Khớp sổ AMIS 2024</x:v>
      </x:c>
      <x:c r="Q200" s="2" t="str">
        <x:v>40942</x:v>
      </x:c>
    </x:row>
    <x:row r="201" ht="42" customHeight="1">
      <x:c r="A201" s="7" t="str">
        <x:v>BTL00180</x:v>
      </x:c>
      <x:c r="B201" s="6" t="d">
        <x:v>2024-12-07T00:00:00.000Z</x:v>
      </x:c>
      <x:c r="C201" s="7" t="str">
        <x:v>BHHT2024024887</x:v>
      </x:c>
      <x:c r="D201" s="2" t="n">
        <x:v>1</x:v>
      </x:c>
      <x:c r="E201" s="7" t="str">
        <x:v>KA600FULL</x:v>
      </x:c>
      <x:c r="F201" s="10" t="str">
        <x:v>Máy lọc không khí diệt khuẩn bằng tia UVC - True UVC Air Purifier . Model: KA600</x:v>
      </x:c>
      <x:c r="G201" s="2" t="str">
        <x:v>Cái</x:v>
      </x:c>
      <x:c r="H201" s="8" t="n">
        <x:v>2</x:v>
      </x:c>
      <x:c r="I201" s="8" t="n">
        <x:v>2115509.5</x:v>
      </x:c>
      <x:c r="J201" s="9" t="n">
        <x:v>4231019</x:v>
      </x:c>
      <x:c r="K201" s="2" t="n">
        <x:v>8</x:v>
      </x:c>
      <x:c r="L201" s="9" t="n">
        <x:v>338481</x:v>
      </x:c>
      <x:c r="M201" s="9" t="n">
        <x:f>J201+L201</x:f>
        <x:v>4569500</x:v>
      </x:c>
      <x:c r="N201" s="2" t="str">
        <x:v>Khách hàng Tiktok</x:v>
      </x:c>
      <x:c r="O201" s="2" t="str">
        <x:v>Có BHH gốc</x:v>
      </x:c>
      <x:c r="P201" s="2" t="str">
        <x:v>Khớp sổ AMIS 2024</x:v>
      </x:c>
      <x:c r="Q201" s="2" t="str">
        <x:v>41154</x:v>
      </x:c>
    </x:row>
    <x:row r="202" ht="42" customHeight="1">
      <x:c r="A202" s="7" t="str">
        <x:v>BTL00180</x:v>
      </x:c>
      <x:c r="B202" s="6" t="d">
        <x:v>2024-12-07T00:00:00.000Z</x:v>
      </x:c>
      <x:c r="C202" s="7" t="str">
        <x:v>BHHT2024024887</x:v>
      </x:c>
      <x:c r="D202" s="2" t="n">
        <x:v>2</x:v>
      </x:c>
      <x:c r="E202" s="7" t="str">
        <x:v>KA600FILTERFULL</x:v>
      </x:c>
      <x:c r="F202" s="10" t="str">
        <x:v>Lõi lọc diệt khuẩn - Filter, model:FT- KA600</x:v>
      </x:c>
      <x:c r="G202" s="2" t="str">
        <x:v>Cái</x:v>
      </x:c>
      <x:c r="H202" s="8" t="n">
        <x:v>2</x:v>
      </x:c>
      <x:c r="I202" s="8" t="n">
        <x:v>556713</x:v>
      </x:c>
      <x:c r="J202" s="9" t="n">
        <x:v>1113426</x:v>
      </x:c>
      <x:c r="K202" s="2" t="n">
        <x:v>8</x:v>
      </x:c>
      <x:c r="L202" s="9" t="n">
        <x:v>89074</x:v>
      </x:c>
      <x:c r="M202" s="9" t="n">
        <x:f>J202+L202</x:f>
        <x:v>1202500</x:v>
      </x:c>
      <x:c r="N202" s="2" t="str">
        <x:v>Khách hàng Tiktok</x:v>
      </x:c>
      <x:c r="O202" s="2" t="str">
        <x:v>Có BHH gốc</x:v>
      </x:c>
      <x:c r="P202" s="2" t="str">
        <x:v>Khớp sổ AMIS 2024</x:v>
      </x:c>
      <x:c r="Q202" s="2" t="str">
        <x:v>41155</x:v>
      </x:c>
    </x:row>
    <x:row r="203" ht="42" customHeight="1">
      <x:c r="A203" s="7" t="str">
        <x:v>BTL00149</x:v>
      </x:c>
      <x:c r="B203" s="6" t="d">
        <x:v>2024-12-14T00:00:00.000Z</x:v>
      </x:c>
      <x:c r="C203" s="7" t="str">
        <x:v>BHHT2024021197</x:v>
      </x:c>
      <x:c r="D203" s="2" t="n">
        <x:v>1</x:v>
      </x:c>
      <x:c r="E203" s="7" t="str">
        <x:v>KA350LIGHTFULL</x:v>
      </x:c>
      <x:c r="F203" s="10" t="str">
        <x:v>Máy lọc không khí diệt khuẩn bằng tia UVC (True UVC Air Purifier - KA350) model KA350</x:v>
      </x:c>
      <x:c r="G203" s="2" t="str">
        <x:v>Cái</x:v>
      </x:c>
      <x:c r="H203" s="8" t="n">
        <x:v>1</x:v>
      </x:c>
      <x:c r="I203" s="8" t="n">
        <x:v>1266701</x:v>
      </x:c>
      <x:c r="J203" s="9" t="n">
        <x:v>1266701</x:v>
      </x:c>
      <x:c r="K203" s="2" t="n">
        <x:v>8</x:v>
      </x:c>
      <x:c r="L203" s="9" t="n">
        <x:v>101336</x:v>
      </x:c>
      <x:c r="M203" s="9" t="n">
        <x:f>J203+L203</x:f>
        <x:v>1368037</x:v>
      </x:c>
      <x:c r="N203" s="2" t="str">
        <x:v>Khách hàng Tiktok</x:v>
      </x:c>
      <x:c r="O203" s="2" t="str">
        <x:v>Có BHH gốc</x:v>
      </x:c>
      <x:c r="P203" s="2" t="str">
        <x:v>Khớp sổ AMIS 2024</x:v>
      </x:c>
      <x:c r="Q203" s="2" t="str">
        <x:v>42280</x:v>
      </x:c>
    </x:row>
    <x:row r="204" ht="42" customHeight="1">
      <x:c r="A204" s="7" t="str">
        <x:v>BTL00149</x:v>
      </x:c>
      <x:c r="B204" s="6" t="d">
        <x:v>2024-12-14T00:00:00.000Z</x:v>
      </x:c>
      <x:c r="C204" s="7" t="str">
        <x:v>BHHT2024021197</x:v>
      </x:c>
      <x:c r="D204" s="2" t="n">
        <x:v>2</x:v>
      </x:c>
      <x:c r="E204" s="7" t="str">
        <x:v>KA350FILTERFULL</x:v>
      </x:c>
      <x:c r="F204" s="10" t="str">
        <x:v>Lõi lọc diệt khuẩn Filter KA350 - model: FT KA350</x:v>
      </x:c>
      <x:c r="G204" s="2" t="str">
        <x:v>Cái</x:v>
      </x:c>
      <x:c r="H204" s="8" t="n">
        <x:v>1</x:v>
      </x:c>
      <x:c r="I204" s="8" t="n">
        <x:v>436077</x:v>
      </x:c>
      <x:c r="J204" s="9" t="n">
        <x:v>436077</x:v>
      </x:c>
      <x:c r="K204" s="2" t="n">
        <x:v>8</x:v>
      </x:c>
      <x:c r="L204" s="9" t="n">
        <x:v>34886</x:v>
      </x:c>
      <x:c r="M204" s="9" t="n">
        <x:f>J204+L204</x:f>
        <x:v>470963</x:v>
      </x:c>
      <x:c r="N204" s="2" t="str">
        <x:v>Khách hàng Tiktok</x:v>
      </x:c>
      <x:c r="O204" s="2" t="str">
        <x:v>Có BHH gốc</x:v>
      </x:c>
      <x:c r="P204" s="2" t="str">
        <x:v>Khớp sổ AMIS 2024</x:v>
      </x:c>
      <x:c r="Q204" s="2" t="str">
        <x:v>42281</x:v>
      </x:c>
    </x:row>
    <x:row r="205" ht="42" customHeight="1">
      <x:c r="A205" s="7" t="str">
        <x:v>BTL00150</x:v>
      </x:c>
      <x:c r="B205" s="6" t="d">
        <x:v>2024-12-14T00:00:00.000Z</x:v>
      </x:c>
      <x:c r="C205" s="7" t="str">
        <x:v>BHHT2024024845</x:v>
      </x:c>
      <x:c r="D205" s="2" t="n">
        <x:v>1</x:v>
      </x:c>
      <x:c r="E205" s="7" t="str">
        <x:v>KA350PROFULLNEW</x:v>
      </x:c>
      <x:c r="F205" s="10" t="str">
        <x:v>Máy lọc không khí diệt khuẩn bằng tia UVC KA350 Pro</x:v>
      </x:c>
      <x:c r="G205" s="2" t="str">
        <x:v>Chiếc</x:v>
      </x:c>
      <x:c r="H205" s="8" t="n">
        <x:v>1</x:v>
      </x:c>
      <x:c r="I205" s="8" t="n">
        <x:v>2202778</x:v>
      </x:c>
      <x:c r="J205" s="9" t="n">
        <x:v>2202778</x:v>
      </x:c>
      <x:c r="K205" s="2" t="n">
        <x:v>8</x:v>
      </x:c>
      <x:c r="L205" s="9" t="n">
        <x:v>176222</x:v>
      </x:c>
      <x:c r="M205" s="9" t="n">
        <x:f>J205+L205</x:f>
        <x:v>2379000</x:v>
      </x:c>
      <x:c r="N205" s="2" t="str">
        <x:v>Khách hàng Tiktok</x:v>
      </x:c>
      <x:c r="O205" s="2" t="str">
        <x:v>Có BHH gốc</x:v>
      </x:c>
      <x:c r="P205" s="2" t="str">
        <x:v>Khớp sổ AMIS 2024</x:v>
      </x:c>
      <x:c r="Q205" s="2" t="str">
        <x:v>42282</x:v>
      </x:c>
    </x:row>
    <x:row r="206" ht="42" customHeight="1">
      <x:c r="A206" s="7" t="str">
        <x:v>BTL00151</x:v>
      </x:c>
      <x:c r="B206" s="6" t="d">
        <x:v>2024-12-14T00:00:00.000Z</x:v>
      </x:c>
      <x:c r="C206" s="7" t="str">
        <x:v>BHHT2024024997</x:v>
      </x:c>
      <x:c r="D206" s="2" t="n">
        <x:v>1</x:v>
      </x:c>
      <x:c r="E206" s="7" t="str">
        <x:v>KA600FULL</x:v>
      </x:c>
      <x:c r="F206" s="10" t="str">
        <x:v>Máy lọc không khí diệt khuẩn bằng tia UVC - True UVC Air Purifier . Model: KA600</x:v>
      </x:c>
      <x:c r="G206" s="2" t="str">
        <x:v>Cái</x:v>
      </x:c>
      <x:c r="H206" s="8" t="n">
        <x:v>1</x:v>
      </x:c>
      <x:c r="I206" s="8" t="n">
        <x:v>1833368</x:v>
      </x:c>
      <x:c r="J206" s="9" t="n">
        <x:v>1833368</x:v>
      </x:c>
      <x:c r="K206" s="2" t="n">
        <x:v>8</x:v>
      </x:c>
      <x:c r="L206" s="9" t="n">
        <x:v>146670</x:v>
      </x:c>
      <x:c r="M206" s="9" t="n">
        <x:f>J206+L206</x:f>
        <x:v>1980038</x:v>
      </x:c>
      <x:c r="N206" s="2" t="str">
        <x:v>Khách hàng Tiktok</x:v>
      </x:c>
      <x:c r="O206" s="2" t="str">
        <x:v>Có BHH gốc</x:v>
      </x:c>
      <x:c r="P206" s="2" t="str">
        <x:v>Khớp sổ AMIS 2024</x:v>
      </x:c>
      <x:c r="Q206" s="2" t="str">
        <x:v>42283</x:v>
      </x:c>
    </x:row>
    <x:row r="207" ht="42" customHeight="1">
      <x:c r="A207" s="7" t="str">
        <x:v>BTL00151</x:v>
      </x:c>
      <x:c r="B207" s="6" t="d">
        <x:v>2024-12-14T00:00:00.000Z</x:v>
      </x:c>
      <x:c r="C207" s="7" t="str">
        <x:v>BHHT2024024997</x:v>
      </x:c>
      <x:c r="D207" s="2" t="n">
        <x:v>2</x:v>
      </x:c>
      <x:c r="E207" s="7" t="str">
        <x:v>KA600FILTERFULL</x:v>
      </x:c>
      <x:c r="F207" s="10" t="str">
        <x:v>Lõi lọc diệt khuẩn - Filter, model:FT- KA600</x:v>
      </x:c>
      <x:c r="G207" s="2" t="str">
        <x:v>Cái</x:v>
      </x:c>
      <x:c r="H207" s="8" t="n">
        <x:v>1</x:v>
      </x:c>
      <x:c r="I207" s="8" t="n">
        <x:v>482465</x:v>
      </x:c>
      <x:c r="J207" s="9" t="n">
        <x:v>482465</x:v>
      </x:c>
      <x:c r="K207" s="2" t="n">
        <x:v>8</x:v>
      </x:c>
      <x:c r="L207" s="9" t="n">
        <x:v>38597</x:v>
      </x:c>
      <x:c r="M207" s="9" t="n">
        <x:f>J207+L207</x:f>
        <x:v>521062</x:v>
      </x:c>
      <x:c r="N207" s="2" t="str">
        <x:v>Khách hàng Tiktok</x:v>
      </x:c>
      <x:c r="O207" s="2" t="str">
        <x:v>Có BHH gốc</x:v>
      </x:c>
      <x:c r="P207" s="2" t="str">
        <x:v>Khớp sổ AMIS 2024</x:v>
      </x:c>
      <x:c r="Q207" s="2" t="str">
        <x:v>42284</x:v>
      </x:c>
    </x:row>
    <x:row r="208" ht="42" customHeight="1">
      <x:c r="A208" s="7" t="str">
        <x:v>BTL00152</x:v>
      </x:c>
      <x:c r="B208" s="6" t="d">
        <x:v>2024-12-16T00:00:00.000Z</x:v>
      </x:c>
      <x:c r="C208" s="7" t="str">
        <x:v>BHHT2024023988</x:v>
      </x:c>
      <x:c r="D208" s="2" t="n">
        <x:v>1</x:v>
      </x:c>
      <x:c r="E208" s="7" t="str">
        <x:v>KA150SFULL</x:v>
      </x:c>
      <x:c r="F208" s="10" t="str">
        <x:v>Máy lọc không khí diệt khuẩn bằng tia UVC - True UVC Air Purifiers - KA150S</x:v>
      </x:c>
      <x:c r="G208" s="2" t="str">
        <x:v>Cái</x:v>
      </x:c>
      <x:c r="H208" s="8" t="n">
        <x:v>1</x:v>
      </x:c>
      <x:c r="I208" s="8" t="n">
        <x:v>962037</x:v>
      </x:c>
      <x:c r="J208" s="9" t="n">
        <x:v>962037</x:v>
      </x:c>
      <x:c r="K208" s="2" t="n">
        <x:v>8</x:v>
      </x:c>
      <x:c r="L208" s="9" t="n">
        <x:v>76963</x:v>
      </x:c>
      <x:c r="M208" s="9" t="n">
        <x:f>J208+L208</x:f>
        <x:v>1039000</x:v>
      </x:c>
      <x:c r="N208" s="2" t="str">
        <x:v>Khách hàng Tiktok</x:v>
      </x:c>
      <x:c r="O208" s="2" t="str">
        <x:v>Có BHH gốc</x:v>
      </x:c>
      <x:c r="P208" s="2" t="str">
        <x:v>Khớp sổ AMIS 2024</x:v>
      </x:c>
      <x:c r="Q208" s="2" t="str">
        <x:v>42637</x:v>
      </x:c>
    </x:row>
    <x:row r="209" ht="42" customHeight="1">
      <x:c r="A209" s="7" t="str">
        <x:v>BTL00153</x:v>
      </x:c>
      <x:c r="B209" s="6" t="d">
        <x:v>2024-12-16T00:00:00.000Z</x:v>
      </x:c>
      <x:c r="C209" s="7" t="str">
        <x:v>BHHT2024024699</x:v>
      </x:c>
      <x:c r="D209" s="2" t="n">
        <x:v>1</x:v>
      </x:c>
      <x:c r="E209" s="7" t="str">
        <x:v>KA150PFULL</x:v>
      </x:c>
      <x:c r="F209" s="10" t="str">
        <x:v>Máy lọc không khí diệt khuẩn bằng tia UVC - True UVC Air Purifiers - KA150P</x:v>
      </x:c>
      <x:c r="G209" s="2" t="str">
        <x:v>Cái</x:v>
      </x:c>
      <x:c r="H209" s="8" t="n">
        <x:v>1</x:v>
      </x:c>
      <x:c r="I209" s="8" t="n">
        <x:v>1276851</x:v>
      </x:c>
      <x:c r="J209" s="9" t="n">
        <x:v>1276851</x:v>
      </x:c>
      <x:c r="K209" s="2" t="n">
        <x:v>8</x:v>
      </x:c>
      <x:c r="L209" s="9" t="n">
        <x:v>102148</x:v>
      </x:c>
      <x:c r="M209" s="9" t="n">
        <x:f>J209+L209</x:f>
        <x:v>1378999</x:v>
      </x:c>
      <x:c r="N209" s="2" t="str">
        <x:v>Khách hàng Tiktok</x:v>
      </x:c>
      <x:c r="O209" s="2" t="str">
        <x:v>Có BHH gốc</x:v>
      </x:c>
      <x:c r="P209" s="2" t="str">
        <x:v>Khớp sổ AMIS 2024</x:v>
      </x:c>
      <x:c r="Q209" s="2" t="str">
        <x:v>42638</x:v>
      </x:c>
    </x:row>
    <x:row r="210" ht="42" customHeight="1">
      <x:c r="A210" s="7" t="str">
        <x:v>BTL00154</x:v>
      </x:c>
      <x:c r="B210" s="6" t="d">
        <x:v>2024-12-19T00:00:00.000Z</x:v>
      </x:c>
      <x:c r="C210" s="7" t="str">
        <x:v>BHHT2024023181</x:v>
      </x:c>
      <x:c r="D210" s="2" t="n">
        <x:v>1</x:v>
      </x:c>
      <x:c r="E210" s="7" t="str">
        <x:v>KA600FILTERFULL</x:v>
      </x:c>
      <x:c r="F210" s="10" t="str">
        <x:v>Lõi lọc diệt khuẩn - Filter, model:FT- KA600</x:v>
      </x:c>
      <x:c r="G210" s="2" t="str">
        <x:v>Cái</x:v>
      </x:c>
      <x:c r="H210" s="8" t="n">
        <x:v>1</x:v>
      </x:c>
      <x:c r="I210" s="8" t="n">
        <x:v>449074</x:v>
      </x:c>
      <x:c r="J210" s="9" t="n">
        <x:v>449074</x:v>
      </x:c>
      <x:c r="K210" s="2" t="n">
        <x:v>8</x:v>
      </x:c>
      <x:c r="L210" s="9" t="n">
        <x:v>35926</x:v>
      </x:c>
      <x:c r="M210" s="9" t="n">
        <x:f>J210+L210</x:f>
        <x:v>485000</x:v>
      </x:c>
      <x:c r="N210" s="2" t="str">
        <x:v>Khách hàng Tiktok</x:v>
      </x:c>
      <x:c r="O210" s="2" t="str">
        <x:v>Có BHH gốc</x:v>
      </x:c>
      <x:c r="P210" s="2" t="str">
        <x:v>Khớp sổ AMIS 2024</x:v>
      </x:c>
      <x:c r="Q210" s="2" t="str">
        <x:v>43083</x:v>
      </x:c>
    </x:row>
    <x:row r="211" ht="42" customHeight="1">
      <x:c r="A211" s="7" t="str">
        <x:v>BTL00073</x:v>
      </x:c>
      <x:c r="B211" s="6" t="d">
        <x:v>2024-12-23T00:00:00.000Z</x:v>
      </x:c>
      <x:c r="C211" s="7" t="str">
        <x:v>BHHS2024007983</x:v>
      </x:c>
      <x:c r="D211" s="2" t="n">
        <x:v>1</x:v>
      </x:c>
      <x:c r="E211" s="7" t="str">
        <x:v>KA600FULL</x:v>
      </x:c>
      <x:c r="F211" s="10" t="str">
        <x:v>Máy lọc không khí diệt khuẩn bằng tia UVC - True UVC Air Purifier . Model: KA600</x:v>
      </x:c>
      <x:c r="G211" s="2" t="str">
        <x:v>Cái</x:v>
      </x:c>
      <x:c r="H211" s="8" t="n">
        <x:v>1</x:v>
      </x:c>
      <x:c r="I211" s="8" t="n">
        <x:v>2573148</x:v>
      </x:c>
      <x:c r="J211" s="9" t="n">
        <x:v>2573148</x:v>
      </x:c>
      <x:c r="K211" s="2" t="n">
        <x:v>8</x:v>
      </x:c>
      <x:c r="L211" s="9" t="n">
        <x:v>205852</x:v>
      </x:c>
      <x:c r="M211" s="9" t="n">
        <x:f>J211+L211</x:f>
        <x:v>2779000</x:v>
      </x:c>
      <x:c r="N211" s="2" t="str">
        <x:v>Khách hàng Shoppe</x:v>
      </x:c>
      <x:c r="O211" s="2" t="str">
        <x:v>Có BHH gốc</x:v>
      </x:c>
      <x:c r="P211" s="2" t="str">
        <x:v>Khớp sổ AMIS 2024</x:v>
      </x:c>
      <x:c r="Q211" s="2" t="str">
        <x:v>43573</x:v>
      </x:c>
    </x:row>
    <x:row r="212" ht="42" customHeight="1">
      <x:c r="A212" s="7" t="str">
        <x:v>BTL00155</x:v>
      </x:c>
      <x:c r="B212" s="6" t="d">
        <x:v>2024-12-23T00:00:00.000Z</x:v>
      </x:c>
      <x:c r="C212" s="7" t="str">
        <x:v>BHHT2024023783</x:v>
      </x:c>
      <x:c r="D212" s="2" t="n">
        <x:v>1</x:v>
      </x:c>
      <x:c r="E212" s="7" t="str">
        <x:v>KM300FULL</x:v>
      </x:c>
      <x:c r="F212" s="10" t="str">
        <x:v>Đèn bắt muỗi, ruồi và các loại côn trùng UVA Electronical Mosquito Killer, Model: KM300</x:v>
      </x:c>
      <x:c r="G212" s="2" t="str">
        <x:v>Cái</x:v>
      </x:c>
      <x:c r="H212" s="8" t="n">
        <x:v>1</x:v>
      </x:c>
      <x:c r="I212" s="8" t="n">
        <x:v>371875</x:v>
      </x:c>
      <x:c r="J212" s="9" t="n">
        <x:v>371875</x:v>
      </x:c>
      <x:c r="K212" s="2" t="n">
        <x:v>8</x:v>
      </x:c>
      <x:c r="L212" s="9" t="n">
        <x:v>29750</x:v>
      </x:c>
      <x:c r="M212" s="9" t="n">
        <x:f>J212+L212</x:f>
        <x:v>401625</x:v>
      </x:c>
      <x:c r="N212" s="2" t="str">
        <x:v>Khách hàng Tiktok</x:v>
      </x:c>
      <x:c r="O212" s="2" t="str">
        <x:v>Có BHH gốc</x:v>
      </x:c>
      <x:c r="P212" s="2" t="str">
        <x:v>Khớp sổ AMIS 2024</x:v>
      </x:c>
      <x:c r="Q212" s="2" t="str">
        <x:v>43574</x:v>
      </x:c>
    </x:row>
    <x:row r="213" ht="42" customHeight="1">
      <x:c r="A213" s="7" t="str">
        <x:v>BTL00156</x:v>
      </x:c>
      <x:c r="B213" s="6" t="d">
        <x:v>2024-12-25T00:00:00.000Z</x:v>
      </x:c>
      <x:c r="C213" s="7" t="str">
        <x:v>BHHT2024023250</x:v>
      </x:c>
      <x:c r="D213" s="2" t="n">
        <x:v>1</x:v>
      </x:c>
      <x:c r="E213" s="7" t="str">
        <x:v>KA350LIGHTFULL</x:v>
      </x:c>
      <x:c r="F213" s="10" t="str">
        <x:v>Máy lọc không khí diệt khuẩn bằng tia UVC (True UVC Air Purifier - KA350) model KA350</x:v>
      </x:c>
      <x:c r="G213" s="2" t="str">
        <x:v>Cái</x:v>
      </x:c>
      <x:c r="H213" s="8" t="n">
        <x:v>1</x:v>
      </x:c>
      <x:c r="I213" s="8" t="n">
        <x:v>1671296</x:v>
      </x:c>
      <x:c r="J213" s="9" t="n">
        <x:v>1671296</x:v>
      </x:c>
      <x:c r="K213" s="2" t="n">
        <x:v>8</x:v>
      </x:c>
      <x:c r="L213" s="9" t="n">
        <x:v>133704</x:v>
      </x:c>
      <x:c r="M213" s="9" t="n">
        <x:f>J213+L213</x:f>
        <x:v>1805000</x:v>
      </x:c>
      <x:c r="N213" s="2" t="str">
        <x:v>Khách hàng Tiktok</x:v>
      </x:c>
      <x:c r="O213" s="2" t="str">
        <x:v>Có BHH gốc</x:v>
      </x:c>
      <x:c r="P213" s="2" t="str">
        <x:v>Khớp sổ AMIS 2024</x:v>
      </x:c>
      <x:c r="Q213" s="2" t="str">
        <x:v>43798</x:v>
      </x:c>
    </x:row>
    <x:row r="214" ht="42" customHeight="1">
      <x:c r="A214" s="7" t="str">
        <x:v>BTL00072</x:v>
      </x:c>
      <x:c r="B214" s="6" t="d">
        <x:v>2024-12-27T00:00:00.000Z</x:v>
      </x:c>
      <x:c r="C214" s="7" t="str">
        <x:v>BHHS2024008054</x:v>
      </x:c>
      <x:c r="D214" s="2" t="n">
        <x:v>1</x:v>
      </x:c>
      <x:c r="E214" s="7" t="str">
        <x:v>KA350LIGHTFULL</x:v>
      </x:c>
      <x:c r="F214" s="10" t="str">
        <x:v>Máy lọc không khí diệt khuẩn bằng tia UVC (True UVC Air Purifier - KA350) model KA350</x:v>
      </x:c>
      <x:c r="G214" s="2" t="str">
        <x:v>Cái</x:v>
      </x:c>
      <x:c r="H214" s="8" t="n">
        <x:v>1</x:v>
      </x:c>
      <x:c r="I214" s="8" t="n">
        <x:v>1266701</x:v>
      </x:c>
      <x:c r="J214" s="9" t="n">
        <x:v>1266701</x:v>
      </x:c>
      <x:c r="K214" s="2" t="n">
        <x:v>8</x:v>
      </x:c>
      <x:c r="L214" s="9" t="n">
        <x:v>101336</x:v>
      </x:c>
      <x:c r="M214" s="9" t="n">
        <x:f>J214+L214</x:f>
        <x:v>1368037</x:v>
      </x:c>
      <x:c r="N214" s="2" t="str">
        <x:v>Khách hàng Shoppe</x:v>
      </x:c>
      <x:c r="O214" s="2" t="str">
        <x:v>Có BHH gốc</x:v>
      </x:c>
      <x:c r="P214" s="2" t="str">
        <x:v>Khớp sổ AMIS 2024</x:v>
      </x:c>
      <x:c r="Q214" s="2" t="str">
        <x:v>44105</x:v>
      </x:c>
    </x:row>
    <x:row r="215" ht="42" customHeight="1">
      <x:c r="A215" s="7" t="str">
        <x:v>BTL00072</x:v>
      </x:c>
      <x:c r="B215" s="6" t="d">
        <x:v>2024-12-27T00:00:00.000Z</x:v>
      </x:c>
      <x:c r="C215" s="7" t="str">
        <x:v>BHHS2024008054</x:v>
      </x:c>
      <x:c r="D215" s="2" t="n">
        <x:v>2</x:v>
      </x:c>
      <x:c r="E215" s="7" t="str">
        <x:v>KA350FILTERFULL</x:v>
      </x:c>
      <x:c r="F215" s="10" t="str">
        <x:v>Lõi lọc diệt khuẩn Filter KA350 - model: FT KA350</x:v>
      </x:c>
      <x:c r="G215" s="2" t="str">
        <x:v>Cái</x:v>
      </x:c>
      <x:c r="H215" s="8" t="n">
        <x:v>1</x:v>
      </x:c>
      <x:c r="I215" s="8" t="n">
        <x:v>436077</x:v>
      </x:c>
      <x:c r="J215" s="9" t="n">
        <x:v>436077</x:v>
      </x:c>
      <x:c r="K215" s="2" t="n">
        <x:v>8</x:v>
      </x:c>
      <x:c r="L215" s="9" t="n">
        <x:v>34886</x:v>
      </x:c>
      <x:c r="M215" s="9" t="n">
        <x:f>J215+L215</x:f>
        <x:v>470963</x:v>
      </x:c>
      <x:c r="N215" s="2" t="str">
        <x:v>Khách hàng Shoppe</x:v>
      </x:c>
      <x:c r="O215" s="2" t="str">
        <x:v>Có BHH gốc</x:v>
      </x:c>
      <x:c r="P215" s="2" t="str">
        <x:v>Khớp sổ AMIS 2024</x:v>
      </x:c>
      <x:c r="Q215" s="2" t="str">
        <x:v>44106</x:v>
      </x:c>
    </x:row>
    <x:row r="216" ht="42" customHeight="1">
      <x:c r="A216" s="7" t="str">
        <x:v>BTL00157</x:v>
      </x:c>
      <x:c r="B216" s="6" t="d">
        <x:v>2024-12-27T00:00:00.000Z</x:v>
      </x:c>
      <x:c r="C216" s="7" t="str">
        <x:v>BHHT2024023050</x:v>
      </x:c>
      <x:c r="D216" s="2" t="n">
        <x:v>1</x:v>
      </x:c>
      <x:c r="E216" s="7" t="str">
        <x:v>KA350LIGHTFULL</x:v>
      </x:c>
      <x:c r="F216" s="10" t="str">
        <x:v>Máy lọc không khí diệt khuẩn bằng tia UVC (True UVC Air Purifier - KA350) model KA350</x:v>
      </x:c>
      <x:c r="G216" s="2" t="str">
        <x:v>Cái</x:v>
      </x:c>
      <x:c r="H216" s="8" t="n">
        <x:v>1</x:v>
      </x:c>
      <x:c r="I216" s="8" t="n">
        <x:v>1217107</x:v>
      </x:c>
      <x:c r="J216" s="9" t="n">
        <x:v>1217107</x:v>
      </x:c>
      <x:c r="K216" s="2" t="n">
        <x:v>8</x:v>
      </x:c>
      <x:c r="L216" s="9" t="n">
        <x:v>97369</x:v>
      </x:c>
      <x:c r="M216" s="9" t="n">
        <x:f>J216+L216</x:f>
        <x:v>1314476</x:v>
      </x:c>
      <x:c r="N216" s="2" t="str">
        <x:v>Khách hàng Tiktok</x:v>
      </x:c>
      <x:c r="O216" s="2" t="str">
        <x:v>Có BHH gốc</x:v>
      </x:c>
      <x:c r="P216" s="2" t="str">
        <x:v>Khớp sổ AMIS 2024</x:v>
      </x:c>
      <x:c r="Q216" s="2" t="str">
        <x:v>44107</x:v>
      </x:c>
    </x:row>
    <x:row r="217" ht="42" customHeight="1">
      <x:c r="A217" s="7" t="str">
        <x:v>BTL00157</x:v>
      </x:c>
      <x:c r="B217" s="6" t="d">
        <x:v>2024-12-27T00:00:00.000Z</x:v>
      </x:c>
      <x:c r="C217" s="7" t="str">
        <x:v>BHHT2024023050</x:v>
      </x:c>
      <x:c r="D217" s="2" t="n">
        <x:v>2</x:v>
      </x:c>
      <x:c r="E217" s="7" t="str">
        <x:v>KA350FILTERFULL</x:v>
      </x:c>
      <x:c r="F217" s="10" t="str">
        <x:v>Lõi lọc diệt khuẩn Filter KA350 - model: FT KA350</x:v>
      </x:c>
      <x:c r="G217" s="2" t="str">
        <x:v>Cái</x:v>
      </x:c>
      <x:c r="H217" s="8" t="n">
        <x:v>1</x:v>
      </x:c>
      <x:c r="I217" s="8" t="n">
        <x:v>419004</x:v>
      </x:c>
      <x:c r="J217" s="9" t="n">
        <x:v>419004</x:v>
      </x:c>
      <x:c r="K217" s="2" t="n">
        <x:v>8</x:v>
      </x:c>
      <x:c r="L217" s="9" t="n">
        <x:v>33520</x:v>
      </x:c>
      <x:c r="M217" s="9" t="n">
        <x:f>J217+L217</x:f>
        <x:v>452524</x:v>
      </x:c>
      <x:c r="N217" s="2" t="str">
        <x:v>Khách hàng Tiktok</x:v>
      </x:c>
      <x:c r="O217" s="2" t="str">
        <x:v>Có BHH gốc</x:v>
      </x:c>
      <x:c r="P217" s="2" t="str">
        <x:v>Khớp sổ AMIS 2024</x:v>
      </x:c>
      <x:c r="Q217" s="2" t="str">
        <x:v>44108</x:v>
      </x:c>
    </x:row>
    <x:row r="218" ht="42" customHeight="1">
      <x:c r="A218" s="7" t="str">
        <x:v>BTL00158</x:v>
      </x:c>
      <x:c r="B218" s="6" t="d">
        <x:v>2024-12-27T00:00:00.000Z</x:v>
      </x:c>
      <x:c r="C218" s="7" t="str">
        <x:v>BHHT2024023305</x:v>
      </x:c>
      <x:c r="D218" s="2" t="n">
        <x:v>1</x:v>
      </x:c>
      <x:c r="E218" s="7" t="str">
        <x:v>KA350LIGHTFULL</x:v>
      </x:c>
      <x:c r="F218" s="10" t="str">
        <x:v>Máy lọc không khí diệt khuẩn bằng tia UVC (True UVC Air Purifier - KA350) model KA350</x:v>
      </x:c>
      <x:c r="G218" s="2" t="str">
        <x:v>Cái</x:v>
      </x:c>
      <x:c r="H218" s="8" t="n">
        <x:v>1</x:v>
      </x:c>
      <x:c r="I218" s="8" t="n">
        <x:v>1266701</x:v>
      </x:c>
      <x:c r="J218" s="9" t="n">
        <x:v>1266701</x:v>
      </x:c>
      <x:c r="K218" s="2" t="n">
        <x:v>8</x:v>
      </x:c>
      <x:c r="L218" s="9" t="n">
        <x:v>101336</x:v>
      </x:c>
      <x:c r="M218" s="9" t="n">
        <x:f>J218+L218</x:f>
        <x:v>1368037</x:v>
      </x:c>
      <x:c r="N218" s="2" t="str">
        <x:v>Khách hàng Tiktok</x:v>
      </x:c>
      <x:c r="O218" s="2" t="str">
        <x:v>Có BHH gốc</x:v>
      </x:c>
      <x:c r="P218" s="2" t="str">
        <x:v>Khớp sổ AMIS 2024</x:v>
      </x:c>
      <x:c r="Q218" s="2" t="str">
        <x:v>44109</x:v>
      </x:c>
    </x:row>
    <x:row r="219" ht="42" customHeight="1">
      <x:c r="A219" s="7" t="str">
        <x:v>BTL00158</x:v>
      </x:c>
      <x:c r="B219" s="6" t="d">
        <x:v>2024-12-27T00:00:00.000Z</x:v>
      </x:c>
      <x:c r="C219" s="7" t="str">
        <x:v>BHHT2024023305</x:v>
      </x:c>
      <x:c r="D219" s="2" t="n">
        <x:v>2</x:v>
      </x:c>
      <x:c r="E219" s="7" t="str">
        <x:v>KA350FILTERFULL</x:v>
      </x:c>
      <x:c r="F219" s="10" t="str">
        <x:v>Lõi lọc diệt khuẩn Filter KA350 - model: FT KA350</x:v>
      </x:c>
      <x:c r="G219" s="2" t="str">
        <x:v>Cái</x:v>
      </x:c>
      <x:c r="H219" s="8" t="n">
        <x:v>1</x:v>
      </x:c>
      <x:c r="I219" s="8" t="n">
        <x:v>436077</x:v>
      </x:c>
      <x:c r="J219" s="9" t="n">
        <x:v>436077</x:v>
      </x:c>
      <x:c r="K219" s="2" t="n">
        <x:v>8</x:v>
      </x:c>
      <x:c r="L219" s="9" t="n">
        <x:v>34886</x:v>
      </x:c>
      <x:c r="M219" s="9" t="n">
        <x:f>J219+L219</x:f>
        <x:v>470963</x:v>
      </x:c>
      <x:c r="N219" s="2" t="str">
        <x:v>Khách hàng Tiktok</x:v>
      </x:c>
      <x:c r="O219" s="2" t="str">
        <x:v>Có BHH gốc</x:v>
      </x:c>
      <x:c r="P219" s="2" t="str">
        <x:v>Khớp sổ AMIS 2024</x:v>
      </x:c>
      <x:c r="Q219" s="2" t="str">
        <x:v>44110</x:v>
      </x:c>
    </x:row>
    <x:row r="220" ht="42" customHeight="1">
      <x:c r="A220" s="7" t="str">
        <x:v>BTL00071</x:v>
      </x:c>
      <x:c r="B220" s="6" t="d">
        <x:v>2024-12-28T00:00:00.000Z</x:v>
      </x:c>
      <x:c r="C220" s="7" t="str">
        <x:v>BHHS2024008957</x:v>
      </x:c>
      <x:c r="D220" s="2" t="n">
        <x:v>1</x:v>
      </x:c>
      <x:c r="E220" s="7" t="str">
        <x:v>KK100FULL</x:v>
      </x:c>
      <x:c r="F220" s="10" t="str">
        <x:v>Máy tiệt trùng sấy khô bằng tia UVC - True UVC Kitchenware Drying Sterilizer - Model KK100</x:v>
      </x:c>
      <x:c r="G220" s="2" t="str">
        <x:v>Cái</x:v>
      </x:c>
      <x:c r="H220" s="8" t="n">
        <x:v>1</x:v>
      </x:c>
      <x:c r="I220" s="8" t="n">
        <x:v>962037</x:v>
      </x:c>
      <x:c r="J220" s="9" t="n">
        <x:v>962037</x:v>
      </x:c>
      <x:c r="K220" s="2" t="n">
        <x:v>8</x:v>
      </x:c>
      <x:c r="L220" s="9" t="n">
        <x:v>76963</x:v>
      </x:c>
      <x:c r="M220" s="9" t="n">
        <x:f>J220+L220</x:f>
        <x:v>1039000</x:v>
      </x:c>
      <x:c r="N220" s="2" t="str">
        <x:v>Khách hàng Shoppe</x:v>
      </x:c>
      <x:c r="O220" s="2" t="str">
        <x:v>Có BHH gốc</x:v>
      </x:c>
      <x:c r="P220" s="2" t="str">
        <x:v>Khớp sổ AMIS 2024</x:v>
      </x:c>
      <x:c r="Q220" s="2" t="str">
        <x:v>44274</x:v>
      </x:c>
    </x:row>
  </x:sheetData>
  <x:conditionalFormatting sqref="C2:C220">
    <x:cfRule type="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87684e12202a44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34" hidden="0" customWidth="1"/>
    <x:col min="4" max="4" width="17" hidden="0" customWidth="1"/>
    <x:col min="5" max="5" width="48" hidden="0" customWidth="1"/>
    <x:col min="6" max="6" width="20" hidden="0" customWidth="1"/>
    <x:col min="7" max="7" width="27" hidden="0" customWidth="1"/>
    <x:col min="8" max="8" width="25" hidden="0" customWidth="1"/>
    <x:col min="9" max="9" width="28" hidden="0" customWidth="1"/>
    <x:col min="10" max="10" width="28" hidden="0" customWidth="1"/>
    <x:col min="11" max="11" width="25" hidden="0" customWidth="1"/>
    <x:col min="12" max="12" width="32" hidden="0" customWidth="1"/>
  </x:cols>
  <x:sheetData>
    <x:row r="1" ht="44" customHeight="1">
      <x:c r="A1" s="5" t="str">
        <x:v>Số phiếu BTL</x:v>
      </x:c>
      <x:c r="B1" s="5" t="str">
        <x:v>Ngày hạch toán</x:v>
      </x:c>
      <x:c r="C1" s="5" t="str">
        <x:v>Khách hàng</x:v>
      </x:c>
      <x:c r="D1" s="5" t="str">
        <x:v>Số dòng hàng</x:v>
      </x:c>
      <x:c r="E1" s="5" t="str">
        <x:v>BHH gốc trên AMIS</x:v>
      </x:c>
      <x:c r="F1" s="5" t="str">
        <x:v>Số lượng trả</x:v>
      </x:c>
      <x:c r="G1" s="5" t="str">
        <x:v>Tiền hàng trả (VND)</x:v>
      </x:c>
      <x:c r="H1" s="5" t="str">
        <x:v>VAT trả (VND)</x:v>
      </x:c>
      <x:c r="I1" s="5" t="str">
        <x:v>Tổng chi tiết (VND)</x:v>
      </x:c>
      <x:c r="J1" s="5" t="str">
        <x:v>Tổng phiếu AMIS (VND)</x:v>
      </x:c>
      <x:c r="K1" s="5" t="str">
        <x:v>Chênh lệch (VND)</x:v>
      </x:c>
      <x:c r="L1" s="5" t="str">
        <x:v>Đối chiếu sổ 2024</x:v>
      </x:c>
    </x:row>
    <x:row r="2" ht="38" customHeight="1">
      <x:c r="A2" s="7" t="str">
        <x:v>BTL00025</x:v>
      </x:c>
      <x:c r="B2" s="6" t="d">
        <x:v>2024-01-15T00:00:00.000Z</x:v>
      </x:c>
      <x:c r="C2" s="2" t="str">
        <x:v>Khách hàng Tiktok</x:v>
      </x:c>
      <x:c r="D2" s="2" t="n">
        <x:v>1</x:v>
      </x:c>
      <x:c r="E2" s="10" t="str">
        <x:v>BHHT2024000430</x:v>
      </x:c>
      <x:c r="F2" s="11" t="n">
        <x:f>SUM('Chi tiet BTL-BHH'!H2:H2)</x:f>
        <x:v>1</x:v>
      </x:c>
      <x:c r="G2" s="9" t="n">
        <x:f>SUM('Chi tiet BTL-BHH'!J2:J2)</x:f>
        <x:v>1647222</x:v>
      </x:c>
      <x:c r="H2" s="9" t="n">
        <x:f>SUM('Chi tiet BTL-BHH'!L2:L2)</x:f>
        <x:v>131778</x:v>
      </x:c>
      <x:c r="I2" s="9" t="n">
        <x:f>SUM('Chi tiet BTL-BHH'!M2:M2)</x:f>
        <x:v>1779000</x:v>
      </x:c>
      <x:c r="J2" s="9" t="n">
        <x:v>1779000</x:v>
      </x:c>
      <x:c r="K2" s="9" t="n">
        <x:f>I2-J2</x:f>
        <x:v>0</x:v>
      </x:c>
      <x:c r="L2" s="2" t="str">
        <x:v>Khớp sổ AMIS 2024</x:v>
      </x:c>
    </x:row>
    <x:row r="3" ht="38" customHeight="1">
      <x:c r="A3" s="7" t="str">
        <x:v>BTL00184</x:v>
      </x:c>
      <x:c r="B3" s="6" t="d">
        <x:v>2024-01-15T00:00:00.000Z</x:v>
      </x:c>
      <x:c r="C3" s="2" t="str">
        <x:v>Khách hàng Shoppe</x:v>
      </x:c>
      <x:c r="D3" s="2" t="n">
        <x:v>2</x:v>
      </x:c>
      <x:c r="E3" s="10" t="str">
        <x:v>BHHS2024000277</x:v>
      </x:c>
      <x:c r="F3" s="11" t="n">
        <x:f>SUM('Chi tiet BTL-BHH'!H3:H4)</x:f>
        <x:v>2</x:v>
      </x:c>
      <x:c r="G3" s="9" t="n">
        <x:f>SUM('Chi tiet BTL-BHH'!J3:J4)</x:f>
        <x:v>1406481</x:v>
      </x:c>
      <x:c r="H3" s="9" t="n">
        <x:f>SUM('Chi tiet BTL-BHH'!L3:L4)</x:f>
        <x:v>112519</x:v>
      </x:c>
      <x:c r="I3" s="9" t="n">
        <x:f>SUM('Chi tiet BTL-BHH'!M3:M4)</x:f>
        <x:v>1519000</x:v>
      </x:c>
      <x:c r="J3" s="9" t="n">
        <x:v>1519000</x:v>
      </x:c>
      <x:c r="K3" s="9" t="n">
        <x:f>I3-J3</x:f>
        <x:v>0</x:v>
      </x:c>
      <x:c r="L3" s="2" t="str">
        <x:v>Khớp sổ AMIS 2024</x:v>
      </x:c>
    </x:row>
    <x:row r="4" ht="38" customHeight="1">
      <x:c r="A4" s="7" t="str">
        <x:v>BTL00026</x:v>
      </x:c>
      <x:c r="B4" s="6" t="d">
        <x:v>2024-01-19T00:00:00.000Z</x:v>
      </x:c>
      <x:c r="C4" s="2" t="str">
        <x:v>Khách hàng Tiktok</x:v>
      </x:c>
      <x:c r="D4" s="2" t="n">
        <x:v>2</x:v>
      </x:c>
      <x:c r="E4" s="10" t="str">
        <x:v>BHHT2024000729</x:v>
      </x:c>
      <x:c r="F4" s="11" t="n">
        <x:f>SUM('Chi tiet BTL-BHH'!H5:H6)</x:f>
        <x:v>2</x:v>
      </x:c>
      <x:c r="G4" s="9" t="n">
        <x:f>SUM('Chi tiet BTL-BHH'!J5:J6)</x:f>
        <x:v>2813889</x:v>
      </x:c>
      <x:c r="H4" s="9" t="n">
        <x:f>SUM('Chi tiet BTL-BHH'!L5:L6)</x:f>
        <x:v>225111</x:v>
      </x:c>
      <x:c r="I4" s="9" t="n">
        <x:f>SUM('Chi tiet BTL-BHH'!M5:M6)</x:f>
        <x:v>3039000</x:v>
      </x:c>
      <x:c r="J4" s="9" t="n">
        <x:v>3039000</x:v>
      </x:c>
      <x:c r="K4" s="9" t="n">
        <x:f>I4-J4</x:f>
        <x:v>0</x:v>
      </x:c>
      <x:c r="L4" s="2" t="str">
        <x:v>Khớp sổ AMIS 2024</x:v>
      </x:c>
    </x:row>
    <x:row r="5" ht="38" customHeight="1">
      <x:c r="A5" s="7" t="str">
        <x:v>BTL00185</x:v>
      </x:c>
      <x:c r="B5" s="6" t="d">
        <x:v>2024-01-22T00:00:00.000Z</x:v>
      </x:c>
      <x:c r="C5" s="2" t="str">
        <x:v>Khách hàng Shoppe</x:v>
      </x:c>
      <x:c r="D5" s="2" t="n">
        <x:v>4</x:v>
      </x:c>
      <x:c r="E5" s="10" t="str">
        <x:v>BHHS2024000259</x:v>
      </x:c>
      <x:c r="F5" s="11" t="n">
        <x:f>SUM('Chi tiet BTL-BHH'!H7:H10)</x:f>
        <x:v>4</x:v>
      </x:c>
      <x:c r="G5" s="9" t="n">
        <x:f>SUM('Chi tiet BTL-BHH'!J7:J10)</x:f>
        <x:v>3896296</x:v>
      </x:c>
      <x:c r="H5" s="9" t="n">
        <x:f>SUM('Chi tiet BTL-BHH'!L7:L10)</x:f>
        <x:v>311704</x:v>
      </x:c>
      <x:c r="I5" s="9" t="n">
        <x:f>SUM('Chi tiet BTL-BHH'!M7:M10)</x:f>
        <x:v>4208000</x:v>
      </x:c>
      <x:c r="J5" s="9" t="n">
        <x:v>4208000</x:v>
      </x:c>
      <x:c r="K5" s="9" t="n">
        <x:f>I5-J5</x:f>
        <x:v>0</x:v>
      </x:c>
      <x:c r="L5" s="2" t="str">
        <x:v>Khớp sổ AMIS 2024</x:v>
      </x:c>
    </x:row>
    <x:row r="6" ht="38" customHeight="1">
      <x:c r="A6" s="7" t="str">
        <x:v>BTL00027</x:v>
      </x:c>
      <x:c r="B6" s="6" t="d">
        <x:v>2024-01-23T00:00:00.000Z</x:v>
      </x:c>
      <x:c r="C6" s="2" t="str">
        <x:v>Khách hàng Tiktok</x:v>
      </x:c>
      <x:c r="D6" s="2" t="n">
        <x:v>1</x:v>
      </x:c>
      <x:c r="E6" s="10" t="str">
        <x:v>BHHT2024001390</x:v>
      </x:c>
      <x:c r="F6" s="11" t="n">
        <x:f>SUM('Chi tiet BTL-BHH'!H11:H11)</x:f>
        <x:v>1</x:v>
      </x:c>
      <x:c r="G6" s="9" t="n">
        <x:f>SUM('Chi tiet BTL-BHH'!J11:J11)</x:f>
        <x:v>972222</x:v>
      </x:c>
      <x:c r="H6" s="9" t="n">
        <x:f>SUM('Chi tiet BTL-BHH'!L11:L11)</x:f>
        <x:v>77778</x:v>
      </x:c>
      <x:c r="I6" s="9" t="n">
        <x:f>SUM('Chi tiet BTL-BHH'!M11:M11)</x:f>
        <x:v>1050000</x:v>
      </x:c>
      <x:c r="J6" s="9" t="n">
        <x:v>1050000</x:v>
      </x:c>
      <x:c r="K6" s="9" t="n">
        <x:f>I6-J6</x:f>
        <x:v>0</x:v>
      </x:c>
      <x:c r="L6" s="2" t="str">
        <x:v>Khớp sổ AMIS 2024</x:v>
      </x:c>
    </x:row>
    <x:row r="7" ht="38" customHeight="1">
      <x:c r="A7" s="7" t="str">
        <x:v>BTL00028</x:v>
      </x:c>
      <x:c r="B7" s="6" t="d">
        <x:v>2024-01-25T00:00:00.000Z</x:v>
      </x:c>
      <x:c r="C7" s="2" t="str">
        <x:v>Khách hàng Tiktok</x:v>
      </x:c>
      <x:c r="D7" s="2" t="n">
        <x:v>1</x:v>
      </x:c>
      <x:c r="E7" s="10" t="str">
        <x:v>BHHT2024000226</x:v>
      </x:c>
      <x:c r="F7" s="11" t="n">
        <x:f>SUM('Chi tiet BTL-BHH'!H12:H12)</x:f>
        <x:v>1</x:v>
      </x:c>
      <x:c r="G7" s="9" t="n">
        <x:f>SUM('Chi tiet BTL-BHH'!J12:J12)</x:f>
        <x:v>509259</x:v>
      </x:c>
      <x:c r="H7" s="9" t="n">
        <x:f>SUM('Chi tiet BTL-BHH'!L12:L12)</x:f>
        <x:v>40741</x:v>
      </x:c>
      <x:c r="I7" s="9" t="n">
        <x:f>SUM('Chi tiet BTL-BHH'!M12:M12)</x:f>
        <x:v>550000</x:v>
      </x:c>
      <x:c r="J7" s="9" t="n">
        <x:v>550000</x:v>
      </x:c>
      <x:c r="K7" s="9" t="n">
        <x:f>I7-J7</x:f>
        <x:v>0</x:v>
      </x:c>
      <x:c r="L7" s="2" t="str">
        <x:v>Khớp sổ AMIS 2024</x:v>
      </x:c>
    </x:row>
    <x:row r="8" ht="38" customHeight="1">
      <x:c r="A8" s="7" t="str">
        <x:v>BTL00029</x:v>
      </x:c>
      <x:c r="B8" s="6" t="d">
        <x:v>2024-01-25T00:00:00.000Z</x:v>
      </x:c>
      <x:c r="C8" s="2" t="str">
        <x:v>Khách hàng Tiktok</x:v>
      </x:c>
      <x:c r="D8" s="2" t="n">
        <x:v>1</x:v>
      </x:c>
      <x:c r="E8" s="10" t="str">
        <x:v>BHHT2024000383</x:v>
      </x:c>
      <x:c r="F8" s="11" t="n">
        <x:f>SUM('Chi tiet BTL-BHH'!H13:H13)</x:f>
        <x:v>1</x:v>
      </x:c>
      <x:c r="G8" s="9" t="n">
        <x:f>SUM('Chi tiet BTL-BHH'!J13:J13)</x:f>
        <x:v>1647222</x:v>
      </x:c>
      <x:c r="H8" s="9" t="n">
        <x:f>SUM('Chi tiet BTL-BHH'!L13:L13)</x:f>
        <x:v>131778</x:v>
      </x:c>
      <x:c r="I8" s="9" t="n">
        <x:f>SUM('Chi tiet BTL-BHH'!M13:M13)</x:f>
        <x:v>1779000</x:v>
      </x:c>
      <x:c r="J8" s="9" t="n">
        <x:v>1779000</x:v>
      </x:c>
      <x:c r="K8" s="9" t="n">
        <x:f>I8-J8</x:f>
        <x:v>0</x:v>
      </x:c>
      <x:c r="L8" s="2" t="str">
        <x:v>Khớp sổ AMIS 2024</x:v>
      </x:c>
    </x:row>
    <x:row r="9" ht="38" customHeight="1">
      <x:c r="A9" s="7" t="str">
        <x:v>BTL00030</x:v>
      </x:c>
      <x:c r="B9" s="6" t="d">
        <x:v>2024-01-25T00:00:00.000Z</x:v>
      </x:c>
      <x:c r="C9" s="2" t="str">
        <x:v>Khách hàng Tiktok</x:v>
      </x:c>
      <x:c r="D9" s="2" t="n">
        <x:v>1</x:v>
      </x:c>
      <x:c r="E9" s="10" t="str">
        <x:v>BHHT2024001346</x:v>
      </x:c>
      <x:c r="F9" s="11" t="n">
        <x:f>SUM('Chi tiet BTL-BHH'!H14:H14)</x:f>
        <x:v>1</x:v>
      </x:c>
      <x:c r="G9" s="9" t="n">
        <x:f>SUM('Chi tiet BTL-BHH'!J14:J14)</x:f>
        <x:v>1619444</x:v>
      </x:c>
      <x:c r="H9" s="9" t="n">
        <x:f>SUM('Chi tiet BTL-BHH'!L14:L14)</x:f>
        <x:v>129556</x:v>
      </x:c>
      <x:c r="I9" s="9" t="n">
        <x:f>SUM('Chi tiet BTL-BHH'!M14:M14)</x:f>
        <x:v>1749000</x:v>
      </x:c>
      <x:c r="J9" s="9" t="n">
        <x:v>1749000</x:v>
      </x:c>
      <x:c r="K9" s="9" t="n">
        <x:f>I9-J9</x:f>
        <x:v>0</x:v>
      </x:c>
      <x:c r="L9" s="2" t="str">
        <x:v>Khớp sổ AMIS 2024</x:v>
      </x:c>
    </x:row>
    <x:row r="10" ht="38" customHeight="1">
      <x:c r="A10" s="7" t="str">
        <x:v>BTL00031</x:v>
      </x:c>
      <x:c r="B10" s="6" t="d">
        <x:v>2024-01-26T00:00:00.000Z</x:v>
      </x:c>
      <x:c r="C10" s="2" t="str">
        <x:v>Khách hàng Tiktok</x:v>
      </x:c>
      <x:c r="D10" s="2" t="n">
        <x:v>2</x:v>
      </x:c>
      <x:c r="E10" s="10" t="str">
        <x:v>BHHT2024001562</x:v>
      </x:c>
      <x:c r="F10" s="11" t="n">
        <x:f>SUM('Chi tiet BTL-BHH'!H15:H16)</x:f>
        <x:v>2</x:v>
      </x:c>
      <x:c r="G10" s="9" t="n">
        <x:f>SUM('Chi tiet BTL-BHH'!J15:J16)</x:f>
        <x:v>2556944</x:v>
      </x:c>
      <x:c r="H10" s="9" t="n">
        <x:f>SUM('Chi tiet BTL-BHH'!L15:L16)</x:f>
        <x:v>204556</x:v>
      </x:c>
      <x:c r="I10" s="9" t="n">
        <x:f>SUM('Chi tiet BTL-BHH'!M15:M16)</x:f>
        <x:v>2761500</x:v>
      </x:c>
      <x:c r="J10" s="9" t="n">
        <x:v>2761500</x:v>
      </x:c>
      <x:c r="K10" s="9" t="n">
        <x:f>I10-J10</x:f>
        <x:v>0</x:v>
      </x:c>
      <x:c r="L10" s="2" t="str">
        <x:v>Khớp sổ AMIS 2024</x:v>
      </x:c>
    </x:row>
    <x:row r="11" ht="38" customHeight="1">
      <x:c r="A11" s="7" t="str">
        <x:v>BTL00032</x:v>
      </x:c>
      <x:c r="B11" s="6" t="d">
        <x:v>2024-01-29T00:00:00.000Z</x:v>
      </x:c>
      <x:c r="C11" s="2" t="str">
        <x:v>Khách hàng Tiktok</x:v>
      </x:c>
      <x:c r="D11" s="2" t="n">
        <x:v>2</x:v>
      </x:c>
      <x:c r="E11" s="10" t="str">
        <x:v>BHHT2024000707</x:v>
      </x:c>
      <x:c r="F11" s="11" t="n">
        <x:f>SUM('Chi tiet BTL-BHH'!H17:H18)</x:f>
        <x:v>2</x:v>
      </x:c>
      <x:c r="G11" s="9" t="n">
        <x:f>SUM('Chi tiet BTL-BHH'!J17:J18)</x:f>
        <x:v>1647222</x:v>
      </x:c>
      <x:c r="H11" s="9" t="n">
        <x:f>SUM('Chi tiet BTL-BHH'!L17:L18)</x:f>
        <x:v>131778</x:v>
      </x:c>
      <x:c r="I11" s="9" t="n">
        <x:f>SUM('Chi tiet BTL-BHH'!M17:M18)</x:f>
        <x:v>1779000</x:v>
      </x:c>
      <x:c r="J11" s="9" t="n">
        <x:v>1779000</x:v>
      </x:c>
      <x:c r="K11" s="9" t="n">
        <x:f>I11-J11</x:f>
        <x:v>0</x:v>
      </x:c>
      <x:c r="L11" s="2" t="str">
        <x:v>Khớp sổ AMIS 2024</x:v>
      </x:c>
    </x:row>
    <x:row r="12" ht="38" customHeight="1">
      <x:c r="A12" s="7" t="str">
        <x:v>BTL00186</x:v>
      </x:c>
      <x:c r="B12" s="6" t="d">
        <x:v>2024-02-02T00:00:00.000Z</x:v>
      </x:c>
      <x:c r="C12" s="2" t="str">
        <x:v>Khách hàng Tiktok</x:v>
      </x:c>
      <x:c r="D12" s="2" t="n">
        <x:v>1</x:v>
      </x:c>
      <x:c r="E12" s="10" t="str">
        <x:v>BHHT2024000977</x:v>
      </x:c>
      <x:c r="F12" s="11" t="n">
        <x:f>SUM('Chi tiet BTL-BHH'!H19:H19)</x:f>
        <x:v>1</x:v>
      </x:c>
      <x:c r="G12" s="9" t="n">
        <x:f>SUM('Chi tiet BTL-BHH'!J19:J19)</x:f>
        <x:v>1091667</x:v>
      </x:c>
      <x:c r="H12" s="9" t="n">
        <x:f>SUM('Chi tiet BTL-BHH'!L19:L19)</x:f>
        <x:v>87333</x:v>
      </x:c>
      <x:c r="I12" s="9" t="n">
        <x:f>SUM('Chi tiet BTL-BHH'!M19:M19)</x:f>
        <x:v>1179000</x:v>
      </x:c>
      <x:c r="J12" s="9" t="n">
        <x:v>1179000</x:v>
      </x:c>
      <x:c r="K12" s="9" t="n">
        <x:f>I12-J12</x:f>
        <x:v>0</x:v>
      </x:c>
      <x:c r="L12" s="2" t="str">
        <x:v>Khớp sổ AMIS 2024</x:v>
      </x:c>
    </x:row>
    <x:row r="13" ht="38" customHeight="1">
      <x:c r="A13" s="7" t="str">
        <x:v>BTL00033</x:v>
      </x:c>
      <x:c r="B13" s="6" t="d">
        <x:v>2024-02-06T00:00:00.000Z</x:v>
      </x:c>
      <x:c r="C13" s="2" t="str">
        <x:v>Khách hàng Tiktok</x:v>
      </x:c>
      <x:c r="D13" s="2" t="n">
        <x:v>4</x:v>
      </x:c>
      <x:c r="E13" s="10" t="str">
        <x:v>BHHT2024001511</x:v>
      </x:c>
      <x:c r="F13" s="11" t="n">
        <x:f>SUM('Chi tiet BTL-BHH'!H20:H23)</x:f>
        <x:v>6</x:v>
      </x:c>
      <x:c r="G13" s="9" t="n">
        <x:f>SUM('Chi tiet BTL-BHH'!J20:J23)</x:f>
        <x:v>1589452</x:v>
      </x:c>
      <x:c r="H13" s="9" t="n">
        <x:f>SUM('Chi tiet BTL-BHH'!L20:L23)</x:f>
        <x:v>127156</x:v>
      </x:c>
      <x:c r="I13" s="9" t="n">
        <x:f>SUM('Chi tiet BTL-BHH'!M20:M23)</x:f>
        <x:v>1716608</x:v>
      </x:c>
      <x:c r="J13" s="9" t="n">
        <x:v>1716608</x:v>
      </x:c>
      <x:c r="K13" s="9" t="n">
        <x:f>I13-J13</x:f>
        <x:v>0</x:v>
      </x:c>
      <x:c r="L13" s="2" t="str">
        <x:v>Khớp sổ AMIS 2024</x:v>
      </x:c>
    </x:row>
    <x:row r="14" ht="38" customHeight="1">
      <x:c r="A14" s="7" t="str">
        <x:v>BTL00023</x:v>
      </x:c>
      <x:c r="B14" s="6" t="d">
        <x:v>2024-02-17T00:00:00.000Z</x:v>
      </x:c>
      <x:c r="C14" s="2" t="str">
        <x:v>Khách hàng Shoppe</x:v>
      </x:c>
      <x:c r="D14" s="2" t="n">
        <x:v>2</x:v>
      </x:c>
      <x:c r="E14" s="10" t="str">
        <x:v>BHHS2024000629</x:v>
      </x:c>
      <x:c r="F14" s="11" t="n">
        <x:f>SUM('Chi tiet BTL-BHH'!H24:H25)</x:f>
        <x:v>2</x:v>
      </x:c>
      <x:c r="G14" s="9" t="n">
        <x:f>SUM('Chi tiet BTL-BHH'!J24:J25)</x:f>
        <x:v>2480555</x:v>
      </x:c>
      <x:c r="H14" s="9" t="n">
        <x:f>SUM('Chi tiet BTL-BHH'!L24:L25)</x:f>
        <x:v>198445</x:v>
      </x:c>
      <x:c r="I14" s="9" t="n">
        <x:f>SUM('Chi tiet BTL-BHH'!M24:M25)</x:f>
        <x:v>2679000</x:v>
      </x:c>
      <x:c r="J14" s="9" t="n">
        <x:v>2679000</x:v>
      </x:c>
      <x:c r="K14" s="9" t="n">
        <x:f>I14-J14</x:f>
        <x:v>0</x:v>
      </x:c>
      <x:c r="L14" s="2" t="str">
        <x:v>Khớp sổ AMIS 2024</x:v>
      </x:c>
    </x:row>
    <x:row r="15" ht="38" customHeight="1">
      <x:c r="A15" s="7" t="str">
        <x:v>BTL00034</x:v>
      </x:c>
      <x:c r="B15" s="6" t="d">
        <x:v>2024-02-27T00:00:00.000Z</x:v>
      </x:c>
      <x:c r="C15" s="2" t="str">
        <x:v>Khách hàng Tiktok</x:v>
      </x:c>
      <x:c r="D15" s="2" t="n">
        <x:v>1</x:v>
      </x:c>
      <x:c r="E15" s="10" t="str">
        <x:v>BHHT2024000119</x:v>
      </x:c>
      <x:c r="F15" s="11" t="n">
        <x:f>SUM('Chi tiet BTL-BHH'!H26:H26)</x:f>
        <x:v>1</x:v>
      </x:c>
      <x:c r="G15" s="9" t="n">
        <x:f>SUM('Chi tiet BTL-BHH'!J26:J26)</x:f>
        <x:v>1647222</x:v>
      </x:c>
      <x:c r="H15" s="9" t="n">
        <x:f>SUM('Chi tiet BTL-BHH'!L26:L26)</x:f>
        <x:v>131778</x:v>
      </x:c>
      <x:c r="I15" s="9" t="n">
        <x:f>SUM('Chi tiet BTL-BHH'!M26:M26)</x:f>
        <x:v>1779000</x:v>
      </x:c>
      <x:c r="J15" s="9" t="n">
        <x:v>1779000</x:v>
      </x:c>
      <x:c r="K15" s="9" t="n">
        <x:f>I15-J15</x:f>
        <x:v>0</x:v>
      </x:c>
      <x:c r="L15" s="2" t="str">
        <x:v>Khớp sổ AMIS 2024</x:v>
      </x:c>
    </x:row>
    <x:row r="16" ht="38" customHeight="1">
      <x:c r="A16" s="7" t="str">
        <x:v>BTL00183</x:v>
      </x:c>
      <x:c r="B16" s="6" t="d">
        <x:v>2024-02-28T00:00:00.000Z</x:v>
      </x:c>
      <x:c r="C16" s="2" t="str">
        <x:v>Khách hàng Shoppe</x:v>
      </x:c>
      <x:c r="D16" s="2" t="n">
        <x:v>1</x:v>
      </x:c>
      <x:c r="E16" s="10" t="str">
        <x:v>BHHS2024000456</x:v>
      </x:c>
      <x:c r="F16" s="11" t="n">
        <x:f>SUM('Chi tiet BTL-BHH'!H27:H27)</x:f>
        <x:v>1</x:v>
      </x:c>
      <x:c r="G16" s="9" t="n">
        <x:f>SUM('Chi tiet BTL-BHH'!J27:J27)</x:f>
        <x:v>869444</x:v>
      </x:c>
      <x:c r="H16" s="9" t="n">
        <x:f>SUM('Chi tiet BTL-BHH'!L27:L27)</x:f>
        <x:v>69556</x:v>
      </x:c>
      <x:c r="I16" s="9" t="n">
        <x:f>SUM('Chi tiet BTL-BHH'!M27:M27)</x:f>
        <x:v>939000</x:v>
      </x:c>
      <x:c r="J16" s="9" t="n">
        <x:v>939000</x:v>
      </x:c>
      <x:c r="K16" s="9" t="n">
        <x:f>I16-J16</x:f>
        <x:v>0</x:v>
      </x:c>
      <x:c r="L16" s="2" t="str">
        <x:v>Khớp sổ AMIS 2024</x:v>
      </x:c>
    </x:row>
    <x:row r="17" ht="38" customHeight="1">
      <x:c r="A17" s="7" t="str">
        <x:v>BTL00173</x:v>
      </x:c>
      <x:c r="B17" s="6" t="d">
        <x:v>2024-03-04T00:00:00.000Z</x:v>
      </x:c>
      <x:c r="C17" s="2" t="str">
        <x:v>Khách hàng Shoppe</x:v>
      </x:c>
      <x:c r="D17" s="2" t="n">
        <x:v>1</x:v>
      </x:c>
      <x:c r="E17" s="10" t="str">
        <x:v>BHHS2024000842</x:v>
      </x:c>
      <x:c r="F17" s="11" t="n">
        <x:f>SUM('Chi tiet BTL-BHH'!H28:H28)</x:f>
        <x:v>1</x:v>
      </x:c>
      <x:c r="G17" s="9" t="n">
        <x:f>SUM('Chi tiet BTL-BHH'!J28:J28)</x:f>
        <x:v>1527778</x:v>
      </x:c>
      <x:c r="H17" s="9" t="n">
        <x:f>SUM('Chi tiet BTL-BHH'!L28:L28)</x:f>
        <x:v>122222</x:v>
      </x:c>
      <x:c r="I17" s="9" t="n">
        <x:f>SUM('Chi tiet BTL-BHH'!M28:M28)</x:f>
        <x:v>1650000</x:v>
      </x:c>
      <x:c r="J17" s="9" t="n">
        <x:v>1650000</x:v>
      </x:c>
      <x:c r="K17" s="9" t="n">
        <x:f>I17-J17</x:f>
        <x:v>0</x:v>
      </x:c>
      <x:c r="L17" s="2" t="str">
        <x:v>Khớp sổ AMIS 2024</x:v>
      </x:c>
    </x:row>
    <x:row r="18" ht="38" customHeight="1">
      <x:c r="A18" s="7" t="str">
        <x:v>BTL00172</x:v>
      </x:c>
      <x:c r="B18" s="6" t="d">
        <x:v>2024-03-05T00:00:00.000Z</x:v>
      </x:c>
      <x:c r="C18" s="2" t="str">
        <x:v>Khách hàng Shoppe</x:v>
      </x:c>
      <x:c r="D18" s="2" t="n">
        <x:v>1</x:v>
      </x:c>
      <x:c r="E18" s="10" t="str">
        <x:v>BHHS2024000935</x:v>
      </x:c>
      <x:c r="F18" s="11" t="n">
        <x:f>SUM('Chi tiet BTL-BHH'!H29:H29)</x:f>
        <x:v>1</x:v>
      </x:c>
      <x:c r="G18" s="9" t="n">
        <x:f>SUM('Chi tiet BTL-BHH'!J29:J29)</x:f>
        <x:v>2387963</x:v>
      </x:c>
      <x:c r="H18" s="9" t="n">
        <x:f>SUM('Chi tiet BTL-BHH'!L29:L29)</x:f>
        <x:v>191037</x:v>
      </x:c>
      <x:c r="I18" s="9" t="n">
        <x:f>SUM('Chi tiet BTL-BHH'!M29:M29)</x:f>
        <x:v>2579000</x:v>
      </x:c>
      <x:c r="J18" s="9" t="n">
        <x:v>2579000</x:v>
      </x:c>
      <x:c r="K18" s="9" t="n">
        <x:f>I18-J18</x:f>
        <x:v>0</x:v>
      </x:c>
      <x:c r="L18" s="2" t="str">
        <x:v>Khớp sổ AMIS 2024</x:v>
      </x:c>
    </x:row>
    <x:row r="19" ht="38" customHeight="1">
      <x:c r="A19" s="7" t="str">
        <x:v>BTL00035</x:v>
      </x:c>
      <x:c r="B19" s="6" t="d">
        <x:v>2024-03-14T00:00:00.000Z</x:v>
      </x:c>
      <x:c r="C19" s="2" t="str">
        <x:v>Khách hàng Tiktok</x:v>
      </x:c>
      <x:c r="D19" s="2" t="n">
        <x:v>1</x:v>
      </x:c>
      <x:c r="E19" s="10" t="str">
        <x:v>BHHT2024002719</x:v>
      </x:c>
      <x:c r="F19" s="11" t="n">
        <x:f>SUM('Chi tiet BTL-BHH'!H30:H30)</x:f>
        <x:v>1</x:v>
      </x:c>
      <x:c r="G19" s="9" t="n">
        <x:f>SUM('Chi tiet BTL-BHH'!J30:J30)</x:f>
        <x:v>1925000</x:v>
      </x:c>
      <x:c r="H19" s="9" t="n">
        <x:f>SUM('Chi tiet BTL-BHH'!L30:L30)</x:f>
        <x:v>154000</x:v>
      </x:c>
      <x:c r="I19" s="9" t="n">
        <x:f>SUM('Chi tiet BTL-BHH'!M30:M30)</x:f>
        <x:v>2079000</x:v>
      </x:c>
      <x:c r="J19" s="9" t="n">
        <x:v>2079000</x:v>
      </x:c>
      <x:c r="K19" s="9" t="n">
        <x:f>I19-J19</x:f>
        <x:v>0</x:v>
      </x:c>
      <x:c r="L19" s="2" t="str">
        <x:v>Khớp sổ AMIS 2024</x:v>
      </x:c>
    </x:row>
    <x:row r="20" ht="38" customHeight="1">
      <x:c r="A20" s="7" t="str">
        <x:v>BTL00171</x:v>
      </x:c>
      <x:c r="B20" s="6" t="d">
        <x:v>2024-03-19T00:00:00.000Z</x:v>
      </x:c>
      <x:c r="C20" s="2" t="str">
        <x:v>Khách hàng Shoppe</x:v>
      </x:c>
      <x:c r="D20" s="2" t="n">
        <x:v>1</x:v>
      </x:c>
      <x:c r="E20" s="10" t="str">
        <x:v>BHHS2024000940</x:v>
      </x:c>
      <x:c r="F20" s="11" t="n">
        <x:f>SUM('Chi tiet BTL-BHH'!H31:H31)</x:f>
        <x:v>1</x:v>
      </x:c>
      <x:c r="G20" s="9" t="n">
        <x:f>SUM('Chi tiet BTL-BHH'!J31:J31)</x:f>
        <x:v>1898148</x:v>
      </x:c>
      <x:c r="H20" s="9" t="n">
        <x:f>SUM('Chi tiet BTL-BHH'!L31:L31)</x:f>
        <x:v>151852</x:v>
      </x:c>
      <x:c r="I20" s="9" t="n">
        <x:f>SUM('Chi tiet BTL-BHH'!M31:M31)</x:f>
        <x:v>2050000</x:v>
      </x:c>
      <x:c r="J20" s="9" t="n">
        <x:v>2050000</x:v>
      </x:c>
      <x:c r="K20" s="9" t="n">
        <x:f>I20-J20</x:f>
        <x:v>0</x:v>
      </x:c>
      <x:c r="L20" s="2" t="str">
        <x:v>Khớp sổ AMIS 2024</x:v>
      </x:c>
    </x:row>
    <x:row r="21" ht="38" customHeight="1">
      <x:c r="A21" s="7" t="str">
        <x:v>BTL00036</x:v>
      </x:c>
      <x:c r="B21" s="6" t="d">
        <x:v>2024-03-23T00:00:00.000Z</x:v>
      </x:c>
      <x:c r="C21" s="2" t="str">
        <x:v>Khách hàng Tiktok</x:v>
      </x:c>
      <x:c r="D21" s="2" t="n">
        <x:v>1</x:v>
      </x:c>
      <x:c r="E21" s="10" t="str">
        <x:v>BHHT2024002285</x:v>
      </x:c>
      <x:c r="F21" s="11" t="n">
        <x:f>SUM('Chi tiet BTL-BHH'!H32:H32)</x:f>
        <x:v>1</x:v>
      </x:c>
      <x:c r="G21" s="9" t="n">
        <x:f>SUM('Chi tiet BTL-BHH'!J32:J32)</x:f>
        <x:v>1925000</x:v>
      </x:c>
      <x:c r="H21" s="9" t="n">
        <x:f>SUM('Chi tiet BTL-BHH'!L32:L32)</x:f>
        <x:v>154000</x:v>
      </x:c>
      <x:c r="I21" s="9" t="n">
        <x:f>SUM('Chi tiet BTL-BHH'!M32:M32)</x:f>
        <x:v>2079000</x:v>
      </x:c>
      <x:c r="J21" s="9" t="n">
        <x:v>2079000</x:v>
      </x:c>
      <x:c r="K21" s="9" t="n">
        <x:f>I21-J21</x:f>
        <x:v>0</x:v>
      </x:c>
      <x:c r="L21" s="2" t="str">
        <x:v>Khớp sổ AMIS 2024</x:v>
      </x:c>
    </x:row>
    <x:row r="22" ht="38" customHeight="1">
      <x:c r="A22" s="7" t="str">
        <x:v>BTL00037</x:v>
      </x:c>
      <x:c r="B22" s="6" t="d">
        <x:v>2024-04-02T00:00:00.000Z</x:v>
      </x:c>
      <x:c r="C22" s="2" t="str">
        <x:v>Khách hàng Tiktok</x:v>
      </x:c>
      <x:c r="D22" s="2" t="n">
        <x:v>1</x:v>
      </x:c>
      <x:c r="E22" s="10" t="str">
        <x:v>BHHT2024001995</x:v>
      </x:c>
      <x:c r="F22" s="11" t="n">
        <x:f>SUM('Chi tiet BTL-BHH'!H33:H33)</x:f>
        <x:v>1</x:v>
      </x:c>
      <x:c r="G22" s="9" t="n">
        <x:f>SUM('Chi tiet BTL-BHH'!J33:J33)</x:f>
        <x:v>887963</x:v>
      </x:c>
      <x:c r="H22" s="9" t="n">
        <x:f>SUM('Chi tiet BTL-BHH'!L33:L33)</x:f>
        <x:v>71037</x:v>
      </x:c>
      <x:c r="I22" s="9" t="n">
        <x:f>SUM('Chi tiet BTL-BHH'!M33:M33)</x:f>
        <x:v>959000</x:v>
      </x:c>
      <x:c r="J22" s="9" t="n">
        <x:v>959000</x:v>
      </x:c>
      <x:c r="K22" s="9" t="n">
        <x:f>I22-J22</x:f>
        <x:v>0</x:v>
      </x:c>
      <x:c r="L22" s="2" t="str">
        <x:v>Khớp sổ AMIS 2024</x:v>
      </x:c>
    </x:row>
    <x:row r="23" ht="38" customHeight="1">
      <x:c r="A23" s="7" t="str">
        <x:v>BTL00038</x:v>
      </x:c>
      <x:c r="B23" s="6" t="d">
        <x:v>2024-04-04T00:00:00.000Z</x:v>
      </x:c>
      <x:c r="C23" s="2" t="str">
        <x:v>Khách hàng Tiktok</x:v>
      </x:c>
      <x:c r="D23" s="2" t="n">
        <x:v>1</x:v>
      </x:c>
      <x:c r="E23" s="10" t="str">
        <x:v>BHHT2024005622</x:v>
      </x:c>
      <x:c r="F23" s="11" t="n">
        <x:f>SUM('Chi tiet BTL-BHH'!H34:H34)</x:f>
        <x:v>1</x:v>
      </x:c>
      <x:c r="G23" s="9" t="n">
        <x:f>SUM('Chi tiet BTL-BHH'!J34:J34)</x:f>
        <x:v>952778</x:v>
      </x:c>
      <x:c r="H23" s="9" t="n">
        <x:f>SUM('Chi tiet BTL-BHH'!L34:L34)</x:f>
        <x:v>76222</x:v>
      </x:c>
      <x:c r="I23" s="9" t="n">
        <x:f>SUM('Chi tiet BTL-BHH'!M34:M34)</x:f>
        <x:v>1029000</x:v>
      </x:c>
      <x:c r="J23" s="9" t="n">
        <x:v>1029000</x:v>
      </x:c>
      <x:c r="K23" s="9" t="n">
        <x:f>I23-J23</x:f>
        <x:v>0</x:v>
      </x:c>
      <x:c r="L23" s="2" t="str">
        <x:v>Khớp sổ AMIS 2024</x:v>
      </x:c>
    </x:row>
    <x:row r="24" ht="38" customHeight="1">
      <x:c r="A24" s="7" t="str">
        <x:v>BTL00039</x:v>
      </x:c>
      <x:c r="B24" s="6" t="d">
        <x:v>2024-04-08T00:00:00.000Z</x:v>
      </x:c>
      <x:c r="C24" s="2" t="str">
        <x:v>Khách hàng Tiktok</x:v>
      </x:c>
      <x:c r="D24" s="2" t="n">
        <x:v>1</x:v>
      </x:c>
      <x:c r="E24" s="10" t="str">
        <x:v>BHHT2024005209</x:v>
      </x:c>
      <x:c r="F24" s="11" t="n">
        <x:f>SUM('Chi tiet BTL-BHH'!H35:H35)</x:f>
        <x:v>1</x:v>
      </x:c>
      <x:c r="G24" s="9" t="n">
        <x:f>SUM('Chi tiet BTL-BHH'!J35:J35)</x:f>
        <x:v>887963</x:v>
      </x:c>
      <x:c r="H24" s="9" t="n">
        <x:f>SUM('Chi tiet BTL-BHH'!L35:L35)</x:f>
        <x:v>71037</x:v>
      </x:c>
      <x:c r="I24" s="9" t="n">
        <x:f>SUM('Chi tiet BTL-BHH'!M35:M35)</x:f>
        <x:v>959000</x:v>
      </x:c>
      <x:c r="J24" s="9" t="n">
        <x:v>959000</x:v>
      </x:c>
      <x:c r="K24" s="9" t="n">
        <x:f>I24-J24</x:f>
        <x:v>0</x:v>
      </x:c>
      <x:c r="L24" s="2" t="str">
        <x:v>Khớp sổ AMIS 2024</x:v>
      </x:c>
    </x:row>
    <x:row r="25" ht="38" customHeight="1">
      <x:c r="A25" s="7" t="str">
        <x:v>BTL00040</x:v>
      </x:c>
      <x:c r="B25" s="6" t="d">
        <x:v>2024-04-08T00:00:00.000Z</x:v>
      </x:c>
      <x:c r="C25" s="2" t="str">
        <x:v>Khách hàng Tiktok</x:v>
      </x:c>
      <x:c r="D25" s="2" t="n">
        <x:v>1</x:v>
      </x:c>
      <x:c r="E25" s="10" t="str">
        <x:v>BHHT2024002667</x:v>
      </x:c>
      <x:c r="F25" s="11" t="n">
        <x:f>SUM('Chi tiet BTL-BHH'!H36:H36)</x:f>
        <x:v>1</x:v>
      </x:c>
      <x:c r="G25" s="9" t="n">
        <x:f>SUM('Chi tiet BTL-BHH'!J36:J36)</x:f>
        <x:v>1091667</x:v>
      </x:c>
      <x:c r="H25" s="9" t="n">
        <x:f>SUM('Chi tiet BTL-BHH'!L36:L36)</x:f>
        <x:v>87333</x:v>
      </x:c>
      <x:c r="I25" s="9" t="n">
        <x:f>SUM('Chi tiet BTL-BHH'!M36:M36)</x:f>
        <x:v>1179000</x:v>
      </x:c>
      <x:c r="J25" s="9" t="n">
        <x:v>1179000</x:v>
      </x:c>
      <x:c r="K25" s="9" t="n">
        <x:f>I25-J25</x:f>
        <x:v>0</x:v>
      </x:c>
      <x:c r="L25" s="2" t="str">
        <x:v>Khớp sổ AMIS 2024</x:v>
      </x:c>
    </x:row>
    <x:row r="26" ht="38" customHeight="1">
      <x:c r="A26" s="7" t="str">
        <x:v>BTL00041</x:v>
      </x:c>
      <x:c r="B26" s="6" t="d">
        <x:v>2024-04-11T00:00:00.000Z</x:v>
      </x:c>
      <x:c r="C26" s="2" t="str">
        <x:v>Khách hàng Tiktok</x:v>
      </x:c>
      <x:c r="D26" s="2" t="n">
        <x:v>1</x:v>
      </x:c>
      <x:c r="E26" s="10" t="str">
        <x:v>BHHT2024004877</x:v>
      </x:c>
      <x:c r="F26" s="11" t="n">
        <x:f>SUM('Chi tiet BTL-BHH'!H37:H37)</x:f>
        <x:v>1</x:v>
      </x:c>
      <x:c r="G26" s="9" t="n">
        <x:f>SUM('Chi tiet BTL-BHH'!J37:J37)</x:f>
        <x:v>1239815</x:v>
      </x:c>
      <x:c r="H26" s="9" t="n">
        <x:f>SUM('Chi tiet BTL-BHH'!L37:L37)</x:f>
        <x:v>99185</x:v>
      </x:c>
      <x:c r="I26" s="9" t="n">
        <x:f>SUM('Chi tiet BTL-BHH'!M37:M37)</x:f>
        <x:v>1339000</x:v>
      </x:c>
      <x:c r="J26" s="9" t="n">
        <x:v>1339000</x:v>
      </x:c>
      <x:c r="K26" s="9" t="n">
        <x:f>I26-J26</x:f>
        <x:v>0</x:v>
      </x:c>
      <x:c r="L26" s="2" t="str">
        <x:v>Khớp sổ AMIS 2024</x:v>
      </x:c>
    </x:row>
    <x:row r="27" ht="38" customHeight="1">
      <x:c r="A27" s="7" t="str">
        <x:v>BTL00042</x:v>
      </x:c>
      <x:c r="B27" s="6" t="d">
        <x:v>2024-04-13T00:00:00.000Z</x:v>
      </x:c>
      <x:c r="C27" s="2" t="str">
        <x:v>Khách hàng Tiktok</x:v>
      </x:c>
      <x:c r="D27" s="2" t="n">
        <x:v>1</x:v>
      </x:c>
      <x:c r="E27" s="10" t="str">
        <x:v>BHHT2024005315</x:v>
      </x:c>
      <x:c r="F27" s="11" t="n">
        <x:f>SUM('Chi tiet BTL-BHH'!H38:H38)</x:f>
        <x:v>1</x:v>
      </x:c>
      <x:c r="G27" s="9" t="n">
        <x:f>SUM('Chi tiet BTL-BHH'!J38:J38)</x:f>
        <x:v>1054630</x:v>
      </x:c>
      <x:c r="H27" s="9" t="n">
        <x:f>SUM('Chi tiet BTL-BHH'!L38:L38)</x:f>
        <x:v>84370</x:v>
      </x:c>
      <x:c r="I27" s="9" t="n">
        <x:f>SUM('Chi tiet BTL-BHH'!M38:M38)</x:f>
        <x:v>1139000</x:v>
      </x:c>
      <x:c r="J27" s="9" t="n">
        <x:v>1139000</x:v>
      </x:c>
      <x:c r="K27" s="9" t="n">
        <x:f>I27-J27</x:f>
        <x:v>0</x:v>
      </x:c>
      <x:c r="L27" s="2" t="str">
        <x:v>Khớp sổ AMIS 2024</x:v>
      </x:c>
    </x:row>
    <x:row r="28" ht="38" customHeight="1">
      <x:c r="A28" s="7" t="str">
        <x:v>BTL00043</x:v>
      </x:c>
      <x:c r="B28" s="6" t="d">
        <x:v>2024-04-13T00:00:00.000Z</x:v>
      </x:c>
      <x:c r="C28" s="2" t="str">
        <x:v>Khách hàng Tiktok</x:v>
      </x:c>
      <x:c r="D28" s="2" t="n">
        <x:v>2</x:v>
      </x:c>
      <x:c r="E28" s="10" t="str">
        <x:v>BHHT2024001801</x:v>
      </x:c>
      <x:c r="F28" s="11" t="n">
        <x:f>SUM('Chi tiet BTL-BHH'!H39:H40)</x:f>
        <x:v>2</x:v>
      </x:c>
      <x:c r="G28" s="9" t="n">
        <x:f>SUM('Chi tiet BTL-BHH'!J39:J40)</x:f>
        <x:v>1832407</x:v>
      </x:c>
      <x:c r="H28" s="9" t="n">
        <x:f>SUM('Chi tiet BTL-BHH'!L39:L40)</x:f>
        <x:v>146593</x:v>
      </x:c>
      <x:c r="I28" s="9" t="n">
        <x:f>SUM('Chi tiet BTL-BHH'!M39:M40)</x:f>
        <x:v>1979000</x:v>
      </x:c>
      <x:c r="J28" s="9" t="n">
        <x:v>1979000</x:v>
      </x:c>
      <x:c r="K28" s="9" t="n">
        <x:f>I28-J28</x:f>
        <x:v>0</x:v>
      </x:c>
      <x:c r="L28" s="2" t="str">
        <x:v>Khớp sổ AMIS 2024</x:v>
      </x:c>
    </x:row>
    <x:row r="29" ht="38" customHeight="1">
      <x:c r="A29" s="7" t="str">
        <x:v>BTL00044</x:v>
      </x:c>
      <x:c r="B29" s="6" t="d">
        <x:v>2024-04-13T00:00:00.000Z</x:v>
      </x:c>
      <x:c r="C29" s="2" t="str">
        <x:v>Khách hàng Tiktok</x:v>
      </x:c>
      <x:c r="D29" s="2" t="n">
        <x:v>1</x:v>
      </x:c>
      <x:c r="E29" s="10" t="str">
        <x:v>BHHT2024002272</x:v>
      </x:c>
      <x:c r="F29" s="11" t="n">
        <x:f>SUM('Chi tiet BTL-BHH'!H41:H41)</x:f>
        <x:v>1</x:v>
      </x:c>
      <x:c r="G29" s="9" t="n">
        <x:f>SUM('Chi tiet BTL-BHH'!J41:J41)</x:f>
        <x:v>1931944</x:v>
      </x:c>
      <x:c r="H29" s="9" t="n">
        <x:f>SUM('Chi tiet BTL-BHH'!L41:L41)</x:f>
        <x:v>154556</x:v>
      </x:c>
      <x:c r="I29" s="9" t="n">
        <x:f>SUM('Chi tiet BTL-BHH'!M41:M41)</x:f>
        <x:v>2086500</x:v>
      </x:c>
      <x:c r="J29" s="9" t="n">
        <x:v>2086500</x:v>
      </x:c>
      <x:c r="K29" s="9" t="n">
        <x:f>I29-J29</x:f>
        <x:v>0</x:v>
      </x:c>
      <x:c r="L29" s="2" t="str">
        <x:v>Khớp sổ AMIS 2024</x:v>
      </x:c>
    </x:row>
    <x:row r="30" ht="38" customHeight="1">
      <x:c r="A30" s="7" t="str">
        <x:v>BTL00045</x:v>
      </x:c>
      <x:c r="B30" s="6" t="d">
        <x:v>2024-04-16T00:00:00.000Z</x:v>
      </x:c>
      <x:c r="C30" s="2" t="str">
        <x:v>Khách hàng Tiktok</x:v>
      </x:c>
      <x:c r="D30" s="2" t="n">
        <x:v>1</x:v>
      </x:c>
      <x:c r="E30" s="10" t="str">
        <x:v>BHHT2024005462</x:v>
      </x:c>
      <x:c r="F30" s="11" t="n">
        <x:f>SUM('Chi tiet BTL-BHH'!H42:H42)</x:f>
        <x:v>1</x:v>
      </x:c>
      <x:c r="G30" s="9" t="n">
        <x:f>SUM('Chi tiet BTL-BHH'!J42:J42)</x:f>
        <x:v>887963</x:v>
      </x:c>
      <x:c r="H30" s="9" t="n">
        <x:f>SUM('Chi tiet BTL-BHH'!L42:L42)</x:f>
        <x:v>71037</x:v>
      </x:c>
      <x:c r="I30" s="9" t="n">
        <x:f>SUM('Chi tiet BTL-BHH'!M42:M42)</x:f>
        <x:v>959000</x:v>
      </x:c>
      <x:c r="J30" s="9" t="n">
        <x:v>959000</x:v>
      </x:c>
      <x:c r="K30" s="9" t="n">
        <x:f>I30-J30</x:f>
        <x:v>0</x:v>
      </x:c>
      <x:c r="L30" s="2" t="str">
        <x:v>Khớp sổ AMIS 2024</x:v>
      </x:c>
    </x:row>
    <x:row r="31" ht="38" customHeight="1">
      <x:c r="A31" s="7" t="str">
        <x:v>BTL00046</x:v>
      </x:c>
      <x:c r="B31" s="6" t="d">
        <x:v>2024-04-16T00:00:00.000Z</x:v>
      </x:c>
      <x:c r="C31" s="2" t="str">
        <x:v>Khách hàng Tiktok</x:v>
      </x:c>
      <x:c r="D31" s="2" t="n">
        <x:v>1</x:v>
      </x:c>
      <x:c r="E31" s="10" t="str">
        <x:v>BHHT2024004830</x:v>
      </x:c>
      <x:c r="F31" s="11" t="n">
        <x:f>SUM('Chi tiet BTL-BHH'!H43:H43)</x:f>
        <x:v>1</x:v>
      </x:c>
      <x:c r="G31" s="9" t="n">
        <x:f>SUM('Chi tiet BTL-BHH'!J43:J43)</x:f>
        <x:v>1832407</x:v>
      </x:c>
      <x:c r="H31" s="9" t="n">
        <x:f>SUM('Chi tiet BTL-BHH'!L43:L43)</x:f>
        <x:v>146593</x:v>
      </x:c>
      <x:c r="I31" s="9" t="n">
        <x:f>SUM('Chi tiet BTL-BHH'!M43:M43)</x:f>
        <x:v>1979000</x:v>
      </x:c>
      <x:c r="J31" s="9" t="n">
        <x:v>1979000</x:v>
      </x:c>
      <x:c r="K31" s="9" t="n">
        <x:f>I31-J31</x:f>
        <x:v>0</x:v>
      </x:c>
      <x:c r="L31" s="2" t="str">
        <x:v>Khớp sổ AMIS 2024</x:v>
      </x:c>
    </x:row>
    <x:row r="32" ht="38" customHeight="1">
      <x:c r="A32" s="7" t="str">
        <x:v>BTL00047</x:v>
      </x:c>
      <x:c r="B32" s="6" t="d">
        <x:v>2024-04-17T00:00:00.000Z</x:v>
      </x:c>
      <x:c r="C32" s="2" t="str">
        <x:v>Khách hàng Tiktok</x:v>
      </x:c>
      <x:c r="D32" s="2" t="n">
        <x:v>1</x:v>
      </x:c>
      <x:c r="E32" s="10" t="str">
        <x:v>BHHT2024004091</x:v>
      </x:c>
      <x:c r="F32" s="11" t="n">
        <x:f>SUM('Chi tiet BTL-BHH'!H44:H44)</x:f>
        <x:v>1</x:v>
      </x:c>
      <x:c r="G32" s="9" t="n">
        <x:f>SUM('Chi tiet BTL-BHH'!J44:J44)</x:f>
        <x:v>425000</x:v>
      </x:c>
      <x:c r="H32" s="9" t="n">
        <x:f>SUM('Chi tiet BTL-BHH'!L44:L44)</x:f>
        <x:v>34000</x:v>
      </x:c>
      <x:c r="I32" s="9" t="n">
        <x:f>SUM('Chi tiet BTL-BHH'!M44:M44)</x:f>
        <x:v>459000</x:v>
      </x:c>
      <x:c r="J32" s="9" t="n">
        <x:v>459000</x:v>
      </x:c>
      <x:c r="K32" s="9" t="n">
        <x:f>I32-J32</x:f>
        <x:v>0</x:v>
      </x:c>
      <x:c r="L32" s="2" t="str">
        <x:v>Khớp sổ AMIS 2024</x:v>
      </x:c>
    </x:row>
    <x:row r="33" ht="38" customHeight="1">
      <x:c r="A33" s="7" t="str">
        <x:v>BTL00048</x:v>
      </x:c>
      <x:c r="B33" s="6" t="d">
        <x:v>2024-04-17T00:00:00.000Z</x:v>
      </x:c>
      <x:c r="C33" s="2" t="str">
        <x:v>Khách hàng Tiktok</x:v>
      </x:c>
      <x:c r="D33" s="2" t="n">
        <x:v>2</x:v>
      </x:c>
      <x:c r="E33" s="10" t="str">
        <x:v>BHHT2024004384</x:v>
      </x:c>
      <x:c r="F33" s="11" t="n">
        <x:f>SUM('Chi tiet BTL-BHH'!H45:H46)</x:f>
        <x:v>2</x:v>
      </x:c>
      <x:c r="G33" s="9" t="n">
        <x:f>SUM('Chi tiet BTL-BHH'!J45:J46)</x:f>
        <x:v>1666667</x:v>
      </x:c>
      <x:c r="H33" s="9" t="n">
        <x:f>SUM('Chi tiet BTL-BHH'!L45:L46)</x:f>
        <x:v>133333</x:v>
      </x:c>
      <x:c r="I33" s="9" t="n">
        <x:f>SUM('Chi tiet BTL-BHH'!M45:M46)</x:f>
        <x:v>1800000</x:v>
      </x:c>
      <x:c r="J33" s="9" t="n">
        <x:v>1800000</x:v>
      </x:c>
      <x:c r="K33" s="9" t="n">
        <x:f>I33-J33</x:f>
        <x:v>0</x:v>
      </x:c>
      <x:c r="L33" s="2" t="str">
        <x:v>Khớp sổ AMIS 2024</x:v>
      </x:c>
    </x:row>
    <x:row r="34" ht="38" customHeight="1">
      <x:c r="A34" s="7" t="str">
        <x:v>BTL00170</x:v>
      </x:c>
      <x:c r="B34" s="6" t="d">
        <x:v>2024-04-17T00:00:00.000Z</x:v>
      </x:c>
      <x:c r="C34" s="2" t="str">
        <x:v>Khách hàng Shoppe</x:v>
      </x:c>
      <x:c r="D34" s="2" t="n">
        <x:v>1</x:v>
      </x:c>
      <x:c r="E34" s="10" t="str">
        <x:v>BHHS2024001381</x:v>
      </x:c>
      <x:c r="F34" s="11" t="n">
        <x:f>SUM('Chi tiet BTL-BHH'!H47:H47)</x:f>
        <x:v>1</x:v>
      </x:c>
      <x:c r="G34" s="9" t="n">
        <x:f>SUM('Chi tiet BTL-BHH'!J47:J47)</x:f>
        <x:v>1147222</x:v>
      </x:c>
      <x:c r="H34" s="9" t="n">
        <x:f>SUM('Chi tiet BTL-BHH'!L47:L47)</x:f>
        <x:v>91778</x:v>
      </x:c>
      <x:c r="I34" s="9" t="n">
        <x:f>SUM('Chi tiet BTL-BHH'!M47:M47)</x:f>
        <x:v>1239000</x:v>
      </x:c>
      <x:c r="J34" s="9" t="n">
        <x:v>1239000</x:v>
      </x:c>
      <x:c r="K34" s="9" t="n">
        <x:f>I34-J34</x:f>
        <x:v>0</x:v>
      </x:c>
      <x:c r="L34" s="2" t="str">
        <x:v>Khớp sổ AMIS 2024</x:v>
      </x:c>
    </x:row>
    <x:row r="35" ht="38" customHeight="1">
      <x:c r="A35" s="7" t="str">
        <x:v>BTL00049</x:v>
      </x:c>
      <x:c r="B35" s="6" t="d">
        <x:v>2024-04-19T00:00:00.000Z</x:v>
      </x:c>
      <x:c r="C35" s="2" t="str">
        <x:v>Khách hàng Tiktok</x:v>
      </x:c>
      <x:c r="D35" s="2" t="n">
        <x:v>2</x:v>
      </x:c>
      <x:c r="E35" s="10" t="str">
        <x:v>BHHT2024004661</x:v>
      </x:c>
      <x:c r="F35" s="11" t="n">
        <x:f>SUM('Chi tiet BTL-BHH'!H48:H49)</x:f>
        <x:v>2</x:v>
      </x:c>
      <x:c r="G35" s="9" t="n">
        <x:f>SUM('Chi tiet BTL-BHH'!J48:J49)</x:f>
        <x:v>1702778</x:v>
      </x:c>
      <x:c r="H35" s="9" t="n">
        <x:f>SUM('Chi tiet BTL-BHH'!L48:L49)</x:f>
        <x:v>136222</x:v>
      </x:c>
      <x:c r="I35" s="9" t="n">
        <x:f>SUM('Chi tiet BTL-BHH'!M48:M49)</x:f>
        <x:v>1839000</x:v>
      </x:c>
      <x:c r="J35" s="9" t="n">
        <x:v>1839000</x:v>
      </x:c>
      <x:c r="K35" s="9" t="n">
        <x:f>I35-J35</x:f>
        <x:v>0</x:v>
      </x:c>
      <x:c r="L35" s="2" t="str">
        <x:v>Khớp sổ AMIS 2024</x:v>
      </x:c>
    </x:row>
    <x:row r="36" ht="38" customHeight="1">
      <x:c r="A36" s="7" t="str">
        <x:v>BTL00050</x:v>
      </x:c>
      <x:c r="B36" s="6" t="d">
        <x:v>2024-04-20T00:00:00.000Z</x:v>
      </x:c>
      <x:c r="C36" s="2" t="str">
        <x:v>Khách hàng Tiktok</x:v>
      </x:c>
      <x:c r="D36" s="2" t="n">
        <x:v>2</x:v>
      </x:c>
      <x:c r="E36" s="10" t="str">
        <x:v>BHHT2024004718</x:v>
      </x:c>
      <x:c r="F36" s="11" t="n">
        <x:f>SUM('Chi tiet BTL-BHH'!H50:H51)</x:f>
        <x:v>2</x:v>
      </x:c>
      <x:c r="G36" s="9" t="n">
        <x:f>SUM('Chi tiet BTL-BHH'!J50:J51)</x:f>
        <x:v>1670370</x:v>
      </x:c>
      <x:c r="H36" s="9" t="n">
        <x:f>SUM('Chi tiet BTL-BHH'!L50:L51)</x:f>
        <x:v>133630</x:v>
      </x:c>
      <x:c r="I36" s="9" t="n">
        <x:f>SUM('Chi tiet BTL-BHH'!M50:M51)</x:f>
        <x:v>1804000</x:v>
      </x:c>
      <x:c r="J36" s="9" t="n">
        <x:v>1804000</x:v>
      </x:c>
      <x:c r="K36" s="9" t="n">
        <x:f>I36-J36</x:f>
        <x:v>0</x:v>
      </x:c>
      <x:c r="L36" s="2" t="str">
        <x:v>Khớp sổ AMIS 2024</x:v>
      </x:c>
    </x:row>
    <x:row r="37" ht="38" customHeight="1">
      <x:c r="A37" s="7" t="str">
        <x:v>BTL00051</x:v>
      </x:c>
      <x:c r="B37" s="6" t="d">
        <x:v>2024-04-22T00:00:00.000Z</x:v>
      </x:c>
      <x:c r="C37" s="2" t="str">
        <x:v>Khách hàng Tiktok</x:v>
      </x:c>
      <x:c r="D37" s="2" t="n">
        <x:v>1</x:v>
      </x:c>
      <x:c r="E37" s="10" t="str">
        <x:v>BHHT2024003595</x:v>
      </x:c>
      <x:c r="F37" s="11" t="n">
        <x:f>SUM('Chi tiet BTL-BHH'!H52:H52)</x:f>
        <x:v>1</x:v>
      </x:c>
      <x:c r="G37" s="9" t="n">
        <x:f>SUM('Chi tiet BTL-BHH'!J52:J52)</x:f>
        <x:v>786111</x:v>
      </x:c>
      <x:c r="H37" s="9" t="n">
        <x:f>SUM('Chi tiet BTL-BHH'!L52:L52)</x:f>
        <x:v>62889</x:v>
      </x:c>
      <x:c r="I37" s="9" t="n">
        <x:f>SUM('Chi tiet BTL-BHH'!M52:M52)</x:f>
        <x:v>849000</x:v>
      </x:c>
      <x:c r="J37" s="9" t="n">
        <x:v>849000</x:v>
      </x:c>
      <x:c r="K37" s="9" t="n">
        <x:f>I37-J37</x:f>
        <x:v>0</x:v>
      </x:c>
      <x:c r="L37" s="2" t="str">
        <x:v>Khớp sổ AMIS 2024</x:v>
      </x:c>
    </x:row>
    <x:row r="38" ht="38" customHeight="1">
      <x:c r="A38" s="7" t="str">
        <x:v>BTL00175</x:v>
      </x:c>
      <x:c r="B38" s="6" t="d">
        <x:v>2024-04-22T00:00:00.000Z</x:v>
      </x:c>
      <x:c r="C38" s="2" t="str">
        <x:v>Khách hàng Tiktok</x:v>
      </x:c>
      <x:c r="D38" s="2" t="n">
        <x:v>2</x:v>
      </x:c>
      <x:c r="E38" s="10" t="str">
        <x:v>BHHT2024003623</x:v>
      </x:c>
      <x:c r="F38" s="11" t="n">
        <x:f>SUM('Chi tiet BTL-BHH'!H53:H54)</x:f>
        <x:v>2</x:v>
      </x:c>
      <x:c r="G38" s="9" t="n">
        <x:f>SUM('Chi tiet BTL-BHH'!J53:J54)</x:f>
        <x:v>1758333</x:v>
      </x:c>
      <x:c r="H38" s="9" t="n">
        <x:f>SUM('Chi tiet BTL-BHH'!L53:L54)</x:f>
        <x:v>140667</x:v>
      </x:c>
      <x:c r="I38" s="9" t="n">
        <x:f>SUM('Chi tiet BTL-BHH'!M53:M54)</x:f>
        <x:v>1899000</x:v>
      </x:c>
      <x:c r="J38" s="9" t="n">
        <x:v>1899000</x:v>
      </x:c>
      <x:c r="K38" s="9" t="n">
        <x:f>I38-J38</x:f>
        <x:v>0</x:v>
      </x:c>
      <x:c r="L38" s="2" t="str">
        <x:v>Khớp sổ AMIS 2024</x:v>
      </x:c>
    </x:row>
    <x:row r="39" ht="38" customHeight="1">
      <x:c r="A39" s="7" t="str">
        <x:v>BTL00176</x:v>
      </x:c>
      <x:c r="B39" s="6" t="d">
        <x:v>2024-04-22T00:00:00.000Z</x:v>
      </x:c>
      <x:c r="C39" s="2" t="str">
        <x:v>Khách hàng Tiktok</x:v>
      </x:c>
      <x:c r="D39" s="2" t="n">
        <x:v>2</x:v>
      </x:c>
      <x:c r="E39" s="10" t="str">
        <x:v>BHHT2024003622</x:v>
      </x:c>
      <x:c r="F39" s="11" t="n">
        <x:f>SUM('Chi tiet BTL-BHH'!H55:H56)</x:f>
        <x:v>2</x:v>
      </x:c>
      <x:c r="G39" s="9" t="n">
        <x:f>SUM('Chi tiet BTL-BHH'!J55:J56)</x:f>
        <x:v>1943519</x:v>
      </x:c>
      <x:c r="H39" s="9" t="n">
        <x:f>SUM('Chi tiet BTL-BHH'!L55:L56)</x:f>
        <x:v>155481</x:v>
      </x:c>
      <x:c r="I39" s="9" t="n">
        <x:f>SUM('Chi tiet BTL-BHH'!M55:M56)</x:f>
        <x:v>2099000</x:v>
      </x:c>
      <x:c r="J39" s="9" t="n">
        <x:v>2099000</x:v>
      </x:c>
      <x:c r="K39" s="9" t="n">
        <x:f>I39-J39</x:f>
        <x:v>0</x:v>
      </x:c>
      <x:c r="L39" s="2" t="str">
        <x:v>Khớp sổ AMIS 2024</x:v>
      </x:c>
    </x:row>
    <x:row r="40" ht="38" customHeight="1">
      <x:c r="A40" s="7" t="str">
        <x:v>BTL00052</x:v>
      </x:c>
      <x:c r="B40" s="6" t="d">
        <x:v>2024-05-02T00:00:00.000Z</x:v>
      </x:c>
      <x:c r="C40" s="2" t="str">
        <x:v>Khách hàng Tiktok</x:v>
      </x:c>
      <x:c r="D40" s="2" t="n">
        <x:v>1</x:v>
      </x:c>
      <x:c r="E40" s="10" t="str">
        <x:v>BHHT2024003432</x:v>
      </x:c>
      <x:c r="F40" s="11" t="n">
        <x:f>SUM('Chi tiet BTL-BHH'!H57:H57)</x:f>
        <x:v>1</x:v>
      </x:c>
      <x:c r="G40" s="9" t="n">
        <x:f>SUM('Chi tiet BTL-BHH'!J57:J57)</x:f>
        <x:v>501063</x:v>
      </x:c>
      <x:c r="H40" s="9" t="n">
        <x:f>SUM('Chi tiet BTL-BHH'!L57:L57)</x:f>
        <x:v>40085</x:v>
      </x:c>
      <x:c r="I40" s="9" t="n">
        <x:f>SUM('Chi tiet BTL-BHH'!M57:M57)</x:f>
        <x:v>541148</x:v>
      </x:c>
      <x:c r="J40" s="9" t="n">
        <x:v>541148</x:v>
      </x:c>
      <x:c r="K40" s="9" t="n">
        <x:f>I40-J40</x:f>
        <x:v>0</x:v>
      </x:c>
      <x:c r="L40" s="2" t="str">
        <x:v>Khớp sổ AMIS 2024</x:v>
      </x:c>
    </x:row>
    <x:row r="41" ht="38" customHeight="1">
      <x:c r="A41" s="7" t="str">
        <x:v>BTL00053</x:v>
      </x:c>
      <x:c r="B41" s="6" t="d">
        <x:v>2024-05-02T00:00:00.000Z</x:v>
      </x:c>
      <x:c r="C41" s="2" t="str">
        <x:v>Khách hàng Tiktok</x:v>
      </x:c>
      <x:c r="D41" s="2" t="n">
        <x:v>1</x:v>
      </x:c>
      <x:c r="E41" s="10" t="str">
        <x:v>BHHT2024003162</x:v>
      </x:c>
      <x:c r="F41" s="11" t="n">
        <x:f>SUM('Chi tiet BTL-BHH'!H58:H58)</x:f>
        <x:v>1</x:v>
      </x:c>
      <x:c r="G41" s="9" t="n">
        <x:f>SUM('Chi tiet BTL-BHH'!J58:J58)</x:f>
        <x:v>1712037</x:v>
      </x:c>
      <x:c r="H41" s="9" t="n">
        <x:f>SUM('Chi tiet BTL-BHH'!L58:L58)</x:f>
        <x:v>136963</x:v>
      </x:c>
      <x:c r="I41" s="9" t="n">
        <x:f>SUM('Chi tiet BTL-BHH'!M58:M58)</x:f>
        <x:v>1849000</x:v>
      </x:c>
      <x:c r="J41" s="9" t="n">
        <x:v>1849000</x:v>
      </x:c>
      <x:c r="K41" s="9" t="n">
        <x:f>I41-J41</x:f>
        <x:v>0</x:v>
      </x:c>
      <x:c r="L41" s="2" t="str">
        <x:v>Khớp sổ AMIS 2024</x:v>
      </x:c>
    </x:row>
    <x:row r="42" ht="38" customHeight="1">
      <x:c r="A42" s="7" t="str">
        <x:v>BTL00054</x:v>
      </x:c>
      <x:c r="B42" s="6" t="d">
        <x:v>2024-05-06T00:00:00.000Z</x:v>
      </x:c>
      <x:c r="C42" s="2" t="str">
        <x:v>Khách hàng Tiktok</x:v>
      </x:c>
      <x:c r="D42" s="2" t="n">
        <x:v>1</x:v>
      </x:c>
      <x:c r="E42" s="10" t="str">
        <x:v>BHHT2024004376</x:v>
      </x:c>
      <x:c r="F42" s="11" t="n">
        <x:f>SUM('Chi tiet BTL-BHH'!H59:H59)</x:f>
        <x:v>1</x:v>
      </x:c>
      <x:c r="G42" s="9" t="n">
        <x:f>SUM('Chi tiet BTL-BHH'!J59:J59)</x:f>
        <x:v>869444</x:v>
      </x:c>
      <x:c r="H42" s="9" t="n">
        <x:f>SUM('Chi tiet BTL-BHH'!L59:L59)</x:f>
        <x:v>69556</x:v>
      </x:c>
      <x:c r="I42" s="9" t="n">
        <x:f>SUM('Chi tiet BTL-BHH'!M59:M59)</x:f>
        <x:v>939000</x:v>
      </x:c>
      <x:c r="J42" s="9" t="n">
        <x:v>939000</x:v>
      </x:c>
      <x:c r="K42" s="9" t="n">
        <x:f>I42-J42</x:f>
        <x:v>0</x:v>
      </x:c>
      <x:c r="L42" s="2" t="str">
        <x:v>Khớp sổ AMIS 2024</x:v>
      </x:c>
    </x:row>
    <x:row r="43" ht="38" customHeight="1">
      <x:c r="A43" s="7" t="str">
        <x:v>BTL00055</x:v>
      </x:c>
      <x:c r="B43" s="6" t="d">
        <x:v>2024-05-14T00:00:00.000Z</x:v>
      </x:c>
      <x:c r="C43" s="2" t="str">
        <x:v>Khách hàng Tiktok</x:v>
      </x:c>
      <x:c r="D43" s="2" t="n">
        <x:v>1</x:v>
      </x:c>
      <x:c r="E43" s="10" t="str">
        <x:v>BHHT2024007142</x:v>
      </x:c>
      <x:c r="F43" s="11" t="n">
        <x:f>SUM('Chi tiet BTL-BHH'!H60:H60)</x:f>
        <x:v>1</x:v>
      </x:c>
      <x:c r="G43" s="9" t="n">
        <x:f>SUM('Chi tiet BTL-BHH'!J60:J60)</x:f>
        <x:v>2793056</x:v>
      </x:c>
      <x:c r="H43" s="9" t="n">
        <x:f>SUM('Chi tiet BTL-BHH'!L60:L60)</x:f>
        <x:v>223444</x:v>
      </x:c>
      <x:c r="I43" s="9" t="n">
        <x:f>SUM('Chi tiet BTL-BHH'!M60:M60)</x:f>
        <x:v>3016500</x:v>
      </x:c>
      <x:c r="J43" s="9" t="n">
        <x:v>3016500</x:v>
      </x:c>
      <x:c r="K43" s="9" t="n">
        <x:f>I43-J43</x:f>
        <x:v>0</x:v>
      </x:c>
      <x:c r="L43" s="2" t="str">
        <x:v>Khớp sổ AMIS 2024</x:v>
      </x:c>
    </x:row>
    <x:row r="44" ht="38" customHeight="1">
      <x:c r="A44" s="7" t="str">
        <x:v>BTL00056</x:v>
      </x:c>
      <x:c r="B44" s="6" t="d">
        <x:v>2024-05-18T00:00:00.000Z</x:v>
      </x:c>
      <x:c r="C44" s="2" t="str">
        <x:v>Khách hàng Tiktok</x:v>
      </x:c>
      <x:c r="D44" s="2" t="n">
        <x:v>1</x:v>
      </x:c>
      <x:c r="E44" s="10" t="str">
        <x:v>BHHT2024001010</x:v>
      </x:c>
      <x:c r="F44" s="11" t="n">
        <x:f>SUM('Chi tiet BTL-BHH'!H61:H61)</x:f>
        <x:v>1</x:v>
      </x:c>
      <x:c r="G44" s="9" t="n">
        <x:f>SUM('Chi tiet BTL-BHH'!J61:J61)</x:f>
        <x:v>1857407</x:v>
      </x:c>
      <x:c r="H44" s="9" t="n">
        <x:f>SUM('Chi tiet BTL-BHH'!L61:L61)</x:f>
        <x:v>148593</x:v>
      </x:c>
      <x:c r="I44" s="9" t="n">
        <x:f>SUM('Chi tiet BTL-BHH'!M61:M61)</x:f>
        <x:v>2006000</x:v>
      </x:c>
      <x:c r="J44" s="9" t="n">
        <x:v>2006000</x:v>
      </x:c>
      <x:c r="K44" s="9" t="n">
        <x:f>I44-J44</x:f>
        <x:v>0</x:v>
      </x:c>
      <x:c r="L44" s="2" t="str">
        <x:v>Khớp sổ AMIS 2024</x:v>
      </x:c>
    </x:row>
    <x:row r="45" ht="38" customHeight="1">
      <x:c r="A45" s="7" t="str">
        <x:v>BTL00057</x:v>
      </x:c>
      <x:c r="B45" s="6" t="d">
        <x:v>2024-05-21T00:00:00.000Z</x:v>
      </x:c>
      <x:c r="C45" s="2" t="str">
        <x:v>Khách hàng Tiktok</x:v>
      </x:c>
      <x:c r="D45" s="2" t="n">
        <x:v>1</x:v>
      </x:c>
      <x:c r="E45" s="10" t="str">
        <x:v>BHHT2024006046</x:v>
      </x:c>
      <x:c r="F45" s="11" t="n">
        <x:f>SUM('Chi tiet BTL-BHH'!H62:H62)</x:f>
        <x:v>1</x:v>
      </x:c>
      <x:c r="G45" s="9" t="n">
        <x:f>SUM('Chi tiet BTL-BHH'!J62:J62)</x:f>
        <x:v>462963</x:v>
      </x:c>
      <x:c r="H45" s="9" t="n">
        <x:f>SUM('Chi tiet BTL-BHH'!L62:L62)</x:f>
        <x:v>37037</x:v>
      </x:c>
      <x:c r="I45" s="9" t="n">
        <x:f>SUM('Chi tiet BTL-BHH'!M62:M62)</x:f>
        <x:v>500000</x:v>
      </x:c>
      <x:c r="J45" s="9" t="n">
        <x:v>500000</x:v>
      </x:c>
      <x:c r="K45" s="9" t="n">
        <x:f>I45-J45</x:f>
        <x:v>0</x:v>
      </x:c>
      <x:c r="L45" s="2" t="str">
        <x:v>Khớp sổ AMIS 2024</x:v>
      </x:c>
    </x:row>
    <x:row r="46" ht="38" customHeight="1">
      <x:c r="A46" s="7" t="str">
        <x:v>BTL00058</x:v>
      </x:c>
      <x:c r="B46" s="6" t="d">
        <x:v>2024-05-21T00:00:00.000Z</x:v>
      </x:c>
      <x:c r="C46" s="2" t="str">
        <x:v>Khách hàng Tiktok</x:v>
      </x:c>
      <x:c r="D46" s="2" t="n">
        <x:v>1</x:v>
      </x:c>
      <x:c r="E46" s="10" t="str">
        <x:v>BHHT2024006130</x:v>
      </x:c>
      <x:c r="F46" s="11" t="n">
        <x:f>SUM('Chi tiet BTL-BHH'!H63:H63)</x:f>
        <x:v>1</x:v>
      </x:c>
      <x:c r="G46" s="9" t="n">
        <x:f>SUM('Chi tiet BTL-BHH'!J63:J63)</x:f>
        <x:v>1795370</x:v>
      </x:c>
      <x:c r="H46" s="9" t="n">
        <x:f>SUM('Chi tiet BTL-BHH'!L63:L63)</x:f>
        <x:v>143630</x:v>
      </x:c>
      <x:c r="I46" s="9" t="n">
        <x:f>SUM('Chi tiet BTL-BHH'!M63:M63)</x:f>
        <x:v>1939000</x:v>
      </x:c>
      <x:c r="J46" s="9" t="n">
        <x:v>1939000</x:v>
      </x:c>
      <x:c r="K46" s="9" t="n">
        <x:f>I46-J46</x:f>
        <x:v>0</x:v>
      </x:c>
      <x:c r="L46" s="2" t="str">
        <x:v>Khớp sổ AMIS 2024</x:v>
      </x:c>
    </x:row>
    <x:row r="47" ht="38" customHeight="1">
      <x:c r="A47" s="7" t="str">
        <x:v>BTL00059</x:v>
      </x:c>
      <x:c r="B47" s="6" t="d">
        <x:v>2024-06-04T00:00:00.000Z</x:v>
      </x:c>
      <x:c r="C47" s="2" t="str">
        <x:v>Khách hàng Tiktok</x:v>
      </x:c>
      <x:c r="D47" s="2" t="n">
        <x:v>1</x:v>
      </x:c>
      <x:c r="E47" s="10" t="str">
        <x:v>BHHT2024005700</x:v>
      </x:c>
      <x:c r="F47" s="11" t="n">
        <x:f>SUM('Chi tiet BTL-BHH'!H64:H64)</x:f>
        <x:v>1</x:v>
      </x:c>
      <x:c r="G47" s="9" t="n">
        <x:f>SUM('Chi tiet BTL-BHH'!J64:J64)</x:f>
        <x:v>462037</x:v>
      </x:c>
      <x:c r="H47" s="9" t="n">
        <x:f>SUM('Chi tiet BTL-BHH'!L64:L64)</x:f>
        <x:v>36963</x:v>
      </x:c>
      <x:c r="I47" s="9" t="n">
        <x:f>SUM('Chi tiet BTL-BHH'!M64:M64)</x:f>
        <x:v>499000</x:v>
      </x:c>
      <x:c r="J47" s="9" t="n">
        <x:v>499000</x:v>
      </x:c>
      <x:c r="K47" s="9" t="n">
        <x:f>I47-J47</x:f>
        <x:v>0</x:v>
      </x:c>
      <x:c r="L47" s="2" t="str">
        <x:v>Khớp sổ AMIS 2024</x:v>
      </x:c>
    </x:row>
    <x:row r="48" ht="38" customHeight="1">
      <x:c r="A48" s="7" t="str">
        <x:v>BTL00060</x:v>
      </x:c>
      <x:c r="B48" s="6" t="d">
        <x:v>2024-06-05T00:00:00.000Z</x:v>
      </x:c>
      <x:c r="C48" s="2" t="str">
        <x:v>Khách hàng Tiktok</x:v>
      </x:c>
      <x:c r="D48" s="2" t="n">
        <x:v>1</x:v>
      </x:c>
      <x:c r="E48" s="10" t="str">
        <x:v>BHHT2024005898</x:v>
      </x:c>
      <x:c r="F48" s="11" t="n">
        <x:f>SUM('Chi tiet BTL-BHH'!H65:H65)</x:f>
        <x:v>1</x:v>
      </x:c>
      <x:c r="G48" s="9" t="n">
        <x:f>SUM('Chi tiet BTL-BHH'!J65:J65)</x:f>
        <x:v>184259</x:v>
      </x:c>
      <x:c r="H48" s="9" t="n">
        <x:f>SUM('Chi tiet BTL-BHH'!L65:L65)</x:f>
        <x:v>14741</x:v>
      </x:c>
      <x:c r="I48" s="9" t="n">
        <x:f>SUM('Chi tiet BTL-BHH'!M65:M65)</x:f>
        <x:v>199000</x:v>
      </x:c>
      <x:c r="J48" s="9" t="n">
        <x:v>199000</x:v>
      </x:c>
      <x:c r="K48" s="9" t="n">
        <x:f>I48-J48</x:f>
        <x:v>0</x:v>
      </x:c>
      <x:c r="L48" s="2" t="str">
        <x:v>Khớp sổ AMIS 2024</x:v>
      </x:c>
    </x:row>
    <x:row r="49" ht="38" customHeight="1">
      <x:c r="A49" s="7" t="str">
        <x:v>BTL00061</x:v>
      </x:c>
      <x:c r="B49" s="6" t="d">
        <x:v>2024-06-05T00:00:00.000Z</x:v>
      </x:c>
      <x:c r="C49" s="2" t="str">
        <x:v>Khách hàng Tiktok</x:v>
      </x:c>
      <x:c r="D49" s="2" t="n">
        <x:v>1</x:v>
      </x:c>
      <x:c r="E49" s="10" t="str">
        <x:v>BHHT2024006012</x:v>
      </x:c>
      <x:c r="F49" s="11" t="n">
        <x:f>SUM('Chi tiet BTL-BHH'!H66:H66)</x:f>
        <x:v>1</x:v>
      </x:c>
      <x:c r="G49" s="9" t="n">
        <x:f>SUM('Chi tiet BTL-BHH'!J66:J66)</x:f>
        <x:v>1054630</x:v>
      </x:c>
      <x:c r="H49" s="9" t="n">
        <x:f>SUM('Chi tiet BTL-BHH'!L66:L66)</x:f>
        <x:v>84370</x:v>
      </x:c>
      <x:c r="I49" s="9" t="n">
        <x:f>SUM('Chi tiet BTL-BHH'!M66:M66)</x:f>
        <x:v>1139000</x:v>
      </x:c>
      <x:c r="J49" s="9" t="n">
        <x:v>1139000</x:v>
      </x:c>
      <x:c r="K49" s="9" t="n">
        <x:f>I49-J49</x:f>
        <x:v>0</x:v>
      </x:c>
      <x:c r="L49" s="2" t="str">
        <x:v>Khớp sổ AMIS 2024</x:v>
      </x:c>
    </x:row>
    <x:row r="50" ht="38" customHeight="1">
      <x:c r="A50" s="7" t="str">
        <x:v>BTL00062</x:v>
      </x:c>
      <x:c r="B50" s="6" t="d">
        <x:v>2024-06-06T00:00:00.000Z</x:v>
      </x:c>
      <x:c r="C50" s="2" t="str">
        <x:v>Khách hàng Tiktok</x:v>
      </x:c>
      <x:c r="D50" s="2" t="n">
        <x:v>1</x:v>
      </x:c>
      <x:c r="E50" s="10" t="str">
        <x:v>BHHT2024009243</x:v>
      </x:c>
      <x:c r="F50" s="11" t="n">
        <x:f>SUM('Chi tiet BTL-BHH'!H67:H67)</x:f>
        <x:v>1</x:v>
      </x:c>
      <x:c r="G50" s="9" t="n">
        <x:f>SUM('Chi tiet BTL-BHH'!J67:J67)</x:f>
        <x:v>1795370</x:v>
      </x:c>
      <x:c r="H50" s="9" t="n">
        <x:f>SUM('Chi tiet BTL-BHH'!L67:L67)</x:f>
        <x:v>143630</x:v>
      </x:c>
      <x:c r="I50" s="9" t="n">
        <x:f>SUM('Chi tiet BTL-BHH'!M67:M67)</x:f>
        <x:v>1939000</x:v>
      </x:c>
      <x:c r="J50" s="9" t="n">
        <x:v>1939000</x:v>
      </x:c>
      <x:c r="K50" s="9" t="n">
        <x:f>I50-J50</x:f>
        <x:v>0</x:v>
      </x:c>
      <x:c r="L50" s="2" t="str">
        <x:v>Khớp sổ AMIS 2024</x:v>
      </x:c>
    </x:row>
    <x:row r="51" ht="38" customHeight="1">
      <x:c r="A51" s="7" t="str">
        <x:v>BTL00063</x:v>
      </x:c>
      <x:c r="B51" s="6" t="d">
        <x:v>2024-06-08T00:00:00.000Z</x:v>
      </x:c>
      <x:c r="C51" s="2" t="str">
        <x:v>Khách hàng Tiktok</x:v>
      </x:c>
      <x:c r="D51" s="2" t="n">
        <x:v>1</x:v>
      </x:c>
      <x:c r="E51" s="10" t="str">
        <x:v>BHHT2024005852</x:v>
      </x:c>
      <x:c r="F51" s="11" t="n">
        <x:f>SUM('Chi tiet BTL-BHH'!H68:H68)</x:f>
        <x:v>1</x:v>
      </x:c>
      <x:c r="G51" s="9" t="n">
        <x:f>SUM('Chi tiet BTL-BHH'!J68:J68)</x:f>
        <x:v>369444</x:v>
      </x:c>
      <x:c r="H51" s="9" t="n">
        <x:f>SUM('Chi tiet BTL-BHH'!L68:L68)</x:f>
        <x:v>29556</x:v>
      </x:c>
      <x:c r="I51" s="9" t="n">
        <x:f>SUM('Chi tiet BTL-BHH'!M68:M68)</x:f>
        <x:v>399000</x:v>
      </x:c>
      <x:c r="J51" s="9" t="n">
        <x:v>399000</x:v>
      </x:c>
      <x:c r="K51" s="9" t="n">
        <x:f>I51-J51</x:f>
        <x:v>0</x:v>
      </x:c>
      <x:c r="L51" s="2" t="str">
        <x:v>Khớp sổ AMIS 2024</x:v>
      </x:c>
    </x:row>
    <x:row r="52" ht="38" customHeight="1">
      <x:c r="A52" s="7" t="str">
        <x:v>BTL00169</x:v>
      </x:c>
      <x:c r="B52" s="6" t="d">
        <x:v>2024-06-08T00:00:00.000Z</x:v>
      </x:c>
      <x:c r="C52" s="2" t="str">
        <x:v>Khách hàng Shoppe</x:v>
      </x:c>
      <x:c r="D52" s="2" t="n">
        <x:v>5</x:v>
      </x:c>
      <x:c r="E52" s="10" t="str">
        <x:v>BHHS2024002364</x:v>
      </x:c>
      <x:c r="F52" s="11" t="n">
        <x:f>SUM('Chi tiet BTL-BHH'!H69:H73)</x:f>
        <x:v>7</x:v>
      </x:c>
      <x:c r="G52" s="9" t="n">
        <x:f>SUM('Chi tiet BTL-BHH'!J69:J73)</x:f>
        <x:v>1111111</x:v>
      </x:c>
      <x:c r="H52" s="9" t="n">
        <x:f>SUM('Chi tiet BTL-BHH'!L69:L73)</x:f>
        <x:v>88889</x:v>
      </x:c>
      <x:c r="I52" s="9" t="n">
        <x:f>SUM('Chi tiet BTL-BHH'!M69:M73)</x:f>
        <x:v>1200000</x:v>
      </x:c>
      <x:c r="J52" s="9" t="n">
        <x:v>1200000</x:v>
      </x:c>
      <x:c r="K52" s="9" t="n">
        <x:f>I52-J52</x:f>
        <x:v>0</x:v>
      </x:c>
      <x:c r="L52" s="2" t="str">
        <x:v>Khớp sổ AMIS 2024</x:v>
      </x:c>
    </x:row>
    <x:row r="53" ht="38" customHeight="1">
      <x:c r="A53" s="7" t="str">
        <x:v>BTL00064</x:v>
      </x:c>
      <x:c r="B53" s="6" t="d">
        <x:v>2024-06-11T00:00:00.000Z</x:v>
      </x:c>
      <x:c r="C53" s="2" t="str">
        <x:v>Khách hàng Tiktok</x:v>
      </x:c>
      <x:c r="D53" s="2" t="n">
        <x:v>1</x:v>
      </x:c>
      <x:c r="E53" s="10" t="str">
        <x:v>BHHT2024005715</x:v>
      </x:c>
      <x:c r="F53" s="11" t="n">
        <x:f>SUM('Chi tiet BTL-BHH'!H74:H74)</x:f>
        <x:v>1</x:v>
      </x:c>
      <x:c r="G53" s="9" t="n">
        <x:f>SUM('Chi tiet BTL-BHH'!J74:J74)</x:f>
        <x:v>276852</x:v>
      </x:c>
      <x:c r="H53" s="9" t="n">
        <x:f>SUM('Chi tiet BTL-BHH'!L74:L74)</x:f>
        <x:v>22148</x:v>
      </x:c>
      <x:c r="I53" s="9" t="n">
        <x:f>SUM('Chi tiet BTL-BHH'!M74:M74)</x:f>
        <x:v>299000</x:v>
      </x:c>
      <x:c r="J53" s="9" t="n">
        <x:v>299000</x:v>
      </x:c>
      <x:c r="K53" s="9" t="n">
        <x:f>I53-J53</x:f>
        <x:v>0</x:v>
      </x:c>
      <x:c r="L53" s="2" t="str">
        <x:v>Khớp sổ AMIS 2024</x:v>
      </x:c>
    </x:row>
    <x:row r="54" ht="38" customHeight="1">
      <x:c r="A54" s="7" t="str">
        <x:v>BTL00174</x:v>
      </x:c>
      <x:c r="B54" s="6" t="d">
        <x:v>2024-06-11T00:00:00.000Z</x:v>
      </x:c>
      <x:c r="C54" s="2" t="str">
        <x:v>Khách hàng Shoppe</x:v>
      </x:c>
      <x:c r="D54" s="2" t="n">
        <x:v>1</x:v>
      </x:c>
      <x:c r="E54" s="10" t="str">
        <x:v>BHHS2024002718</x:v>
      </x:c>
      <x:c r="F54" s="11" t="n">
        <x:f>SUM('Chi tiet BTL-BHH'!H75:H75)</x:f>
        <x:v>1</x:v>
      </x:c>
      <x:c r="G54" s="9" t="n">
        <x:f>SUM('Chi tiet BTL-BHH'!J75:J75)</x:f>
        <x:v>869444</x:v>
      </x:c>
      <x:c r="H54" s="9" t="n">
        <x:f>SUM('Chi tiet BTL-BHH'!L75:L75)</x:f>
        <x:v>69556</x:v>
      </x:c>
      <x:c r="I54" s="9" t="n">
        <x:f>SUM('Chi tiet BTL-BHH'!M75:M75)</x:f>
        <x:v>939000</x:v>
      </x:c>
      <x:c r="J54" s="9" t="n">
        <x:v>939000</x:v>
      </x:c>
      <x:c r="K54" s="9" t="n">
        <x:f>I54-J54</x:f>
        <x:v>0</x:v>
      </x:c>
      <x:c r="L54" s="2" t="str">
        <x:v>Khớp sổ AMIS 2024</x:v>
      </x:c>
    </x:row>
    <x:row r="55" ht="38" customHeight="1">
      <x:c r="A55" s="7" t="str">
        <x:v>BTL00065</x:v>
      </x:c>
      <x:c r="B55" s="6" t="d">
        <x:v>2024-06-12T00:00:00.000Z</x:v>
      </x:c>
      <x:c r="C55" s="2" t="str">
        <x:v>Khách hàng Tiktok</x:v>
      </x:c>
      <x:c r="D55" s="2" t="n">
        <x:v>1</x:v>
      </x:c>
      <x:c r="E55" s="10" t="str">
        <x:v>BHHT2024009413</x:v>
      </x:c>
      <x:c r="F55" s="11" t="n">
        <x:f>SUM('Chi tiet BTL-BHH'!H76:H76)</x:f>
        <x:v>1</x:v>
      </x:c>
      <x:c r="G55" s="9" t="n">
        <x:f>SUM('Chi tiet BTL-BHH'!J76:J76)</x:f>
        <x:v>869444</x:v>
      </x:c>
      <x:c r="H55" s="9" t="n">
        <x:f>SUM('Chi tiet BTL-BHH'!L76:L76)</x:f>
        <x:v>69556</x:v>
      </x:c>
      <x:c r="I55" s="9" t="n">
        <x:f>SUM('Chi tiet BTL-BHH'!M76:M76)</x:f>
        <x:v>939000</x:v>
      </x:c>
      <x:c r="J55" s="9" t="n">
        <x:v>939000</x:v>
      </x:c>
      <x:c r="K55" s="9" t="n">
        <x:f>I55-J55</x:f>
        <x:v>0</x:v>
      </x:c>
      <x:c r="L55" s="2" t="str">
        <x:v>Khớp sổ AMIS 2024</x:v>
      </x:c>
    </x:row>
    <x:row r="56" ht="38" customHeight="1">
      <x:c r="A56" s="7" t="str">
        <x:v>BTL00066</x:v>
      </x:c>
      <x:c r="B56" s="6" t="d">
        <x:v>2024-06-13T00:00:00.000Z</x:v>
      </x:c>
      <x:c r="C56" s="2" t="str">
        <x:v>Khách hàng Tiktok</x:v>
      </x:c>
      <x:c r="D56" s="2" t="n">
        <x:v>1</x:v>
      </x:c>
      <x:c r="E56" s="10" t="str">
        <x:v>BHHT2024006530</x:v>
      </x:c>
      <x:c r="F56" s="11" t="n">
        <x:f>SUM('Chi tiet BTL-BHH'!H77:H77)</x:f>
        <x:v>1</x:v>
      </x:c>
      <x:c r="G56" s="9" t="n">
        <x:f>SUM('Chi tiet BTL-BHH'!J77:J77)</x:f>
        <x:v>813889</x:v>
      </x:c>
      <x:c r="H56" s="9" t="n">
        <x:f>SUM('Chi tiet BTL-BHH'!L77:L77)</x:f>
        <x:v>65111</x:v>
      </x:c>
      <x:c r="I56" s="9" t="n">
        <x:f>SUM('Chi tiet BTL-BHH'!M77:M77)</x:f>
        <x:v>879000</x:v>
      </x:c>
      <x:c r="J56" s="9" t="n">
        <x:v>879000</x:v>
      </x:c>
      <x:c r="K56" s="9" t="n">
        <x:f>I56-J56</x:f>
        <x:v>0</x:v>
      </x:c>
      <x:c r="L56" s="2" t="str">
        <x:v>Khớp sổ AMIS 2024</x:v>
      </x:c>
    </x:row>
    <x:row r="57" ht="38" customHeight="1">
      <x:c r="A57" s="7" t="str">
        <x:v>BTL00067</x:v>
      </x:c>
      <x:c r="B57" s="6" t="d">
        <x:v>2024-06-14T00:00:00.000Z</x:v>
      </x:c>
      <x:c r="C57" s="2" t="str">
        <x:v>Khách hàng Tiktok</x:v>
      </x:c>
      <x:c r="D57" s="2" t="n">
        <x:v>1</x:v>
      </x:c>
      <x:c r="E57" s="10" t="str">
        <x:v>BHHT2024001935</x:v>
      </x:c>
      <x:c r="F57" s="11" t="n">
        <x:f>SUM('Chi tiet BTL-BHH'!H78:H78)</x:f>
        <x:v>1</x:v>
      </x:c>
      <x:c r="G57" s="9" t="n">
        <x:f>SUM('Chi tiet BTL-BHH'!J78:J78)</x:f>
        <x:v>443519</x:v>
      </x:c>
      <x:c r="H57" s="9" t="n">
        <x:f>SUM('Chi tiet BTL-BHH'!L78:L78)</x:f>
        <x:v>35481</x:v>
      </x:c>
      <x:c r="I57" s="9" t="n">
        <x:f>SUM('Chi tiet BTL-BHH'!M78:M78)</x:f>
        <x:v>479000</x:v>
      </x:c>
      <x:c r="J57" s="9" t="n">
        <x:v>479000</x:v>
      </x:c>
      <x:c r="K57" s="9" t="n">
        <x:f>I57-J57</x:f>
        <x:v>0</x:v>
      </x:c>
      <x:c r="L57" s="2" t="str">
        <x:v>Khớp sổ AMIS 2024</x:v>
      </x:c>
    </x:row>
    <x:row r="58" ht="38" customHeight="1">
      <x:c r="A58" s="7" t="str">
        <x:v>BTL00068</x:v>
      </x:c>
      <x:c r="B58" s="6" t="d">
        <x:v>2024-06-17T00:00:00.000Z</x:v>
      </x:c>
      <x:c r="C58" s="2" t="str">
        <x:v>Khách hàng Tiktok</x:v>
      </x:c>
      <x:c r="D58" s="2" t="n">
        <x:v>1</x:v>
      </x:c>
      <x:c r="E58" s="10" t="str">
        <x:v>BHHT2024009221</x:v>
      </x:c>
      <x:c r="F58" s="11" t="n">
        <x:f>SUM('Chi tiet BTL-BHH'!H79:H79)</x:f>
        <x:v>1</x:v>
      </x:c>
      <x:c r="G58" s="9" t="n">
        <x:f>SUM('Chi tiet BTL-BHH'!J79:J79)</x:f>
        <x:v>906481</x:v>
      </x:c>
      <x:c r="H58" s="9" t="n">
        <x:f>SUM('Chi tiet BTL-BHH'!L79:L79)</x:f>
        <x:v>72519</x:v>
      </x:c>
      <x:c r="I58" s="9" t="n">
        <x:f>SUM('Chi tiet BTL-BHH'!M79:M79)</x:f>
        <x:v>979000</x:v>
      </x:c>
      <x:c r="J58" s="9" t="n">
        <x:v>979000</x:v>
      </x:c>
      <x:c r="K58" s="9" t="n">
        <x:f>I58-J58</x:f>
        <x:v>0</x:v>
      </x:c>
      <x:c r="L58" s="2" t="str">
        <x:v>Khớp sổ AMIS 2024</x:v>
      </x:c>
    </x:row>
    <x:row r="59" ht="38" customHeight="1">
      <x:c r="A59" s="7" t="str">
        <x:v>BTL00070</x:v>
      </x:c>
      <x:c r="B59" s="6" t="d">
        <x:v>2024-06-18T00:00:00.000Z</x:v>
      </x:c>
      <x:c r="C59" s="2" t="str">
        <x:v>Khách hàng Tiktok</x:v>
      </x:c>
      <x:c r="D59" s="2" t="n">
        <x:v>3</x:v>
      </x:c>
      <x:c r="E59" s="10" t="str">
        <x:v>BHHT2024006103</x:v>
      </x:c>
      <x:c r="F59" s="11" t="n">
        <x:f>SUM('Chi tiet BTL-BHH'!H80:H82)</x:f>
        <x:v>3</x:v>
      </x:c>
      <x:c r="G59" s="9" t="n">
        <x:f>SUM('Chi tiet BTL-BHH'!J80:J82)</x:f>
        <x:v>1345400</x:v>
      </x:c>
      <x:c r="H59" s="9" t="n">
        <x:f>SUM('Chi tiet BTL-BHH'!L80:L82)</x:f>
        <x:v>107631</x:v>
      </x:c>
      <x:c r="I59" s="9" t="n">
        <x:f>SUM('Chi tiet BTL-BHH'!M80:M82)</x:f>
        <x:v>1453031</x:v>
      </x:c>
      <x:c r="J59" s="9" t="n">
        <x:v>1453031</x:v>
      </x:c>
      <x:c r="K59" s="9" t="n">
        <x:f>I59-J59</x:f>
        <x:v>0</x:v>
      </x:c>
      <x:c r="L59" s="2" t="str">
        <x:v>Khớp sổ AMIS 2024</x:v>
      </x:c>
    </x:row>
    <x:row r="60" ht="38" customHeight="1">
      <x:c r="A60" s="7" t="str">
        <x:v>BTL00074</x:v>
      </x:c>
      <x:c r="B60" s="6" t="d">
        <x:v>2024-06-19T00:00:00.000Z</x:v>
      </x:c>
      <x:c r="C60" s="2" t="str">
        <x:v>Khách hàng Tiktok</x:v>
      </x:c>
      <x:c r="D60" s="2" t="n">
        <x:v>1</x:v>
      </x:c>
      <x:c r="E60" s="10" t="str">
        <x:v>BHHT2024009087</x:v>
      </x:c>
      <x:c r="F60" s="11" t="n">
        <x:f>SUM('Chi tiet BTL-BHH'!H83:H83)</x:f>
        <x:v>1</x:v>
      </x:c>
      <x:c r="G60" s="9" t="n">
        <x:f>SUM('Chi tiet BTL-BHH'!J83:J83)</x:f>
        <x:v>869444</x:v>
      </x:c>
      <x:c r="H60" s="9" t="n">
        <x:f>SUM('Chi tiet BTL-BHH'!L83:L83)</x:f>
        <x:v>69556</x:v>
      </x:c>
      <x:c r="I60" s="9" t="n">
        <x:f>SUM('Chi tiet BTL-BHH'!M83:M83)</x:f>
        <x:v>939000</x:v>
      </x:c>
      <x:c r="J60" s="9" t="n">
        <x:v>939000</x:v>
      </x:c>
      <x:c r="K60" s="9" t="n">
        <x:f>I60-J60</x:f>
        <x:v>0</x:v>
      </x:c>
      <x:c r="L60" s="2" t="str">
        <x:v>Khớp sổ AMIS 2024</x:v>
      </x:c>
    </x:row>
    <x:row r="61" ht="38" customHeight="1">
      <x:c r="A61" s="7" t="str">
        <x:v>BTL00075</x:v>
      </x:c>
      <x:c r="B61" s="6" t="d">
        <x:v>2024-06-19T00:00:00.000Z</x:v>
      </x:c>
      <x:c r="C61" s="2" t="str">
        <x:v>Khách hàng Tiktok</x:v>
      </x:c>
      <x:c r="D61" s="2" t="n">
        <x:v>1</x:v>
      </x:c>
      <x:c r="E61" s="10" t="str">
        <x:v>BHHT2024009171</x:v>
      </x:c>
      <x:c r="F61" s="11" t="n">
        <x:f>SUM('Chi tiet BTL-BHH'!H84:H84)</x:f>
        <x:v>1</x:v>
      </x:c>
      <x:c r="G61" s="9" t="n">
        <x:f>SUM('Chi tiet BTL-BHH'!J84:J84)</x:f>
        <x:v>869444</x:v>
      </x:c>
      <x:c r="H61" s="9" t="n">
        <x:f>SUM('Chi tiet BTL-BHH'!L84:L84)</x:f>
        <x:v>69556</x:v>
      </x:c>
      <x:c r="I61" s="9" t="n">
        <x:f>SUM('Chi tiet BTL-BHH'!M84:M84)</x:f>
        <x:v>939000</x:v>
      </x:c>
      <x:c r="J61" s="9" t="n">
        <x:v>939000</x:v>
      </x:c>
      <x:c r="K61" s="9" t="n">
        <x:f>I61-J61</x:f>
        <x:v>0</x:v>
      </x:c>
      <x:c r="L61" s="2" t="str">
        <x:v>Khớp sổ AMIS 2024</x:v>
      </x:c>
    </x:row>
    <x:row r="62" ht="38" customHeight="1">
      <x:c r="A62" s="7" t="str">
        <x:v>BTL00076</x:v>
      </x:c>
      <x:c r="B62" s="6" t="d">
        <x:v>2024-06-20T00:00:00.000Z</x:v>
      </x:c>
      <x:c r="C62" s="2" t="str">
        <x:v>Khách hàng Tiktok</x:v>
      </x:c>
      <x:c r="D62" s="2" t="n">
        <x:v>1</x:v>
      </x:c>
      <x:c r="E62" s="10" t="str">
        <x:v>BHHT2024005796</x:v>
      </x:c>
      <x:c r="F62" s="11" t="n">
        <x:f>SUM('Chi tiet BTL-BHH'!H85:H85)</x:f>
        <x:v>1</x:v>
      </x:c>
      <x:c r="G62" s="9" t="n">
        <x:f>SUM('Chi tiet BTL-BHH'!J85:J85)</x:f>
        <x:v>165741</x:v>
      </x:c>
      <x:c r="H62" s="9" t="n">
        <x:f>SUM('Chi tiet BTL-BHH'!L85:L85)</x:f>
        <x:v>13259</x:v>
      </x:c>
      <x:c r="I62" s="9" t="n">
        <x:f>SUM('Chi tiet BTL-BHH'!M85:M85)</x:f>
        <x:v>179000</x:v>
      </x:c>
      <x:c r="J62" s="9" t="n">
        <x:v>179000</x:v>
      </x:c>
      <x:c r="K62" s="9" t="n">
        <x:f>I62-J62</x:f>
        <x:v>0</x:v>
      </x:c>
      <x:c r="L62" s="2" t="str">
        <x:v>Khớp sổ AMIS 2024</x:v>
      </x:c>
    </x:row>
    <x:row r="63" ht="38" customHeight="1">
      <x:c r="A63" s="7" t="str">
        <x:v>BTL00168</x:v>
      </x:c>
      <x:c r="B63" s="6" t="d">
        <x:v>2024-06-20T00:00:00.000Z</x:v>
      </x:c>
      <x:c r="C63" s="2" t="str">
        <x:v>Khách hàng Shoppe</x:v>
      </x:c>
      <x:c r="D63" s="2" t="n">
        <x:v>1</x:v>
      </x:c>
      <x:c r="E63" s="10" t="str">
        <x:v>BHHS2024002845</x:v>
      </x:c>
      <x:c r="F63" s="11" t="n">
        <x:f>SUM('Chi tiet BTL-BHH'!H86:H86)</x:f>
        <x:v>1</x:v>
      </x:c>
      <x:c r="G63" s="9" t="n">
        <x:f>SUM('Chi tiet BTL-BHH'!J86:J86)</x:f>
        <x:v>1527778</x:v>
      </x:c>
      <x:c r="H63" s="9" t="n">
        <x:f>SUM('Chi tiet BTL-BHH'!L86:L86)</x:f>
        <x:v>122222</x:v>
      </x:c>
      <x:c r="I63" s="9" t="n">
        <x:f>SUM('Chi tiet BTL-BHH'!M86:M86)</x:f>
        <x:v>1650000</x:v>
      </x:c>
      <x:c r="J63" s="9" t="n">
        <x:v>1650000</x:v>
      </x:c>
      <x:c r="K63" s="9" t="n">
        <x:f>I63-J63</x:f>
        <x:v>0</x:v>
      </x:c>
      <x:c r="L63" s="2" t="str">
        <x:v>Khớp sổ AMIS 2024</x:v>
      </x:c>
    </x:row>
    <x:row r="64" ht="38" customHeight="1">
      <x:c r="A64" s="7" t="str">
        <x:v>BTL00077</x:v>
      </x:c>
      <x:c r="B64" s="6" t="d">
        <x:v>2024-06-26T00:00:00.000Z</x:v>
      </x:c>
      <x:c r="C64" s="2" t="str">
        <x:v>Khách hàng Tiktok</x:v>
      </x:c>
      <x:c r="D64" s="2" t="n">
        <x:v>1</x:v>
      </x:c>
      <x:c r="E64" s="10" t="str">
        <x:v>BHHT2024007556</x:v>
      </x:c>
      <x:c r="F64" s="11" t="n">
        <x:f>SUM('Chi tiet BTL-BHH'!H87:H87)</x:f>
        <x:v>1</x:v>
      </x:c>
      <x:c r="G64" s="9" t="n">
        <x:f>SUM('Chi tiet BTL-BHH'!J87:J87)</x:f>
        <x:v>1739815</x:v>
      </x:c>
      <x:c r="H64" s="9" t="n">
        <x:f>SUM('Chi tiet BTL-BHH'!L87:L87)</x:f>
        <x:v>139185</x:v>
      </x:c>
      <x:c r="I64" s="9" t="n">
        <x:f>SUM('Chi tiet BTL-BHH'!M87:M87)</x:f>
        <x:v>1879000</x:v>
      </x:c>
      <x:c r="J64" s="9" t="n">
        <x:v>1879000</x:v>
      </x:c>
      <x:c r="K64" s="9" t="n">
        <x:f>I64-J64</x:f>
        <x:v>0</x:v>
      </x:c>
      <x:c r="L64" s="2" t="str">
        <x:v>Khớp sổ AMIS 2024</x:v>
      </x:c>
    </x:row>
    <x:row r="65" ht="38" customHeight="1">
      <x:c r="A65" s="7" t="str">
        <x:v>BTL00078</x:v>
      </x:c>
      <x:c r="B65" s="6" t="d">
        <x:v>2024-06-27T00:00:00.000Z</x:v>
      </x:c>
      <x:c r="C65" s="2" t="str">
        <x:v>Khách hàng Tiktok</x:v>
      </x:c>
      <x:c r="D65" s="2" t="n">
        <x:v>3</x:v>
      </x:c>
      <x:c r="E65" s="10" t="str">
        <x:v>BHHT2024008113</x:v>
      </x:c>
      <x:c r="F65" s="11" t="n">
        <x:f>SUM('Chi tiet BTL-BHH'!H88:H90)</x:f>
        <x:v>3</x:v>
      </x:c>
      <x:c r="G65" s="9" t="n">
        <x:f>SUM('Chi tiet BTL-BHH'!J88:J90)</x:f>
        <x:v>962037</x:v>
      </x:c>
      <x:c r="H65" s="9" t="n">
        <x:f>SUM('Chi tiet BTL-BHH'!L88:L90)</x:f>
        <x:v>76963</x:v>
      </x:c>
      <x:c r="I65" s="9" t="n">
        <x:f>SUM('Chi tiet BTL-BHH'!M88:M90)</x:f>
        <x:v>1039000</x:v>
      </x:c>
      <x:c r="J65" s="9" t="n">
        <x:v>1039000</x:v>
      </x:c>
      <x:c r="K65" s="9" t="n">
        <x:f>I65-J65</x:f>
        <x:v>0</x:v>
      </x:c>
      <x:c r="L65" s="2" t="str">
        <x:v>Khớp sổ AMIS 2024</x:v>
      </x:c>
    </x:row>
    <x:row r="66" ht="38" customHeight="1">
      <x:c r="A66" s="7" t="str">
        <x:v>BTL00167</x:v>
      </x:c>
      <x:c r="B66" s="6" t="d">
        <x:v>2024-07-02T00:00:00.000Z</x:v>
      </x:c>
      <x:c r="C66" s="2" t="str">
        <x:v>Khách hàng Shoppe</x:v>
      </x:c>
      <x:c r="D66" s="2" t="n">
        <x:v>2</x:v>
      </x:c>
      <x:c r="E66" s="10" t="str">
        <x:v>BHHS2024003188</x:v>
      </x:c>
      <x:c r="F66" s="11" t="n">
        <x:f>SUM('Chi tiet BTL-BHH'!H91:H92)</x:f>
        <x:v>2</x:v>
      </x:c>
      <x:c r="G66" s="9" t="n">
        <x:f>SUM('Chi tiet BTL-BHH'!J91:J92)</x:f>
        <x:v>2573148</x:v>
      </x:c>
      <x:c r="H66" s="9" t="n">
        <x:f>SUM('Chi tiet BTL-BHH'!L91:L92)</x:f>
        <x:v>205852</x:v>
      </x:c>
      <x:c r="I66" s="9" t="n">
        <x:f>SUM('Chi tiet BTL-BHH'!M91:M92)</x:f>
        <x:v>2779000</x:v>
      </x:c>
      <x:c r="J66" s="9" t="n">
        <x:v>2779000</x:v>
      </x:c>
      <x:c r="K66" s="9" t="n">
        <x:f>I66-J66</x:f>
        <x:v>0</x:v>
      </x:c>
      <x:c r="L66" s="2" t="str">
        <x:v>Khớp sổ AMIS 2024</x:v>
      </x:c>
    </x:row>
    <x:row r="67" ht="38" customHeight="1">
      <x:c r="A67" s="7" t="str">
        <x:v>BTL00080</x:v>
      </x:c>
      <x:c r="B67" s="6" t="d">
        <x:v>2024-07-04T00:00:00.000Z</x:v>
      </x:c>
      <x:c r="C67" s="2" t="str">
        <x:v>Khách hàng Tiktok</x:v>
      </x:c>
      <x:c r="D67" s="2" t="n">
        <x:v>2</x:v>
      </x:c>
      <x:c r="E67" s="10" t="str">
        <x:v>BHHT2024008892</x:v>
      </x:c>
      <x:c r="F67" s="11" t="n">
        <x:f>SUM('Chi tiet BTL-BHH'!H93:H94)</x:f>
        <x:v>2</x:v>
      </x:c>
      <x:c r="G67" s="9" t="n">
        <x:f>SUM('Chi tiet BTL-BHH'!J93:J94)</x:f>
        <x:v>1684259</x:v>
      </x:c>
      <x:c r="H67" s="9" t="n">
        <x:f>SUM('Chi tiet BTL-BHH'!L93:L94)</x:f>
        <x:v>134741</x:v>
      </x:c>
      <x:c r="I67" s="9" t="n">
        <x:f>SUM('Chi tiet BTL-BHH'!M93:M94)</x:f>
        <x:v>1819000</x:v>
      </x:c>
      <x:c r="J67" s="9" t="n">
        <x:v>1819000</x:v>
      </x:c>
      <x:c r="K67" s="9" t="n">
        <x:f>I67-J67</x:f>
        <x:v>0</x:v>
      </x:c>
      <x:c r="L67" s="2" t="str">
        <x:v>Khớp sổ AMIS 2024</x:v>
      </x:c>
    </x:row>
    <x:row r="68" ht="38" customHeight="1">
      <x:c r="A68" s="7" t="str">
        <x:v>BTL00081</x:v>
      </x:c>
      <x:c r="B68" s="6" t="d">
        <x:v>2024-07-06T00:00:00.000Z</x:v>
      </x:c>
      <x:c r="C68" s="2" t="str">
        <x:v>Khách hàng Tiktok</x:v>
      </x:c>
      <x:c r="D68" s="2" t="n">
        <x:v>1</x:v>
      </x:c>
      <x:c r="E68" s="10" t="str">
        <x:v>BHHT2024007951</x:v>
      </x:c>
      <x:c r="F68" s="11" t="n">
        <x:f>SUM('Chi tiet BTL-BHH'!H95:H95)</x:f>
        <x:v>1</x:v>
      </x:c>
      <x:c r="G68" s="9" t="n">
        <x:f>SUM('Chi tiet BTL-BHH'!J95:J95)</x:f>
        <x:v>1702778</x:v>
      </x:c>
      <x:c r="H68" s="9" t="n">
        <x:f>SUM('Chi tiet BTL-BHH'!L95:L95)</x:f>
        <x:v>136222</x:v>
      </x:c>
      <x:c r="I68" s="9" t="n">
        <x:f>SUM('Chi tiet BTL-BHH'!M95:M95)</x:f>
        <x:v>1839000</x:v>
      </x:c>
      <x:c r="J68" s="9" t="n">
        <x:v>1839000</x:v>
      </x:c>
      <x:c r="K68" s="9" t="n">
        <x:f>I68-J68</x:f>
        <x:v>0</x:v>
      </x:c>
      <x:c r="L68" s="2" t="str">
        <x:v>Khớp sổ AMIS 2024</x:v>
      </x:c>
    </x:row>
    <x:row r="69" ht="38" customHeight="1">
      <x:c r="A69" s="7" t="str">
        <x:v>BTL00082</x:v>
      </x:c>
      <x:c r="B69" s="6" t="d">
        <x:v>2024-07-10T00:00:00.000Z</x:v>
      </x:c>
      <x:c r="C69" s="2" t="str">
        <x:v>Khách hàng Tiktok</x:v>
      </x:c>
      <x:c r="D69" s="2" t="n">
        <x:v>1</x:v>
      </x:c>
      <x:c r="E69" s="10" t="str">
        <x:v>BHHT2024011737</x:v>
      </x:c>
      <x:c r="F69" s="11" t="n">
        <x:f>SUM('Chi tiet BTL-BHH'!H96:H96)</x:f>
        <x:v>1</x:v>
      </x:c>
      <x:c r="G69" s="9" t="n">
        <x:f>SUM('Chi tiet BTL-BHH'!J96:J96)</x:f>
        <x:v>999074</x:v>
      </x:c>
      <x:c r="H69" s="9" t="n">
        <x:f>SUM('Chi tiet BTL-BHH'!L96:L96)</x:f>
        <x:v>79926</x:v>
      </x:c>
      <x:c r="I69" s="9" t="n">
        <x:f>SUM('Chi tiet BTL-BHH'!M96:M96)</x:f>
        <x:v>1079000</x:v>
      </x:c>
      <x:c r="J69" s="9" t="n">
        <x:v>1079000</x:v>
      </x:c>
      <x:c r="K69" s="9" t="n">
        <x:f>I69-J69</x:f>
        <x:v>0</x:v>
      </x:c>
      <x:c r="L69" s="2" t="str">
        <x:v>Khớp sổ AMIS 2024</x:v>
      </x:c>
    </x:row>
    <x:row r="70" ht="38" customHeight="1">
      <x:c r="A70" s="7" t="str">
        <x:v>BTL00084</x:v>
      </x:c>
      <x:c r="B70" s="6" t="d">
        <x:v>2024-07-10T00:00:00.000Z</x:v>
      </x:c>
      <x:c r="C70" s="2" t="str">
        <x:v>Khách hàng Tiktok</x:v>
      </x:c>
      <x:c r="D70" s="2" t="n">
        <x:v>1</x:v>
      </x:c>
      <x:c r="E70" s="10" t="str">
        <x:v>BHHT2024011825</x:v>
      </x:c>
      <x:c r="F70" s="11" t="n">
        <x:f>SUM('Chi tiet BTL-BHH'!H97:H97)</x:f>
        <x:v>1</x:v>
      </x:c>
      <x:c r="G70" s="9" t="n">
        <x:f>SUM('Chi tiet BTL-BHH'!J97:J97)</x:f>
        <x:v>962037</x:v>
      </x:c>
      <x:c r="H70" s="9" t="n">
        <x:f>SUM('Chi tiet BTL-BHH'!L97:L97)</x:f>
        <x:v>76963</x:v>
      </x:c>
      <x:c r="I70" s="9" t="n">
        <x:f>SUM('Chi tiet BTL-BHH'!M97:M97)</x:f>
        <x:v>1039000</x:v>
      </x:c>
      <x:c r="J70" s="9" t="n">
        <x:v>1039000</x:v>
      </x:c>
      <x:c r="K70" s="9" t="n">
        <x:f>I70-J70</x:f>
        <x:v>0</x:v>
      </x:c>
      <x:c r="L70" s="2" t="str">
        <x:v>Khớp sổ AMIS 2024</x:v>
      </x:c>
    </x:row>
    <x:row r="71" ht="38" customHeight="1">
      <x:c r="A71" s="7" t="str">
        <x:v>BTL00160</x:v>
      </x:c>
      <x:c r="B71" s="6" t="d">
        <x:v>2024-07-13T00:00:00.000Z</x:v>
      </x:c>
      <x:c r="C71" s="2" t="str">
        <x:v>Khách hàng Tiktok</x:v>
      </x:c>
      <x:c r="D71" s="2" t="n">
        <x:v>1</x:v>
      </x:c>
      <x:c r="E71" s="10" t="str">
        <x:v>BHHT2024012087</x:v>
      </x:c>
      <x:c r="F71" s="11" t="n">
        <x:f>SUM('Chi tiet BTL-BHH'!H98:H98)</x:f>
        <x:v>1</x:v>
      </x:c>
      <x:c r="G71" s="9" t="n">
        <x:f>SUM('Chi tiet BTL-BHH'!J98:J98)</x:f>
        <x:v>962037</x:v>
      </x:c>
      <x:c r="H71" s="9" t="n">
        <x:f>SUM('Chi tiet BTL-BHH'!L98:L98)</x:f>
        <x:v>76963</x:v>
      </x:c>
      <x:c r="I71" s="9" t="n">
        <x:f>SUM('Chi tiet BTL-BHH'!M98:M98)</x:f>
        <x:v>1039000</x:v>
      </x:c>
      <x:c r="J71" s="9" t="n">
        <x:v>1039000</x:v>
      </x:c>
      <x:c r="K71" s="9" t="n">
        <x:f>I71-J71</x:f>
        <x:v>0</x:v>
      </x:c>
      <x:c r="L71" s="2" t="str">
        <x:v>Khớp sổ AMIS 2024</x:v>
      </x:c>
    </x:row>
    <x:row r="72" ht="38" customHeight="1">
      <x:c r="A72" s="7" t="str">
        <x:v>BTL00087</x:v>
      </x:c>
      <x:c r="B72" s="6" t="d">
        <x:v>2024-07-19T00:00:00.000Z</x:v>
      </x:c>
      <x:c r="C72" s="2" t="str">
        <x:v>Khách hàng Tiktok</x:v>
      </x:c>
      <x:c r="D72" s="2" t="n">
        <x:v>1</x:v>
      </x:c>
      <x:c r="E72" s="10" t="str">
        <x:v>BHHT2024010786</x:v>
      </x:c>
      <x:c r="F72" s="11" t="n">
        <x:f>SUM('Chi tiet BTL-BHH'!H99:H99)</x:f>
        <x:v>1</x:v>
      </x:c>
      <x:c r="G72" s="9" t="n">
        <x:f>SUM('Chi tiet BTL-BHH'!J99:J99)</x:f>
        <x:v>962037</x:v>
      </x:c>
      <x:c r="H72" s="9" t="n">
        <x:f>SUM('Chi tiet BTL-BHH'!L99:L99)</x:f>
        <x:v>76963</x:v>
      </x:c>
      <x:c r="I72" s="9" t="n">
        <x:f>SUM('Chi tiet BTL-BHH'!M99:M99)</x:f>
        <x:v>1039000</x:v>
      </x:c>
      <x:c r="J72" s="9" t="n">
        <x:v>1039000</x:v>
      </x:c>
      <x:c r="K72" s="9" t="n">
        <x:f>I72-J72</x:f>
        <x:v>0</x:v>
      </x:c>
      <x:c r="L72" s="2" t="str">
        <x:v>Khớp sổ AMIS 2024</x:v>
      </x:c>
    </x:row>
    <x:row r="73" ht="38" customHeight="1">
      <x:c r="A73" s="7" t="str">
        <x:v>BTL00089</x:v>
      </x:c>
      <x:c r="B73" s="6" t="d">
        <x:v>2024-07-24T00:00:00.000Z</x:v>
      </x:c>
      <x:c r="C73" s="2" t="str">
        <x:v>Khách hàng Tiktok</x:v>
      </x:c>
      <x:c r="D73" s="2" t="n">
        <x:v>2</x:v>
      </x:c>
      <x:c r="E73" s="10" t="str">
        <x:v>BHHT2024009354</x:v>
      </x:c>
      <x:c r="F73" s="11" t="n">
        <x:f>SUM('Chi tiet BTL-BHH'!H100:H101)</x:f>
        <x:v>2</x:v>
      </x:c>
      <x:c r="G73" s="9" t="n">
        <x:f>SUM('Chi tiet BTL-BHH'!J100:J101)</x:f>
        <x:v>1702778</x:v>
      </x:c>
      <x:c r="H73" s="9" t="n">
        <x:f>SUM('Chi tiet BTL-BHH'!L100:L101)</x:f>
        <x:v>136222</x:v>
      </x:c>
      <x:c r="I73" s="9" t="n">
        <x:f>SUM('Chi tiet BTL-BHH'!M100:M101)</x:f>
        <x:v>1839000</x:v>
      </x:c>
      <x:c r="J73" s="9" t="n">
        <x:v>1839000</x:v>
      </x:c>
      <x:c r="K73" s="9" t="n">
        <x:f>I73-J73</x:f>
        <x:v>0</x:v>
      </x:c>
      <x:c r="L73" s="2" t="str">
        <x:v>Khớp sổ AMIS 2024</x:v>
      </x:c>
    </x:row>
    <x:row r="74" ht="38" customHeight="1">
      <x:c r="A74" s="7" t="str">
        <x:v>BTL00090</x:v>
      </x:c>
      <x:c r="B74" s="6" t="d">
        <x:v>2024-07-30T00:00:00.000Z</x:v>
      </x:c>
      <x:c r="C74" s="2" t="str">
        <x:v>Khách hàng Tiktok</x:v>
      </x:c>
      <x:c r="D74" s="2" t="n">
        <x:v>2</x:v>
      </x:c>
      <x:c r="E74" s="10" t="str">
        <x:v>BHHT2024010747</x:v>
      </x:c>
      <x:c r="F74" s="11" t="n">
        <x:f>SUM('Chi tiet BTL-BHH'!H102:H103)</x:f>
        <x:v>2</x:v>
      </x:c>
      <x:c r="G74" s="9" t="n">
        <x:f>SUM('Chi tiet BTL-BHH'!J102:J103)</x:f>
        <x:v>2573148</x:v>
      </x:c>
      <x:c r="H74" s="9" t="n">
        <x:f>SUM('Chi tiet BTL-BHH'!L102:L103)</x:f>
        <x:v>205852</x:v>
      </x:c>
      <x:c r="I74" s="9" t="n">
        <x:f>SUM('Chi tiet BTL-BHH'!M102:M103)</x:f>
        <x:v>2779000</x:v>
      </x:c>
      <x:c r="J74" s="9" t="n">
        <x:v>2779000</x:v>
      </x:c>
      <x:c r="K74" s="9" t="n">
        <x:f>I74-J74</x:f>
        <x:v>0</x:v>
      </x:c>
      <x:c r="L74" s="2" t="str">
        <x:v>Khớp sổ AMIS 2024</x:v>
      </x:c>
    </x:row>
    <x:row r="75" ht="38" customHeight="1">
      <x:c r="A75" s="7" t="str">
        <x:v>BTL00166</x:v>
      </x:c>
      <x:c r="B75" s="6" t="d">
        <x:v>2024-07-30T00:00:00.000Z</x:v>
      </x:c>
      <x:c r="C75" s="2" t="str">
        <x:v>Khách hàng Shoppe</x:v>
      </x:c>
      <x:c r="D75" s="2" t="n">
        <x:v>2</x:v>
      </x:c>
      <x:c r="E75" s="10" t="str">
        <x:v>BHHS2024003749</x:v>
      </x:c>
      <x:c r="F75" s="11" t="n">
        <x:f>SUM('Chi tiet BTL-BHH'!H104:H105)</x:f>
        <x:v>2</x:v>
      </x:c>
      <x:c r="G75" s="9" t="n">
        <x:f>SUM('Chi tiet BTL-BHH'!J104:J105)</x:f>
        <x:v>1702778</x:v>
      </x:c>
      <x:c r="H75" s="9" t="n">
        <x:f>SUM('Chi tiet BTL-BHH'!L104:L105)</x:f>
        <x:v>136222</x:v>
      </x:c>
      <x:c r="I75" s="9" t="n">
        <x:f>SUM('Chi tiet BTL-BHH'!M104:M105)</x:f>
        <x:v>1839000</x:v>
      </x:c>
      <x:c r="J75" s="9" t="n">
        <x:v>1839000</x:v>
      </x:c>
      <x:c r="K75" s="9" t="n">
        <x:f>I75-J75</x:f>
        <x:v>0</x:v>
      </x:c>
      <x:c r="L75" s="2" t="str">
        <x:v>Khớp sổ AMIS 2024</x:v>
      </x:c>
    </x:row>
    <x:row r="76" ht="38" customHeight="1">
      <x:c r="A76" s="7" t="str">
        <x:v>BTL00165</x:v>
      </x:c>
      <x:c r="B76" s="6" t="d">
        <x:v>2024-07-31T00:00:00.000Z</x:v>
      </x:c>
      <x:c r="C76" s="2" t="str">
        <x:v>Khách hàng Shoppe</x:v>
      </x:c>
      <x:c r="D76" s="2" t="n">
        <x:v>1</x:v>
      </x:c>
      <x:c r="E76" s="10" t="str">
        <x:v>BHHS2024003694</x:v>
      </x:c>
      <x:c r="F76" s="11" t="n">
        <x:f>SUM('Chi tiet BTL-BHH'!H106:H106)</x:f>
        <x:v>2</x:v>
      </x:c>
      <x:c r="G76" s="9" t="n">
        <x:f>SUM('Chi tiet BTL-BHH'!J106:J106)</x:f>
        <x:v>387037</x:v>
      </x:c>
      <x:c r="H76" s="9" t="n">
        <x:f>SUM('Chi tiet BTL-BHH'!L106:L106)</x:f>
        <x:v>30963</x:v>
      </x:c>
      <x:c r="I76" s="9" t="n">
        <x:f>SUM('Chi tiet BTL-BHH'!M106:M106)</x:f>
        <x:v>418000</x:v>
      </x:c>
      <x:c r="J76" s="9" t="n">
        <x:v>418000</x:v>
      </x:c>
      <x:c r="K76" s="9" t="n">
        <x:f>I76-J76</x:f>
        <x:v>0</x:v>
      </x:c>
      <x:c r="L76" s="2" t="str">
        <x:v>Khớp sổ AMIS 2024</x:v>
      </x:c>
    </x:row>
    <x:row r="77" ht="38" customHeight="1">
      <x:c r="A77" s="7" t="str">
        <x:v>BTL00092</x:v>
      </x:c>
      <x:c r="B77" s="6" t="d">
        <x:v>2024-08-01T00:00:00.000Z</x:v>
      </x:c>
      <x:c r="C77" s="2" t="str">
        <x:v>Khách hàng Tiktok</x:v>
      </x:c>
      <x:c r="D77" s="2" t="n">
        <x:v>2</x:v>
      </x:c>
      <x:c r="E77" s="10" t="str">
        <x:v>BHHT2024011482</x:v>
      </x:c>
      <x:c r="F77" s="11" t="n">
        <x:f>SUM('Chi tiet BTL-BHH'!H107:H108)</x:f>
        <x:v>2</x:v>
      </x:c>
      <x:c r="G77" s="9" t="n">
        <x:f>SUM('Chi tiet BTL-BHH'!J107:J108)</x:f>
        <x:v>1702778</x:v>
      </x:c>
      <x:c r="H77" s="9" t="n">
        <x:f>SUM('Chi tiet BTL-BHH'!L107:L108)</x:f>
        <x:v>136222</x:v>
      </x:c>
      <x:c r="I77" s="9" t="n">
        <x:f>SUM('Chi tiet BTL-BHH'!M107:M108)</x:f>
        <x:v>1839000</x:v>
      </x:c>
      <x:c r="J77" s="9" t="n">
        <x:v>1839000</x:v>
      </x:c>
      <x:c r="K77" s="9" t="n">
        <x:f>I77-J77</x:f>
        <x:v>0</x:v>
      </x:c>
      <x:c r="L77" s="2" t="str">
        <x:v>Khớp sổ AMIS 2024</x:v>
      </x:c>
    </x:row>
    <x:row r="78" ht="38" customHeight="1">
      <x:c r="A78" s="7" t="str">
        <x:v>BTL00093</x:v>
      </x:c>
      <x:c r="B78" s="6" t="d">
        <x:v>2024-08-08T00:00:00.000Z</x:v>
      </x:c>
      <x:c r="C78" s="2" t="str">
        <x:v>Khách hàng Tiktok</x:v>
      </x:c>
      <x:c r="D78" s="2" t="n">
        <x:v>1</x:v>
      </x:c>
      <x:c r="E78" s="10" t="str">
        <x:v>BHHT2024014145</x:v>
      </x:c>
      <x:c r="F78" s="11" t="n">
        <x:f>SUM('Chi tiet BTL-BHH'!H109:H109)</x:f>
        <x:v>1</x:v>
      </x:c>
      <x:c r="G78" s="9" t="n">
        <x:f>SUM('Chi tiet BTL-BHH'!J109:J109)</x:f>
        <x:v>962037</x:v>
      </x:c>
      <x:c r="H78" s="9" t="n">
        <x:f>SUM('Chi tiet BTL-BHH'!L109:L109)</x:f>
        <x:v>76963</x:v>
      </x:c>
      <x:c r="I78" s="9" t="n">
        <x:f>SUM('Chi tiet BTL-BHH'!M109:M109)</x:f>
        <x:v>1039000</x:v>
      </x:c>
      <x:c r="J78" s="9" t="n">
        <x:v>1039000</x:v>
      </x:c>
      <x:c r="K78" s="9" t="n">
        <x:f>I78-J78</x:f>
        <x:v>0</x:v>
      </x:c>
      <x:c r="L78" s="2" t="str">
        <x:v>Khớp sổ AMIS 2024</x:v>
      </x:c>
    </x:row>
    <x:row r="79" ht="38" customHeight="1">
      <x:c r="A79" s="7" t="str">
        <x:v>BTL00094</x:v>
      </x:c>
      <x:c r="B79" s="6" t="d">
        <x:v>2024-08-10T00:00:00.000Z</x:v>
      </x:c>
      <x:c r="C79" s="2" t="str">
        <x:v>Khách hàng Tiktok</x:v>
      </x:c>
      <x:c r="D79" s="2" t="n">
        <x:v>1</x:v>
      </x:c>
      <x:c r="E79" s="10" t="str">
        <x:v>BHHT2024014393</x:v>
      </x:c>
      <x:c r="F79" s="11" t="n">
        <x:f>SUM('Chi tiet BTL-BHH'!H110:H110)</x:f>
        <x:v>1</x:v>
      </x:c>
      <x:c r="G79" s="9" t="n">
        <x:f>SUM('Chi tiet BTL-BHH'!J110:J110)</x:f>
        <x:v>2573148</x:v>
      </x:c>
      <x:c r="H79" s="9" t="n">
        <x:f>SUM('Chi tiet BTL-BHH'!L110:L110)</x:f>
        <x:v>205852</x:v>
      </x:c>
      <x:c r="I79" s="9" t="n">
        <x:f>SUM('Chi tiet BTL-BHH'!M110:M110)</x:f>
        <x:v>2779000</x:v>
      </x:c>
      <x:c r="J79" s="9" t="n">
        <x:v>2779000</x:v>
      </x:c>
      <x:c r="K79" s="9" t="n">
        <x:f>I79-J79</x:f>
        <x:v>0</x:v>
      </x:c>
      <x:c r="L79" s="2" t="str">
        <x:v>Khớp sổ AMIS 2024</x:v>
      </x:c>
    </x:row>
    <x:row r="80" ht="38" customHeight="1">
      <x:c r="A80" s="7" t="str">
        <x:v>BTL00095</x:v>
      </x:c>
      <x:c r="B80" s="6" t="d">
        <x:v>2024-08-13T00:00:00.000Z</x:v>
      </x:c>
      <x:c r="C80" s="2" t="str">
        <x:v>Khách hàng Tiktok</x:v>
      </x:c>
      <x:c r="D80" s="2" t="n">
        <x:v>1</x:v>
      </x:c>
      <x:c r="E80" s="10" t="str">
        <x:v>BHHT2024014174</x:v>
      </x:c>
      <x:c r="F80" s="11" t="n">
        <x:f>SUM('Chi tiet BTL-BHH'!H111:H111)</x:f>
        <x:v>1</x:v>
      </x:c>
      <x:c r="G80" s="9" t="n">
        <x:f>SUM('Chi tiet BTL-BHH'!J111:J111)</x:f>
        <x:v>1739815</x:v>
      </x:c>
      <x:c r="H80" s="9" t="n">
        <x:f>SUM('Chi tiet BTL-BHH'!L111:L111)</x:f>
        <x:v>139185</x:v>
      </x:c>
      <x:c r="I80" s="9" t="n">
        <x:f>SUM('Chi tiet BTL-BHH'!M111:M111)</x:f>
        <x:v>1879000</x:v>
      </x:c>
      <x:c r="J80" s="9" t="n">
        <x:v>1879000</x:v>
      </x:c>
      <x:c r="K80" s="9" t="n">
        <x:f>I80-J80</x:f>
        <x:v>0</x:v>
      </x:c>
      <x:c r="L80" s="2" t="str">
        <x:v>Khớp sổ AMIS 2024</x:v>
      </x:c>
    </x:row>
    <x:row r="81" ht="38" customHeight="1">
      <x:c r="A81" s="7" t="str">
        <x:v>BTL00096</x:v>
      </x:c>
      <x:c r="B81" s="6" t="d">
        <x:v>2024-08-17T00:00:00.000Z</x:v>
      </x:c>
      <x:c r="C81" s="2" t="str">
        <x:v>Khách hàng Tiktok</x:v>
      </x:c>
      <x:c r="D81" s="2" t="n">
        <x:v>2</x:v>
      </x:c>
      <x:c r="E81" s="10" t="str">
        <x:v>BHHT2024013129</x:v>
      </x:c>
      <x:c r="F81" s="11" t="n">
        <x:f>SUM('Chi tiet BTL-BHH'!H112:H113)</x:f>
        <x:v>2</x:v>
      </x:c>
      <x:c r="G81" s="9" t="n">
        <x:f>SUM('Chi tiet BTL-BHH'!J112:J113)</x:f>
        <x:v>1702778</x:v>
      </x:c>
      <x:c r="H81" s="9" t="n">
        <x:f>SUM('Chi tiet BTL-BHH'!L112:L113)</x:f>
        <x:v>136222</x:v>
      </x:c>
      <x:c r="I81" s="9" t="n">
        <x:f>SUM('Chi tiet BTL-BHH'!M112:M113)</x:f>
        <x:v>1839000</x:v>
      </x:c>
      <x:c r="J81" s="9" t="n">
        <x:v>1839000</x:v>
      </x:c>
      <x:c r="K81" s="9" t="n">
        <x:f>I81-J81</x:f>
        <x:v>0</x:v>
      </x:c>
      <x:c r="L81" s="2" t="str">
        <x:v>Khớp sổ AMIS 2024</x:v>
      </x:c>
    </x:row>
    <x:row r="82" ht="38" customHeight="1">
      <x:c r="A82" s="7" t="str">
        <x:v>BTL00097</x:v>
      </x:c>
      <x:c r="B82" s="6" t="d">
        <x:v>2024-08-20T00:00:00.000Z</x:v>
      </x:c>
      <x:c r="C82" s="2" t="str">
        <x:v>Khách hàng Tiktok</x:v>
      </x:c>
      <x:c r="D82" s="2" t="n">
        <x:v>2</x:v>
      </x:c>
      <x:c r="E82" s="10" t="str">
        <x:v>BHHT2024012463</x:v>
      </x:c>
      <x:c r="F82" s="11" t="n">
        <x:f>SUM('Chi tiet BTL-BHH'!H114:H115)</x:f>
        <x:v>2</x:v>
      </x:c>
      <x:c r="G82" s="9" t="n">
        <x:f>SUM('Chi tiet BTL-BHH'!J114:J115)</x:f>
        <x:v>1702778</x:v>
      </x:c>
      <x:c r="H82" s="9" t="n">
        <x:f>SUM('Chi tiet BTL-BHH'!L114:L115)</x:f>
        <x:v>136222</x:v>
      </x:c>
      <x:c r="I82" s="9" t="n">
        <x:f>SUM('Chi tiet BTL-BHH'!M114:M115)</x:f>
        <x:v>1839000</x:v>
      </x:c>
      <x:c r="J82" s="9" t="n">
        <x:v>1839000</x:v>
      </x:c>
      <x:c r="K82" s="9" t="n">
        <x:f>I82-J82</x:f>
        <x:v>0</x:v>
      </x:c>
      <x:c r="L82" s="2" t="str">
        <x:v>Khớp sổ AMIS 2024</x:v>
      </x:c>
    </x:row>
    <x:row r="83" ht="38" customHeight="1">
      <x:c r="A83" s="7" t="str">
        <x:v>BTL00098</x:v>
      </x:c>
      <x:c r="B83" s="6" t="d">
        <x:v>2024-08-28T00:00:00.000Z</x:v>
      </x:c>
      <x:c r="C83" s="2" t="str">
        <x:v>Khách hàng Tiktok</x:v>
      </x:c>
      <x:c r="D83" s="2" t="n">
        <x:v>1</x:v>
      </x:c>
      <x:c r="E83" s="10" t="str">
        <x:v>BHHT2024012648</x:v>
      </x:c>
      <x:c r="F83" s="11" t="n">
        <x:f>SUM('Chi tiet BTL-BHH'!H116:H116)</x:f>
        <x:v>1</x:v>
      </x:c>
      <x:c r="G83" s="9" t="n">
        <x:f>SUM('Chi tiet BTL-BHH'!J116:J116)</x:f>
        <x:v>962037</x:v>
      </x:c>
      <x:c r="H83" s="9" t="n">
        <x:f>SUM('Chi tiet BTL-BHH'!L116:L116)</x:f>
        <x:v>76963</x:v>
      </x:c>
      <x:c r="I83" s="9" t="n">
        <x:f>SUM('Chi tiet BTL-BHH'!M116:M116)</x:f>
        <x:v>1039000</x:v>
      </x:c>
      <x:c r="J83" s="9" t="n">
        <x:v>1039000</x:v>
      </x:c>
      <x:c r="K83" s="9" t="n">
        <x:f>I83-J83</x:f>
        <x:v>0</x:v>
      </x:c>
      <x:c r="L83" s="2" t="str">
        <x:v>Khớp sổ AMIS 2024</x:v>
      </x:c>
    </x:row>
    <x:row r="84" ht="38" customHeight="1">
      <x:c r="A84" s="7" t="str">
        <x:v>BTL00099</x:v>
      </x:c>
      <x:c r="B84" s="6" t="d">
        <x:v>2024-08-30T00:00:00.000Z</x:v>
      </x:c>
      <x:c r="C84" s="2" t="str">
        <x:v>Khách hàng Tiktok</x:v>
      </x:c>
      <x:c r="D84" s="2" t="n">
        <x:v>6</x:v>
      </x:c>
      <x:c r="E84" s="10" t="str">
        <x:v>BHHT2024017020</x:v>
      </x:c>
      <x:c r="F84" s="11" t="n">
        <x:f>SUM('Chi tiet BTL-BHH'!H117:H122)</x:f>
        <x:v>8</x:v>
      </x:c>
      <x:c r="G84" s="9" t="n">
        <x:f>SUM('Chi tiet BTL-BHH'!J117:J122)</x:f>
        <x:v>1147222</x:v>
      </x:c>
      <x:c r="H84" s="9" t="n">
        <x:f>SUM('Chi tiet BTL-BHH'!L117:L122)</x:f>
        <x:v>91778</x:v>
      </x:c>
      <x:c r="I84" s="9" t="n">
        <x:f>SUM('Chi tiet BTL-BHH'!M117:M122)</x:f>
        <x:v>1239000</x:v>
      </x:c>
      <x:c r="J84" s="9" t="n">
        <x:v>1239000</x:v>
      </x:c>
      <x:c r="K84" s="9" t="n">
        <x:f>I84-J84</x:f>
        <x:v>0</x:v>
      </x:c>
      <x:c r="L84" s="2" t="str">
        <x:v>Khớp sổ AMIS 2024</x:v>
      </x:c>
    </x:row>
    <x:row r="85" ht="38" customHeight="1">
      <x:c r="A85" s="7" t="str">
        <x:v>BTL00100</x:v>
      </x:c>
      <x:c r="B85" s="6" t="d">
        <x:v>2024-09-04T00:00:00.000Z</x:v>
      </x:c>
      <x:c r="C85" s="2" t="str">
        <x:v>Khách hàng Tiktok</x:v>
      </x:c>
      <x:c r="D85" s="2" t="n">
        <x:v>1</x:v>
      </x:c>
      <x:c r="E85" s="10" t="str">
        <x:v>BHHT2024012234</x:v>
      </x:c>
      <x:c r="F85" s="11" t="n">
        <x:f>SUM('Chi tiet BTL-BHH'!H123:H123)</x:f>
        <x:v>1</x:v>
      </x:c>
      <x:c r="G85" s="9" t="n">
        <x:f>SUM('Chi tiet BTL-BHH'!J123:J123)</x:f>
        <x:v>943519</x:v>
      </x:c>
      <x:c r="H85" s="9" t="n">
        <x:f>SUM('Chi tiet BTL-BHH'!L123:L123)</x:f>
        <x:v>75481</x:v>
      </x:c>
      <x:c r="I85" s="9" t="n">
        <x:f>SUM('Chi tiet BTL-BHH'!M123:M123)</x:f>
        <x:v>1019000</x:v>
      </x:c>
      <x:c r="J85" s="9" t="n">
        <x:v>1019000</x:v>
      </x:c>
      <x:c r="K85" s="9" t="n">
        <x:f>I85-J85</x:f>
        <x:v>0</x:v>
      </x:c>
      <x:c r="L85" s="2" t="str">
        <x:v>Khớp sổ AMIS 2024</x:v>
      </x:c>
    </x:row>
    <x:row r="86" ht="38" customHeight="1">
      <x:c r="A86" s="7" t="str">
        <x:v>BTL00101</x:v>
      </x:c>
      <x:c r="B86" s="6" t="d">
        <x:v>2024-09-04T00:00:00.000Z</x:v>
      </x:c>
      <x:c r="C86" s="2" t="str">
        <x:v>Khách hàng Tiktok</x:v>
      </x:c>
      <x:c r="D86" s="2" t="n">
        <x:v>1</x:v>
      </x:c>
      <x:c r="E86" s="10" t="str">
        <x:v>BHHT2024012197</x:v>
      </x:c>
      <x:c r="F86" s="11" t="n">
        <x:f>SUM('Chi tiet BTL-BHH'!H124:H124)</x:f>
        <x:v>1</x:v>
      </x:c>
      <x:c r="G86" s="9" t="n">
        <x:f>SUM('Chi tiet BTL-BHH'!J124:J124)</x:f>
        <x:v>962037</x:v>
      </x:c>
      <x:c r="H86" s="9" t="n">
        <x:f>SUM('Chi tiet BTL-BHH'!L124:L124)</x:f>
        <x:v>76963</x:v>
      </x:c>
      <x:c r="I86" s="9" t="n">
        <x:f>SUM('Chi tiet BTL-BHH'!M124:M124)</x:f>
        <x:v>1039000</x:v>
      </x:c>
      <x:c r="J86" s="9" t="n">
        <x:v>1039000</x:v>
      </x:c>
      <x:c r="K86" s="9" t="n">
        <x:f>I86-J86</x:f>
        <x:v>0</x:v>
      </x:c>
      <x:c r="L86" s="2" t="str">
        <x:v>Khớp sổ AMIS 2024</x:v>
      </x:c>
    </x:row>
    <x:row r="87" ht="38" customHeight="1">
      <x:c r="A87" s="7" t="str">
        <x:v>BTL00102</x:v>
      </x:c>
      <x:c r="B87" s="6" t="d">
        <x:v>2024-09-07T00:00:00.000Z</x:v>
      </x:c>
      <x:c r="C87" s="2" t="str">
        <x:v>Khách hàng Tiktok</x:v>
      </x:c>
      <x:c r="D87" s="2" t="n">
        <x:v>1</x:v>
      </x:c>
      <x:c r="E87" s="10" t="str">
        <x:v>BHHT2024013685</x:v>
      </x:c>
      <x:c r="F87" s="11" t="n">
        <x:f>SUM('Chi tiet BTL-BHH'!H125:H125)</x:f>
        <x:v>3</x:v>
      </x:c>
      <x:c r="G87" s="9" t="n">
        <x:f>SUM('Chi tiet BTL-BHH'!J125:J125)</x:f>
        <x:v>1367593</x:v>
      </x:c>
      <x:c r="H87" s="9" t="n">
        <x:f>SUM('Chi tiet BTL-BHH'!L125:L125)</x:f>
        <x:v>109407</x:v>
      </x:c>
      <x:c r="I87" s="9" t="n">
        <x:f>SUM('Chi tiet BTL-BHH'!M125:M125)</x:f>
        <x:v>1477000</x:v>
      </x:c>
      <x:c r="J87" s="9" t="n">
        <x:v>1477000</x:v>
      </x:c>
      <x:c r="K87" s="9" t="n">
        <x:f>I87-J87</x:f>
        <x:v>0</x:v>
      </x:c>
      <x:c r="L87" s="2" t="str">
        <x:v>Khớp sổ AMIS 2024</x:v>
      </x:c>
    </x:row>
    <x:row r="88" ht="38" customHeight="1">
      <x:c r="A88" s="7" t="str">
        <x:v>BTL00164</x:v>
      </x:c>
      <x:c r="B88" s="6" t="d">
        <x:v>2024-09-11T00:00:00.000Z</x:v>
      </x:c>
      <x:c r="C88" s="2" t="str">
        <x:v>Khách hàng Shoppe</x:v>
      </x:c>
      <x:c r="D88" s="2" t="n">
        <x:v>2</x:v>
      </x:c>
      <x:c r="E88" s="10" t="str">
        <x:v>BHHS2024004950</x:v>
      </x:c>
      <x:c r="F88" s="11" t="n">
        <x:f>SUM('Chi tiet BTL-BHH'!H126:H127)</x:f>
        <x:v>2</x:v>
      </x:c>
      <x:c r="G88" s="9" t="n">
        <x:f>SUM('Chi tiet BTL-BHH'!J126:J127)</x:f>
        <x:v>2073148</x:v>
      </x:c>
      <x:c r="H88" s="9" t="n">
        <x:f>SUM('Chi tiet BTL-BHH'!L126:L127)</x:f>
        <x:v>165852</x:v>
      </x:c>
      <x:c r="I88" s="9" t="n">
        <x:f>SUM('Chi tiet BTL-BHH'!M126:M127)</x:f>
        <x:v>2239000</x:v>
      </x:c>
      <x:c r="J88" s="9" t="n">
        <x:v>2239000</x:v>
      </x:c>
      <x:c r="K88" s="9" t="n">
        <x:f>I88-J88</x:f>
        <x:v>0</x:v>
      </x:c>
      <x:c r="L88" s="2" t="str">
        <x:v>Khớp sổ AMIS 2024</x:v>
      </x:c>
    </x:row>
    <x:row r="89" ht="38" customHeight="1">
      <x:c r="A89" s="7" t="str">
        <x:v>BTL00103</x:v>
      </x:c>
      <x:c r="B89" s="6" t="d">
        <x:v>2024-09-14T00:00:00.000Z</x:v>
      </x:c>
      <x:c r="C89" s="2" t="str">
        <x:v>Khách hàng Tiktok</x:v>
      </x:c>
      <x:c r="D89" s="2" t="n">
        <x:v>1</x:v>
      </x:c>
      <x:c r="E89" s="10" t="str">
        <x:v>BHHT2024015945</x:v>
      </x:c>
      <x:c r="F89" s="11" t="n">
        <x:f>SUM('Chi tiet BTL-BHH'!H128:H128)</x:f>
        <x:v>1</x:v>
      </x:c>
      <x:c r="G89" s="9" t="n">
        <x:f>SUM('Chi tiet BTL-BHH'!J128:J128)</x:f>
        <x:v>962037</x:v>
      </x:c>
      <x:c r="H89" s="9" t="n">
        <x:f>SUM('Chi tiet BTL-BHH'!L128:L128)</x:f>
        <x:v>76963</x:v>
      </x:c>
      <x:c r="I89" s="9" t="n">
        <x:f>SUM('Chi tiet BTL-BHH'!M128:M128)</x:f>
        <x:v>1039000</x:v>
      </x:c>
      <x:c r="J89" s="9" t="n">
        <x:v>1039000</x:v>
      </x:c>
      <x:c r="K89" s="9" t="n">
        <x:f>I89-J89</x:f>
        <x:v>0</x:v>
      </x:c>
      <x:c r="L89" s="2" t="str">
        <x:v>Khớp sổ AMIS 2024</x:v>
      </x:c>
    </x:row>
    <x:row r="90" ht="38" customHeight="1">
      <x:c r="A90" s="7" t="str">
        <x:v>BTL00104</x:v>
      </x:c>
      <x:c r="B90" s="6" t="d">
        <x:v>2024-09-14T00:00:00.000Z</x:v>
      </x:c>
      <x:c r="C90" s="2" t="str">
        <x:v>Khách hàng Tiktok</x:v>
      </x:c>
      <x:c r="D90" s="2" t="n">
        <x:v>1</x:v>
      </x:c>
      <x:c r="E90" s="10" t="str">
        <x:v>BHHT2024016643</x:v>
      </x:c>
      <x:c r="F90" s="11" t="n">
        <x:f>SUM('Chi tiet BTL-BHH'!H129:H129)</x:f>
        <x:v>1</x:v>
      </x:c>
      <x:c r="G90" s="9" t="n">
        <x:f>SUM('Chi tiet BTL-BHH'!J129:J129)</x:f>
        <x:v>962037</x:v>
      </x:c>
      <x:c r="H90" s="9" t="n">
        <x:f>SUM('Chi tiet BTL-BHH'!L129:L129)</x:f>
        <x:v>76963</x:v>
      </x:c>
      <x:c r="I90" s="9" t="n">
        <x:f>SUM('Chi tiet BTL-BHH'!M129:M129)</x:f>
        <x:v>1039000</x:v>
      </x:c>
      <x:c r="J90" s="9" t="n">
        <x:v>1039000</x:v>
      </x:c>
      <x:c r="K90" s="9" t="n">
        <x:f>I90-J90</x:f>
        <x:v>0</x:v>
      </x:c>
      <x:c r="L90" s="2" t="str">
        <x:v>Khớp sổ AMIS 2024</x:v>
      </x:c>
    </x:row>
    <x:row r="91" ht="38" customHeight="1">
      <x:c r="A91" s="7" t="str">
        <x:v>BTL00105</x:v>
      </x:c>
      <x:c r="B91" s="6" t="d">
        <x:v>2024-09-14T00:00:00.000Z</x:v>
      </x:c>
      <x:c r="C91" s="2" t="str">
        <x:v>Khách hàng Tiktok</x:v>
      </x:c>
      <x:c r="D91" s="2" t="n">
        <x:v>2</x:v>
      </x:c>
      <x:c r="E91" s="10" t="str">
        <x:v>BHHT2024007997</x:v>
      </x:c>
      <x:c r="F91" s="11" t="n">
        <x:f>SUM('Chi tiet BTL-BHH'!H130:H131)</x:f>
        <x:v>2</x:v>
      </x:c>
      <x:c r="G91" s="9" t="n">
        <x:f>SUM('Chi tiet BTL-BHH'!J130:J131)</x:f>
        <x:v>1665741</x:v>
      </x:c>
      <x:c r="H91" s="9" t="n">
        <x:f>SUM('Chi tiet BTL-BHH'!L130:L131)</x:f>
        <x:v>133259</x:v>
      </x:c>
      <x:c r="I91" s="9" t="n">
        <x:f>SUM('Chi tiet BTL-BHH'!M130:M131)</x:f>
        <x:v>1799000</x:v>
      </x:c>
      <x:c r="J91" s="9" t="n">
        <x:v>1799000</x:v>
      </x:c>
      <x:c r="K91" s="9" t="n">
        <x:f>I91-J91</x:f>
        <x:v>0</x:v>
      </x:c>
      <x:c r="L91" s="2" t="str">
        <x:v>Khớp sổ AMIS 2024</x:v>
      </x:c>
    </x:row>
    <x:row r="92" ht="38" customHeight="1">
      <x:c r="A92" s="7" t="str">
        <x:v>BTL00106</x:v>
      </x:c>
      <x:c r="B92" s="6" t="d">
        <x:v>2024-09-16T00:00:00.000Z</x:v>
      </x:c>
      <x:c r="C92" s="2" t="str">
        <x:v>Khách hàng Tiktok</x:v>
      </x:c>
      <x:c r="D92" s="2" t="n">
        <x:v>1</x:v>
      </x:c>
      <x:c r="E92" s="10" t="str">
        <x:v>BHHT2024015976</x:v>
      </x:c>
      <x:c r="F92" s="11" t="n">
        <x:f>SUM('Chi tiet BTL-BHH'!H132:H132)</x:f>
        <x:v>1</x:v>
      </x:c>
      <x:c r="G92" s="9" t="n">
        <x:f>SUM('Chi tiet BTL-BHH'!J132:J132)</x:f>
        <x:v>950926</x:v>
      </x:c>
      <x:c r="H92" s="9" t="n">
        <x:f>SUM('Chi tiet BTL-BHH'!L132:L132)</x:f>
        <x:v>76074</x:v>
      </x:c>
      <x:c r="I92" s="9" t="n">
        <x:f>SUM('Chi tiet BTL-BHH'!M132:M132)</x:f>
        <x:v>1027000</x:v>
      </x:c>
      <x:c r="J92" s="9" t="n">
        <x:v>1027000</x:v>
      </x:c>
      <x:c r="K92" s="9" t="n">
        <x:f>I92-J92</x:f>
        <x:v>0</x:v>
      </x:c>
      <x:c r="L92" s="2" t="str">
        <x:v>Khớp sổ AMIS 2024</x:v>
      </x:c>
    </x:row>
    <x:row r="93" ht="38" customHeight="1">
      <x:c r="A93" s="7" t="str">
        <x:v>BTL00162</x:v>
      </x:c>
      <x:c r="B93" s="6" t="d">
        <x:v>2024-09-16T00:00:00.000Z</x:v>
      </x:c>
      <x:c r="C93" s="2" t="str">
        <x:v>Khách hàng Shoppe</x:v>
      </x:c>
      <x:c r="D93" s="2" t="n">
        <x:v>1</x:v>
      </x:c>
      <x:c r="E93" s="10" t="str">
        <x:v>BHHS2024004547</x:v>
      </x:c>
      <x:c r="F93" s="11" t="n">
        <x:f>SUM('Chi tiet BTL-BHH'!H133:H133)</x:f>
        <x:v>1</x:v>
      </x:c>
      <x:c r="G93" s="9" t="n">
        <x:f>SUM('Chi tiet BTL-BHH'!J133:J133)</x:f>
        <x:v>1739815</x:v>
      </x:c>
      <x:c r="H93" s="9" t="n">
        <x:f>SUM('Chi tiet BTL-BHH'!L133:L133)</x:f>
        <x:v>139185</x:v>
      </x:c>
      <x:c r="I93" s="9" t="n">
        <x:f>SUM('Chi tiet BTL-BHH'!M133:M133)</x:f>
        <x:v>1879000</x:v>
      </x:c>
      <x:c r="J93" s="9" t="n">
        <x:v>1879000</x:v>
      </x:c>
      <x:c r="K93" s="9" t="n">
        <x:f>I93-J93</x:f>
        <x:v>0</x:v>
      </x:c>
      <x:c r="L93" s="2" t="str">
        <x:v>Khớp sổ AMIS 2024</x:v>
      </x:c>
    </x:row>
    <x:row r="94" ht="38" customHeight="1">
      <x:c r="A94" s="7" t="str">
        <x:v>BTL00163</x:v>
      </x:c>
      <x:c r="B94" s="6" t="d">
        <x:v>2024-09-16T00:00:00.000Z</x:v>
      </x:c>
      <x:c r="C94" s="2" t="str">
        <x:v>Khách hàng Shoppe</x:v>
      </x:c>
      <x:c r="D94" s="2" t="n">
        <x:v>1</x:v>
      </x:c>
      <x:c r="E94" s="10" t="str">
        <x:v>BHHS2024004811</x:v>
      </x:c>
      <x:c r="F94" s="11" t="n">
        <x:f>SUM('Chi tiet BTL-BHH'!H134:H134)</x:f>
        <x:v>1</x:v>
      </x:c>
      <x:c r="G94" s="9" t="n">
        <x:f>SUM('Chi tiet BTL-BHH'!J134:J134)</x:f>
        <x:v>434259</x:v>
      </x:c>
      <x:c r="H94" s="9" t="n">
        <x:f>SUM('Chi tiet BTL-BHH'!L134:L134)</x:f>
        <x:v>34741</x:v>
      </x:c>
      <x:c r="I94" s="9" t="n">
        <x:f>SUM('Chi tiet BTL-BHH'!M134:M134)</x:f>
        <x:v>469000</x:v>
      </x:c>
      <x:c r="J94" s="9" t="n">
        <x:v>469000</x:v>
      </x:c>
      <x:c r="K94" s="9" t="n">
        <x:f>I94-J94</x:f>
        <x:v>0</x:v>
      </x:c>
      <x:c r="L94" s="2" t="str">
        <x:v>Khớp sổ AMIS 2024</x:v>
      </x:c>
    </x:row>
    <x:row r="95" ht="38" customHeight="1">
      <x:c r="A95" s="7" t="str">
        <x:v>BTL00182</x:v>
      </x:c>
      <x:c r="B95" s="6" t="d">
        <x:v>2024-09-16T00:00:00.000Z</x:v>
      </x:c>
      <x:c r="C95" s="2" t="str">
        <x:v>Khách hàng Shoppe</x:v>
      </x:c>
      <x:c r="D95" s="2" t="n">
        <x:v>2</x:v>
      </x:c>
      <x:c r="E95" s="10" t="str">
        <x:v>BHHS2024005256</x:v>
      </x:c>
      <x:c r="F95" s="11" t="n">
        <x:f>SUM('Chi tiet BTL-BHH'!H135:H136)</x:f>
        <x:v>2</x:v>
      </x:c>
      <x:c r="G95" s="9" t="n">
        <x:f>SUM('Chi tiet BTL-BHH'!J135:J136)</x:f>
        <x:v>2573149</x:v>
      </x:c>
      <x:c r="H95" s="9" t="n">
        <x:f>SUM('Chi tiet BTL-BHH'!L135:L136)</x:f>
        <x:v>205851</x:v>
      </x:c>
      <x:c r="I95" s="9" t="n">
        <x:f>SUM('Chi tiet BTL-BHH'!M135:M136)</x:f>
        <x:v>2779000</x:v>
      </x:c>
      <x:c r="J95" s="9" t="n">
        <x:v>2779000</x:v>
      </x:c>
      <x:c r="K95" s="9" t="n">
        <x:f>I95-J95</x:f>
        <x:v>0</x:v>
      </x:c>
      <x:c r="L95" s="2" t="str">
        <x:v>Khớp sổ AMIS 2024</x:v>
      </x:c>
    </x:row>
    <x:row r="96" ht="38" customHeight="1">
      <x:c r="A96" s="7" t="str">
        <x:v>BTL00024</x:v>
      </x:c>
      <x:c r="B96" s="6" t="d">
        <x:v>2024-09-24T00:00:00.000Z</x:v>
      </x:c>
      <x:c r="C96" s="2" t="str">
        <x:v>Khách hàng Shoppe</x:v>
      </x:c>
      <x:c r="D96" s="2" t="n">
        <x:v>1</x:v>
      </x:c>
      <x:c r="E96" s="10" t="str">
        <x:v>BHHS2024005761</x:v>
      </x:c>
      <x:c r="F96" s="11" t="n">
        <x:f>SUM('Chi tiet BTL-BHH'!H137:H137)</x:f>
        <x:v>1</x:v>
      </x:c>
      <x:c r="G96" s="9" t="n">
        <x:f>SUM('Chi tiet BTL-BHH'!J137:J137)</x:f>
        <x:v>202778</x:v>
      </x:c>
      <x:c r="H96" s="9" t="n">
        <x:f>SUM('Chi tiet BTL-BHH'!L137:L137)</x:f>
        <x:v>16222</x:v>
      </x:c>
      <x:c r="I96" s="9" t="n">
        <x:f>SUM('Chi tiet BTL-BHH'!M137:M137)</x:f>
        <x:v>219000</x:v>
      </x:c>
      <x:c r="J96" s="9" t="n">
        <x:v>219000</x:v>
      </x:c>
      <x:c r="K96" s="9" t="n">
        <x:f>I96-J96</x:f>
        <x:v>0</x:v>
      </x:c>
      <x:c r="L96" s="2" t="str">
        <x:v>Khớp sổ AMIS 2024</x:v>
      </x:c>
    </x:row>
    <x:row r="97" ht="38" customHeight="1">
      <x:c r="A97" s="7" t="str">
        <x:v>BTL00130</x:v>
      </x:c>
      <x:c r="B97" s="6" t="d">
        <x:v>2024-09-24T00:00:00.000Z</x:v>
      </x:c>
      <x:c r="C97" s="2" t="str">
        <x:v>Khách hàng Shoppe</x:v>
      </x:c>
      <x:c r="D97" s="2" t="n">
        <x:v>1</x:v>
      </x:c>
      <x:c r="E97" s="10" t="str">
        <x:v>BHHS2024005303</x:v>
      </x:c>
      <x:c r="F97" s="11" t="n">
        <x:f>SUM('Chi tiet BTL-BHH'!H138:H138)</x:f>
        <x:v>1</x:v>
      </x:c>
      <x:c r="G97" s="9" t="n">
        <x:f>SUM('Chi tiet BTL-BHH'!J138:J138)</x:f>
        <x:v>1739815</x:v>
      </x:c>
      <x:c r="H97" s="9" t="n">
        <x:f>SUM('Chi tiet BTL-BHH'!L138:L138)</x:f>
        <x:v>139185</x:v>
      </x:c>
      <x:c r="I97" s="9" t="n">
        <x:f>SUM('Chi tiet BTL-BHH'!M138:M138)</x:f>
        <x:v>1879000</x:v>
      </x:c>
      <x:c r="J97" s="9" t="n">
        <x:v>1879000</x:v>
      </x:c>
      <x:c r="K97" s="9" t="n">
        <x:f>I97-J97</x:f>
        <x:v>0</x:v>
      </x:c>
      <x:c r="L97" s="2" t="str">
        <x:v>Khớp sổ AMIS 2024</x:v>
      </x:c>
    </x:row>
    <x:row r="98" ht="38" customHeight="1">
      <x:c r="A98" s="7" t="str">
        <x:v>BTL00131</x:v>
      </x:c>
      <x:c r="B98" s="6" t="d">
        <x:v>2024-09-24T00:00:00.000Z</x:v>
      </x:c>
      <x:c r="C98" s="2" t="str">
        <x:v>Khách hàng Shoppe</x:v>
      </x:c>
      <x:c r="D98" s="2" t="n">
        <x:v>1</x:v>
      </x:c>
      <x:c r="E98" s="10" t="str">
        <x:v>BHHS2024005127</x:v>
      </x:c>
      <x:c r="F98" s="11" t="n">
        <x:f>SUM('Chi tiet BTL-BHH'!H139:H139)</x:f>
        <x:v>1</x:v>
      </x:c>
      <x:c r="G98" s="9" t="n">
        <x:f>SUM('Chi tiet BTL-BHH'!J139:J139)</x:f>
        <x:v>462963</x:v>
      </x:c>
      <x:c r="H98" s="9" t="n">
        <x:f>SUM('Chi tiet BTL-BHH'!L139:L139)</x:f>
        <x:v>37037</x:v>
      </x:c>
      <x:c r="I98" s="9" t="n">
        <x:f>SUM('Chi tiet BTL-BHH'!M139:M139)</x:f>
        <x:v>500000</x:v>
      </x:c>
      <x:c r="J98" s="9" t="n">
        <x:v>500000</x:v>
      </x:c>
      <x:c r="K98" s="9" t="n">
        <x:f>I98-J98</x:f>
        <x:v>0</x:v>
      </x:c>
      <x:c r="L98" s="2" t="str">
        <x:v>Khớp sổ AMIS 2024</x:v>
      </x:c>
    </x:row>
    <x:row r="99" ht="38" customHeight="1">
      <x:c r="A99" s="7" t="str">
        <x:v>BTL00161</x:v>
      </x:c>
      <x:c r="B99" s="6" t="d">
        <x:v>2024-09-24T00:00:00.000Z</x:v>
      </x:c>
      <x:c r="C99" s="2" t="str">
        <x:v>Khách hàng Shoppe</x:v>
      </x:c>
      <x:c r="D99" s="2" t="n">
        <x:v>1</x:v>
      </x:c>
      <x:c r="E99" s="10" t="str">
        <x:v>BHHS2024005124</x:v>
      </x:c>
      <x:c r="F99" s="11" t="n">
        <x:f>SUM('Chi tiet BTL-BHH'!H140:H140)</x:f>
        <x:v>1</x:v>
      </x:c>
      <x:c r="G99" s="9" t="n">
        <x:f>SUM('Chi tiet BTL-BHH'!J140:J140)</x:f>
        <x:v>416667</x:v>
      </x:c>
      <x:c r="H99" s="9" t="n">
        <x:f>SUM('Chi tiet BTL-BHH'!L140:L140)</x:f>
        <x:v>33333</x:v>
      </x:c>
      <x:c r="I99" s="9" t="n">
        <x:f>SUM('Chi tiet BTL-BHH'!M140:M140)</x:f>
        <x:v>450000</x:v>
      </x:c>
      <x:c r="J99" s="9" t="n">
        <x:v>450000</x:v>
      </x:c>
      <x:c r="K99" s="9" t="n">
        <x:f>I99-J99</x:f>
        <x:v>0</x:v>
      </x:c>
      <x:c r="L99" s="2" t="str">
        <x:v>Khớp sổ AMIS 2024</x:v>
      </x:c>
    </x:row>
    <x:row r="100" ht="38" customHeight="1">
      <x:c r="A100" s="7" t="str">
        <x:v>BTL00181</x:v>
      </x:c>
      <x:c r="B100" s="6" t="d">
        <x:v>2024-09-24T00:00:00.000Z</x:v>
      </x:c>
      <x:c r="C100" s="2" t="str">
        <x:v>Khách hàng Lazada</x:v>
      </x:c>
      <x:c r="D100" s="2" t="n">
        <x:v>1</x:v>
      </x:c>
      <x:c r="E100" s="10" t="str">
        <x:v>BHHL2024000079</x:v>
      </x:c>
      <x:c r="F100" s="11" t="n">
        <x:f>SUM('Chi tiet BTL-BHH'!H141:H141)</x:f>
        <x:v>1</x:v>
      </x:c>
      <x:c r="G100" s="9" t="n">
        <x:f>SUM('Chi tiet BTL-BHH'!J141:J141)</x:f>
        <x:v>412037</x:v>
      </x:c>
      <x:c r="H100" s="9" t="n">
        <x:f>SUM('Chi tiet BTL-BHH'!L141:L141)</x:f>
        <x:v>32963</x:v>
      </x:c>
      <x:c r="I100" s="9" t="n">
        <x:f>SUM('Chi tiet BTL-BHH'!M141:M141)</x:f>
        <x:v>445000</x:v>
      </x:c>
      <x:c r="J100" s="9" t="n">
        <x:v>445000</x:v>
      </x:c>
      <x:c r="K100" s="9" t="n">
        <x:f>I100-J100</x:f>
        <x:v>0</x:v>
      </x:c>
      <x:c r="L100" s="2" t="str">
        <x:v>Khớp sổ AMIS 2024</x:v>
      </x:c>
    </x:row>
    <x:row r="101" ht="38" customHeight="1">
      <x:c r="A101" s="7" t="str">
        <x:v>BTL00108</x:v>
      </x:c>
      <x:c r="B101" s="6" t="d">
        <x:v>2024-09-26T00:00:00.000Z</x:v>
      </x:c>
      <x:c r="C101" s="2" t="str">
        <x:v>Khách hàng Tiktok</x:v>
      </x:c>
      <x:c r="D101" s="2" t="n">
        <x:v>2</x:v>
      </x:c>
      <x:c r="E101" s="10" t="str">
        <x:v>BHHT2024015848</x:v>
      </x:c>
      <x:c r="F101" s="11" t="n">
        <x:f>SUM('Chi tiet BTL-BHH'!H142:H143)</x:f>
        <x:v>2</x:v>
      </x:c>
      <x:c r="G101" s="9" t="n">
        <x:f>SUM('Chi tiet BTL-BHH'!J142:J143)</x:f>
        <x:v>2573148</x:v>
      </x:c>
      <x:c r="H101" s="9" t="n">
        <x:f>SUM('Chi tiet BTL-BHH'!L142:L143)</x:f>
        <x:v>205852</x:v>
      </x:c>
      <x:c r="I101" s="9" t="n">
        <x:f>SUM('Chi tiet BTL-BHH'!M142:M143)</x:f>
        <x:v>2779000</x:v>
      </x:c>
      <x:c r="J101" s="9" t="n">
        <x:v>2779000</x:v>
      </x:c>
      <x:c r="K101" s="9" t="n">
        <x:f>I101-J101</x:f>
        <x:v>0</x:v>
      </x:c>
      <x:c r="L101" s="2" t="str">
        <x:v>Khớp sổ AMIS 2024</x:v>
      </x:c>
    </x:row>
    <x:row r="102" ht="38" customHeight="1">
      <x:c r="A102" s="7" t="str">
        <x:v>BTL00109</x:v>
      </x:c>
      <x:c r="B102" s="6" t="d">
        <x:v>2024-09-28T00:00:00.000Z</x:v>
      </x:c>
      <x:c r="C102" s="2" t="str">
        <x:v>Khách hàng Tiktok</x:v>
      </x:c>
      <x:c r="D102" s="2" t="n">
        <x:v>1</x:v>
      </x:c>
      <x:c r="E102" s="10" t="str">
        <x:v>BHHT2024014868</x:v>
      </x:c>
      <x:c r="F102" s="11" t="n">
        <x:f>SUM('Chi tiet BTL-BHH'!H144:H144)</x:f>
        <x:v>1</x:v>
      </x:c>
      <x:c r="G102" s="9" t="n">
        <x:f>SUM('Chi tiet BTL-BHH'!J144:J144)</x:f>
        <x:v>1702778</x:v>
      </x:c>
      <x:c r="H102" s="9" t="n">
        <x:f>SUM('Chi tiet BTL-BHH'!L144:L144)</x:f>
        <x:v>136222</x:v>
      </x:c>
      <x:c r="I102" s="9" t="n">
        <x:f>SUM('Chi tiet BTL-BHH'!M144:M144)</x:f>
        <x:v>1839000</x:v>
      </x:c>
      <x:c r="J102" s="9" t="n">
        <x:v>1839000</x:v>
      </x:c>
      <x:c r="K102" s="9" t="n">
        <x:f>I102-J102</x:f>
        <x:v>0</x:v>
      </x:c>
      <x:c r="L102" s="2" t="str">
        <x:v>Khớp sổ AMIS 2024</x:v>
      </x:c>
    </x:row>
    <x:row r="103" ht="38" customHeight="1">
      <x:c r="A103" s="7" t="str">
        <x:v>BTL00129</x:v>
      </x:c>
      <x:c r="B103" s="6" t="d">
        <x:v>2024-09-28T00:00:00.000Z</x:v>
      </x:c>
      <x:c r="C103" s="2" t="str">
        <x:v>Khách hàng Shoppe</x:v>
      </x:c>
      <x:c r="D103" s="2" t="n">
        <x:v>2</x:v>
      </x:c>
      <x:c r="E103" s="10" t="str">
        <x:v>BHHS2024004695</x:v>
      </x:c>
      <x:c r="F103" s="11" t="n">
        <x:f>SUM('Chi tiet BTL-BHH'!H145:H146)</x:f>
        <x:v>2</x:v>
      </x:c>
      <x:c r="G103" s="9" t="n">
        <x:f>SUM('Chi tiet BTL-BHH'!J145:J146)</x:f>
        <x:v>2573148</x:v>
      </x:c>
      <x:c r="H103" s="9" t="n">
        <x:f>SUM('Chi tiet BTL-BHH'!L145:L146)</x:f>
        <x:v>205852</x:v>
      </x:c>
      <x:c r="I103" s="9" t="n">
        <x:f>SUM('Chi tiet BTL-BHH'!M145:M146)</x:f>
        <x:v>2779000</x:v>
      </x:c>
      <x:c r="J103" s="9" t="n">
        <x:v>2779000</x:v>
      </x:c>
      <x:c r="K103" s="9" t="n">
        <x:f>I103-J103</x:f>
        <x:v>0</x:v>
      </x:c>
      <x:c r="L103" s="2" t="str">
        <x:v>Khớp sổ AMIS 2024</x:v>
      </x:c>
    </x:row>
    <x:row r="104" ht="38" customHeight="1">
      <x:c r="A104" s="7" t="str">
        <x:v>BTL00110</x:v>
      </x:c>
      <x:c r="B104" s="6" t="d">
        <x:v>2024-10-02T00:00:00.000Z</x:v>
      </x:c>
      <x:c r="C104" s="2" t="str">
        <x:v>Khách hàng Tiktok</x:v>
      </x:c>
      <x:c r="D104" s="2" t="n">
        <x:v>1</x:v>
      </x:c>
      <x:c r="E104" s="10" t="str">
        <x:v>BHHT2024012208</x:v>
      </x:c>
      <x:c r="F104" s="11" t="n">
        <x:f>SUM('Chi tiet BTL-BHH'!H147:H147)</x:f>
        <x:v>1</x:v>
      </x:c>
      <x:c r="G104" s="9" t="n">
        <x:f>SUM('Chi tiet BTL-BHH'!J147:J147)</x:f>
        <x:v>1739815</x:v>
      </x:c>
      <x:c r="H104" s="9" t="n">
        <x:f>SUM('Chi tiet BTL-BHH'!L147:L147)</x:f>
        <x:v>139185</x:v>
      </x:c>
      <x:c r="I104" s="9" t="n">
        <x:f>SUM('Chi tiet BTL-BHH'!M147:M147)</x:f>
        <x:v>1879000</x:v>
      </x:c>
      <x:c r="J104" s="9" t="n">
        <x:v>1879000</x:v>
      </x:c>
      <x:c r="K104" s="9" t="n">
        <x:f>I104-J104</x:f>
        <x:v>0</x:v>
      </x:c>
      <x:c r="L104" s="2" t="str">
        <x:v>Khớp sổ AMIS 2024</x:v>
      </x:c>
    </x:row>
    <x:row r="105" ht="38" customHeight="1">
      <x:c r="A105" s="7" t="str">
        <x:v>BTL00111</x:v>
      </x:c>
      <x:c r="B105" s="6" t="d">
        <x:v>2024-10-03T00:00:00.000Z</x:v>
      </x:c>
      <x:c r="C105" s="2" t="str">
        <x:v>Khách hàng Tiktok</x:v>
      </x:c>
      <x:c r="D105" s="2" t="n">
        <x:v>1</x:v>
      </x:c>
      <x:c r="E105" s="10" t="str">
        <x:v>BHHT2024019620</x:v>
      </x:c>
      <x:c r="F105" s="11" t="n">
        <x:f>SUM('Chi tiet BTL-BHH'!H148:H148)</x:f>
        <x:v>1</x:v>
      </x:c>
      <x:c r="G105" s="9" t="n">
        <x:f>SUM('Chi tiet BTL-BHH'!J148:J148)</x:f>
        <x:v>952417</x:v>
      </x:c>
      <x:c r="H105" s="9" t="n">
        <x:f>SUM('Chi tiet BTL-BHH'!L148:L148)</x:f>
        <x:v>76193</x:v>
      </x:c>
      <x:c r="I105" s="9" t="n">
        <x:f>SUM('Chi tiet BTL-BHH'!M148:M148)</x:f>
        <x:v>1028610</x:v>
      </x:c>
      <x:c r="J105" s="9" t="n">
        <x:v>1028610</x:v>
      </x:c>
      <x:c r="K105" s="9" t="n">
        <x:f>I105-J105</x:f>
        <x:v>0</x:v>
      </x:c>
      <x:c r="L105" s="2" t="str">
        <x:v>Khớp sổ AMIS 2024</x:v>
      </x:c>
    </x:row>
    <x:row r="106" ht="38" customHeight="1">
      <x:c r="A106" s="7" t="str">
        <x:v>BTL00107</x:v>
      </x:c>
      <x:c r="B106" s="6" t="d">
        <x:v>2024-10-04T00:00:00.000Z</x:v>
      </x:c>
      <x:c r="C106" s="2" t="str">
        <x:v>Khách hàng Shoppe</x:v>
      </x:c>
      <x:c r="D106" s="2" t="n">
        <x:v>1</x:v>
      </x:c>
      <x:c r="E106" s="10" t="str">
        <x:v>BHHS2024005508</x:v>
      </x:c>
      <x:c r="F106" s="11" t="n">
        <x:f>SUM('Chi tiet BTL-BHH'!H149:H149)</x:f>
        <x:v>1</x:v>
      </x:c>
      <x:c r="G106" s="9" t="n">
        <x:f>SUM('Chi tiet BTL-BHH'!J149:J149)</x:f>
        <x:v>925000</x:v>
      </x:c>
      <x:c r="H106" s="9" t="n">
        <x:f>SUM('Chi tiet BTL-BHH'!L149:L149)</x:f>
        <x:v>74000</x:v>
      </x:c>
      <x:c r="I106" s="9" t="n">
        <x:f>SUM('Chi tiet BTL-BHH'!M149:M149)</x:f>
        <x:v>999000</x:v>
      </x:c>
      <x:c r="J106" s="9" t="n">
        <x:v>999000</x:v>
      </x:c>
      <x:c r="K106" s="9" t="n">
        <x:f>I106-J106</x:f>
        <x:v>0</x:v>
      </x:c>
      <x:c r="L106" s="2" t="str">
        <x:v>Khớp sổ AMIS 2024</x:v>
      </x:c>
    </x:row>
    <x:row r="107" ht="38" customHeight="1">
      <x:c r="A107" s="7" t="str">
        <x:v>BTL00128</x:v>
      </x:c>
      <x:c r="B107" s="6" t="d">
        <x:v>2024-10-04T00:00:00.000Z</x:v>
      </x:c>
      <x:c r="C107" s="2" t="str">
        <x:v>Khách hàng Shoppe</x:v>
      </x:c>
      <x:c r="D107" s="2" t="n">
        <x:v>1</x:v>
      </x:c>
      <x:c r="E107" s="10" t="str">
        <x:v>BHHS2024005689</x:v>
      </x:c>
      <x:c r="F107" s="11" t="n">
        <x:f>SUM('Chi tiet BTL-BHH'!H150:H150)</x:f>
        <x:v>1</x:v>
      </x:c>
      <x:c r="G107" s="9" t="n">
        <x:f>SUM('Chi tiet BTL-BHH'!J150:J150)</x:f>
        <x:v>165741</x:v>
      </x:c>
      <x:c r="H107" s="9" t="n">
        <x:f>SUM('Chi tiet BTL-BHH'!L150:L150)</x:f>
        <x:v>13259</x:v>
      </x:c>
      <x:c r="I107" s="9" t="n">
        <x:f>SUM('Chi tiet BTL-BHH'!M150:M150)</x:f>
        <x:v>179000</x:v>
      </x:c>
      <x:c r="J107" s="9" t="n">
        <x:v>179000</x:v>
      </x:c>
      <x:c r="K107" s="9" t="n">
        <x:f>I107-J107</x:f>
        <x:v>0</x:v>
      </x:c>
      <x:c r="L107" s="2" t="str">
        <x:v>Khớp sổ AMIS 2024</x:v>
      </x:c>
    </x:row>
    <x:row r="108" ht="38" customHeight="1">
      <x:c r="A108" s="7" t="str">
        <x:v>BTL00112</x:v>
      </x:c>
      <x:c r="B108" s="6" t="d">
        <x:v>2024-10-07T00:00:00.000Z</x:v>
      </x:c>
      <x:c r="C108" s="2" t="str">
        <x:v>Khách hàng Tiktok</x:v>
      </x:c>
      <x:c r="D108" s="2" t="n">
        <x:v>1</x:v>
      </x:c>
      <x:c r="E108" s="10" t="str">
        <x:v>BHHT2024019621</x:v>
      </x:c>
      <x:c r="F108" s="11" t="n">
        <x:f>SUM('Chi tiet BTL-BHH'!H151:H151)</x:f>
        <x:v>1</x:v>
      </x:c>
      <x:c r="G108" s="9" t="n">
        <x:f>SUM('Chi tiet BTL-BHH'!J151:J151)</x:f>
        <x:v>1702778</x:v>
      </x:c>
      <x:c r="H108" s="9" t="n">
        <x:f>SUM('Chi tiet BTL-BHH'!L151:L151)</x:f>
        <x:v>136222</x:v>
      </x:c>
      <x:c r="I108" s="9" t="n">
        <x:f>SUM('Chi tiet BTL-BHH'!M151:M151)</x:f>
        <x:v>1839000</x:v>
      </x:c>
      <x:c r="J108" s="9" t="n">
        <x:v>1839000</x:v>
      </x:c>
      <x:c r="K108" s="9" t="n">
        <x:f>I108-J108</x:f>
        <x:v>0</x:v>
      </x:c>
      <x:c r="L108" s="2" t="str">
        <x:v>Khớp sổ AMIS 2024</x:v>
      </x:c>
    </x:row>
    <x:row r="109" ht="38" customHeight="1">
      <x:c r="A109" s="7" t="str">
        <x:v>BTL00113</x:v>
      </x:c>
      <x:c r="B109" s="6" t="d">
        <x:v>2024-10-09T00:00:00.000Z</x:v>
      </x:c>
      <x:c r="C109" s="2" t="str">
        <x:v>Khách hàng Tiktok</x:v>
      </x:c>
      <x:c r="D109" s="2" t="n">
        <x:v>1</x:v>
      </x:c>
      <x:c r="E109" s="10" t="str">
        <x:v>BHHT2024015528</x:v>
      </x:c>
      <x:c r="F109" s="11" t="n">
        <x:f>SUM('Chi tiet BTL-BHH'!H152:H152)</x:f>
        <x:v>1</x:v>
      </x:c>
      <x:c r="G109" s="9" t="n">
        <x:f>SUM('Chi tiet BTL-BHH'!J152:J152)</x:f>
        <x:v>401852</x:v>
      </x:c>
      <x:c r="H109" s="9" t="n">
        <x:f>SUM('Chi tiet BTL-BHH'!L152:L152)</x:f>
        <x:v>32148</x:v>
      </x:c>
      <x:c r="I109" s="9" t="n">
        <x:f>SUM('Chi tiet BTL-BHH'!M152:M152)</x:f>
        <x:v>434000</x:v>
      </x:c>
      <x:c r="J109" s="9" t="n">
        <x:v>434000</x:v>
      </x:c>
      <x:c r="K109" s="9" t="n">
        <x:f>I109-J109</x:f>
        <x:v>0</x:v>
      </x:c>
      <x:c r="L109" s="2" t="str">
        <x:v>Khớp sổ AMIS 2024</x:v>
      </x:c>
    </x:row>
    <x:row r="110" ht="38" customHeight="1">
      <x:c r="A110" s="7" t="str">
        <x:v>BTL00114</x:v>
      </x:c>
      <x:c r="B110" s="6" t="d">
        <x:v>2024-10-13T00:00:00.000Z</x:v>
      </x:c>
      <x:c r="C110" s="2" t="str">
        <x:v>Khách hàng Tiktok</x:v>
      </x:c>
      <x:c r="D110" s="2" t="n">
        <x:v>1</x:v>
      </x:c>
      <x:c r="E110" s="10" t="str">
        <x:v>BHHT2024019209</x:v>
      </x:c>
      <x:c r="F110" s="11" t="n">
        <x:f>SUM('Chi tiet BTL-BHH'!H153:H153)</x:f>
        <x:v>1</x:v>
      </x:c>
      <x:c r="G110" s="9" t="n">
        <x:f>SUM('Chi tiet BTL-BHH'!J153:J153)</x:f>
        <x:v>2573148</x:v>
      </x:c>
      <x:c r="H110" s="9" t="n">
        <x:f>SUM('Chi tiet BTL-BHH'!L153:L153)</x:f>
        <x:v>205852</x:v>
      </x:c>
      <x:c r="I110" s="9" t="n">
        <x:f>SUM('Chi tiet BTL-BHH'!M153:M153)</x:f>
        <x:v>2779000</x:v>
      </x:c>
      <x:c r="J110" s="9" t="n">
        <x:v>2779000</x:v>
      </x:c>
      <x:c r="K110" s="9" t="n">
        <x:f>I110-J110</x:f>
        <x:v>0</x:v>
      </x:c>
      <x:c r="L110" s="2" t="str">
        <x:v>Khớp sổ AMIS 2024</x:v>
      </x:c>
    </x:row>
    <x:row r="111" ht="38" customHeight="1">
      <x:c r="A111" s="7" t="str">
        <x:v>BTL00115</x:v>
      </x:c>
      <x:c r="B111" s="6" t="d">
        <x:v>2024-10-14T00:00:00.000Z</x:v>
      </x:c>
      <x:c r="C111" s="2" t="str">
        <x:v>Khách hàng Tiktok</x:v>
      </x:c>
      <x:c r="D111" s="2" t="n">
        <x:v>1</x:v>
      </x:c>
      <x:c r="E111" s="10" t="str">
        <x:v>BHHT2024019120</x:v>
      </x:c>
      <x:c r="F111" s="11" t="n">
        <x:f>SUM('Chi tiet BTL-BHH'!H154:H154)</x:f>
        <x:v>1</x:v>
      </x:c>
      <x:c r="G111" s="9" t="n">
        <x:f>SUM('Chi tiet BTL-BHH'!J154:J154)</x:f>
        <x:v>962037</x:v>
      </x:c>
      <x:c r="H111" s="9" t="n">
        <x:f>SUM('Chi tiet BTL-BHH'!L154:L154)</x:f>
        <x:v>76963</x:v>
      </x:c>
      <x:c r="I111" s="9" t="n">
        <x:f>SUM('Chi tiet BTL-BHH'!M154:M154)</x:f>
        <x:v>1039000</x:v>
      </x:c>
      <x:c r="J111" s="9" t="n">
        <x:v>1039000</x:v>
      </x:c>
      <x:c r="K111" s="9" t="n">
        <x:f>I111-J111</x:f>
        <x:v>0</x:v>
      </x:c>
      <x:c r="L111" s="2" t="str">
        <x:v>Khớp sổ AMIS 2024</x:v>
      </x:c>
    </x:row>
    <x:row r="112" ht="38" customHeight="1">
      <x:c r="A112" s="7" t="str">
        <x:v>BTL00116</x:v>
      </x:c>
      <x:c r="B112" s="6" t="d">
        <x:v>2024-10-15T00:00:00.000Z</x:v>
      </x:c>
      <x:c r="C112" s="2" t="str">
        <x:v>Khách hàng Tiktok</x:v>
      </x:c>
      <x:c r="D112" s="2" t="n">
        <x:v>1</x:v>
      </x:c>
      <x:c r="E112" s="10" t="str">
        <x:v>BHHT2024018878</x:v>
      </x:c>
      <x:c r="F112" s="11" t="n">
        <x:f>SUM('Chi tiet BTL-BHH'!H155:H155)</x:f>
        <x:v>1</x:v>
      </x:c>
      <x:c r="G112" s="9" t="n">
        <x:f>SUM('Chi tiet BTL-BHH'!J155:J155)</x:f>
        <x:v>962037</x:v>
      </x:c>
      <x:c r="H112" s="9" t="n">
        <x:f>SUM('Chi tiet BTL-BHH'!L155:L155)</x:f>
        <x:v>76963</x:v>
      </x:c>
      <x:c r="I112" s="9" t="n">
        <x:f>SUM('Chi tiet BTL-BHH'!M155:M155)</x:f>
        <x:v>1039000</x:v>
      </x:c>
      <x:c r="J112" s="9" t="n">
        <x:v>1039000</x:v>
      </x:c>
      <x:c r="K112" s="9" t="n">
        <x:f>I112-J112</x:f>
        <x:v>0</x:v>
      </x:c>
      <x:c r="L112" s="2" t="str">
        <x:v>Khớp sổ AMIS 2024</x:v>
      </x:c>
    </x:row>
    <x:row r="113" ht="38" customHeight="1">
      <x:c r="A113" s="7" t="str">
        <x:v>BTL00117</x:v>
      </x:c>
      <x:c r="B113" s="6" t="d">
        <x:v>2024-10-15T00:00:00.000Z</x:v>
      </x:c>
      <x:c r="C113" s="2" t="str">
        <x:v>Khách hàng Tiktok</x:v>
      </x:c>
      <x:c r="D113" s="2" t="n">
        <x:v>2</x:v>
      </x:c>
      <x:c r="E113" s="10" t="str">
        <x:v>BHHT2024018930</x:v>
      </x:c>
      <x:c r="F113" s="11" t="n">
        <x:f>SUM('Chi tiet BTL-BHH'!H156:H157)</x:f>
        <x:v>2</x:v>
      </x:c>
      <x:c r="G113" s="9" t="n">
        <x:f>SUM('Chi tiet BTL-BHH'!J156:J157)</x:f>
        <x:v>1702778</x:v>
      </x:c>
      <x:c r="H113" s="9" t="n">
        <x:f>SUM('Chi tiet BTL-BHH'!L156:L157)</x:f>
        <x:v>136222</x:v>
      </x:c>
      <x:c r="I113" s="9" t="n">
        <x:f>SUM('Chi tiet BTL-BHH'!M156:M157)</x:f>
        <x:v>1839000</x:v>
      </x:c>
      <x:c r="J113" s="9" t="n">
        <x:v>1839000</x:v>
      </x:c>
      <x:c r="K113" s="9" t="n">
        <x:f>I113-J113</x:f>
        <x:v>0</x:v>
      </x:c>
      <x:c r="L113" s="2" t="str">
        <x:v>Khớp sổ AMIS 2024</x:v>
      </x:c>
    </x:row>
    <x:row r="114" ht="38" customHeight="1">
      <x:c r="A114" s="7" t="str">
        <x:v>BTL00118</x:v>
      </x:c>
      <x:c r="B114" s="6" t="d">
        <x:v>2024-10-17T00:00:00.000Z</x:v>
      </x:c>
      <x:c r="C114" s="2" t="str">
        <x:v>Khách hàng Tiktok</x:v>
      </x:c>
      <x:c r="D114" s="2" t="n">
        <x:v>1</x:v>
      </x:c>
      <x:c r="E114" s="10" t="str">
        <x:v>BHHT2024019578</x:v>
      </x:c>
      <x:c r="F114" s="11" t="n">
        <x:f>SUM('Chi tiet BTL-BHH'!H158:H158)</x:f>
        <x:v>1</x:v>
      </x:c>
      <x:c r="G114" s="9" t="n">
        <x:f>SUM('Chi tiet BTL-BHH'!J158:J158)</x:f>
        <x:v>1702778</x:v>
      </x:c>
      <x:c r="H114" s="9" t="n">
        <x:f>SUM('Chi tiet BTL-BHH'!L158:L158)</x:f>
        <x:v>136222</x:v>
      </x:c>
      <x:c r="I114" s="9" t="n">
        <x:f>SUM('Chi tiet BTL-BHH'!M158:M158)</x:f>
        <x:v>1839000</x:v>
      </x:c>
      <x:c r="J114" s="9" t="n">
        <x:v>1839000</x:v>
      </x:c>
      <x:c r="K114" s="9" t="n">
        <x:f>I114-J114</x:f>
        <x:v>0</x:v>
      </x:c>
      <x:c r="L114" s="2" t="str">
        <x:v>Khớp sổ AMIS 2024</x:v>
      </x:c>
    </x:row>
    <x:row r="115" ht="38" customHeight="1">
      <x:c r="A115" s="7" t="str">
        <x:v>BTL00119</x:v>
      </x:c>
      <x:c r="B115" s="6" t="d">
        <x:v>2024-10-17T00:00:00.000Z</x:v>
      </x:c>
      <x:c r="C115" s="2" t="str">
        <x:v>Khách hàng Tiktok</x:v>
      </x:c>
      <x:c r="D115" s="2" t="n">
        <x:v>1</x:v>
      </x:c>
      <x:c r="E115" s="10" t="str">
        <x:v>BHHT2024012010</x:v>
      </x:c>
      <x:c r="F115" s="11" t="n">
        <x:f>SUM('Chi tiet BTL-BHH'!H159:H159)</x:f>
        <x:v>1</x:v>
      </x:c>
      <x:c r="G115" s="9" t="n">
        <x:f>SUM('Chi tiet BTL-BHH'!J159:J159)</x:f>
        <x:v>1702778</x:v>
      </x:c>
      <x:c r="H115" s="9" t="n">
        <x:f>SUM('Chi tiet BTL-BHH'!L159:L159)</x:f>
        <x:v>136222</x:v>
      </x:c>
      <x:c r="I115" s="9" t="n">
        <x:f>SUM('Chi tiet BTL-BHH'!M159:M159)</x:f>
        <x:v>1839000</x:v>
      </x:c>
      <x:c r="J115" s="9" t="n">
        <x:v>1839000</x:v>
      </x:c>
      <x:c r="K115" s="9" t="n">
        <x:f>I115-J115</x:f>
        <x:v>0</x:v>
      </x:c>
      <x:c r="L115" s="2" t="str">
        <x:v>Khớp sổ AMIS 2024</x:v>
      </x:c>
    </x:row>
    <x:row r="116" ht="38" customHeight="1">
      <x:c r="A116" s="7" t="str">
        <x:v>BTL00159</x:v>
      </x:c>
      <x:c r="B116" s="6" t="d">
        <x:v>2024-10-17T00:00:00.000Z</x:v>
      </x:c>
      <x:c r="C116" s="2" t="str">
        <x:v>Khách hàng Shoppe</x:v>
      </x:c>
      <x:c r="D116" s="2" t="n">
        <x:v>1</x:v>
      </x:c>
      <x:c r="E116" s="10" t="str">
        <x:v>BHHS2024005878</x:v>
      </x:c>
      <x:c r="F116" s="11" t="n">
        <x:f>SUM('Chi tiet BTL-BHH'!H160:H160)</x:f>
        <x:v>1</x:v>
      </x:c>
      <x:c r="G116" s="9" t="n">
        <x:f>SUM('Chi tiet BTL-BHH'!J160:J160)</x:f>
        <x:v>2573148</x:v>
      </x:c>
      <x:c r="H116" s="9" t="n">
        <x:f>SUM('Chi tiet BTL-BHH'!L160:L160)</x:f>
        <x:v>205852</x:v>
      </x:c>
      <x:c r="I116" s="9" t="n">
        <x:f>SUM('Chi tiet BTL-BHH'!M160:M160)</x:f>
        <x:v>2779000</x:v>
      </x:c>
      <x:c r="J116" s="9" t="n">
        <x:v>2779000</x:v>
      </x:c>
      <x:c r="K116" s="9" t="n">
        <x:f>I116-J116</x:f>
        <x:v>0</x:v>
      </x:c>
      <x:c r="L116" s="2" t="str">
        <x:v>Khớp sổ AMIS 2024</x:v>
      </x:c>
    </x:row>
    <x:row r="117" ht="38" customHeight="1">
      <x:c r="A117" s="7" t="str">
        <x:v>BTL00088</x:v>
      </x:c>
      <x:c r="B117" s="6" t="d">
        <x:v>2024-10-18T00:00:00.000Z</x:v>
      </x:c>
      <x:c r="C117" s="2" t="str">
        <x:v>Khách hàng Shoppe</x:v>
      </x:c>
      <x:c r="D117" s="2" t="n">
        <x:v>2</x:v>
      </x:c>
      <x:c r="E117" s="10" t="str">
        <x:v>BHHS2024006318</x:v>
      </x:c>
      <x:c r="F117" s="11" t="n">
        <x:f>SUM('Chi tiet BTL-BHH'!H161:H162)</x:f>
        <x:v>2</x:v>
      </x:c>
      <x:c r="G117" s="9" t="n">
        <x:f>SUM('Chi tiet BTL-BHH'!J161:J162)</x:f>
        <x:v>2573148</x:v>
      </x:c>
      <x:c r="H117" s="9" t="n">
        <x:f>SUM('Chi tiet BTL-BHH'!L161:L162)</x:f>
        <x:v>205852</x:v>
      </x:c>
      <x:c r="I117" s="9" t="n">
        <x:f>SUM('Chi tiet BTL-BHH'!M161:M162)</x:f>
        <x:v>2779000</x:v>
      </x:c>
      <x:c r="J117" s="9" t="n">
        <x:v>2779000</x:v>
      </x:c>
      <x:c r="K117" s="9" t="n">
        <x:f>I117-J117</x:f>
        <x:v>0</x:v>
      </x:c>
      <x:c r="L117" s="2" t="str">
        <x:v>Khớp sổ AMIS 2024</x:v>
      </x:c>
    </x:row>
    <x:row r="118" ht="38" customHeight="1">
      <x:c r="A118" s="7" t="str">
        <x:v>BTL00091</x:v>
      </x:c>
      <x:c r="B118" s="6" t="d">
        <x:v>2024-10-18T00:00:00.000Z</x:v>
      </x:c>
      <x:c r="C118" s="2" t="str">
        <x:v>Khách hàng Shoppe</x:v>
      </x:c>
      <x:c r="D118" s="2" t="n">
        <x:v>1</x:v>
      </x:c>
      <x:c r="E118" s="10" t="str">
        <x:v>BHHS2024006036</x:v>
      </x:c>
      <x:c r="F118" s="11" t="n">
        <x:f>SUM('Chi tiet BTL-BHH'!H163:H163)</x:f>
        <x:v>1</x:v>
      </x:c>
      <x:c r="G118" s="9" t="n">
        <x:f>SUM('Chi tiet BTL-BHH'!J163:J163)</x:f>
        <x:v>962037</x:v>
      </x:c>
      <x:c r="H118" s="9" t="n">
        <x:f>SUM('Chi tiet BTL-BHH'!L163:L163)</x:f>
        <x:v>76963</x:v>
      </x:c>
      <x:c r="I118" s="9" t="n">
        <x:f>SUM('Chi tiet BTL-BHH'!M163:M163)</x:f>
        <x:v>1039000</x:v>
      </x:c>
      <x:c r="J118" s="9" t="n">
        <x:v>1039000</x:v>
      </x:c>
      <x:c r="K118" s="9" t="n">
        <x:f>I118-J118</x:f>
        <x:v>0</x:v>
      </x:c>
      <x:c r="L118" s="2" t="str">
        <x:v>Khớp sổ AMIS 2024</x:v>
      </x:c>
    </x:row>
    <x:row r="119" ht="38" customHeight="1">
      <x:c r="A119" s="7" t="str">
        <x:v>BTL00086</x:v>
      </x:c>
      <x:c r="B119" s="6" t="d">
        <x:v>2024-10-22T00:00:00.000Z</x:v>
      </x:c>
      <x:c r="C119" s="2" t="str">
        <x:v>Khách hàng Shoppe</x:v>
      </x:c>
      <x:c r="D119" s="2" t="n">
        <x:v>1</x:v>
      </x:c>
      <x:c r="E119" s="10" t="str">
        <x:v>BHHS2024006455</x:v>
      </x:c>
      <x:c r="F119" s="11" t="n">
        <x:f>SUM('Chi tiet BTL-BHH'!H164:H164)</x:f>
        <x:v>1</x:v>
      </x:c>
      <x:c r="G119" s="9" t="n">
        <x:f>SUM('Chi tiet BTL-BHH'!J164:J164)</x:f>
        <x:v>258333</x:v>
      </x:c>
      <x:c r="H119" s="9" t="n">
        <x:f>SUM('Chi tiet BTL-BHH'!L164:L164)</x:f>
        <x:v>20667</x:v>
      </x:c>
      <x:c r="I119" s="9" t="n">
        <x:f>SUM('Chi tiet BTL-BHH'!M164:M164)</x:f>
        <x:v>279000</x:v>
      </x:c>
      <x:c r="J119" s="9" t="n">
        <x:v>279000</x:v>
      </x:c>
      <x:c r="K119" s="9" t="n">
        <x:f>I119-J119</x:f>
        <x:v>0</x:v>
      </x:c>
      <x:c r="L119" s="2" t="str">
        <x:v>Khớp sổ AMIS 2024</x:v>
      </x:c>
    </x:row>
    <x:row r="120" ht="38" customHeight="1">
      <x:c r="A120" s="7" t="str">
        <x:v>BTL00120</x:v>
      </x:c>
      <x:c r="B120" s="6" t="d">
        <x:v>2024-10-22T00:00:00.000Z</x:v>
      </x:c>
      <x:c r="C120" s="2" t="str">
        <x:v>Khách hàng Tiktok</x:v>
      </x:c>
      <x:c r="D120" s="2" t="n">
        <x:v>1</x:v>
      </x:c>
      <x:c r="E120" s="10" t="str">
        <x:v>BHHT2024017854</x:v>
      </x:c>
      <x:c r="F120" s="11" t="n">
        <x:f>SUM('Chi tiet BTL-BHH'!H165:H165)</x:f>
        <x:v>1</x:v>
      </x:c>
      <x:c r="G120" s="9" t="n">
        <x:f>SUM('Chi tiet BTL-BHH'!J165:J165)</x:f>
        <x:v>415741</x:v>
      </x:c>
      <x:c r="H120" s="9" t="n">
        <x:f>SUM('Chi tiet BTL-BHH'!L165:L165)</x:f>
        <x:v>33259</x:v>
      </x:c>
      <x:c r="I120" s="9" t="n">
        <x:f>SUM('Chi tiet BTL-BHH'!M165:M165)</x:f>
        <x:v>449000</x:v>
      </x:c>
      <x:c r="J120" s="9" t="n">
        <x:v>449000</x:v>
      </x:c>
      <x:c r="K120" s="9" t="n">
        <x:f>I120-J120</x:f>
        <x:v>0</x:v>
      </x:c>
      <x:c r="L120" s="2" t="str">
        <x:v>Khớp sổ AMIS 2024</x:v>
      </x:c>
    </x:row>
    <x:row r="121" ht="38" customHeight="1">
      <x:c r="A121" s="7" t="str">
        <x:v>BTL00121</x:v>
      </x:c>
      <x:c r="B121" s="6" t="d">
        <x:v>2024-10-23T00:00:00.000Z</x:v>
      </x:c>
      <x:c r="C121" s="2" t="str">
        <x:v>Khách hàng Tiktok</x:v>
      </x:c>
      <x:c r="D121" s="2" t="n">
        <x:v>1</x:v>
      </x:c>
      <x:c r="E121" s="10" t="str">
        <x:v>BHHT2024018508</x:v>
      </x:c>
      <x:c r="F121" s="11" t="n">
        <x:f>SUM('Chi tiet BTL-BHH'!H166:H166)</x:f>
        <x:v>1</x:v>
      </x:c>
      <x:c r="G121" s="9" t="n">
        <x:f>SUM('Chi tiet BTL-BHH'!J166:J166)</x:f>
        <x:v>1663519</x:v>
      </x:c>
      <x:c r="H121" s="9" t="n">
        <x:f>SUM('Chi tiet BTL-BHH'!L166:L166)</x:f>
        <x:v>133081</x:v>
      </x:c>
      <x:c r="I121" s="9" t="n">
        <x:f>SUM('Chi tiet BTL-BHH'!M166:M166)</x:f>
        <x:v>1796600</x:v>
      </x:c>
      <x:c r="J121" s="9" t="n">
        <x:v>1796600</x:v>
      </x:c>
      <x:c r="K121" s="9" t="n">
        <x:f>I121-J121</x:f>
        <x:v>0</x:v>
      </x:c>
      <x:c r="L121" s="2" t="str">
        <x:v>Khớp sổ AMIS 2024</x:v>
      </x:c>
    </x:row>
    <x:row r="122" ht="38" customHeight="1">
      <x:c r="A122" s="7" t="str">
        <x:v>BTL00122</x:v>
      </x:c>
      <x:c r="B122" s="6" t="d">
        <x:v>2024-10-25T00:00:00.000Z</x:v>
      </x:c>
      <x:c r="C122" s="2" t="str">
        <x:v>Khách hàng Tiktok</x:v>
      </x:c>
      <x:c r="D122" s="2" t="n">
        <x:v>1</x:v>
      </x:c>
      <x:c r="E122" s="10" t="str">
        <x:v>BHHT2024018446</x:v>
      </x:c>
      <x:c r="F122" s="11" t="n">
        <x:f>SUM('Chi tiet BTL-BHH'!H167:H167)</x:f>
        <x:v>1</x:v>
      </x:c>
      <x:c r="G122" s="9" t="n">
        <x:f>SUM('Chi tiet BTL-BHH'!J167:J167)</x:f>
        <x:v>1702778</x:v>
      </x:c>
      <x:c r="H122" s="9" t="n">
        <x:f>SUM('Chi tiet BTL-BHH'!L167:L167)</x:f>
        <x:v>136222</x:v>
      </x:c>
      <x:c r="I122" s="9" t="n">
        <x:f>SUM('Chi tiet BTL-BHH'!M167:M167)</x:f>
        <x:v>1839000</x:v>
      </x:c>
      <x:c r="J122" s="9" t="n">
        <x:v>1839000</x:v>
      </x:c>
      <x:c r="K122" s="9" t="n">
        <x:f>I122-J122</x:f>
        <x:v>0</x:v>
      </x:c>
      <x:c r="L122" s="2" t="str">
        <x:v>Khớp sổ AMIS 2024</x:v>
      </x:c>
    </x:row>
    <x:row r="123" ht="38" customHeight="1">
      <x:c r="A123" s="7" t="str">
        <x:v>BTL00123</x:v>
      </x:c>
      <x:c r="B123" s="6" t="d">
        <x:v>2024-10-26T00:00:00.000Z</x:v>
      </x:c>
      <x:c r="C123" s="2" t="str">
        <x:v>Khách hàng Tiktok</x:v>
      </x:c>
      <x:c r="D123" s="2" t="n">
        <x:v>1</x:v>
      </x:c>
      <x:c r="E123" s="10" t="str">
        <x:v>BHHT2024018751</x:v>
      </x:c>
      <x:c r="F123" s="11" t="n">
        <x:f>SUM('Chi tiet BTL-BHH'!H168:H168)</x:f>
        <x:v>1</x:v>
      </x:c>
      <x:c r="G123" s="9" t="n">
        <x:f>SUM('Chi tiet BTL-BHH'!J168:J168)</x:f>
        <x:v>1702778</x:v>
      </x:c>
      <x:c r="H123" s="9" t="n">
        <x:f>SUM('Chi tiet BTL-BHH'!L168:L168)</x:f>
        <x:v>136222</x:v>
      </x:c>
      <x:c r="I123" s="9" t="n">
        <x:f>SUM('Chi tiet BTL-BHH'!M168:M168)</x:f>
        <x:v>1839000</x:v>
      </x:c>
      <x:c r="J123" s="9" t="n">
        <x:v>1839000</x:v>
      </x:c>
      <x:c r="K123" s="9" t="n">
        <x:f>I123-J123</x:f>
        <x:v>0</x:v>
      </x:c>
      <x:c r="L123" s="2" t="str">
        <x:v>Khớp sổ AMIS 2024</x:v>
      </x:c>
    </x:row>
    <x:row r="124" ht="38" customHeight="1">
      <x:c r="A124" s="7" t="str">
        <x:v>BTL00177</x:v>
      </x:c>
      <x:c r="B124" s="6" t="d">
        <x:v>2024-10-26T00:00:00.000Z</x:v>
      </x:c>
      <x:c r="C124" s="2" t="str">
        <x:v>Khách hàng Tiktok</x:v>
      </x:c>
      <x:c r="D124" s="2" t="n">
        <x:v>2</x:v>
      </x:c>
      <x:c r="E124" s="10" t="str">
        <x:v>BHHT2024018262</x:v>
      </x:c>
      <x:c r="F124" s="11" t="n">
        <x:f>SUM('Chi tiet BTL-BHH'!H169:H170)</x:f>
        <x:v>2</x:v>
      </x:c>
      <x:c r="G124" s="9" t="n">
        <x:f>SUM('Chi tiet BTL-BHH'!J169:J170)</x:f>
        <x:v>1702778</x:v>
      </x:c>
      <x:c r="H124" s="9" t="n">
        <x:f>SUM('Chi tiet BTL-BHH'!L169:L170)</x:f>
        <x:v>136222</x:v>
      </x:c>
      <x:c r="I124" s="9" t="n">
        <x:f>SUM('Chi tiet BTL-BHH'!M169:M170)</x:f>
        <x:v>1839000</x:v>
      </x:c>
      <x:c r="J124" s="9" t="n">
        <x:v>1839000</x:v>
      </x:c>
      <x:c r="K124" s="9" t="n">
        <x:f>I124-J124</x:f>
        <x:v>0</x:v>
      </x:c>
      <x:c r="L124" s="2" t="str">
        <x:v>Khớp sổ AMIS 2024</x:v>
      </x:c>
    </x:row>
    <x:row r="125" ht="38" customHeight="1">
      <x:c r="A125" s="7" t="str">
        <x:v>BTL00124</x:v>
      </x:c>
      <x:c r="B125" s="6" t="d">
        <x:v>2024-10-29T00:00:00.000Z</x:v>
      </x:c>
      <x:c r="C125" s="2" t="str">
        <x:v>Khách hàng Tiktok</x:v>
      </x:c>
      <x:c r="D125" s="2" t="n">
        <x:v>1</x:v>
      </x:c>
      <x:c r="E125" s="10" t="str">
        <x:v>BHHT2024017215</x:v>
      </x:c>
      <x:c r="F125" s="11" t="n">
        <x:f>SUM('Chi tiet BTL-BHH'!H171:H171)</x:f>
        <x:v>1</x:v>
      </x:c>
      <x:c r="G125" s="9" t="n">
        <x:f>SUM('Chi tiet BTL-BHH'!J171:J171)</x:f>
        <x:v>962037</x:v>
      </x:c>
      <x:c r="H125" s="9" t="n">
        <x:f>SUM('Chi tiet BTL-BHH'!L171:L171)</x:f>
        <x:v>76963</x:v>
      </x:c>
      <x:c r="I125" s="9" t="n">
        <x:f>SUM('Chi tiet BTL-BHH'!M171:M171)</x:f>
        <x:v>1039000</x:v>
      </x:c>
      <x:c r="J125" s="9" t="n">
        <x:v>1039000</x:v>
      </x:c>
      <x:c r="K125" s="9" t="n">
        <x:f>I125-J125</x:f>
        <x:v>0</x:v>
      </x:c>
      <x:c r="L125" s="2" t="str">
        <x:v>Khớp sổ AMIS 2024</x:v>
      </x:c>
    </x:row>
    <x:row r="126" ht="38" customHeight="1">
      <x:c r="A126" s="7" t="str">
        <x:v>BTL00125</x:v>
      </x:c>
      <x:c r="B126" s="6" t="d">
        <x:v>2024-10-29T00:00:00.000Z</x:v>
      </x:c>
      <x:c r="C126" s="2" t="str">
        <x:v>Khách hàng Tiktok</x:v>
      </x:c>
      <x:c r="D126" s="2" t="n">
        <x:v>1</x:v>
      </x:c>
      <x:c r="E126" s="10" t="str">
        <x:v>BHHT2024017420</x:v>
      </x:c>
      <x:c r="F126" s="11" t="n">
        <x:f>SUM('Chi tiet BTL-BHH'!H172:H172)</x:f>
        <x:v>1</x:v>
      </x:c>
      <x:c r="G126" s="9" t="n">
        <x:f>SUM('Chi tiet BTL-BHH'!J172:J172)</x:f>
        <x:v>1276852</x:v>
      </x:c>
      <x:c r="H126" s="9" t="n">
        <x:f>SUM('Chi tiet BTL-BHH'!L172:L172)</x:f>
        <x:v>102148</x:v>
      </x:c>
      <x:c r="I126" s="9" t="n">
        <x:f>SUM('Chi tiet BTL-BHH'!M172:M172)</x:f>
        <x:v>1379000</x:v>
      </x:c>
      <x:c r="J126" s="9" t="n">
        <x:v>1379000</x:v>
      </x:c>
      <x:c r="K126" s="9" t="n">
        <x:f>I126-J126</x:f>
        <x:v>0</x:v>
      </x:c>
      <x:c r="L126" s="2" t="str">
        <x:v>Khớp sổ AMIS 2024</x:v>
      </x:c>
    </x:row>
    <x:row r="127" ht="38" customHeight="1">
      <x:c r="A127" s="7" t="str">
        <x:v>BTL00126</x:v>
      </x:c>
      <x:c r="B127" s="6" t="d">
        <x:v>2024-10-30T00:00:00.000Z</x:v>
      </x:c>
      <x:c r="C127" s="2" t="str">
        <x:v>Khách hàng Tiktok</x:v>
      </x:c>
      <x:c r="D127" s="2" t="n">
        <x:v>1</x:v>
      </x:c>
      <x:c r="E127" s="10" t="str">
        <x:v>BHHT2024018052</x:v>
      </x:c>
      <x:c r="F127" s="11" t="n">
        <x:f>SUM('Chi tiet BTL-BHH'!H173:H173)</x:f>
        <x:v>1</x:v>
      </x:c>
      <x:c r="G127" s="9" t="n">
        <x:f>SUM('Chi tiet BTL-BHH'!J173:J173)</x:f>
        <x:v>962037</x:v>
      </x:c>
      <x:c r="H127" s="9" t="n">
        <x:f>SUM('Chi tiet BTL-BHH'!L173:L173)</x:f>
        <x:v>76963</x:v>
      </x:c>
      <x:c r="I127" s="9" t="n">
        <x:f>SUM('Chi tiet BTL-BHH'!M173:M173)</x:f>
        <x:v>1039000</x:v>
      </x:c>
      <x:c r="J127" s="9" t="n">
        <x:v>1039000</x:v>
      </x:c>
      <x:c r="K127" s="9" t="n">
        <x:f>I127-J127</x:f>
        <x:v>0</x:v>
      </x:c>
      <x:c r="L127" s="2" t="str">
        <x:v>Khớp sổ AMIS 2024</x:v>
      </x:c>
    </x:row>
    <x:row r="128" ht="38" customHeight="1">
      <x:c r="A128" s="7" t="str">
        <x:v>BTL00178</x:v>
      </x:c>
      <x:c r="B128" s="6" t="d">
        <x:v>2024-11-02T00:00:00.000Z</x:v>
      </x:c>
      <x:c r="C128" s="2" t="str">
        <x:v>Khách hàng Tiktok</x:v>
      </x:c>
      <x:c r="D128" s="2" t="n">
        <x:v>1</x:v>
      </x:c>
      <x:c r="E128" s="10" t="str">
        <x:v>BHHT2024017754</x:v>
      </x:c>
      <x:c r="F128" s="11" t="n">
        <x:f>SUM('Chi tiet BTL-BHH'!H174:H174)</x:f>
        <x:v>1</x:v>
      </x:c>
      <x:c r="G128" s="9" t="n">
        <x:f>SUM('Chi tiet BTL-BHH'!J174:J174)</x:f>
        <x:v>508333</x:v>
      </x:c>
      <x:c r="H128" s="9" t="n">
        <x:f>SUM('Chi tiet BTL-BHH'!L174:L174)</x:f>
        <x:v>40667</x:v>
      </x:c>
      <x:c r="I128" s="9" t="n">
        <x:f>SUM('Chi tiet BTL-BHH'!M174:M174)</x:f>
        <x:v>549000</x:v>
      </x:c>
      <x:c r="J128" s="9" t="n">
        <x:v>549000</x:v>
      </x:c>
      <x:c r="K128" s="9" t="n">
        <x:f>I128-J128</x:f>
        <x:v>0</x:v>
      </x:c>
      <x:c r="L128" s="2" t="str">
        <x:v>Khớp sổ AMIS 2024</x:v>
      </x:c>
    </x:row>
    <x:row r="129" ht="38" customHeight="1">
      <x:c r="A129" s="7" t="str">
        <x:v>BTL00179</x:v>
      </x:c>
      <x:c r="B129" s="6" t="d">
        <x:v>2024-11-02T00:00:00.000Z</x:v>
      </x:c>
      <x:c r="C129" s="2" t="str">
        <x:v>Khách hàng Tiktok</x:v>
      </x:c>
      <x:c r="D129" s="2" t="n">
        <x:v>1</x:v>
      </x:c>
      <x:c r="E129" s="10" t="str">
        <x:v>BHHT2024017809</x:v>
      </x:c>
      <x:c r="F129" s="11" t="n">
        <x:f>SUM('Chi tiet BTL-BHH'!H175:H175)</x:f>
        <x:v>1</x:v>
      </x:c>
      <x:c r="G129" s="9" t="n">
        <x:f>SUM('Chi tiet BTL-BHH'!J175:J175)</x:f>
        <x:v>2526852</x:v>
      </x:c>
      <x:c r="H129" s="9" t="n">
        <x:f>SUM('Chi tiet BTL-BHH'!L175:L175)</x:f>
        <x:v>202148</x:v>
      </x:c>
      <x:c r="I129" s="9" t="n">
        <x:f>SUM('Chi tiet BTL-BHH'!M175:M175)</x:f>
        <x:v>2729000</x:v>
      </x:c>
      <x:c r="J129" s="9" t="n">
        <x:v>2729000</x:v>
      </x:c>
      <x:c r="K129" s="9" t="n">
        <x:f>I129-J129</x:f>
        <x:v>0</x:v>
      </x:c>
      <x:c r="L129" s="2" t="str">
        <x:v>Khớp sổ AMIS 2024</x:v>
      </x:c>
    </x:row>
    <x:row r="130" ht="38" customHeight="1">
      <x:c r="A130" s="7" t="str">
        <x:v>BTL00187</x:v>
      </x:c>
      <x:c r="B130" s="6" t="d">
        <x:v>2024-11-03T00:00:00.000Z</x:v>
      </x:c>
      <x:c r="C130" s="2" t="str">
        <x:v>Phong Cao</x:v>
      </x:c>
      <x:c r="D130" s="2" t="n">
        <x:v>1</x:v>
      </x:c>
      <x:c r="E130" s="10" t="str">
        <x:v>BHHN2024000165</x:v>
      </x:c>
      <x:c r="F130" s="11" t="n">
        <x:f>SUM('Chi tiet BTL-BHH'!H176:H176)</x:f>
        <x:v>1</x:v>
      </x:c>
      <x:c r="G130" s="9" t="n">
        <x:f>SUM('Chi tiet BTL-BHH'!J176:J176)</x:f>
        <x:v>480556</x:v>
      </x:c>
      <x:c r="H130" s="9" t="n">
        <x:f>SUM('Chi tiet BTL-BHH'!L176:L176)</x:f>
        <x:v>38444</x:v>
      </x:c>
      <x:c r="I130" s="9" t="n">
        <x:f>SUM('Chi tiet BTL-BHH'!M176:M176)</x:f>
        <x:v>519000</x:v>
      </x:c>
      <x:c r="J130" s="9" t="n">
        <x:v>519000</x:v>
      </x:c>
      <x:c r="K130" s="9" t="n">
        <x:f>I130-J130</x:f>
        <x:v>0</x:v>
      </x:c>
      <x:c r="L130" s="2" t="str">
        <x:v>Khớp sổ AMIS 2024</x:v>
      </x:c>
    </x:row>
    <x:row r="131" ht="38" customHeight="1">
      <x:c r="A131" s="7" t="str">
        <x:v>BTL00083</x:v>
      </x:c>
      <x:c r="B131" s="6" t="d">
        <x:v>2024-11-04T00:00:00.000Z</x:v>
      </x:c>
      <x:c r="C131" s="2" t="str">
        <x:v>Khách hàng Shoppe</x:v>
      </x:c>
      <x:c r="D131" s="2" t="n">
        <x:v>2</x:v>
      </x:c>
      <x:c r="E131" s="10" t="str">
        <x:v>BHHS2024006823</x:v>
      </x:c>
      <x:c r="F131" s="11" t="n">
        <x:f>SUM('Chi tiet BTL-BHH'!H177:H178)</x:f>
        <x:v>2</x:v>
      </x:c>
      <x:c r="G131" s="9" t="n">
        <x:f>SUM('Chi tiet BTL-BHH'!J177:J178)</x:f>
        <x:v>2573148</x:v>
      </x:c>
      <x:c r="H131" s="9" t="n">
        <x:f>SUM('Chi tiet BTL-BHH'!L177:L178)</x:f>
        <x:v>205852</x:v>
      </x:c>
      <x:c r="I131" s="9" t="n">
        <x:f>SUM('Chi tiet BTL-BHH'!M177:M178)</x:f>
        <x:v>2779000</x:v>
      </x:c>
      <x:c r="J131" s="9" t="n">
        <x:v>2779000</x:v>
      </x:c>
      <x:c r="K131" s="9" t="n">
        <x:f>I131-J131</x:f>
        <x:v>0</x:v>
      </x:c>
      <x:c r="L131" s="2" t="str">
        <x:v>Khớp sổ AMIS 2024</x:v>
      </x:c>
    </x:row>
    <x:row r="132" ht="38" customHeight="1">
      <x:c r="A132" s="7" t="str">
        <x:v>BTL00085</x:v>
      </x:c>
      <x:c r="B132" s="6" t="d">
        <x:v>2024-11-04T00:00:00.000Z</x:v>
      </x:c>
      <x:c r="C132" s="2" t="str">
        <x:v>Khách hàng Shoppe</x:v>
      </x:c>
      <x:c r="D132" s="2" t="n">
        <x:v>2</x:v>
      </x:c>
      <x:c r="E132" s="10" t="str">
        <x:v>BHHS2024006209</x:v>
      </x:c>
      <x:c r="F132" s="11" t="n">
        <x:f>SUM('Chi tiet BTL-BHH'!H179:H180)</x:f>
        <x:v>2</x:v>
      </x:c>
      <x:c r="G132" s="9" t="n">
        <x:f>SUM('Chi tiet BTL-BHH'!J179:J180)</x:f>
        <x:v>1739815</x:v>
      </x:c>
      <x:c r="H132" s="9" t="n">
        <x:f>SUM('Chi tiet BTL-BHH'!L179:L180)</x:f>
        <x:v>139185</x:v>
      </x:c>
      <x:c r="I132" s="9" t="n">
        <x:f>SUM('Chi tiet BTL-BHH'!M179:M180)</x:f>
        <x:v>1879000</x:v>
      </x:c>
      <x:c r="J132" s="9" t="n">
        <x:v>1879000</x:v>
      </x:c>
      <x:c r="K132" s="9" t="n">
        <x:f>I132-J132</x:f>
        <x:v>0</x:v>
      </x:c>
      <x:c r="L132" s="2" t="str">
        <x:v>Khớp sổ AMIS 2024</x:v>
      </x:c>
    </x:row>
    <x:row r="133" ht="38" customHeight="1">
      <x:c r="A133" s="7" t="str">
        <x:v>BTL00132</x:v>
      </x:c>
      <x:c r="B133" s="6" t="d">
        <x:v>2024-11-04T00:00:00.000Z</x:v>
      </x:c>
      <x:c r="C133" s="2" t="str">
        <x:v>Khách hàng Tiktok</x:v>
      </x:c>
      <x:c r="D133" s="2" t="n">
        <x:v>1</x:v>
      </x:c>
      <x:c r="E133" s="10" t="str">
        <x:v>BHHT2024017243</x:v>
      </x:c>
      <x:c r="F133" s="11" t="n">
        <x:f>SUM('Chi tiet BTL-BHH'!H181:H181)</x:f>
        <x:v>1</x:v>
      </x:c>
      <x:c r="G133" s="9" t="n">
        <x:f>SUM('Chi tiet BTL-BHH'!J181:J181)</x:f>
        <x:v>258333</x:v>
      </x:c>
      <x:c r="H133" s="9" t="n">
        <x:f>SUM('Chi tiet BTL-BHH'!L181:L181)</x:f>
        <x:v>20667</x:v>
      </x:c>
      <x:c r="I133" s="9" t="n">
        <x:f>SUM('Chi tiet BTL-BHH'!M181:M181)</x:f>
        <x:v>279000</x:v>
      </x:c>
      <x:c r="J133" s="9" t="n">
        <x:v>279000</x:v>
      </x:c>
      <x:c r="K133" s="9" t="n">
        <x:f>I133-J133</x:f>
        <x:v>0</x:v>
      </x:c>
      <x:c r="L133" s="2" t="str">
        <x:v>Khớp sổ AMIS 2024</x:v>
      </x:c>
    </x:row>
    <x:row r="134" ht="38" customHeight="1">
      <x:c r="A134" s="7" t="str">
        <x:v>BTL00133</x:v>
      </x:c>
      <x:c r="B134" s="6" t="d">
        <x:v>2024-11-05T00:00:00.000Z</x:v>
      </x:c>
      <x:c r="C134" s="2" t="str">
        <x:v>Khách hàng Tiktok</x:v>
      </x:c>
      <x:c r="D134" s="2" t="n">
        <x:v>1</x:v>
      </x:c>
      <x:c r="E134" s="10" t="str">
        <x:v>BHHT2024022352</x:v>
      </x:c>
      <x:c r="F134" s="11" t="n">
        <x:f>SUM('Chi tiet BTL-BHH'!H182:H182)</x:f>
        <x:v>1</x:v>
      </x:c>
      <x:c r="G134" s="9" t="n">
        <x:f>SUM('Chi tiet BTL-BHH'!J182:J182)</x:f>
        <x:v>1702778</x:v>
      </x:c>
      <x:c r="H134" s="9" t="n">
        <x:f>SUM('Chi tiet BTL-BHH'!L182:L182)</x:f>
        <x:v>136222</x:v>
      </x:c>
      <x:c r="I134" s="9" t="n">
        <x:f>SUM('Chi tiet BTL-BHH'!M182:M182)</x:f>
        <x:v>1839000</x:v>
      </x:c>
      <x:c r="J134" s="9" t="n">
        <x:v>1839000</x:v>
      </x:c>
      <x:c r="K134" s="9" t="n">
        <x:f>I134-J134</x:f>
        <x:v>0</x:v>
      </x:c>
      <x:c r="L134" s="2" t="str">
        <x:v>Khớp sổ AMIS 2024</x:v>
      </x:c>
    </x:row>
    <x:row r="135" ht="38" customHeight="1">
      <x:c r="A135" s="7" t="str">
        <x:v>BTL00079</x:v>
      </x:c>
      <x:c r="B135" s="6" t="d">
        <x:v>2024-11-08T00:00:00.000Z</x:v>
      </x:c>
      <x:c r="C135" s="2" t="str">
        <x:v>Khách hàng Shoppe</x:v>
      </x:c>
      <x:c r="D135" s="2" t="n">
        <x:v>1</x:v>
      </x:c>
      <x:c r="E135" s="10" t="str">
        <x:v>BHHS2024006117</x:v>
      </x:c>
      <x:c r="F135" s="11" t="n">
        <x:f>SUM('Chi tiet BTL-BHH'!H183:H183)</x:f>
        <x:v>1</x:v>
      </x:c>
      <x:c r="G135" s="9" t="n">
        <x:f>SUM('Chi tiet BTL-BHH'!J183:J183)</x:f>
        <x:v>2573148</x:v>
      </x:c>
      <x:c r="H135" s="9" t="n">
        <x:f>SUM('Chi tiet BTL-BHH'!L183:L183)</x:f>
        <x:v>205852</x:v>
      </x:c>
      <x:c r="I135" s="9" t="n">
        <x:f>SUM('Chi tiet BTL-BHH'!M183:M183)</x:f>
        <x:v>2779000</x:v>
      </x:c>
      <x:c r="J135" s="9" t="n">
        <x:v>2779000</x:v>
      </x:c>
      <x:c r="K135" s="9" t="n">
        <x:f>I135-J135</x:f>
        <x:v>0</x:v>
      </x:c>
      <x:c r="L135" s="2" t="str">
        <x:v>Khớp sổ AMIS 2024</x:v>
      </x:c>
    </x:row>
    <x:row r="136" ht="38" customHeight="1">
      <x:c r="A136" s="7" t="str">
        <x:v>BTL00134</x:v>
      </x:c>
      <x:c r="B136" s="6" t="d">
        <x:v>2024-11-13T00:00:00.000Z</x:v>
      </x:c>
      <x:c r="C136" s="2" t="str">
        <x:v>Khách hàng Tiktok</x:v>
      </x:c>
      <x:c r="D136" s="2" t="n">
        <x:v>1</x:v>
      </x:c>
      <x:c r="E136" s="10" t="str">
        <x:v>BHHT2024021563</x:v>
      </x:c>
      <x:c r="F136" s="11" t="n">
        <x:f>SUM('Chi tiet BTL-BHH'!H184:H184)</x:f>
        <x:v>1</x:v>
      </x:c>
      <x:c r="G136" s="9" t="n">
        <x:f>SUM('Chi tiet BTL-BHH'!J184:J184)</x:f>
        <x:v>258333</x:v>
      </x:c>
      <x:c r="H136" s="9" t="n">
        <x:f>SUM('Chi tiet BTL-BHH'!L184:L184)</x:f>
        <x:v>20667</x:v>
      </x:c>
      <x:c r="I136" s="9" t="n">
        <x:f>SUM('Chi tiet BTL-BHH'!M184:M184)</x:f>
        <x:v>279000</x:v>
      </x:c>
      <x:c r="J136" s="9" t="n">
        <x:v>279000</x:v>
      </x:c>
      <x:c r="K136" s="9" t="n">
        <x:f>I136-J136</x:f>
        <x:v>0</x:v>
      </x:c>
      <x:c r="L136" s="2" t="str">
        <x:v>Khớp sổ AMIS 2024</x:v>
      </x:c>
    </x:row>
    <x:row r="137" ht="38" customHeight="1">
      <x:c r="A137" s="7" t="str">
        <x:v>BTL00135</x:v>
      </x:c>
      <x:c r="B137" s="6" t="d">
        <x:v>2024-11-16T00:00:00.000Z</x:v>
      </x:c>
      <x:c r="C137" s="2" t="str">
        <x:v>Khách hàng Tiktok</x:v>
      </x:c>
      <x:c r="D137" s="2" t="n">
        <x:v>1</x:v>
      </x:c>
      <x:c r="E137" s="10" t="str">
        <x:v>BHHT2024020876</x:v>
      </x:c>
      <x:c r="F137" s="11" t="n">
        <x:f>SUM('Chi tiet BTL-BHH'!H185:H185)</x:f>
        <x:v>1</x:v>
      </x:c>
      <x:c r="G137" s="9" t="n">
        <x:f>SUM('Chi tiet BTL-BHH'!J185:J185)</x:f>
        <x:v>1702778</x:v>
      </x:c>
      <x:c r="H137" s="9" t="n">
        <x:f>SUM('Chi tiet BTL-BHH'!L185:L185)</x:f>
        <x:v>136222</x:v>
      </x:c>
      <x:c r="I137" s="9" t="n">
        <x:f>SUM('Chi tiet BTL-BHH'!M185:M185)</x:f>
        <x:v>1839000</x:v>
      </x:c>
      <x:c r="J137" s="9" t="n">
        <x:v>1839000</x:v>
      </x:c>
      <x:c r="K137" s="9" t="n">
        <x:f>I137-J137</x:f>
        <x:v>0</x:v>
      </x:c>
      <x:c r="L137" s="2" t="str">
        <x:v>Khớp sổ AMIS 2024</x:v>
      </x:c>
    </x:row>
    <x:row r="138" ht="38" customHeight="1">
      <x:c r="A138" s="7" t="str">
        <x:v>BTL00136</x:v>
      </x:c>
      <x:c r="B138" s="6" t="d">
        <x:v>2024-11-18T00:00:00.000Z</x:v>
      </x:c>
      <x:c r="C138" s="2" t="str">
        <x:v>Khách hàng Tiktok</x:v>
      </x:c>
      <x:c r="D138" s="2" t="n">
        <x:v>1</x:v>
      </x:c>
      <x:c r="E138" s="10" t="str">
        <x:v>BHHT2024021404</x:v>
      </x:c>
      <x:c r="F138" s="11" t="n">
        <x:f>SUM('Chi tiet BTL-BHH'!H186:H186)</x:f>
        <x:v>1</x:v>
      </x:c>
      <x:c r="G138" s="9" t="n">
        <x:f>SUM('Chi tiet BTL-BHH'!J186:J186)</x:f>
        <x:v>1369444</x:v>
      </x:c>
      <x:c r="H138" s="9" t="n">
        <x:f>SUM('Chi tiet BTL-BHH'!L186:L186)</x:f>
        <x:v>109556</x:v>
      </x:c>
      <x:c r="I138" s="9" t="n">
        <x:f>SUM('Chi tiet BTL-BHH'!M186:M186)</x:f>
        <x:v>1479000</x:v>
      </x:c>
      <x:c r="J138" s="9" t="n">
        <x:v>1479000</x:v>
      </x:c>
      <x:c r="K138" s="9" t="n">
        <x:f>I138-J138</x:f>
        <x:v>0</x:v>
      </x:c>
      <x:c r="L138" s="2" t="str">
        <x:v>Khớp sổ AMIS 2024</x:v>
      </x:c>
    </x:row>
    <x:row r="139" ht="38" customHeight="1">
      <x:c r="A139" s="7" t="str">
        <x:v>BTL00137</x:v>
      </x:c>
      <x:c r="B139" s="6" t="d">
        <x:v>2024-11-19T00:00:00.000Z</x:v>
      </x:c>
      <x:c r="C139" s="2" t="str">
        <x:v>Khách hàng Tiktok</x:v>
      </x:c>
      <x:c r="D139" s="2" t="n">
        <x:v>1</x:v>
      </x:c>
      <x:c r="E139" s="10" t="str">
        <x:v>BHHT2024021245</x:v>
      </x:c>
      <x:c r="F139" s="11" t="n">
        <x:f>SUM('Chi tiet BTL-BHH'!H187:H187)</x:f>
        <x:v>1</x:v>
      </x:c>
      <x:c r="G139" s="9" t="n">
        <x:f>SUM('Chi tiet BTL-BHH'!J187:J187)</x:f>
        <x:v>237417</x:v>
      </x:c>
      <x:c r="H139" s="9" t="n">
        <x:f>SUM('Chi tiet BTL-BHH'!L187:L187)</x:f>
        <x:v>18993</x:v>
      </x:c>
      <x:c r="I139" s="9" t="n">
        <x:f>SUM('Chi tiet BTL-BHH'!M187:M187)</x:f>
        <x:v>256410</x:v>
      </x:c>
      <x:c r="J139" s="9" t="n">
        <x:v>256410</x:v>
      </x:c>
      <x:c r="K139" s="9" t="n">
        <x:f>I139-J139</x:f>
        <x:v>0</x:v>
      </x:c>
      <x:c r="L139" s="2" t="str">
        <x:v>Khớp sổ AMIS 2024</x:v>
      </x:c>
    </x:row>
    <x:row r="140" ht="38" customHeight="1">
      <x:c r="A140" s="7" t="str">
        <x:v>BTL00138</x:v>
      </x:c>
      <x:c r="B140" s="6" t="d">
        <x:v>2024-11-21T00:00:00.000Z</x:v>
      </x:c>
      <x:c r="C140" s="2" t="str">
        <x:v>Khách hàng Tiktok</x:v>
      </x:c>
      <x:c r="D140" s="2" t="n">
        <x:v>1</x:v>
      </x:c>
      <x:c r="E140" s="10" t="str">
        <x:v>BHHT2024020920</x:v>
      </x:c>
      <x:c r="F140" s="11" t="n">
        <x:f>SUM('Chi tiet BTL-BHH'!H188:H188)</x:f>
        <x:v>1</x:v>
      </x:c>
      <x:c r="G140" s="9" t="n">
        <x:f>SUM('Chi tiet BTL-BHH'!J188:J188)</x:f>
        <x:v>237417</x:v>
      </x:c>
      <x:c r="H140" s="9" t="n">
        <x:f>SUM('Chi tiet BTL-BHH'!L188:L188)</x:f>
        <x:v>18993</x:v>
      </x:c>
      <x:c r="I140" s="9" t="n">
        <x:f>SUM('Chi tiet BTL-BHH'!M188:M188)</x:f>
        <x:v>256410</x:v>
      </x:c>
      <x:c r="J140" s="9" t="n">
        <x:v>256410</x:v>
      </x:c>
      <x:c r="K140" s="9" t="n">
        <x:f>I140-J140</x:f>
        <x:v>0</x:v>
      </x:c>
      <x:c r="L140" s="2" t="str">
        <x:v>Khớp sổ AMIS 2024</x:v>
      </x:c>
    </x:row>
    <x:row r="141" ht="38" customHeight="1">
      <x:c r="A141" s="7" t="str">
        <x:v>BTL00139</x:v>
      </x:c>
      <x:c r="B141" s="6" t="d">
        <x:v>2024-11-22T00:00:00.000Z</x:v>
      </x:c>
      <x:c r="C141" s="2" t="str">
        <x:v>Khách hàng Tiktok</x:v>
      </x:c>
      <x:c r="D141" s="2" t="n">
        <x:v>2</x:v>
      </x:c>
      <x:c r="E141" s="10" t="str">
        <x:v>BHHT2024021064</x:v>
      </x:c>
      <x:c r="F141" s="11" t="n">
        <x:f>SUM('Chi tiet BTL-BHH'!H189:H190)</x:f>
        <x:v>2</x:v>
      </x:c>
      <x:c r="G141" s="9" t="n">
        <x:f>SUM('Chi tiet BTL-BHH'!J189:J190)</x:f>
        <x:v>2515185</x:v>
      </x:c>
      <x:c r="H141" s="9" t="n">
        <x:f>SUM('Chi tiet BTL-BHH'!L189:L190)</x:f>
        <x:v>201215</x:v>
      </x:c>
      <x:c r="I141" s="9" t="n">
        <x:f>SUM('Chi tiet BTL-BHH'!M189:M190)</x:f>
        <x:v>2716400</x:v>
      </x:c>
      <x:c r="J141" s="9" t="n">
        <x:v>2716400</x:v>
      </x:c>
      <x:c r="K141" s="9" t="n">
        <x:f>I141-J141</x:f>
        <x:v>0</x:v>
      </x:c>
      <x:c r="L141" s="2" t="str">
        <x:v>Khớp sổ AMIS 2024</x:v>
      </x:c>
    </x:row>
    <x:row r="142" ht="38" customHeight="1">
      <x:c r="A142" s="7" t="str">
        <x:v>BTL00140</x:v>
      </x:c>
      <x:c r="B142" s="6" t="d">
        <x:v>2024-11-25T00:00:00.000Z</x:v>
      </x:c>
      <x:c r="C142" s="2" t="str">
        <x:v>Khách hàng Tiktok</x:v>
      </x:c>
      <x:c r="D142" s="2" t="n">
        <x:v>1</x:v>
      </x:c>
      <x:c r="E142" s="10" t="str">
        <x:v>BHHT2024021229</x:v>
      </x:c>
      <x:c r="F142" s="11" t="n">
        <x:f>SUM('Chi tiet BTL-BHH'!H191:H191)</x:f>
        <x:v>1</x:v>
      </x:c>
      <x:c r="G142" s="9" t="n">
        <x:f>SUM('Chi tiet BTL-BHH'!J191:J191)</x:f>
        <x:v>938889</x:v>
      </x:c>
      <x:c r="H142" s="9" t="n">
        <x:f>SUM('Chi tiet BTL-BHH'!L191:L191)</x:f>
        <x:v>75111</x:v>
      </x:c>
      <x:c r="I142" s="9" t="n">
        <x:f>SUM('Chi tiet BTL-BHH'!M191:M191)</x:f>
        <x:v>1014000</x:v>
      </x:c>
      <x:c r="J142" s="9" t="n">
        <x:v>1014000</x:v>
      </x:c>
      <x:c r="K142" s="9" t="n">
        <x:f>I142-J142</x:f>
        <x:v>0</x:v>
      </x:c>
      <x:c r="L142" s="2" t="str">
        <x:v>Khớp sổ AMIS 2024</x:v>
      </x:c>
    </x:row>
    <x:row r="143" ht="38" customHeight="1">
      <x:c r="A143" s="7" t="str">
        <x:v>BTL00141</x:v>
      </x:c>
      <x:c r="B143" s="6" t="d">
        <x:v>2024-11-28T00:00:00.000Z</x:v>
      </x:c>
      <x:c r="C143" s="2" t="str">
        <x:v>Khách hàng Tiktok</x:v>
      </x:c>
      <x:c r="D143" s="2" t="n">
        <x:v>1</x:v>
      </x:c>
      <x:c r="E143" s="10" t="str">
        <x:v>BHHT2024020489</x:v>
      </x:c>
      <x:c r="F143" s="11" t="n">
        <x:f>SUM('Chi tiet BTL-BHH'!H192:H192)</x:f>
        <x:v>1</x:v>
      </x:c>
      <x:c r="G143" s="9" t="n">
        <x:f>SUM('Chi tiet BTL-BHH'!J192:J192)</x:f>
        <x:v>221296</x:v>
      </x:c>
      <x:c r="H143" s="9" t="n">
        <x:f>SUM('Chi tiet BTL-BHH'!L192:L192)</x:f>
        <x:v>17704</x:v>
      </x:c>
      <x:c r="I143" s="9" t="n">
        <x:f>SUM('Chi tiet BTL-BHH'!M192:M192)</x:f>
        <x:v>239000</x:v>
      </x:c>
      <x:c r="J143" s="9" t="n">
        <x:v>239000</x:v>
      </x:c>
      <x:c r="K143" s="9" t="n">
        <x:f>I143-J143</x:f>
        <x:v>0</x:v>
      </x:c>
      <x:c r="L143" s="2" t="str">
        <x:v>Khớp sổ AMIS 2024</x:v>
      </x:c>
    </x:row>
    <x:row r="144" ht="38" customHeight="1">
      <x:c r="A144" s="7" t="str">
        <x:v>BTL00142</x:v>
      </x:c>
      <x:c r="B144" s="6" t="d">
        <x:v>2024-11-30T00:00:00.000Z</x:v>
      </x:c>
      <x:c r="C144" s="2" t="str">
        <x:v>Khách hàng Tiktok</x:v>
      </x:c>
      <x:c r="D144" s="2" t="n">
        <x:v>1</x:v>
      </x:c>
      <x:c r="E144" s="10" t="str">
        <x:v>BHHT2024020800</x:v>
      </x:c>
      <x:c r="F144" s="11" t="n">
        <x:f>SUM('Chi tiet BTL-BHH'!H193:H193)</x:f>
        <x:v>1</x:v>
      </x:c>
      <x:c r="G144" s="9" t="n">
        <x:f>SUM('Chi tiet BTL-BHH'!J193:J193)</x:f>
        <x:v>962037</x:v>
      </x:c>
      <x:c r="H144" s="9" t="n">
        <x:f>SUM('Chi tiet BTL-BHH'!L193:L193)</x:f>
        <x:v>76963</x:v>
      </x:c>
      <x:c r="I144" s="9" t="n">
        <x:f>SUM('Chi tiet BTL-BHH'!M193:M193)</x:f>
        <x:v>1039000</x:v>
      </x:c>
      <x:c r="J144" s="9" t="n">
        <x:v>1039000</x:v>
      </x:c>
      <x:c r="K144" s="9" t="n">
        <x:f>I144-J144</x:f>
        <x:v>0</x:v>
      </x:c>
      <x:c r="L144" s="2" t="str">
        <x:v>Khớp sổ AMIS 2024</x:v>
      </x:c>
    </x:row>
    <x:row r="145" ht="38" customHeight="1">
      <x:c r="A145" s="7" t="str">
        <x:v>BTL00143</x:v>
      </x:c>
      <x:c r="B145" s="6" t="d">
        <x:v>2024-12-03T00:00:00.000Z</x:v>
      </x:c>
      <x:c r="C145" s="2" t="str">
        <x:v>Khách hàng Tiktok</x:v>
      </x:c>
      <x:c r="D145" s="2" t="n">
        <x:v>1</x:v>
      </x:c>
      <x:c r="E145" s="10" t="str">
        <x:v>BHHT2024020204</x:v>
      </x:c>
      <x:c r="F145" s="11" t="n">
        <x:f>SUM('Chi tiet BTL-BHH'!H194:H194)</x:f>
        <x:v>1</x:v>
      </x:c>
      <x:c r="G145" s="9" t="n">
        <x:f>SUM('Chi tiet BTL-BHH'!J194:J194)</x:f>
        <x:v>258333</x:v>
      </x:c>
      <x:c r="H145" s="9" t="n">
        <x:f>SUM('Chi tiet BTL-BHH'!L194:L194)</x:f>
        <x:v>20667</x:v>
      </x:c>
      <x:c r="I145" s="9" t="n">
        <x:f>SUM('Chi tiet BTL-BHH'!M194:M194)</x:f>
        <x:v>279000</x:v>
      </x:c>
      <x:c r="J145" s="9" t="n">
        <x:v>279000</x:v>
      </x:c>
      <x:c r="K145" s="9" t="n">
        <x:f>I145-J145</x:f>
        <x:v>0</x:v>
      </x:c>
      <x:c r="L145" s="2" t="str">
        <x:v>Khớp sổ AMIS 2024</x:v>
      </x:c>
    </x:row>
    <x:row r="146" ht="38" customHeight="1">
      <x:c r="A146" s="7" t="str">
        <x:v>BTL00144</x:v>
      </x:c>
      <x:c r="B146" s="6" t="d">
        <x:v>2024-12-03T00:00:00.000Z</x:v>
      </x:c>
      <x:c r="C146" s="2" t="str">
        <x:v>Khách hàng Tiktok</x:v>
      </x:c>
      <x:c r="D146" s="2" t="n">
        <x:v>1</x:v>
      </x:c>
      <x:c r="E146" s="10" t="str">
        <x:v>BHHT2024020202</x:v>
      </x:c>
      <x:c r="F146" s="11" t="n">
        <x:f>SUM('Chi tiet BTL-BHH'!H195:H195)</x:f>
        <x:v>1</x:v>
      </x:c>
      <x:c r="G146" s="9" t="n">
        <x:f>SUM('Chi tiet BTL-BHH'!J195:J195)</x:f>
        <x:v>258333</x:v>
      </x:c>
      <x:c r="H146" s="9" t="n">
        <x:f>SUM('Chi tiet BTL-BHH'!L195:L195)</x:f>
        <x:v>20667</x:v>
      </x:c>
      <x:c r="I146" s="9" t="n">
        <x:f>SUM('Chi tiet BTL-BHH'!M195:M195)</x:f>
        <x:v>279000</x:v>
      </x:c>
      <x:c r="J146" s="9" t="n">
        <x:v>279000</x:v>
      </x:c>
      <x:c r="K146" s="9" t="n">
        <x:f>I146-J146</x:f>
        <x:v>0</x:v>
      </x:c>
      <x:c r="L146" s="2" t="str">
        <x:v>Khớp sổ AMIS 2024</x:v>
      </x:c>
    </x:row>
    <x:row r="147" ht="38" customHeight="1">
      <x:c r="A147" s="7" t="str">
        <x:v>BTL00145</x:v>
      </x:c>
      <x:c r="B147" s="6" t="d">
        <x:v>2024-12-03T00:00:00.000Z</x:v>
      </x:c>
      <x:c r="C147" s="2" t="str">
        <x:v>Khách hàng Tiktok</x:v>
      </x:c>
      <x:c r="D147" s="2" t="n">
        <x:v>1</x:v>
      </x:c>
      <x:c r="E147" s="10" t="str"/>
      <x:c r="F147" s="11" t="n">
        <x:f>SUM('Chi tiet BTL-BHH'!H196:H196)</x:f>
        <x:v>1</x:v>
      </x:c>
      <x:c r="G147" s="9" t="n">
        <x:f>SUM('Chi tiet BTL-BHH'!J196:J196)</x:f>
        <x:v>972222</x:v>
      </x:c>
      <x:c r="H147" s="9" t="n">
        <x:f>SUM('Chi tiet BTL-BHH'!L196:L196)</x:f>
        <x:v>77778</x:v>
      </x:c>
      <x:c r="I147" s="9" t="n">
        <x:f>SUM('Chi tiet BTL-BHH'!M196:M196)</x:f>
        <x:v>1050000</x:v>
      </x:c>
      <x:c r="J147" s="9" t="n">
        <x:v>1050000</x:v>
      </x:c>
      <x:c r="K147" s="9" t="n">
        <x:f>I147-J147</x:f>
        <x:v>0</x:v>
      </x:c>
      <x:c r="L147" s="2" t="str">
        <x:v>Khớp sổ AMIS 2024</x:v>
      </x:c>
    </x:row>
    <x:row r="148" ht="38" customHeight="1">
      <x:c r="A148" s="7" t="str">
        <x:v>BTL00146</x:v>
      </x:c>
      <x:c r="B148" s="6" t="d">
        <x:v>2024-12-04T00:00:00.000Z</x:v>
      </x:c>
      <x:c r="C148" s="2" t="str">
        <x:v>Khách hàng Tiktok</x:v>
      </x:c>
      <x:c r="D148" s="2" t="n">
        <x:v>1</x:v>
      </x:c>
      <x:c r="E148" s="10" t="str">
        <x:v>BHHT2024024917</x:v>
      </x:c>
      <x:c r="F148" s="11" t="n">
        <x:f>SUM('Chi tiet BTL-BHH'!H197:H197)</x:f>
        <x:v>1</x:v>
      </x:c>
      <x:c r="G148" s="9" t="n">
        <x:f>SUM('Chi tiet BTL-BHH'!J197:J197)</x:f>
        <x:v>1702778</x:v>
      </x:c>
      <x:c r="H148" s="9" t="n">
        <x:f>SUM('Chi tiet BTL-BHH'!L197:L197)</x:f>
        <x:v>136222</x:v>
      </x:c>
      <x:c r="I148" s="9" t="n">
        <x:f>SUM('Chi tiet BTL-BHH'!M197:M197)</x:f>
        <x:v>1839000</x:v>
      </x:c>
      <x:c r="J148" s="9" t="n">
        <x:v>1839000</x:v>
      </x:c>
      <x:c r="K148" s="9" t="n">
        <x:f>I148-J148</x:f>
        <x:v>0</x:v>
      </x:c>
      <x:c r="L148" s="2" t="str">
        <x:v>Khớp sổ AMIS 2024</x:v>
      </x:c>
    </x:row>
    <x:row r="149" ht="38" customHeight="1">
      <x:c r="A149" s="7" t="str">
        <x:v>BTL00147</x:v>
      </x:c>
      <x:c r="B149" s="6" t="d">
        <x:v>2024-12-05T00:00:00.000Z</x:v>
      </x:c>
      <x:c r="C149" s="2" t="str">
        <x:v>Khách hàng Tiktok</x:v>
      </x:c>
      <x:c r="D149" s="2" t="n">
        <x:v>2</x:v>
      </x:c>
      <x:c r="E149" s="10" t="str">
        <x:v>BHHT2024024570</x:v>
      </x:c>
      <x:c r="F149" s="11" t="n">
        <x:f>SUM('Chi tiet BTL-BHH'!H198:H199)</x:f>
        <x:v>2</x:v>
      </x:c>
      <x:c r="G149" s="9" t="n">
        <x:f>SUM('Chi tiet BTL-BHH'!J198:J199)</x:f>
        <x:v>2366444</x:v>
      </x:c>
      <x:c r="H149" s="9" t="n">
        <x:f>SUM('Chi tiet BTL-BHH'!L198:L199)</x:f>
        <x:v>189316</x:v>
      </x:c>
      <x:c r="I149" s="9" t="n">
        <x:f>SUM('Chi tiet BTL-BHH'!M198:M199)</x:f>
        <x:v>2555760</x:v>
      </x:c>
      <x:c r="J149" s="9" t="n">
        <x:v>2555760</x:v>
      </x:c>
      <x:c r="K149" s="9" t="n">
        <x:f>I149-J149</x:f>
        <x:v>0</x:v>
      </x:c>
      <x:c r="L149" s="2" t="str">
        <x:v>Khớp sổ AMIS 2024</x:v>
      </x:c>
    </x:row>
    <x:row r="150" ht="38" customHeight="1">
      <x:c r="A150" s="7" t="str">
        <x:v>BTL00148</x:v>
      </x:c>
      <x:c r="B150" s="6" t="d">
        <x:v>2024-12-05T00:00:00.000Z</x:v>
      </x:c>
      <x:c r="C150" s="2" t="str">
        <x:v>Khách hàng Tiktok</x:v>
      </x:c>
      <x:c r="D150" s="2" t="n">
        <x:v>1</x:v>
      </x:c>
      <x:c r="E150" s="10" t="str">
        <x:v>BHHT2024024644</x:v>
      </x:c>
      <x:c r="F150" s="11" t="n">
        <x:f>SUM('Chi tiet BTL-BHH'!H200:H200)</x:f>
        <x:v>1</x:v>
      </x:c>
      <x:c r="G150" s="9" t="n">
        <x:f>SUM('Chi tiet BTL-BHH'!J200:J200)</x:f>
        <x:v>2573148</x:v>
      </x:c>
      <x:c r="H150" s="9" t="n">
        <x:f>SUM('Chi tiet BTL-BHH'!L200:L200)</x:f>
        <x:v>205852</x:v>
      </x:c>
      <x:c r="I150" s="9" t="n">
        <x:f>SUM('Chi tiet BTL-BHH'!M200:M200)</x:f>
        <x:v>2779000</x:v>
      </x:c>
      <x:c r="J150" s="9" t="n">
        <x:v>2779000</x:v>
      </x:c>
      <x:c r="K150" s="9" t="n">
        <x:f>I150-J150</x:f>
        <x:v>0</x:v>
      </x:c>
      <x:c r="L150" s="2" t="str">
        <x:v>Khớp sổ AMIS 2024</x:v>
      </x:c>
    </x:row>
    <x:row r="151" ht="38" customHeight="1">
      <x:c r="A151" s="7" t="str">
        <x:v>BTL00180</x:v>
      </x:c>
      <x:c r="B151" s="6" t="d">
        <x:v>2024-12-07T00:00:00.000Z</x:v>
      </x:c>
      <x:c r="C151" s="2" t="str">
        <x:v>Khách hàng Tiktok</x:v>
      </x:c>
      <x:c r="D151" s="2" t="n">
        <x:v>2</x:v>
      </x:c>
      <x:c r="E151" s="10" t="str">
        <x:v>BHHT2024024887</x:v>
      </x:c>
      <x:c r="F151" s="11" t="n">
        <x:f>SUM('Chi tiet BTL-BHH'!H201:H202)</x:f>
        <x:v>4</x:v>
      </x:c>
      <x:c r="G151" s="9" t="n">
        <x:f>SUM('Chi tiet BTL-BHH'!J201:J202)</x:f>
        <x:v>5344445</x:v>
      </x:c>
      <x:c r="H151" s="9" t="n">
        <x:f>SUM('Chi tiet BTL-BHH'!L201:L202)</x:f>
        <x:v>427555</x:v>
      </x:c>
      <x:c r="I151" s="9" t="n">
        <x:f>SUM('Chi tiet BTL-BHH'!M201:M202)</x:f>
        <x:v>5772000</x:v>
      </x:c>
      <x:c r="J151" s="9" t="n">
        <x:v>5772000</x:v>
      </x:c>
      <x:c r="K151" s="9" t="n">
        <x:f>I151-J151</x:f>
        <x:v>0</x:v>
      </x:c>
      <x:c r="L151" s="2" t="str">
        <x:v>Khớp sổ AMIS 2024</x:v>
      </x:c>
    </x:row>
    <x:row r="152" ht="38" customHeight="1">
      <x:c r="A152" s="7" t="str">
        <x:v>BTL00149</x:v>
      </x:c>
      <x:c r="B152" s="6" t="d">
        <x:v>2024-12-14T00:00:00.000Z</x:v>
      </x:c>
      <x:c r="C152" s="2" t="str">
        <x:v>Khách hàng Tiktok</x:v>
      </x:c>
      <x:c r="D152" s="2" t="n">
        <x:v>2</x:v>
      </x:c>
      <x:c r="E152" s="10" t="str">
        <x:v>BHHT2024021197</x:v>
      </x:c>
      <x:c r="F152" s="11" t="n">
        <x:f>SUM('Chi tiet BTL-BHH'!H203:H204)</x:f>
        <x:v>2</x:v>
      </x:c>
      <x:c r="G152" s="9" t="n">
        <x:f>SUM('Chi tiet BTL-BHH'!J203:J204)</x:f>
        <x:v>1702778</x:v>
      </x:c>
      <x:c r="H152" s="9" t="n">
        <x:f>SUM('Chi tiet BTL-BHH'!L203:L204)</x:f>
        <x:v>136222</x:v>
      </x:c>
      <x:c r="I152" s="9" t="n">
        <x:f>SUM('Chi tiet BTL-BHH'!M203:M204)</x:f>
        <x:v>1839000</x:v>
      </x:c>
      <x:c r="J152" s="9" t="n">
        <x:v>1839000</x:v>
      </x:c>
      <x:c r="K152" s="9" t="n">
        <x:f>I152-J152</x:f>
        <x:v>0</x:v>
      </x:c>
      <x:c r="L152" s="2" t="str">
        <x:v>Khớp sổ AMIS 2024</x:v>
      </x:c>
    </x:row>
    <x:row r="153" ht="38" customHeight="1">
      <x:c r="A153" s="7" t="str">
        <x:v>BTL00150</x:v>
      </x:c>
      <x:c r="B153" s="6" t="d">
        <x:v>2024-12-14T00:00:00.000Z</x:v>
      </x:c>
      <x:c r="C153" s="2" t="str">
        <x:v>Khách hàng Tiktok</x:v>
      </x:c>
      <x:c r="D153" s="2" t="n">
        <x:v>1</x:v>
      </x:c>
      <x:c r="E153" s="10" t="str">
        <x:v>BHHT2024024845</x:v>
      </x:c>
      <x:c r="F153" s="11" t="n">
        <x:f>SUM('Chi tiet BTL-BHH'!H205:H205)</x:f>
        <x:v>1</x:v>
      </x:c>
      <x:c r="G153" s="9" t="n">
        <x:f>SUM('Chi tiet BTL-BHH'!J205:J205)</x:f>
        <x:v>2202778</x:v>
      </x:c>
      <x:c r="H153" s="9" t="n">
        <x:f>SUM('Chi tiet BTL-BHH'!L205:L205)</x:f>
        <x:v>176222</x:v>
      </x:c>
      <x:c r="I153" s="9" t="n">
        <x:f>SUM('Chi tiet BTL-BHH'!M205:M205)</x:f>
        <x:v>2379000</x:v>
      </x:c>
      <x:c r="J153" s="9" t="n">
        <x:v>2379000</x:v>
      </x:c>
      <x:c r="K153" s="9" t="n">
        <x:f>I153-J153</x:f>
        <x:v>0</x:v>
      </x:c>
      <x:c r="L153" s="2" t="str">
        <x:v>Khớp sổ AMIS 2024</x:v>
      </x:c>
    </x:row>
    <x:row r="154" ht="38" customHeight="1">
      <x:c r="A154" s="7" t="str">
        <x:v>BTL00151</x:v>
      </x:c>
      <x:c r="B154" s="6" t="d">
        <x:v>2024-12-14T00:00:00.000Z</x:v>
      </x:c>
      <x:c r="C154" s="2" t="str">
        <x:v>Khách hàng Tiktok</x:v>
      </x:c>
      <x:c r="D154" s="2" t="n">
        <x:v>2</x:v>
      </x:c>
      <x:c r="E154" s="10" t="str">
        <x:v>BHHT2024024997</x:v>
      </x:c>
      <x:c r="F154" s="11" t="n">
        <x:f>SUM('Chi tiet BTL-BHH'!H206:H207)</x:f>
        <x:v>2</x:v>
      </x:c>
      <x:c r="G154" s="9" t="n">
        <x:f>SUM('Chi tiet BTL-BHH'!J206:J207)</x:f>
        <x:v>2315833</x:v>
      </x:c>
      <x:c r="H154" s="9" t="n">
        <x:f>SUM('Chi tiet BTL-BHH'!L206:L207)</x:f>
        <x:v>185267</x:v>
      </x:c>
      <x:c r="I154" s="9" t="n">
        <x:f>SUM('Chi tiet BTL-BHH'!M206:M207)</x:f>
        <x:v>2501100</x:v>
      </x:c>
      <x:c r="J154" s="9" t="n">
        <x:v>2501100</x:v>
      </x:c>
      <x:c r="K154" s="9" t="n">
        <x:f>I154-J154</x:f>
        <x:v>0</x:v>
      </x:c>
      <x:c r="L154" s="2" t="str">
        <x:v>Khớp sổ AMIS 2024</x:v>
      </x:c>
    </x:row>
    <x:row r="155" ht="38" customHeight="1">
      <x:c r="A155" s="7" t="str">
        <x:v>BTL00152</x:v>
      </x:c>
      <x:c r="B155" s="6" t="d">
        <x:v>2024-12-16T00:00:00.000Z</x:v>
      </x:c>
      <x:c r="C155" s="2" t="str">
        <x:v>Khách hàng Tiktok</x:v>
      </x:c>
      <x:c r="D155" s="2" t="n">
        <x:v>1</x:v>
      </x:c>
      <x:c r="E155" s="10" t="str">
        <x:v>BHHT2024023988</x:v>
      </x:c>
      <x:c r="F155" s="11" t="n">
        <x:f>SUM('Chi tiet BTL-BHH'!H208:H208)</x:f>
        <x:v>1</x:v>
      </x:c>
      <x:c r="G155" s="9" t="n">
        <x:f>SUM('Chi tiet BTL-BHH'!J208:J208)</x:f>
        <x:v>962037</x:v>
      </x:c>
      <x:c r="H155" s="9" t="n">
        <x:f>SUM('Chi tiet BTL-BHH'!L208:L208)</x:f>
        <x:v>76963</x:v>
      </x:c>
      <x:c r="I155" s="9" t="n">
        <x:f>SUM('Chi tiet BTL-BHH'!M208:M208)</x:f>
        <x:v>1039000</x:v>
      </x:c>
      <x:c r="J155" s="9" t="n">
        <x:v>1039000</x:v>
      </x:c>
      <x:c r="K155" s="9" t="n">
        <x:f>I155-J155</x:f>
        <x:v>0</x:v>
      </x:c>
      <x:c r="L155" s="2" t="str">
        <x:v>Khớp sổ AMIS 2024</x:v>
      </x:c>
    </x:row>
    <x:row r="156" ht="38" customHeight="1">
      <x:c r="A156" s="7" t="str">
        <x:v>BTL00153</x:v>
      </x:c>
      <x:c r="B156" s="6" t="d">
        <x:v>2024-12-16T00:00:00.000Z</x:v>
      </x:c>
      <x:c r="C156" s="2" t="str">
        <x:v>Khách hàng Tiktok</x:v>
      </x:c>
      <x:c r="D156" s="2" t="n">
        <x:v>1</x:v>
      </x:c>
      <x:c r="E156" s="10" t="str">
        <x:v>BHHT2024024699</x:v>
      </x:c>
      <x:c r="F156" s="11" t="n">
        <x:f>SUM('Chi tiet BTL-BHH'!H209:H209)</x:f>
        <x:v>1</x:v>
      </x:c>
      <x:c r="G156" s="9" t="n">
        <x:f>SUM('Chi tiet BTL-BHH'!J209:J209)</x:f>
        <x:v>1276851</x:v>
      </x:c>
      <x:c r="H156" s="9" t="n">
        <x:f>SUM('Chi tiet BTL-BHH'!L209:L209)</x:f>
        <x:v>102148</x:v>
      </x:c>
      <x:c r="I156" s="9" t="n">
        <x:f>SUM('Chi tiet BTL-BHH'!M209:M209)</x:f>
        <x:v>1378999</x:v>
      </x:c>
      <x:c r="J156" s="9" t="n">
        <x:v>1378999</x:v>
      </x:c>
      <x:c r="K156" s="9" t="n">
        <x:f>I156-J156</x:f>
        <x:v>0</x:v>
      </x:c>
      <x:c r="L156" s="2" t="str">
        <x:v>Khớp sổ AMIS 2024</x:v>
      </x:c>
    </x:row>
    <x:row r="157" ht="38" customHeight="1">
      <x:c r="A157" s="7" t="str">
        <x:v>BTL00154</x:v>
      </x:c>
      <x:c r="B157" s="6" t="d">
        <x:v>2024-12-19T00:00:00.000Z</x:v>
      </x:c>
      <x:c r="C157" s="2" t="str">
        <x:v>Khách hàng Tiktok</x:v>
      </x:c>
      <x:c r="D157" s="2" t="n">
        <x:v>1</x:v>
      </x:c>
      <x:c r="E157" s="10" t="str">
        <x:v>BHHT2024023181</x:v>
      </x:c>
      <x:c r="F157" s="11" t="n">
        <x:f>SUM('Chi tiet BTL-BHH'!H210:H210)</x:f>
        <x:v>1</x:v>
      </x:c>
      <x:c r="G157" s="9" t="n">
        <x:f>SUM('Chi tiet BTL-BHH'!J210:J210)</x:f>
        <x:v>449074</x:v>
      </x:c>
      <x:c r="H157" s="9" t="n">
        <x:f>SUM('Chi tiet BTL-BHH'!L210:L210)</x:f>
        <x:v>35926</x:v>
      </x:c>
      <x:c r="I157" s="9" t="n">
        <x:f>SUM('Chi tiet BTL-BHH'!M210:M210)</x:f>
        <x:v>485000</x:v>
      </x:c>
      <x:c r="J157" s="9" t="n">
        <x:v>485000</x:v>
      </x:c>
      <x:c r="K157" s="9" t="n">
        <x:f>I157-J157</x:f>
        <x:v>0</x:v>
      </x:c>
      <x:c r="L157" s="2" t="str">
        <x:v>Khớp sổ AMIS 2024</x:v>
      </x:c>
    </x:row>
    <x:row r="158" ht="38" customHeight="1">
      <x:c r="A158" s="7" t="str">
        <x:v>BTL00073</x:v>
      </x:c>
      <x:c r="B158" s="6" t="d">
        <x:v>2024-12-23T00:00:00.000Z</x:v>
      </x:c>
      <x:c r="C158" s="2" t="str">
        <x:v>Khách hàng Shoppe</x:v>
      </x:c>
      <x:c r="D158" s="2" t="n">
        <x:v>1</x:v>
      </x:c>
      <x:c r="E158" s="10" t="str">
        <x:v>BHHS2024007983</x:v>
      </x:c>
      <x:c r="F158" s="11" t="n">
        <x:f>SUM('Chi tiet BTL-BHH'!H211:H211)</x:f>
        <x:v>1</x:v>
      </x:c>
      <x:c r="G158" s="9" t="n">
        <x:f>SUM('Chi tiet BTL-BHH'!J211:J211)</x:f>
        <x:v>2573148</x:v>
      </x:c>
      <x:c r="H158" s="9" t="n">
        <x:f>SUM('Chi tiet BTL-BHH'!L211:L211)</x:f>
        <x:v>205852</x:v>
      </x:c>
      <x:c r="I158" s="9" t="n">
        <x:f>SUM('Chi tiet BTL-BHH'!M211:M211)</x:f>
        <x:v>2779000</x:v>
      </x:c>
      <x:c r="J158" s="9" t="n">
        <x:v>2779000</x:v>
      </x:c>
      <x:c r="K158" s="9" t="n">
        <x:f>I158-J158</x:f>
        <x:v>0</x:v>
      </x:c>
      <x:c r="L158" s="2" t="str">
        <x:v>Khớp sổ AMIS 2024</x:v>
      </x:c>
    </x:row>
    <x:row r="159" ht="38" customHeight="1">
      <x:c r="A159" s="7" t="str">
        <x:v>BTL00155</x:v>
      </x:c>
      <x:c r="B159" s="6" t="d">
        <x:v>2024-12-23T00:00:00.000Z</x:v>
      </x:c>
      <x:c r="C159" s="2" t="str">
        <x:v>Khách hàng Tiktok</x:v>
      </x:c>
      <x:c r="D159" s="2" t="n">
        <x:v>1</x:v>
      </x:c>
      <x:c r="E159" s="10" t="str">
        <x:v>BHHT2024023783</x:v>
      </x:c>
      <x:c r="F159" s="11" t="n">
        <x:f>SUM('Chi tiet BTL-BHH'!H212:H212)</x:f>
        <x:v>1</x:v>
      </x:c>
      <x:c r="G159" s="9" t="n">
        <x:f>SUM('Chi tiet BTL-BHH'!J212:J212)</x:f>
        <x:v>371875</x:v>
      </x:c>
      <x:c r="H159" s="9" t="n">
        <x:f>SUM('Chi tiet BTL-BHH'!L212:L212)</x:f>
        <x:v>29750</x:v>
      </x:c>
      <x:c r="I159" s="9" t="n">
        <x:f>SUM('Chi tiet BTL-BHH'!M212:M212)</x:f>
        <x:v>401625</x:v>
      </x:c>
      <x:c r="J159" s="9" t="n">
        <x:v>401625</x:v>
      </x:c>
      <x:c r="K159" s="9" t="n">
        <x:f>I159-J159</x:f>
        <x:v>0</x:v>
      </x:c>
      <x:c r="L159" s="2" t="str">
        <x:v>Khớp sổ AMIS 2024</x:v>
      </x:c>
    </x:row>
    <x:row r="160" ht="38" customHeight="1">
      <x:c r="A160" s="7" t="str">
        <x:v>BTL00156</x:v>
      </x:c>
      <x:c r="B160" s="6" t="d">
        <x:v>2024-12-25T00:00:00.000Z</x:v>
      </x:c>
      <x:c r="C160" s="2" t="str">
        <x:v>Khách hàng Tiktok</x:v>
      </x:c>
      <x:c r="D160" s="2" t="n">
        <x:v>1</x:v>
      </x:c>
      <x:c r="E160" s="10" t="str">
        <x:v>BHHT2024023250</x:v>
      </x:c>
      <x:c r="F160" s="11" t="n">
        <x:f>SUM('Chi tiet BTL-BHH'!H213:H213)</x:f>
        <x:v>1</x:v>
      </x:c>
      <x:c r="G160" s="9" t="n">
        <x:f>SUM('Chi tiet BTL-BHH'!J213:J213)</x:f>
        <x:v>1671296</x:v>
      </x:c>
      <x:c r="H160" s="9" t="n">
        <x:f>SUM('Chi tiet BTL-BHH'!L213:L213)</x:f>
        <x:v>133704</x:v>
      </x:c>
      <x:c r="I160" s="9" t="n">
        <x:f>SUM('Chi tiet BTL-BHH'!M213:M213)</x:f>
        <x:v>1805000</x:v>
      </x:c>
      <x:c r="J160" s="9" t="n">
        <x:v>1805000</x:v>
      </x:c>
      <x:c r="K160" s="9" t="n">
        <x:f>I160-J160</x:f>
        <x:v>0</x:v>
      </x:c>
      <x:c r="L160" s="2" t="str">
        <x:v>Khớp sổ AMIS 2024</x:v>
      </x:c>
    </x:row>
    <x:row r="161" ht="38" customHeight="1">
      <x:c r="A161" s="7" t="str">
        <x:v>BTL00072</x:v>
      </x:c>
      <x:c r="B161" s="6" t="d">
        <x:v>2024-12-27T00:00:00.000Z</x:v>
      </x:c>
      <x:c r="C161" s="2" t="str">
        <x:v>Khách hàng Shoppe</x:v>
      </x:c>
      <x:c r="D161" s="2" t="n">
        <x:v>2</x:v>
      </x:c>
      <x:c r="E161" s="10" t="str">
        <x:v>BHHS2024008054</x:v>
      </x:c>
      <x:c r="F161" s="11" t="n">
        <x:f>SUM('Chi tiet BTL-BHH'!H214:H215)</x:f>
        <x:v>2</x:v>
      </x:c>
      <x:c r="G161" s="9" t="n">
        <x:f>SUM('Chi tiet BTL-BHH'!J214:J215)</x:f>
        <x:v>1702778</x:v>
      </x:c>
      <x:c r="H161" s="9" t="n">
        <x:f>SUM('Chi tiet BTL-BHH'!L214:L215)</x:f>
        <x:v>136222</x:v>
      </x:c>
      <x:c r="I161" s="9" t="n">
        <x:f>SUM('Chi tiet BTL-BHH'!M214:M215)</x:f>
        <x:v>1839000</x:v>
      </x:c>
      <x:c r="J161" s="9" t="n">
        <x:v>1839000</x:v>
      </x:c>
      <x:c r="K161" s="9" t="n">
        <x:f>I161-J161</x:f>
        <x:v>0</x:v>
      </x:c>
      <x:c r="L161" s="2" t="str">
        <x:v>Khớp sổ AMIS 2024</x:v>
      </x:c>
    </x:row>
    <x:row r="162" ht="38" customHeight="1">
      <x:c r="A162" s="7" t="str">
        <x:v>BTL00157</x:v>
      </x:c>
      <x:c r="B162" s="6" t="d">
        <x:v>2024-12-27T00:00:00.000Z</x:v>
      </x:c>
      <x:c r="C162" s="2" t="str">
        <x:v>Khách hàng Tiktok</x:v>
      </x:c>
      <x:c r="D162" s="2" t="n">
        <x:v>2</x:v>
      </x:c>
      <x:c r="E162" s="10" t="str">
        <x:v>BHHT2024023050</x:v>
      </x:c>
      <x:c r="F162" s="11" t="n">
        <x:f>SUM('Chi tiet BTL-BHH'!H216:H217)</x:f>
        <x:v>2</x:v>
      </x:c>
      <x:c r="G162" s="9" t="n">
        <x:f>SUM('Chi tiet BTL-BHH'!J216:J217)</x:f>
        <x:v>1636111</x:v>
      </x:c>
      <x:c r="H162" s="9" t="n">
        <x:f>SUM('Chi tiet BTL-BHH'!L216:L217)</x:f>
        <x:v>130889</x:v>
      </x:c>
      <x:c r="I162" s="9" t="n">
        <x:f>SUM('Chi tiet BTL-BHH'!M216:M217)</x:f>
        <x:v>1767000</x:v>
      </x:c>
      <x:c r="J162" s="9" t="n">
        <x:v>1767000</x:v>
      </x:c>
      <x:c r="K162" s="9" t="n">
        <x:f>I162-J162</x:f>
        <x:v>0</x:v>
      </x:c>
      <x:c r="L162" s="2" t="str">
        <x:v>Khớp sổ AMIS 2024</x:v>
      </x:c>
    </x:row>
    <x:row r="163" ht="38" customHeight="1">
      <x:c r="A163" s="7" t="str">
        <x:v>BTL00158</x:v>
      </x:c>
      <x:c r="B163" s="6" t="d">
        <x:v>2024-12-27T00:00:00.000Z</x:v>
      </x:c>
      <x:c r="C163" s="2" t="str">
        <x:v>Khách hàng Tiktok</x:v>
      </x:c>
      <x:c r="D163" s="2" t="n">
        <x:v>2</x:v>
      </x:c>
      <x:c r="E163" s="10" t="str">
        <x:v>BHHT2024023305</x:v>
      </x:c>
      <x:c r="F163" s="11" t="n">
        <x:f>SUM('Chi tiet BTL-BHH'!H218:H219)</x:f>
        <x:v>2</x:v>
      </x:c>
      <x:c r="G163" s="9" t="n">
        <x:f>SUM('Chi tiet BTL-BHH'!J218:J219)</x:f>
        <x:v>1702778</x:v>
      </x:c>
      <x:c r="H163" s="9" t="n">
        <x:f>SUM('Chi tiet BTL-BHH'!L218:L219)</x:f>
        <x:v>136222</x:v>
      </x:c>
      <x:c r="I163" s="9" t="n">
        <x:f>SUM('Chi tiet BTL-BHH'!M218:M219)</x:f>
        <x:v>1839000</x:v>
      </x:c>
      <x:c r="J163" s="9" t="n">
        <x:v>1839000</x:v>
      </x:c>
      <x:c r="K163" s="9" t="n">
        <x:f>I163-J163</x:f>
        <x:v>0</x:v>
      </x:c>
      <x:c r="L163" s="2" t="str">
        <x:v>Khớp sổ AMIS 2024</x:v>
      </x:c>
    </x:row>
    <x:row r="164" ht="38" customHeight="1">
      <x:c r="A164" s="7" t="str">
        <x:v>BTL00071</x:v>
      </x:c>
      <x:c r="B164" s="6" t="d">
        <x:v>2024-12-28T00:00:00.000Z</x:v>
      </x:c>
      <x:c r="C164" s="2" t="str">
        <x:v>Khách hàng Shoppe</x:v>
      </x:c>
      <x:c r="D164" s="2" t="n">
        <x:v>1</x:v>
      </x:c>
      <x:c r="E164" s="10" t="str">
        <x:v>BHHS2024008957</x:v>
      </x:c>
      <x:c r="F164" s="11" t="n">
        <x:f>SUM('Chi tiet BTL-BHH'!H220:H220)</x:f>
        <x:v>1</x:v>
      </x:c>
      <x:c r="G164" s="9" t="n">
        <x:f>SUM('Chi tiet BTL-BHH'!J220:J220)</x:f>
        <x:v>962037</x:v>
      </x:c>
      <x:c r="H164" s="9" t="n">
        <x:f>SUM('Chi tiet BTL-BHH'!L220:L220)</x:f>
        <x:v>76963</x:v>
      </x:c>
      <x:c r="I164" s="9" t="n">
        <x:f>SUM('Chi tiet BTL-BHH'!M220:M220)</x:f>
        <x:v>1039000</x:v>
      </x:c>
      <x:c r="J164" s="9" t="n">
        <x:v>1039000</x:v>
      </x:c>
      <x:c r="K164" s="9" t="n">
        <x:f>I164-J164</x:f>
        <x:v>0</x:v>
      </x:c>
      <x:c r="L164" s="2" t="str">
        <x:v>Khớp sổ AMIS 2024</x:v>
      </x:c>
    </x:row>
  </x:sheetData>
  <x:conditionalFormatting sqref="K2:K164">
    <x:cfRule type="cellIs" dxfId="1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93eb31c56249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5" hidden="0" customWidth="1"/>
  </x:cols>
  <x:sheetData>
    <x:row r="1" ht="44" customHeight="1">
      <x:c r="A1" s="5" t="str">
        <x:v>Nội dung</x:v>
      </x:c>
      <x:c r="B1" s="5" t="str">
        <x:v>Giá trị</x:v>
      </x:c>
    </x:row>
    <x:row r="2" ht="42" customHeight="1">
      <x:c r="A2" s="2" t="str">
        <x:v>Đơn vị</x:v>
      </x:c>
      <x:c r="B2" s="10" t="str">
        <x:v>CÔNG TY CỔ PHẦN CÔNG NGHỆ UVGREEN</x:v>
      </x:c>
    </x:row>
    <x:row r="3" ht="42" customHeight="1">
      <x:c r="A3" s="2" t="str">
        <x:v>Dữ liệu kế toán</x:v>
      </x:c>
      <x:c r="B3" s="10" t="str">
        <x:v>KETOAN_2020_PhucHoi_190120262046</x:v>
      </x:c>
    </x:row>
    <x:row r="4" ht="42" customHeight="1">
      <x:c r="A4" s="2" t="str">
        <x:v>Kỳ lấy phiếu BTL</x:v>
      </x:c>
      <x:c r="B4" s="10" t="str">
        <x:v>01/01/2024-31/12/2024</x:v>
      </x:c>
    </x:row>
    <x:row r="5" ht="42" customHeight="1">
      <x:c r="A5" s="2" t="str">
        <x:v>Số phiếu BTL</x:v>
      </x:c>
      <x:c r="B5" s="10" t="n">
        <x:f>COUNTA('Phieu BTL'!A2:A164)</x:f>
        <x:v>163</x:v>
      </x:c>
    </x:row>
    <x:row r="6" ht="42" customHeight="1">
      <x:c r="A6" s="2" t="str">
        <x:v>Số dòng hàng trả</x:v>
      </x:c>
      <x:c r="B6" s="10" t="n">
        <x:f>COUNTA('Chi tiet BTL-BHH'!A2:A220)</x:f>
        <x:v>219</x:v>
      </x:c>
    </x:row>
    <x:row r="7" ht="42" customHeight="1">
      <x:c r="A7" s="2" t="str">
        <x:v>Số BHH gốc khác nhau</x:v>
      </x:c>
      <x:c r="B7" s="10" t="n">
        <x:v>162</x:v>
      </x:c>
    </x:row>
    <x:row r="8" ht="42" customHeight="1">
      <x:c r="A8" s="2" t="str">
        <x:v>Số dòng trống BHH</x:v>
      </x:c>
      <x:c r="B8" s="10" t="n">
        <x:v>1</x:v>
      </x:c>
    </x:row>
    <x:row r="9" ht="42" customHeight="1">
      <x:c r="A9" s="2" t="str">
        <x:v>Tiền hàng trả (VND)</x:v>
      </x:c>
      <x:c r="B9" s="12" t="n">
        <x:f>SUM('Chi tiet BTL-BHH'!J2:J220)</x:f>
        <x:v>225865926</x:v>
      </x:c>
    </x:row>
    <x:row r="10" ht="42" customHeight="1">
      <x:c r="A10" s="2" t="str">
        <x:v>VAT trả (VND)</x:v>
      </x:c>
      <x:c r="B10" s="12" t="n">
        <x:f>SUM('Chi tiet BTL-BHH'!L2:L220)</x:f>
        <x:v>18069275</x:v>
      </x:c>
    </x:row>
    <x:row r="11" ht="42" customHeight="1">
      <x:c r="A11" s="2" t="str">
        <x:v>Tổng tiền trả (VND)</x:v>
      </x:c>
      <x:c r="B11" s="12" t="n">
        <x:f>SUM('Chi tiet BTL-BHH'!M2:M220)</x:f>
        <x:v>243935201</x:v>
      </x:c>
    </x:row>
    <x:row r="12" ht="42" customHeight="1">
      <x:c r="A12" s="2" t="str">
        <x:v>Phiếu khác sổ AMIS 2024</x:v>
      </x:c>
      <x:c r="B12" s="10" t="n">
        <x:v>0</x:v>
      </x:c>
    </x:row>
    <x:row r="13" ht="42" customHeight="1">
      <x:c r="A13" s="2" t="str">
        <x:v>Nguồn đọc</x:v>
      </x:c>
      <x:c r="B13" s="10" t="str">
        <x:v>Bán hàng → Trả lại hàng bán → Chi tiết → Số CT bán hàng</x:v>
      </x:c>
    </x:row>
    <x:row r="14" ht="42" customHeight="1">
      <x:c r="A14" s="2" t="str">
        <x:v>Phương pháp</x:v>
      </x:c>
      <x:c r="B14" s="10" t="str">
        <x:v>Đọc trực tiếp từng phiếu và từng dòng hàng trên AMIS. Kiểm đủ dòng và tổng tiền, đối chiếu từng dòng với sổ AMIS 2024.</x:v>
      </x:c>
    </x:row>
    <x:row r="15" ht="42" customHeight="1">
      <x:c r="A15" s="2" t="str">
        <x:v>Ý nghĩa BHH</x:v>
      </x:c>
      <x:c r="B15" s="10" t="str">
        <x:v>Giữ nguyên BHH do AMIS hiển thị, không suy đoán theo tên, số tiền hay đơn giá.</x:v>
      </x:c>
    </x:row>
    <x:row r="16" ht="42" customHeight="1">
      <x:c r="A16" s="2" t="str">
        <x:v>Nguồn sổ đối chiếu</x:v>
      </x:c>
      <x:c r="B16" s="10" t="str">
        <x:v>So_chi_tiet_ban_hang_2024.xlsx, sheet SỔ CHI TIẾT BÁN HÀNG; số dòng gốc ở cột cuối bảng chi tiết.</x:v>
      </x:c>
    </x:row>
    <x:row r="17" ht="42" customHeight="1">
      <x:c r="A17" s="2" t="str">
        <x:v>Ngày trích dữ liệu</x:v>
      </x:c>
      <x:c r="B17" s="10" t="str">
        <x:v>26/10/2026</x:v>
      </x:c>
    </x:row>
    <x:row r="18" ht="42" customHeight="1">
      <x:c r="A18" s="2" t="str">
        <x:v>Thao tác trên AMIS</x:v>
      </x:c>
      <x:c r="B18" s="10" t="str">
        <x:v>Chỉ xem, lọc và đọc dữ liệu. Không sửa, ghi sổ, bỏ ghi hay xóa chứng từ.</x:v>
      </x:c>
    </x:row>
    <x:row r="19" ht="42" customHeight="1">
      <x:c r="A19" s="2" t="str">
        <x:v>Phiếu cần kiểm tra</x:v>
      </x:c>
      <x:c r="B19" s="10" t="str">
        <x:v>BTL00145 / SP000042 đang trống Số CT bán hàng trên AMIS; giữ nguyên trống, xem Chua co BHH.</x:v>
      </x:c>
    </x:row>
  </x:sheetData>
  <x:pageMargins left="0.7" right="0.7" top="0.75" bottom="0.75" header="0.3" footer="0.3"/>
  <x:tableParts count="1">
    <x:tablePart xmlns:r="http://schemas.openxmlformats.org/officeDocument/2006/relationships" r:id="R3d3e717c6e3a46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9" hidden="0" customWidth="1"/>
    <x:col min="4" max="4" width="13" hidden="0" customWidth="1"/>
    <x:col min="5" max="5" width="25" hidden="0" customWidth="1"/>
    <x:col min="6" max="6" width="85" hidden="0" customWidth="1"/>
    <x:col min="7" max="7" width="12" hidden="0" customWidth="1"/>
    <x:col min="8" max="8" width="18" hidden="0" customWidth="1"/>
    <x:col min="9" max="9" width="25" hidden="0" customWidth="1"/>
    <x:col min="10" max="10" width="25" hidden="0" customWidth="1"/>
    <x:col min="11" max="11" width="21" hidden="0" customWidth="1"/>
    <x:col min="12" max="12" width="25" hidden="0" customWidth="1"/>
    <x:col min="13" max="13" width="27" hidden="0" customWidth="1"/>
    <x:col min="14" max="14" width="34" hidden="0" customWidth="1"/>
    <x:col min="15" max="15" width="27" hidden="0" customWidth="1"/>
    <x:col min="16" max="16" width="32" hidden="0" customWidth="1"/>
    <x:col min="17" max="17" width="24" hidden="0" customWidth="1"/>
  </x:cols>
  <x:sheetData>
    <x:row r="1" ht="44" customHeight="1">
      <x:c r="A1" s="5" t="str">
        <x:v>Số phiếu BTL</x:v>
      </x:c>
      <x:c r="B1" s="5" t="str">
        <x:v>Ngày hạch toán</x:v>
      </x:c>
      <x:c r="C1" s="5" t="str">
        <x:v>BHH gốc đang trống</x:v>
      </x:c>
      <x:c r="D1" s="5" t="str">
        <x:v>Dòng BTL</x:v>
      </x:c>
      <x:c r="E1" s="5" t="str">
        <x:v>Mã hàng</x:v>
      </x:c>
      <x:c r="F1" s="5" t="str">
        <x:v>Tên hàng</x:v>
      </x:c>
      <x:c r="G1" s="5" t="str">
        <x:v>ĐVT</x:v>
      </x:c>
      <x:c r="H1" s="5" t="str">
        <x:v>Số lượng trả</x:v>
      </x:c>
      <x:c r="I1" s="5" t="str">
        <x:v>Đơn giá (VND)</x:v>
      </x:c>
      <x:c r="J1" s="5" t="str">
        <x:v>Tiền hàng trả (VND)</x:v>
      </x:c>
      <x:c r="K1" s="5" t="str">
        <x:v>Thuế suất GTGT (%)</x:v>
      </x:c>
      <x:c r="L1" s="5" t="str">
        <x:v>Tiền thuế GTGT (VND)</x:v>
      </x:c>
      <x:c r="M1" s="5" t="str">
        <x:v>Tổng tiền trả (VND)</x:v>
      </x:c>
      <x:c r="N1" s="5" t="str">
        <x:v>Khách hàng</x:v>
      </x:c>
      <x:c r="O1" s="5" t="str">
        <x:v>Tình trạng</x:v>
      </x:c>
      <x:c r="P1" s="5" t="str">
        <x:v>Đối chiếu sổ AMIS 2024</x:v>
      </x:c>
      <x:c r="Q1" s="5" t="str">
        <x:v>Dòng sổ AMIS</x:v>
      </x:c>
    </x:row>
    <x:row r="2" ht="42" customHeight="1">
      <x:c r="A2" s="2" t="str">
        <x:v>BTL00145</x:v>
      </x:c>
      <x:c r="B2" s="6" t="d">
        <x:v>2024-12-03T00:00:00.000Z</x:v>
      </x:c>
      <x:c r="C2" s="13" t="str"/>
      <x:c r="D2" s="2" t="n">
        <x:v>1</x:v>
      </x:c>
      <x:c r="E2" s="2" t="str">
        <x:v>SP000042</x:v>
      </x:c>
      <x:c r="F2" s="10" t="str">
        <x:v>Bình nước giữ nhiệt thông minh UVGREEN UK100 Màu trắng</x:v>
      </x:c>
      <x:c r="G2" s="2" t="str">
        <x:v>Cái</x:v>
      </x:c>
      <x:c r="H2" s="8" t="n">
        <x:v>1</x:v>
      </x:c>
      <x:c r="I2" s="8" t="n">
        <x:v>972222</x:v>
      </x:c>
      <x:c r="J2" s="14" t="n">
        <x:v>972222</x:v>
      </x:c>
      <x:c r="K2" s="14" t="n">
        <x:v>8</x:v>
      </x:c>
      <x:c r="L2" s="14" t="n">
        <x:v>77778</x:v>
      </x:c>
      <x:c r="M2" s="14" t="n">
        <x:f>J2+L2</x:f>
        <x:v>1050000</x:v>
      </x:c>
      <x:c r="N2" s="2" t="str">
        <x:v>Khách hàng Tiktok</x:v>
      </x:c>
      <x:c r="O2" s="2" t="str">
        <x:v>Trống BHH trên AMIS</x:v>
      </x:c>
      <x:c r="P2" s="2" t="str">
        <x:v>Khớp sổ AMIS 2024</x:v>
      </x:c>
      <x:c r="Q2" s="2" t="str">
        <x:v>40633</x:v>
      </x:c>
    </x:row>
  </x:sheetData>
  <x:pageMargins left="0.7" right="0.7" top="0.75" bottom="0.75" header="0.3" footer="0.3"/>
  <x:tableParts count="1">
    <x:tablePart xmlns:r="http://schemas.openxmlformats.org/officeDocument/2006/relationships" r:id="R2fce768deab74237"/>
  </x:tableParts>
</x:worksheet>
</file>