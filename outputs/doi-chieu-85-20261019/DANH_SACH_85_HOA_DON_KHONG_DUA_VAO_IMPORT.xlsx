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VG\outputs\doi-chieu-85-20261019\"/>
    </mc:Choice>
  </mc:AlternateContent>
  <xr:revisionPtr revIDLastSave="0" documentId="13_ncr:1_{3B2F7336-0F8D-4332-AFA5-72F1D14D26E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ng hop" sheetId="1" r:id="rId1"/>
    <sheet name="85 hoa don" sheetId="2" r:id="rId2"/>
  </sheets>
  <calcPr calcId="181029" iterateDelta="1E-4"/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10" i="1" s="1"/>
</calcChain>
</file>

<file path=xl/sharedStrings.xml><?xml version="1.0" encoding="utf-8"?>
<sst xmlns="http://schemas.openxmlformats.org/spreadsheetml/2006/main" count="804" uniqueCount="310">
  <si>
    <t>85 HÓA ĐƠN GIỮ NGOÀI BỘ IMPORT</t>
  </si>
  <si>
    <t>Nhóm</t>
  </si>
  <si>
    <t>Số hóa đơn</t>
  </si>
  <si>
    <t>Số chuỗi</t>
  </si>
  <si>
    <t>Lý do giữ ngoài import</t>
  </si>
  <si>
    <t>31 chuỗi đã khớp</t>
  </si>
  <si>
    <t>Chi tiết và số tiền đã khớp; giữ nguyên cả chuỗi.</t>
  </si>
  <si>
    <t>6 cặp giữ riêng</t>
  </si>
  <si>
    <t>Đã chốt giữ toàn bộ 6 cặp ngoài đợt xử lý.</t>
  </si>
  <si>
    <t>Ngoại lệ công ty</t>
  </si>
  <si>
    <t>Thuộc chuỗi ngoại lệ công ty/MST, đã tách riêng.</t>
  </si>
  <si>
    <t>3 chuỗi cùng sản phẩm</t>
  </si>
  <si>
    <t>Đã chốt giữ nguyên 3 chuỗi cùng sản phẩm.</t>
  </si>
  <si>
    <t>Chỉ điều chỉnh tên</t>
  </si>
  <si>
    <t>Giữ điều chỉnh tên 00009186; chỉ xử lý gốc 00009072.</t>
  </si>
  <si>
    <t>Tổng hóa đơn</t>
  </si>
  <si>
    <t>Đối chiếu theo ký hiệu + số hóa đơn; mỗi hóa đơn chỉ xuất hiện một lần.</t>
  </si>
  <si>
    <t>KT: 11.274 lượt − 747 lượt trùng = 10.527 hóa đơn riêng biệt.</t>
  </si>
  <si>
    <t>10.527 − 85 = 10.442 hóa đơn thuộc bộ import hiện tại.</t>
  </si>
  <si>
    <t>Nguồn KT: KE HOACH XUAT LAI HD 2024-T6.2025.xls</t>
  </si>
  <si>
    <t>Sheet: BK HĐ 24-25 (BSUNG) (2); chỉ lấy các dòng có cột AL trống.</t>
  </si>
  <si>
    <t>Căn cứ phân nhóm: workbook Đã điều chỉnh và Ngoại lệ hiện tại, quyết định kế toán 11/10/2026.</t>
  </si>
  <si>
    <t>Hai HĐ ghi hủy nội bộ 1C25TUV/00001943 và 00002060 không thuộc danh sách 85 này.</t>
  </si>
  <si>
    <t>Tệp này phục vụ đối chiếu; chưa thay đổi file KT hoặc bộ import.</t>
  </si>
  <si>
    <t>DANH SÁCH 85 HÓA ĐƠN — ĐỐI CHIẾU VỚI KẾ TOÁN</t>
  </si>
  <si>
    <t>62 đã khớp + 12 giữ riêng + 4 ngoại lệ công ty + 6 cùng sản phẩm + 1 điều chỉnh tên = 85 hóa đơn.</t>
  </si>
  <si>
    <t>Cột K ghi vị trí trong sheet BK HĐ 24-25 (BSUNG) (2); cột L ghi sheet/dòng căn cứ của bộ UVG.</t>
  </si>
  <si>
    <t>STT</t>
  </si>
  <si>
    <t>Ký hiệu</t>
  </si>
  <si>
    <t>Ngày hóa đơn</t>
  </si>
  <si>
    <t>Hóa đơn gốc của chuỗi</t>
  </si>
  <si>
    <t>Vai trò</t>
  </si>
  <si>
    <t>Tên người mua</t>
  </si>
  <si>
    <t>Tổng thanh toán (VND)</t>
  </si>
  <si>
    <t>Lý do không đưa vào import</t>
  </si>
  <si>
    <t>Vị trí trong sheet KT</t>
  </si>
  <si>
    <t>Căn cứ giữ ngoài import</t>
  </si>
  <si>
    <t>1C25TUV</t>
  </si>
  <si>
    <t>00000850</t>
  </si>
  <si>
    <t>1C25TUV/00000850</t>
  </si>
  <si>
    <t>Gốc</t>
  </si>
  <si>
    <t>KHÁCH HÀNG LẺ TT -KHÔNG LẤY HÓA ĐƠN</t>
  </si>
  <si>
    <t>Chi tiết và số tiền điều chỉnh đã khớp gốc; giữ nguyên cả chuỗi, không tạo điều chỉnh mới.</t>
  </si>
  <si>
    <t>dòng 1641 (B–C)</t>
  </si>
  <si>
    <t>42 - Da khop 31, dòng 4. Tên hàng, ĐVT, số lượng giảm, đơn giá và số tiền khớp gốc. Giữ nguyên về các chỉ tiêu đã kiểm.</t>
  </si>
  <si>
    <t>00013065</t>
  </si>
  <si>
    <t>Điều chỉnh</t>
  </si>
  <si>
    <t>dòng 1641 (cột F1/F2/F3)</t>
  </si>
  <si>
    <t>00001640</t>
  </si>
  <si>
    <t>1C25TUV/00001640</t>
  </si>
  <si>
    <t>dòng 2431 (B–C)</t>
  </si>
  <si>
    <t>42 - Da khop 31, dòng 5. Tên hàng, ĐVT, số lượng giảm, đơn giá và số tiền khớp gốc. Giữ nguyên về các chỉ tiêu đã kiểm.</t>
  </si>
  <si>
    <t>00013066</t>
  </si>
  <si>
    <t>dòng 2431 (cột F1/F2/F3)</t>
  </si>
  <si>
    <t>00001680</t>
  </si>
  <si>
    <t>1C25TUV/00001680</t>
  </si>
  <si>
    <t>dòng 2471 (B–C)</t>
  </si>
  <si>
    <t>42 - Da khop 31, dòng 6. Tên hàng, ĐVT, số lượng giảm, đơn giá và số tiền khớp gốc. Giữ nguyên về các chỉ tiêu đã kiểm.</t>
  </si>
  <si>
    <t>00013067</t>
  </si>
  <si>
    <t>dòng 2471 (cột F1/F2/F3)</t>
  </si>
  <si>
    <t>00001892</t>
  </si>
  <si>
    <t>1C25TUV/00001892</t>
  </si>
  <si>
    <t>dòng 2683 (B–C)</t>
  </si>
  <si>
    <t>42 - Da khop 31, dòng 7. Tên hàng, ĐVT, số lượng giảm, đơn giá và số tiền khớp gốc. Giữ nguyên về các chỉ tiêu đã kiểm.</t>
  </si>
  <si>
    <t>00013069</t>
  </si>
  <si>
    <t>dòng 2683 (cột F1/F2/F3)</t>
  </si>
  <si>
    <t>00002500</t>
  </si>
  <si>
    <t>1C25TUV/00002500</t>
  </si>
  <si>
    <t>KHÁCH HÀNG LẺ TT - KHÔNG LẤY HÓA ĐƠN</t>
  </si>
  <si>
    <t>dòng 3291 (B–C)</t>
  </si>
  <si>
    <t>42 - Da khop 31, dòng 8. Tên hàng, ĐVT, số lượng giảm, đơn giá và số tiền khớp gốc. Giữ nguyên về các chỉ tiêu đã kiểm.</t>
  </si>
  <si>
    <t>00013068</t>
  </si>
  <si>
    <t>dòng 3291 (cột F1/F2/F3)</t>
  </si>
  <si>
    <t>00003139</t>
  </si>
  <si>
    <t>1C25TUV/00003139</t>
  </si>
  <si>
    <t>KHÁCH HÀNG LẺ TIKTOK - KHÔNG LẤY HÓA ĐƠN</t>
  </si>
  <si>
    <t>dòng 3930 (B–C)</t>
  </si>
  <si>
    <t>42 - Da khop 31, dòng 9. Tên hàng, ĐVT, số lượng giảm, đơn giá và số tiền khớp gốc. Giữ nguyên về các chỉ tiêu đã kiểm.</t>
  </si>
  <si>
    <t>00013071</t>
  </si>
  <si>
    <t>dòng 3930 (cột F1/F2/F3)</t>
  </si>
  <si>
    <t>00003256</t>
  </si>
  <si>
    <t>1C25TUV/00003256</t>
  </si>
  <si>
    <t>dòng 4047 (B–C)</t>
  </si>
  <si>
    <t>42 - Da khop 31, dòng 10. Tên hàng, ĐVT, số lượng giảm, đơn giá và số tiền khớp gốc. Giữ nguyên về các chỉ tiêu đã kiểm.</t>
  </si>
  <si>
    <t>00013074</t>
  </si>
  <si>
    <t>dòng 4047 (cột F1/F2/F3)</t>
  </si>
  <si>
    <t>00003267</t>
  </si>
  <si>
    <t>1C25TUV/00003267</t>
  </si>
  <si>
    <t>dòng 4058 (B–C)</t>
  </si>
  <si>
    <t>42 - Da khop 31, dòng 11. Tên hàng, ĐVT, số lượng giảm, đơn giá và số tiền khớp gốc. Giữ nguyên về các chỉ tiêu đã kiểm.</t>
  </si>
  <si>
    <t>00013075</t>
  </si>
  <si>
    <t>dòng 4058 (cột F1/F2/F3)</t>
  </si>
  <si>
    <t>00003271</t>
  </si>
  <si>
    <t>1C25TUV/00003271</t>
  </si>
  <si>
    <t>dòng 4062 (B–C)</t>
  </si>
  <si>
    <t>42 - Da khop 31, dòng 12. Tên hàng, ĐVT, số lượng giảm, đơn giá và số tiền khớp gốc. Giữ nguyên về các chỉ tiêu đã kiểm.</t>
  </si>
  <si>
    <t>00013077</t>
  </si>
  <si>
    <t>dòng 4062 (cột F1/F2/F3)</t>
  </si>
  <si>
    <t>00003433</t>
  </si>
  <si>
    <t>1C25TUV/00003433</t>
  </si>
  <si>
    <t>dòng 4224 (B–C)</t>
  </si>
  <si>
    <t>42 - Da khop 31, dòng 13. Tên hàng, ĐVT, số lượng giảm, đơn giá và số tiền khớp gốc. Giữ nguyên về các chỉ tiêu đã kiểm.</t>
  </si>
  <si>
    <t>00013078</t>
  </si>
  <si>
    <t>dòng 4224 (cột F1/F2/F3)</t>
  </si>
  <si>
    <t>00003498</t>
  </si>
  <si>
    <t>1C25TUV/00003498</t>
  </si>
  <si>
    <t>dòng 4289 (B–C)</t>
  </si>
  <si>
    <t>42 - Da khop 31, dòng 14. Tên hàng, ĐVT, số lượng giảm, đơn giá và số tiền khớp gốc. Giữ nguyên về các chỉ tiêu đã kiểm.</t>
  </si>
  <si>
    <t>00013076</t>
  </si>
  <si>
    <t>dòng 4289 (cột F1/F2/F3)</t>
  </si>
  <si>
    <t>00003510</t>
  </si>
  <si>
    <t>1C25TUV/00003510</t>
  </si>
  <si>
    <t>dòng 4301 (B–C)</t>
  </si>
  <si>
    <t>42 - Da khop 31, dòng 15. Tên hàng, ĐVT, số lượng giảm, đơn giá và số tiền khớp gốc. Giữ nguyên về các chỉ tiêu đã kiểm.</t>
  </si>
  <si>
    <t>00013073</t>
  </si>
  <si>
    <t>dòng 4301 (cột F1/F2/F3)</t>
  </si>
  <si>
    <t>00003673</t>
  </si>
  <si>
    <t>1C25TUV/00003673</t>
  </si>
  <si>
    <t>dòng 4464 (B–C)</t>
  </si>
  <si>
    <t>42 - Da khop 31, dòng 16. Tên hàng, ĐVT, số lượng giảm, đơn giá và số tiền khớp gốc. Giữ nguyên về các chỉ tiêu đã kiểm.</t>
  </si>
  <si>
    <t>00013086</t>
  </si>
  <si>
    <t>dòng 4464 (cột F1/F2/F3)</t>
  </si>
  <si>
    <t>00003746</t>
  </si>
  <si>
    <t>1C25TUV/00003746</t>
  </si>
  <si>
    <t>dòng 4537 (B–C)</t>
  </si>
  <si>
    <t>42 - Da khop 31, dòng 17. Tên hàng, ĐVT, số lượng giảm, đơn giá và số tiền khớp gốc. Giữ nguyên về các chỉ tiêu đã kiểm.</t>
  </si>
  <si>
    <t>00013080</t>
  </si>
  <si>
    <t>dòng 4537 (cột F1/F2/F3)</t>
  </si>
  <si>
    <t>00004002</t>
  </si>
  <si>
    <t>1C25TUV/00004002</t>
  </si>
  <si>
    <t>dòng 4793 (B–C)</t>
  </si>
  <si>
    <t>42 - Da khop 31, dòng 18. Tên hàng, ĐVT, số lượng giảm, đơn giá và số tiền khớp gốc. Giữ nguyên về các chỉ tiêu đã kiểm.</t>
  </si>
  <si>
    <t>00013083</t>
  </si>
  <si>
    <t>dòng 4793 (cột F1/F2/F3)</t>
  </si>
  <si>
    <t>00004005</t>
  </si>
  <si>
    <t>1C25TUV/00004005</t>
  </si>
  <si>
    <t>dòng 4796 (B–C)</t>
  </si>
  <si>
    <t>42 - Da khop 31, dòng 19. Tên hàng, ĐVT, số lượng giảm, đơn giá và số tiền khớp gốc. Giữ nguyên về các chỉ tiêu đã kiểm.</t>
  </si>
  <si>
    <t>00013084</t>
  </si>
  <si>
    <t>dòng 4796 (cột F1/F2/F3)</t>
  </si>
  <si>
    <t>00004266</t>
  </si>
  <si>
    <t>1C25TUV/00004266</t>
  </si>
  <si>
    <t>dòng 5057 (B–C)</t>
  </si>
  <si>
    <t>42 - Da khop 31, dòng 20. Tên hàng, ĐVT, số lượng giảm, đơn giá và số tiền khớp gốc. Giữ nguyên về các chỉ tiêu đã kiểm.</t>
  </si>
  <si>
    <t>00013085</t>
  </si>
  <si>
    <t>dòng 5057 (cột F1/F2/F3)</t>
  </si>
  <si>
    <t>00004269</t>
  </si>
  <si>
    <t>1C25TUV/00004269</t>
  </si>
  <si>
    <t>dòng 5060 (B–C)</t>
  </si>
  <si>
    <t>42 - Da khop 31, dòng 21. Tên hàng, ĐVT, số lượng giảm, đơn giá và số tiền khớp gốc. Giữ nguyên về các chỉ tiêu đã kiểm.</t>
  </si>
  <si>
    <t>00013081</t>
  </si>
  <si>
    <t>dòng 5060 (cột F1/F2/F3)</t>
  </si>
  <si>
    <t>00004494</t>
  </si>
  <si>
    <t>1C25TUV/00004494</t>
  </si>
  <si>
    <t>dòng 5285 (B–C)</t>
  </si>
  <si>
    <t>42 - Da khop 31, dòng 22. Tên hàng, ĐVT, số lượng giảm, đơn giá và số tiền khớp gốc. Giữ nguyên về các chỉ tiêu đã kiểm.</t>
  </si>
  <si>
    <t>00013088</t>
  </si>
  <si>
    <t>dòng 5285 (cột F1/F2/F3)</t>
  </si>
  <si>
    <t>00004526</t>
  </si>
  <si>
    <t>1C25TUV/00004526</t>
  </si>
  <si>
    <t>dòng 5317 (B–C)</t>
  </si>
  <si>
    <t>42 - Da khop 31, dòng 23. Tên hàng, ĐVT, số lượng giảm, đơn giá và số tiền khớp gốc. Giữ nguyên về các chỉ tiêu đã kiểm.</t>
  </si>
  <si>
    <t>00013082</t>
  </si>
  <si>
    <t>dòng 5317 (cột F1/F2/F3)</t>
  </si>
  <si>
    <t>00004719</t>
  </si>
  <si>
    <t>1C25TUV/00004719</t>
  </si>
  <si>
    <t>dòng 5510 (B–C)</t>
  </si>
  <si>
    <t>42 - Da khop 31, dòng 24. Tên hàng, ĐVT, số lượng giảm, đơn giá và số tiền khớp gốc. Giữ nguyên về các chỉ tiêu đã kiểm.</t>
  </si>
  <si>
    <t>00013090</t>
  </si>
  <si>
    <t>dòng 5510 (cột F1/F2/F3)</t>
  </si>
  <si>
    <t>00004730</t>
  </si>
  <si>
    <t>1C25TUV/00004730</t>
  </si>
  <si>
    <t>dòng 5521 (B–C)</t>
  </si>
  <si>
    <t>42 - Da khop 31, dòng 25. Tên hàng, ĐVT, số lượng giảm, đơn giá và số tiền khớp gốc. Giữ nguyên về các chỉ tiêu đã kiểm.</t>
  </si>
  <si>
    <t>00013091</t>
  </si>
  <si>
    <t>dòng 5521 (cột F1/F2/F3)</t>
  </si>
  <si>
    <t>00004795</t>
  </si>
  <si>
    <t>1C25TUV/00004795</t>
  </si>
  <si>
    <t>dòng 5586 (B–C)</t>
  </si>
  <si>
    <t>42 - Da khop 31, dòng 26. Tên hàng, ĐVT, số lượng giảm, đơn giá và số tiền khớp gốc. Giữ nguyên về các chỉ tiêu đã kiểm.</t>
  </si>
  <si>
    <t>00013087</t>
  </si>
  <si>
    <t>dòng 5586 (cột F1/F2/F3)</t>
  </si>
  <si>
    <t>00005154</t>
  </si>
  <si>
    <t>1C25TUV/00005154</t>
  </si>
  <si>
    <t>dòng 5945 (B–C)</t>
  </si>
  <si>
    <t>42 - Da khop 31, dòng 27. Tên hàng, ĐVT, số lượng giảm, đơn giá và số tiền khớp gốc. Giữ nguyên về các chỉ tiêu đã kiểm.</t>
  </si>
  <si>
    <t>00013094</t>
  </si>
  <si>
    <t>dòng 5945 (cột F1/F2/F3)</t>
  </si>
  <si>
    <t>00005212</t>
  </si>
  <si>
    <t>1C25TUV/00005212</t>
  </si>
  <si>
    <t>dòng 6003 (B–C)</t>
  </si>
  <si>
    <t>42 - Da khop 31, dòng 28. Tên hàng, ĐVT, số lượng giảm, đơn giá và số tiền khớp gốc. Giữ nguyên về các chỉ tiêu đã kiểm.</t>
  </si>
  <si>
    <t>00013092</t>
  </si>
  <si>
    <t>dòng 6003 (cột F1/F2/F3)</t>
  </si>
  <si>
    <t>00005577</t>
  </si>
  <si>
    <t>1C25TUV/00005577</t>
  </si>
  <si>
    <t>dòng 6368 (B–C)</t>
  </si>
  <si>
    <t>42 - Da khop 31, dòng 29. Tên hàng, ĐVT, số lượng giảm, đơn giá và số tiền khớp gốc. Giữ nguyên về các chỉ tiêu đã kiểm.</t>
  </si>
  <si>
    <t>00013093</t>
  </si>
  <si>
    <t>dòng 6368 (cột F1/F2/F3)</t>
  </si>
  <si>
    <t>00005925</t>
  </si>
  <si>
    <t>1C25TUV/00005925</t>
  </si>
  <si>
    <t>dòng 6716 (B–C)</t>
  </si>
  <si>
    <t>42 - Da khop 31, dòng 30. Tên hàng, ĐVT, số lượng giảm, đơn giá và số tiền khớp gốc. Giữ nguyên về các chỉ tiêu đã kiểm.</t>
  </si>
  <si>
    <t>00013096</t>
  </si>
  <si>
    <t>dòng 6716 (cột F1/F2/F3)</t>
  </si>
  <si>
    <t>00006593</t>
  </si>
  <si>
    <t>1C25TUV/00006593</t>
  </si>
  <si>
    <t>dòng 7384 (B–C)</t>
  </si>
  <si>
    <t>42 - Da khop 31, dòng 31. Tên hàng, ĐVT, số lượng giảm, đơn giá và số tiền khớp gốc. Giữ nguyên về các chỉ tiêu đã kiểm.</t>
  </si>
  <si>
    <t>00013097</t>
  </si>
  <si>
    <t>dòng 7384 (cột F1/F2/F3)</t>
  </si>
  <si>
    <t>00007718</t>
  </si>
  <si>
    <t>1C25TUV/00007718</t>
  </si>
  <si>
    <t>dòng 8509 (B–C)</t>
  </si>
  <si>
    <t>42 - Da khop 31, dòng 32. Tên hàng, ĐVT, số lượng giảm, đơn giá và số tiền khớp gốc. Giữ nguyên về các chỉ tiêu đã kiểm.</t>
  </si>
  <si>
    <t>00013098</t>
  </si>
  <si>
    <t>dòng 8509 (cột F1/F2/F3)</t>
  </si>
  <si>
    <t>00007810</t>
  </si>
  <si>
    <t>1C25TUV/00007810</t>
  </si>
  <si>
    <t>dòng 8601 (B–C)</t>
  </si>
  <si>
    <t>42 - Da khop 31, dòng 33. Tên hàng, ĐVT, số lượng giảm, đơn giá và số tiền khớp gốc. Giữ nguyên về các chỉ tiêu đã kiểm.</t>
  </si>
  <si>
    <t>00013100</t>
  </si>
  <si>
    <t>dòng 8601 (cột F1/F2/F3)</t>
  </si>
  <si>
    <t>00009565</t>
  </si>
  <si>
    <t>1C25TUV/00009565</t>
  </si>
  <si>
    <t>dòng 10356 (B–C)</t>
  </si>
  <si>
    <t>42 - Da khop 31, dòng 34. Tên hàng, ĐVT, số lượng giảm, đơn giá và số tiền khớp gốc. Giữ nguyên về các chỉ tiêu đã kiểm.</t>
  </si>
  <si>
    <t>00013101</t>
  </si>
  <si>
    <t>dòng 10356 (cột F1/F2/F3)</t>
  </si>
  <si>
    <t>1C24TUV</t>
  </si>
  <si>
    <t>00000003</t>
  </si>
  <si>
    <t>1C24TUV/00000003</t>
  </si>
  <si>
    <t>Khách lẻ không lấy hóa đơn</t>
  </si>
  <si>
    <t>Kế toán đã chốt giữ cả cặp và mọi hóa đơn liên quan ngoài đợt xử lý; không lập điều chỉnh mới.</t>
  </si>
  <si>
    <t>dòng 8 (B–C)</t>
  </si>
  <si>
    <t>Ngoai le, dòng 241. Giữ nguyên toàn bộ chuỗi theo xác nhận điểm 6; không lập điều chỉnh mới.</t>
  </si>
  <si>
    <t>00000508</t>
  </si>
  <si>
    <t>dòng 8 (cột F1/F2/F3); dòng 1299 (B–C)</t>
  </si>
  <si>
    <t>00000498</t>
  </si>
  <si>
    <t>1C24TUV/00000498</t>
  </si>
  <si>
    <t>Khách lẻ không lấy hoá đơn</t>
  </si>
  <si>
    <t>dòng 503 (B–C)</t>
  </si>
  <si>
    <t>Ngoai le, dòng 242. Giữ nguyên toàn bộ chuỗi theo xác nhận điểm 6; không lập điều chỉnh mới.</t>
  </si>
  <si>
    <t>00002140</t>
  </si>
  <si>
    <t>dòng 503 (cột F1/F2/F3); dòng 2931 (B–C)</t>
  </si>
  <si>
    <t>00000574</t>
  </si>
  <si>
    <t>1C24TUV/00000574</t>
  </si>
  <si>
    <t>dòng 579 (B–C)</t>
  </si>
  <si>
    <t>Ngoai le, dòng 243. Giữ nguyên toàn bộ chuỗi theo xác nhận điểm 6; không lập điều chỉnh mới.</t>
  </si>
  <si>
    <t>00002189</t>
  </si>
  <si>
    <t>dòng 579 (cột F1/F2/F3); dòng 2980 (B–C)</t>
  </si>
  <si>
    <t>00001348</t>
  </si>
  <si>
    <t>1C25TUV/00001348</t>
  </si>
  <si>
    <t>KHÁCH HÀNG LẺ SP - KHÔNG LẤY HÓA ĐƠN</t>
  </si>
  <si>
    <t>dòng 2139 (B–C)</t>
  </si>
  <si>
    <t>Ngoai le, dòng 244. Giữ nguyên toàn bộ chuỗi theo xác nhận điểm 6; không lập điều chỉnh mới.</t>
  </si>
  <si>
    <t>00006108</t>
  </si>
  <si>
    <t>dòng 2139 (cột F1/F2/F3); dòng 6899 (B–C)</t>
  </si>
  <si>
    <t>00002377</t>
  </si>
  <si>
    <t>1C25TUV/00002377</t>
  </si>
  <si>
    <t>dòng 3168 (B–C)</t>
  </si>
  <si>
    <t>Ngoai le, dòng 245. Giữ nguyên toàn bộ chuỗi theo xác nhận điểm 6; không lập điều chỉnh mới.</t>
  </si>
  <si>
    <t>00004203</t>
  </si>
  <si>
    <t>dòng 3168 (cột F1/F2/F3); dòng 4994 (B–C)</t>
  </si>
  <si>
    <t>00002378</t>
  </si>
  <si>
    <t>1C25TUV/00002378</t>
  </si>
  <si>
    <t>dòng 3169 (B–C)</t>
  </si>
  <si>
    <t>Ngoai le, dòng 246. Giữ nguyên toàn bộ chuỗi theo xác nhận điểm 6; không lập điều chỉnh mới.</t>
  </si>
  <si>
    <t>00004204</t>
  </si>
  <si>
    <t>dòng 3169 (cột F1/F2/F3); dòng 4995 (B–C)</t>
  </si>
  <si>
    <t>00000478</t>
  </si>
  <si>
    <t>1C24TUV/00000478</t>
  </si>
  <si>
    <t>Đào Duy Tùng</t>
  </si>
  <si>
    <t>Thuộc chuỗi ngoại lệ công ty/MST đã tách riêng; giữ ngoài bộ import hiện tại, kể cả hóa đơn điều chỉnh liên quan.</t>
  </si>
  <si>
    <t>dòng 483 (B–C)</t>
  </si>
  <si>
    <t>Ngoai le, dòng 78.</t>
  </si>
  <si>
    <t>00002578</t>
  </si>
  <si>
    <t>dòng 483 (cột F1/F2/F3); dòng 3369 (B–C)</t>
  </si>
  <si>
    <t>00000040</t>
  </si>
  <si>
    <t>1C25TUV/00000040</t>
  </si>
  <si>
    <t>Trần Thị Kim Phụng</t>
  </si>
  <si>
    <t>dòng 831 (B–C)</t>
  </si>
  <si>
    <t>Ngoai le, dòng 132.</t>
  </si>
  <si>
    <t>00000662</t>
  </si>
  <si>
    <t>dòng 831 (cột F1/F2/F3); dòng 1453 (B–C)</t>
  </si>
  <si>
    <t>00004026</t>
  </si>
  <si>
    <t>1C25TUV/00004026</t>
  </si>
  <si>
    <t>Chuỗi cùng sản phẩm đã được chốt giữ nguyên; không đảo điều chỉnh cũ hoặc giảm gốc trong đợt này.</t>
  </si>
  <si>
    <t>dòng 4817 (B–C)</t>
  </si>
  <si>
    <t>42 - Can check 11, dòng 8. Giữ nguyên. Đã xác nhận cùng sản phẩm thực tế. Giữ nguyên cặp hóa đơn, không lập thêm điều chỉnh trong đợt này.</t>
  </si>
  <si>
    <t>00013079</t>
  </si>
  <si>
    <t>dòng 4817 (cột F1/F2/F3)</t>
  </si>
  <si>
    <t>00004953</t>
  </si>
  <si>
    <t>1C25TUV/00004953</t>
  </si>
  <si>
    <t>dòng 5744 (B–C)</t>
  </si>
  <si>
    <t>42 - Can check 11, dòng 10. Giữ nguyên. Đã xác nhận cùng sản phẩm thực tế. Giữ nguyên cặp hóa đơn, không lập thêm điều chỉnh trong đợt này.</t>
  </si>
  <si>
    <t>00013089</t>
  </si>
  <si>
    <t>dòng 5744 (cột F1/F2/F3)</t>
  </si>
  <si>
    <t>00007766</t>
  </si>
  <si>
    <t>1C25TUV/00007766</t>
  </si>
  <si>
    <t>dòng 8557 (B–C)</t>
  </si>
  <si>
    <t>42 - Can check 11, dòng 14. Giữ nguyên. Đã xác nhận cùng sản phẩm thực tế. Giữ nguyên cặp hóa đơn, không lập thêm điều chỉnh trong đợt này.</t>
  </si>
  <si>
    <t>00013099</t>
  </si>
  <si>
    <t>dòng 8557 (cột F1/F2/F3)</t>
  </si>
  <si>
    <t>00009186</t>
  </si>
  <si>
    <t>1C25TUV/00009072</t>
  </si>
  <si>
    <t>Hóa đơn 00009186 chỉ điều chỉnh tên, giữ nguyên; bộ import chỉ xử lý gốc 00009072.</t>
  </si>
  <si>
    <t>dòng 9863 (cột F1/F2/F3); dòng 9977 (B–C)</t>
  </si>
  <si>
    <t>Quyết định kế toán 11/10/2026; TIEP_TUC_UVG: giữ 9186, chỉ giảm 9072.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</si>
</sst>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0"/>
  </numFmts>
  <fonts count="5">
    <font>
      <sz val="11"/>
      <name val="Carlito"/>
    </font>
    <font>
      <sz val="11"/>
      <name val="Arial"/>
    </font>
    <font>
      <b/>
      <sz val="15"/>
      <name val="Arial"/>
    </font>
    <font>
      <b/>
      <sz val="11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7EDF4"/>
      </patternFill>
    </fill>
    <fill>
      <patternFill patternType="solid">
        <fgColor rgb="FFF0F4F8"/>
      </patternFill>
    </fill>
    <fill>
      <patternFill patternType="solid">
        <fgColor rgb="FF263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14" fontId="1" fillId="3" borderId="0" xfId="0" applyNumberFormat="1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hSach85" displayName="DanhSach85" ref="A6:L91" totalsRowShown="0">
  <autoFilter ref="A6:L91" xr:uid="{00000000-000C-0000-FFFF-FFFF00000000}">
    <filterColumn colId="1">
      <filters>
        <filter val="6 cặp giữ riêng"/>
      </filters>
    </filterColumn>
  </autoFilter>
  <tableColumns count="12">
    <tableColumn id="1" xr3:uid="{00000000-0010-0000-0000-000001000000}" name="STT"/>
    <tableColumn id="2" xr3:uid="{00000000-0010-0000-0000-000002000000}" name="Nhóm"/>
    <tableColumn id="3" xr3:uid="{00000000-0010-0000-0000-000003000000}" name="Ký hiệu"/>
    <tableColumn id="4" xr3:uid="{00000000-0010-0000-0000-000004000000}" name="Số hóa đơn"/>
    <tableColumn id="5" xr3:uid="{00000000-0010-0000-0000-000005000000}" name="Ngày hóa đơn"/>
    <tableColumn id="6" xr3:uid="{00000000-0010-0000-0000-000006000000}" name="Hóa đơn gốc của chuỗi"/>
    <tableColumn id="7" xr3:uid="{00000000-0010-0000-0000-000007000000}" name="Vai trò"/>
    <tableColumn id="8" xr3:uid="{00000000-0010-0000-0000-000008000000}" name="Tên người mua"/>
    <tableColumn id="9" xr3:uid="{00000000-0010-0000-0000-000009000000}" name="Tổng thanh toán (VND)"/>
    <tableColumn id="10" xr3:uid="{00000000-0010-0000-0000-00000A000000}" name="Lý do không đưa vào import"/>
    <tableColumn id="11" xr3:uid="{00000000-0010-0000-0000-00000B000000}" name="Vị trí trong sheet KT"/>
    <tableColumn id="12" xr3:uid="{00000000-0010-0000-0000-00000C000000}" name="Căn cứ giữ ngoài im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D5" sqref="D5"/>
    </sheetView>
  </sheetViews>
  <sheetFormatPr defaultRowHeight="14.25"/>
  <cols>
    <col min="1" max="1" width="32" customWidth="1"/>
    <col min="2" max="3" width="15" customWidth="1"/>
    <col min="4" max="4" width="75" customWidth="1"/>
  </cols>
  <sheetData>
    <row r="1" spans="1:4" ht="26.1" customHeight="1">
      <c r="A1" s="1"/>
      <c r="B1" s="1"/>
      <c r="C1" s="1"/>
      <c r="D1" s="1"/>
    </row>
    <row r="2" spans="1:4" ht="26.1" customHeight="1">
      <c r="A2" s="15" t="s">
        <v>0</v>
      </c>
      <c r="B2" s="15"/>
      <c r="C2" s="15"/>
      <c r="D2" s="15"/>
    </row>
    <row r="3" spans="1:4" ht="26.1" customHeight="1">
      <c r="A3" s="1"/>
      <c r="B3" s="1"/>
      <c r="C3" s="1"/>
      <c r="D3" s="1"/>
    </row>
    <row r="4" spans="1:4" ht="42" customHeight="1">
      <c r="A4" s="14" t="s">
        <v>1</v>
      </c>
      <c r="B4" s="14" t="s">
        <v>2</v>
      </c>
      <c r="C4" s="14" t="s">
        <v>3</v>
      </c>
      <c r="D4" s="14" t="s">
        <v>4</v>
      </c>
    </row>
    <row r="5" spans="1:4" ht="44.1" customHeight="1">
      <c r="A5" s="3" t="s">
        <v>5</v>
      </c>
      <c r="B5" s="3">
        <f>COUNTIFS('85 hoa don'!$B$7:$B$91,A5)</f>
        <v>62</v>
      </c>
      <c r="C5" s="3">
        <v>31</v>
      </c>
      <c r="D5" s="3" t="s">
        <v>6</v>
      </c>
    </row>
    <row r="6" spans="1:4" ht="44.1" customHeight="1">
      <c r="A6" s="3" t="s">
        <v>7</v>
      </c>
      <c r="B6" s="3">
        <f>COUNTIFS('85 hoa don'!$B$7:$B$91,A6)</f>
        <v>12</v>
      </c>
      <c r="C6" s="3">
        <v>6</v>
      </c>
      <c r="D6" s="3" t="s">
        <v>8</v>
      </c>
    </row>
    <row r="7" spans="1:4" ht="44.1" customHeight="1">
      <c r="A7" s="3" t="s">
        <v>9</v>
      </c>
      <c r="B7" s="3">
        <f>COUNTIFS('85 hoa don'!$B$7:$B$91,A7)</f>
        <v>4</v>
      </c>
      <c r="C7" s="3">
        <v>2</v>
      </c>
      <c r="D7" s="3" t="s">
        <v>10</v>
      </c>
    </row>
    <row r="8" spans="1:4" ht="44.1" customHeight="1">
      <c r="A8" s="3" t="s">
        <v>11</v>
      </c>
      <c r="B8" s="3">
        <f>COUNTIFS('85 hoa don'!$B$7:$B$91,A8)</f>
        <v>6</v>
      </c>
      <c r="C8" s="3">
        <v>3</v>
      </c>
      <c r="D8" s="3" t="s">
        <v>12</v>
      </c>
    </row>
    <row r="9" spans="1:4" ht="44.1" customHeight="1">
      <c r="A9" s="3" t="s">
        <v>13</v>
      </c>
      <c r="B9" s="3">
        <f>COUNTIFS('85 hoa don'!$B$7:$B$91,A9)</f>
        <v>1</v>
      </c>
      <c r="C9" s="3">
        <v>1</v>
      </c>
      <c r="D9" s="3" t="s">
        <v>14</v>
      </c>
    </row>
    <row r="10" spans="1:4" ht="26.1" customHeight="1">
      <c r="A10" s="2" t="s">
        <v>15</v>
      </c>
      <c r="B10" s="2">
        <f>SUM(B5:B9)</f>
        <v>85</v>
      </c>
      <c r="C10" s="2"/>
      <c r="D10" s="2"/>
    </row>
    <row r="11" spans="1:4" ht="26.1" customHeight="1">
      <c r="A11" s="1"/>
      <c r="B11" s="1"/>
      <c r="C11" s="1"/>
      <c r="D11" s="1"/>
    </row>
    <row r="12" spans="1:4" ht="30" customHeight="1">
      <c r="A12" s="16" t="s">
        <v>16</v>
      </c>
      <c r="B12" s="16"/>
      <c r="C12" s="16"/>
      <c r="D12" s="16"/>
    </row>
    <row r="13" spans="1:4" ht="30" customHeight="1">
      <c r="A13" s="16" t="s">
        <v>17</v>
      </c>
      <c r="B13" s="16"/>
      <c r="C13" s="16"/>
      <c r="D13" s="16"/>
    </row>
    <row r="14" spans="1:4" ht="30" customHeight="1">
      <c r="A14" s="16" t="s">
        <v>18</v>
      </c>
      <c r="B14" s="16"/>
      <c r="C14" s="16"/>
      <c r="D14" s="16"/>
    </row>
    <row r="15" spans="1:4" ht="26.1" customHeight="1">
      <c r="A15" s="1"/>
      <c r="B15" s="1"/>
      <c r="C15" s="1"/>
      <c r="D15" s="1"/>
    </row>
    <row r="16" spans="1:4" ht="30" customHeight="1">
      <c r="A16" s="16" t="s">
        <v>19</v>
      </c>
      <c r="B16" s="16"/>
      <c r="C16" s="16"/>
      <c r="D16" s="16"/>
    </row>
    <row r="17" spans="1:4" ht="30" customHeight="1">
      <c r="A17" s="16" t="s">
        <v>20</v>
      </c>
      <c r="B17" s="16"/>
      <c r="C17" s="16"/>
      <c r="D17" s="16"/>
    </row>
    <row r="18" spans="1:4" ht="30" customHeight="1">
      <c r="A18" s="16" t="s">
        <v>21</v>
      </c>
      <c r="B18" s="16"/>
      <c r="C18" s="16"/>
      <c r="D18" s="16"/>
    </row>
    <row r="19" spans="1:4" ht="26.1" customHeight="1">
      <c r="A19" s="1"/>
      <c r="B19" s="1"/>
      <c r="C19" s="1"/>
      <c r="D19" s="1"/>
    </row>
    <row r="20" spans="1:4" ht="30" customHeight="1">
      <c r="A20" s="16" t="s">
        <v>22</v>
      </c>
      <c r="B20" s="16"/>
      <c r="C20" s="16"/>
      <c r="D20" s="16"/>
    </row>
    <row r="21" spans="1:4" ht="30" customHeight="1">
      <c r="A21" s="16" t="s">
        <v>23</v>
      </c>
      <c r="B21" s="16"/>
      <c r="C21" s="16"/>
      <c r="D21" s="16"/>
    </row>
    <row r="22" spans="1:4" ht="26.1" customHeight="1">
      <c r="A22" s="1"/>
      <c r="B22" s="1"/>
      <c r="C22" s="1"/>
      <c r="D22" s="1"/>
    </row>
  </sheetData>
  <mergeCells count="9">
    <mergeCell ref="A17:D17"/>
    <mergeCell ref="A18:D18"/>
    <mergeCell ref="A20:D20"/>
    <mergeCell ref="A21:D21"/>
    <mergeCell ref="A2:D2"/>
    <mergeCell ref="A12:D12"/>
    <mergeCell ref="A13:D13"/>
    <mergeCell ref="A14:D14"/>
    <mergeCell ref="A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1"/>
  <sheetViews>
    <sheetView showGridLines="0" tabSelected="1" workbookViewId="0">
      <pane ySplit="6" topLeftCell="A7" activePane="bottomLeft" state="frozen"/>
      <selection pane="bottomLeft" activeCell="L7" sqref="A7:L91"/>
    </sheetView>
  </sheetViews>
  <sheetFormatPr defaultRowHeight="14.25"/>
  <cols>
    <col min="1" max="1" width="7" customWidth="1"/>
    <col min="2" max="2" width="29" customWidth="1"/>
    <col min="3" max="3" width="15" customWidth="1"/>
    <col min="4" max="4" width="17" customWidth="1"/>
    <col min="5" max="5" width="18" customWidth="1"/>
    <col min="6" max="6" width="26" customWidth="1"/>
    <col min="7" max="7" width="17" customWidth="1"/>
    <col min="8" max="8" width="36" customWidth="1"/>
    <col min="9" max="9" width="24" customWidth="1"/>
    <col min="10" max="10" width="66" customWidth="1"/>
    <col min="11" max="11" width="45" customWidth="1"/>
    <col min="12" max="12" width="95" customWidth="1"/>
  </cols>
  <sheetData>
    <row r="1" spans="1:12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6.1" customHeight="1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6.1" customHeight="1">
      <c r="A3" s="17" t="s">
        <v>25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6.1" customHeight="1">
      <c r="A4" s="17" t="s">
        <v>26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26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2" customHeight="1">
      <c r="A6" s="14" t="s">
        <v>27</v>
      </c>
      <c r="B6" s="14" t="s">
        <v>1</v>
      </c>
      <c r="C6" s="14" t="s">
        <v>28</v>
      </c>
      <c r="D6" s="14" t="s">
        <v>2</v>
      </c>
      <c r="E6" s="14" t="s">
        <v>29</v>
      </c>
      <c r="F6" s="14" t="s">
        <v>30</v>
      </c>
      <c r="G6" s="14" t="s">
        <v>31</v>
      </c>
      <c r="H6" s="14" t="s">
        <v>32</v>
      </c>
      <c r="I6" s="14" t="s">
        <v>33</v>
      </c>
      <c r="J6" s="14" t="s">
        <v>34</v>
      </c>
      <c r="K6" s="14" t="s">
        <v>35</v>
      </c>
      <c r="L6" s="14" t="s">
        <v>36</v>
      </c>
    </row>
    <row r="7" spans="1:12" ht="99.95" hidden="1" customHeight="1">
      <c r="A7" s="4">
        <v>1</v>
      </c>
      <c r="B7" s="5" t="s">
        <v>5</v>
      </c>
      <c r="C7" s="5" t="s">
        <v>37</v>
      </c>
      <c r="D7" s="6" t="s">
        <v>38</v>
      </c>
      <c r="E7" s="7">
        <v>45802</v>
      </c>
      <c r="F7" s="5" t="s">
        <v>39</v>
      </c>
      <c r="G7" s="5" t="s">
        <v>40</v>
      </c>
      <c r="H7" s="5" t="s">
        <v>41</v>
      </c>
      <c r="I7" s="8">
        <v>538999</v>
      </c>
      <c r="J7" s="5" t="s">
        <v>42</v>
      </c>
      <c r="K7" s="5" t="s">
        <v>43</v>
      </c>
      <c r="L7" s="5" t="s">
        <v>44</v>
      </c>
    </row>
    <row r="8" spans="1:12" ht="99.95" hidden="1" customHeight="1">
      <c r="A8" s="4">
        <v>2</v>
      </c>
      <c r="B8" s="5" t="s">
        <v>5</v>
      </c>
      <c r="C8" s="5" t="s">
        <v>37</v>
      </c>
      <c r="D8" s="6" t="s">
        <v>45</v>
      </c>
      <c r="E8" s="7">
        <v>45930</v>
      </c>
      <c r="F8" s="5" t="s">
        <v>39</v>
      </c>
      <c r="G8" s="5" t="s">
        <v>46</v>
      </c>
      <c r="H8" s="5" t="s">
        <v>41</v>
      </c>
      <c r="I8" s="8">
        <v>-538999</v>
      </c>
      <c r="J8" s="5" t="s">
        <v>42</v>
      </c>
      <c r="K8" s="5" t="s">
        <v>47</v>
      </c>
      <c r="L8" s="5" t="s">
        <v>44</v>
      </c>
    </row>
    <row r="9" spans="1:12" ht="99.95" hidden="1" customHeight="1">
      <c r="A9" s="4">
        <v>3</v>
      </c>
      <c r="B9" s="5" t="s">
        <v>5</v>
      </c>
      <c r="C9" s="5" t="s">
        <v>37</v>
      </c>
      <c r="D9" s="6" t="s">
        <v>48</v>
      </c>
      <c r="E9" s="7">
        <v>45805</v>
      </c>
      <c r="F9" s="5" t="s">
        <v>49</v>
      </c>
      <c r="G9" s="5" t="s">
        <v>40</v>
      </c>
      <c r="H9" s="5" t="s">
        <v>41</v>
      </c>
      <c r="I9" s="8">
        <v>1379000</v>
      </c>
      <c r="J9" s="5" t="s">
        <v>42</v>
      </c>
      <c r="K9" s="5" t="s">
        <v>50</v>
      </c>
      <c r="L9" s="5" t="s">
        <v>51</v>
      </c>
    </row>
    <row r="10" spans="1:12" ht="99.95" hidden="1" customHeight="1">
      <c r="A10" s="4">
        <v>4</v>
      </c>
      <c r="B10" s="5" t="s">
        <v>5</v>
      </c>
      <c r="C10" s="5" t="s">
        <v>37</v>
      </c>
      <c r="D10" s="6" t="s">
        <v>52</v>
      </c>
      <c r="E10" s="7">
        <v>45930</v>
      </c>
      <c r="F10" s="5" t="s">
        <v>49</v>
      </c>
      <c r="G10" s="5" t="s">
        <v>46</v>
      </c>
      <c r="H10" s="5" t="s">
        <v>41</v>
      </c>
      <c r="I10" s="8">
        <v>-1379000</v>
      </c>
      <c r="J10" s="5" t="s">
        <v>42</v>
      </c>
      <c r="K10" s="5" t="s">
        <v>53</v>
      </c>
      <c r="L10" s="5" t="s">
        <v>51</v>
      </c>
    </row>
    <row r="11" spans="1:12" ht="99.95" hidden="1" customHeight="1">
      <c r="A11" s="4">
        <v>5</v>
      </c>
      <c r="B11" s="5" t="s">
        <v>5</v>
      </c>
      <c r="C11" s="5" t="s">
        <v>37</v>
      </c>
      <c r="D11" s="6" t="s">
        <v>54</v>
      </c>
      <c r="E11" s="7">
        <v>45805</v>
      </c>
      <c r="F11" s="5" t="s">
        <v>55</v>
      </c>
      <c r="G11" s="5" t="s">
        <v>40</v>
      </c>
      <c r="H11" s="5" t="s">
        <v>41</v>
      </c>
      <c r="I11" s="8">
        <v>485027</v>
      </c>
      <c r="J11" s="5" t="s">
        <v>42</v>
      </c>
      <c r="K11" s="5" t="s">
        <v>56</v>
      </c>
      <c r="L11" s="5" t="s">
        <v>57</v>
      </c>
    </row>
    <row r="12" spans="1:12" ht="99.95" hidden="1" customHeight="1">
      <c r="A12" s="4">
        <v>6</v>
      </c>
      <c r="B12" s="5" t="s">
        <v>5</v>
      </c>
      <c r="C12" s="5" t="s">
        <v>37</v>
      </c>
      <c r="D12" s="6" t="s">
        <v>58</v>
      </c>
      <c r="E12" s="7">
        <v>45930</v>
      </c>
      <c r="F12" s="5" t="s">
        <v>55</v>
      </c>
      <c r="G12" s="5" t="s">
        <v>46</v>
      </c>
      <c r="H12" s="5" t="s">
        <v>41</v>
      </c>
      <c r="I12" s="8">
        <v>-485027</v>
      </c>
      <c r="J12" s="5" t="s">
        <v>42</v>
      </c>
      <c r="K12" s="5" t="s">
        <v>59</v>
      </c>
      <c r="L12" s="5" t="s">
        <v>57</v>
      </c>
    </row>
    <row r="13" spans="1:12" ht="99.95" hidden="1" customHeight="1">
      <c r="A13" s="4">
        <v>7</v>
      </c>
      <c r="B13" s="5" t="s">
        <v>5</v>
      </c>
      <c r="C13" s="5" t="s">
        <v>37</v>
      </c>
      <c r="D13" s="6" t="s">
        <v>60</v>
      </c>
      <c r="E13" s="7">
        <v>45806</v>
      </c>
      <c r="F13" s="5" t="s">
        <v>61</v>
      </c>
      <c r="G13" s="5" t="s">
        <v>40</v>
      </c>
      <c r="H13" s="5" t="s">
        <v>41</v>
      </c>
      <c r="I13" s="8">
        <v>679000</v>
      </c>
      <c r="J13" s="5" t="s">
        <v>42</v>
      </c>
      <c r="K13" s="5" t="s">
        <v>62</v>
      </c>
      <c r="L13" s="5" t="s">
        <v>63</v>
      </c>
    </row>
    <row r="14" spans="1:12" ht="99.95" hidden="1" customHeight="1">
      <c r="A14" s="4">
        <v>8</v>
      </c>
      <c r="B14" s="5" t="s">
        <v>5</v>
      </c>
      <c r="C14" s="5" t="s">
        <v>37</v>
      </c>
      <c r="D14" s="6" t="s">
        <v>64</v>
      </c>
      <c r="E14" s="7">
        <v>45930</v>
      </c>
      <c r="F14" s="5" t="s">
        <v>61</v>
      </c>
      <c r="G14" s="5" t="s">
        <v>46</v>
      </c>
      <c r="H14" s="5" t="s">
        <v>41</v>
      </c>
      <c r="I14" s="8">
        <v>-679000</v>
      </c>
      <c r="J14" s="5" t="s">
        <v>42</v>
      </c>
      <c r="K14" s="5" t="s">
        <v>65</v>
      </c>
      <c r="L14" s="5" t="s">
        <v>63</v>
      </c>
    </row>
    <row r="15" spans="1:12" ht="99.95" hidden="1" customHeight="1">
      <c r="A15" s="4">
        <v>9</v>
      </c>
      <c r="B15" s="5" t="s">
        <v>5</v>
      </c>
      <c r="C15" s="5" t="s">
        <v>37</v>
      </c>
      <c r="D15" s="6" t="s">
        <v>66</v>
      </c>
      <c r="E15" s="7">
        <v>45807</v>
      </c>
      <c r="F15" s="5" t="s">
        <v>67</v>
      </c>
      <c r="G15" s="5" t="s">
        <v>40</v>
      </c>
      <c r="H15" s="5" t="s">
        <v>68</v>
      </c>
      <c r="I15" s="8">
        <v>654556</v>
      </c>
      <c r="J15" s="5" t="s">
        <v>42</v>
      </c>
      <c r="K15" s="5" t="s">
        <v>69</v>
      </c>
      <c r="L15" s="5" t="s">
        <v>70</v>
      </c>
    </row>
    <row r="16" spans="1:12" ht="99.95" hidden="1" customHeight="1">
      <c r="A16" s="4">
        <v>10</v>
      </c>
      <c r="B16" s="5" t="s">
        <v>5</v>
      </c>
      <c r="C16" s="5" t="s">
        <v>37</v>
      </c>
      <c r="D16" s="6" t="s">
        <v>71</v>
      </c>
      <c r="E16" s="7">
        <v>45930</v>
      </c>
      <c r="F16" s="5" t="s">
        <v>67</v>
      </c>
      <c r="G16" s="5" t="s">
        <v>46</v>
      </c>
      <c r="H16" s="5" t="s">
        <v>68</v>
      </c>
      <c r="I16" s="8">
        <v>-654556</v>
      </c>
      <c r="J16" s="5" t="s">
        <v>42</v>
      </c>
      <c r="K16" s="5" t="s">
        <v>72</v>
      </c>
      <c r="L16" s="5" t="s">
        <v>70</v>
      </c>
    </row>
    <row r="17" spans="1:12" ht="99.95" hidden="1" customHeight="1">
      <c r="A17" s="4">
        <v>11</v>
      </c>
      <c r="B17" s="5" t="s">
        <v>5</v>
      </c>
      <c r="C17" s="5" t="s">
        <v>37</v>
      </c>
      <c r="D17" s="6" t="s">
        <v>73</v>
      </c>
      <c r="E17" s="7">
        <v>45812</v>
      </c>
      <c r="F17" s="5" t="s">
        <v>74</v>
      </c>
      <c r="G17" s="5" t="s">
        <v>40</v>
      </c>
      <c r="H17" s="5" t="s">
        <v>75</v>
      </c>
      <c r="I17" s="8">
        <v>679000</v>
      </c>
      <c r="J17" s="5" t="s">
        <v>42</v>
      </c>
      <c r="K17" s="5" t="s">
        <v>76</v>
      </c>
      <c r="L17" s="5" t="s">
        <v>77</v>
      </c>
    </row>
    <row r="18" spans="1:12" ht="99.95" hidden="1" customHeight="1">
      <c r="A18" s="4">
        <v>12</v>
      </c>
      <c r="B18" s="5" t="s">
        <v>5</v>
      </c>
      <c r="C18" s="5" t="s">
        <v>37</v>
      </c>
      <c r="D18" s="6" t="s">
        <v>78</v>
      </c>
      <c r="E18" s="7">
        <v>45930</v>
      </c>
      <c r="F18" s="5" t="s">
        <v>74</v>
      </c>
      <c r="G18" s="5" t="s">
        <v>46</v>
      </c>
      <c r="H18" s="5" t="s">
        <v>75</v>
      </c>
      <c r="I18" s="8">
        <v>-679000</v>
      </c>
      <c r="J18" s="5" t="s">
        <v>42</v>
      </c>
      <c r="K18" s="5" t="s">
        <v>79</v>
      </c>
      <c r="L18" s="5" t="s">
        <v>77</v>
      </c>
    </row>
    <row r="19" spans="1:12" ht="99.95" hidden="1" customHeight="1">
      <c r="A19" s="4">
        <v>13</v>
      </c>
      <c r="B19" s="5" t="s">
        <v>5</v>
      </c>
      <c r="C19" s="5" t="s">
        <v>37</v>
      </c>
      <c r="D19" s="6" t="s">
        <v>80</v>
      </c>
      <c r="E19" s="7">
        <v>45813</v>
      </c>
      <c r="F19" s="5" t="s">
        <v>81</v>
      </c>
      <c r="G19" s="5" t="s">
        <v>40</v>
      </c>
      <c r="H19" s="5" t="s">
        <v>75</v>
      </c>
      <c r="I19" s="8">
        <v>654555</v>
      </c>
      <c r="J19" s="5" t="s">
        <v>42</v>
      </c>
      <c r="K19" s="5" t="s">
        <v>82</v>
      </c>
      <c r="L19" s="5" t="s">
        <v>83</v>
      </c>
    </row>
    <row r="20" spans="1:12" ht="99.95" hidden="1" customHeight="1">
      <c r="A20" s="4">
        <v>14</v>
      </c>
      <c r="B20" s="5" t="s">
        <v>5</v>
      </c>
      <c r="C20" s="5" t="s">
        <v>37</v>
      </c>
      <c r="D20" s="6" t="s">
        <v>84</v>
      </c>
      <c r="E20" s="7">
        <v>45930</v>
      </c>
      <c r="F20" s="5" t="s">
        <v>81</v>
      </c>
      <c r="G20" s="5" t="s">
        <v>46</v>
      </c>
      <c r="H20" s="5" t="s">
        <v>75</v>
      </c>
      <c r="I20" s="8">
        <v>-654555</v>
      </c>
      <c r="J20" s="5" t="s">
        <v>42</v>
      </c>
      <c r="K20" s="5" t="s">
        <v>85</v>
      </c>
      <c r="L20" s="5" t="s">
        <v>83</v>
      </c>
    </row>
    <row r="21" spans="1:12" ht="99.95" hidden="1" customHeight="1">
      <c r="A21" s="4">
        <v>15</v>
      </c>
      <c r="B21" s="5" t="s">
        <v>5</v>
      </c>
      <c r="C21" s="5" t="s">
        <v>37</v>
      </c>
      <c r="D21" s="6" t="s">
        <v>86</v>
      </c>
      <c r="E21" s="7">
        <v>45813</v>
      </c>
      <c r="F21" s="5" t="s">
        <v>87</v>
      </c>
      <c r="G21" s="5" t="s">
        <v>40</v>
      </c>
      <c r="H21" s="5" t="s">
        <v>75</v>
      </c>
      <c r="I21" s="8">
        <v>678999</v>
      </c>
      <c r="J21" s="5" t="s">
        <v>42</v>
      </c>
      <c r="K21" s="5" t="s">
        <v>88</v>
      </c>
      <c r="L21" s="5" t="s">
        <v>89</v>
      </c>
    </row>
    <row r="22" spans="1:12" ht="99.95" hidden="1" customHeight="1">
      <c r="A22" s="4">
        <v>16</v>
      </c>
      <c r="B22" s="5" t="s">
        <v>5</v>
      </c>
      <c r="C22" s="5" t="s">
        <v>37</v>
      </c>
      <c r="D22" s="6" t="s">
        <v>90</v>
      </c>
      <c r="E22" s="7">
        <v>45930</v>
      </c>
      <c r="F22" s="5" t="s">
        <v>87</v>
      </c>
      <c r="G22" s="5" t="s">
        <v>46</v>
      </c>
      <c r="H22" s="5" t="s">
        <v>75</v>
      </c>
      <c r="I22" s="8">
        <v>-678999</v>
      </c>
      <c r="J22" s="5" t="s">
        <v>42</v>
      </c>
      <c r="K22" s="5" t="s">
        <v>91</v>
      </c>
      <c r="L22" s="5" t="s">
        <v>89</v>
      </c>
    </row>
    <row r="23" spans="1:12" ht="99.95" hidden="1" customHeight="1">
      <c r="A23" s="4">
        <v>17</v>
      </c>
      <c r="B23" s="5" t="s">
        <v>5</v>
      </c>
      <c r="C23" s="5" t="s">
        <v>37</v>
      </c>
      <c r="D23" s="6" t="s">
        <v>92</v>
      </c>
      <c r="E23" s="7">
        <v>45813</v>
      </c>
      <c r="F23" s="5" t="s">
        <v>93</v>
      </c>
      <c r="G23" s="5" t="s">
        <v>40</v>
      </c>
      <c r="H23" s="5" t="s">
        <v>75</v>
      </c>
      <c r="I23" s="8">
        <v>678999</v>
      </c>
      <c r="J23" s="5" t="s">
        <v>42</v>
      </c>
      <c r="K23" s="5" t="s">
        <v>94</v>
      </c>
      <c r="L23" s="5" t="s">
        <v>95</v>
      </c>
    </row>
    <row r="24" spans="1:12" ht="99.95" hidden="1" customHeight="1">
      <c r="A24" s="4">
        <v>18</v>
      </c>
      <c r="B24" s="5" t="s">
        <v>5</v>
      </c>
      <c r="C24" s="5" t="s">
        <v>37</v>
      </c>
      <c r="D24" s="6" t="s">
        <v>96</v>
      </c>
      <c r="E24" s="7">
        <v>45930</v>
      </c>
      <c r="F24" s="5" t="s">
        <v>93</v>
      </c>
      <c r="G24" s="5" t="s">
        <v>46</v>
      </c>
      <c r="H24" s="5" t="s">
        <v>75</v>
      </c>
      <c r="I24" s="8">
        <v>-678999</v>
      </c>
      <c r="J24" s="5" t="s">
        <v>42</v>
      </c>
      <c r="K24" s="5" t="s">
        <v>97</v>
      </c>
      <c r="L24" s="5" t="s">
        <v>95</v>
      </c>
    </row>
    <row r="25" spans="1:12" ht="99.95" hidden="1" customHeight="1">
      <c r="A25" s="4">
        <v>19</v>
      </c>
      <c r="B25" s="5" t="s">
        <v>5</v>
      </c>
      <c r="C25" s="5" t="s">
        <v>37</v>
      </c>
      <c r="D25" s="6" t="s">
        <v>98</v>
      </c>
      <c r="E25" s="7">
        <v>45814</v>
      </c>
      <c r="F25" s="5" t="s">
        <v>99</v>
      </c>
      <c r="G25" s="5" t="s">
        <v>40</v>
      </c>
      <c r="H25" s="5" t="s">
        <v>75</v>
      </c>
      <c r="I25" s="8">
        <v>679000</v>
      </c>
      <c r="J25" s="5" t="s">
        <v>42</v>
      </c>
      <c r="K25" s="5" t="s">
        <v>100</v>
      </c>
      <c r="L25" s="5" t="s">
        <v>101</v>
      </c>
    </row>
    <row r="26" spans="1:12" ht="99.95" hidden="1" customHeight="1">
      <c r="A26" s="4">
        <v>20</v>
      </c>
      <c r="B26" s="5" t="s">
        <v>5</v>
      </c>
      <c r="C26" s="5" t="s">
        <v>37</v>
      </c>
      <c r="D26" s="6" t="s">
        <v>102</v>
      </c>
      <c r="E26" s="7">
        <v>45930</v>
      </c>
      <c r="F26" s="5" t="s">
        <v>99</v>
      </c>
      <c r="G26" s="5" t="s">
        <v>46</v>
      </c>
      <c r="H26" s="5" t="s">
        <v>75</v>
      </c>
      <c r="I26" s="8">
        <v>-679000</v>
      </c>
      <c r="J26" s="5" t="s">
        <v>42</v>
      </c>
      <c r="K26" s="5" t="s">
        <v>103</v>
      </c>
      <c r="L26" s="5" t="s">
        <v>101</v>
      </c>
    </row>
    <row r="27" spans="1:12" ht="99.95" hidden="1" customHeight="1">
      <c r="A27" s="4">
        <v>21</v>
      </c>
      <c r="B27" s="5" t="s">
        <v>5</v>
      </c>
      <c r="C27" s="5" t="s">
        <v>37</v>
      </c>
      <c r="D27" s="6" t="s">
        <v>104</v>
      </c>
      <c r="E27" s="7">
        <v>45814</v>
      </c>
      <c r="F27" s="5" t="s">
        <v>105</v>
      </c>
      <c r="G27" s="5" t="s">
        <v>40</v>
      </c>
      <c r="H27" s="5" t="s">
        <v>75</v>
      </c>
      <c r="I27" s="8">
        <v>1939000</v>
      </c>
      <c r="J27" s="5" t="s">
        <v>42</v>
      </c>
      <c r="K27" s="5" t="s">
        <v>106</v>
      </c>
      <c r="L27" s="5" t="s">
        <v>107</v>
      </c>
    </row>
    <row r="28" spans="1:12" ht="99.95" hidden="1" customHeight="1">
      <c r="A28" s="4">
        <v>22</v>
      </c>
      <c r="B28" s="5" t="s">
        <v>5</v>
      </c>
      <c r="C28" s="5" t="s">
        <v>37</v>
      </c>
      <c r="D28" s="6" t="s">
        <v>108</v>
      </c>
      <c r="E28" s="7">
        <v>45930</v>
      </c>
      <c r="F28" s="5" t="s">
        <v>105</v>
      </c>
      <c r="G28" s="5" t="s">
        <v>46</v>
      </c>
      <c r="H28" s="5" t="s">
        <v>75</v>
      </c>
      <c r="I28" s="8">
        <v>-1939000</v>
      </c>
      <c r="J28" s="5" t="s">
        <v>42</v>
      </c>
      <c r="K28" s="5" t="s">
        <v>109</v>
      </c>
      <c r="L28" s="5" t="s">
        <v>107</v>
      </c>
    </row>
    <row r="29" spans="1:12" ht="99.95" hidden="1" customHeight="1">
      <c r="A29" s="4">
        <v>23</v>
      </c>
      <c r="B29" s="5" t="s">
        <v>5</v>
      </c>
      <c r="C29" s="5" t="s">
        <v>37</v>
      </c>
      <c r="D29" s="6" t="s">
        <v>110</v>
      </c>
      <c r="E29" s="7">
        <v>45814</v>
      </c>
      <c r="F29" s="5" t="s">
        <v>111</v>
      </c>
      <c r="G29" s="5" t="s">
        <v>40</v>
      </c>
      <c r="H29" s="5" t="s">
        <v>75</v>
      </c>
      <c r="I29" s="8">
        <v>654555</v>
      </c>
      <c r="J29" s="5" t="s">
        <v>42</v>
      </c>
      <c r="K29" s="5" t="s">
        <v>112</v>
      </c>
      <c r="L29" s="5" t="s">
        <v>113</v>
      </c>
    </row>
    <row r="30" spans="1:12" ht="99.95" hidden="1" customHeight="1">
      <c r="A30" s="4">
        <v>24</v>
      </c>
      <c r="B30" s="5" t="s">
        <v>5</v>
      </c>
      <c r="C30" s="5" t="s">
        <v>37</v>
      </c>
      <c r="D30" s="6" t="s">
        <v>114</v>
      </c>
      <c r="E30" s="7">
        <v>45930</v>
      </c>
      <c r="F30" s="5" t="s">
        <v>111</v>
      </c>
      <c r="G30" s="5" t="s">
        <v>46</v>
      </c>
      <c r="H30" s="5" t="s">
        <v>75</v>
      </c>
      <c r="I30" s="8">
        <v>-654555</v>
      </c>
      <c r="J30" s="5" t="s">
        <v>42</v>
      </c>
      <c r="K30" s="5" t="s">
        <v>115</v>
      </c>
      <c r="L30" s="5" t="s">
        <v>113</v>
      </c>
    </row>
    <row r="31" spans="1:12" ht="99.95" hidden="1" customHeight="1">
      <c r="A31" s="4">
        <v>25</v>
      </c>
      <c r="B31" s="5" t="s">
        <v>5</v>
      </c>
      <c r="C31" s="5" t="s">
        <v>37</v>
      </c>
      <c r="D31" s="6" t="s">
        <v>116</v>
      </c>
      <c r="E31" s="7">
        <v>45815</v>
      </c>
      <c r="F31" s="5" t="s">
        <v>117</v>
      </c>
      <c r="G31" s="5" t="s">
        <v>40</v>
      </c>
      <c r="H31" s="5" t="s">
        <v>75</v>
      </c>
      <c r="I31" s="8">
        <v>1239000</v>
      </c>
      <c r="J31" s="5" t="s">
        <v>42</v>
      </c>
      <c r="K31" s="5" t="s">
        <v>118</v>
      </c>
      <c r="L31" s="5" t="s">
        <v>119</v>
      </c>
    </row>
    <row r="32" spans="1:12" ht="99.95" hidden="1" customHeight="1">
      <c r="A32" s="4">
        <v>26</v>
      </c>
      <c r="B32" s="5" t="s">
        <v>5</v>
      </c>
      <c r="C32" s="5" t="s">
        <v>37</v>
      </c>
      <c r="D32" s="6" t="s">
        <v>120</v>
      </c>
      <c r="E32" s="7">
        <v>45930</v>
      </c>
      <c r="F32" s="5" t="s">
        <v>117</v>
      </c>
      <c r="G32" s="5" t="s">
        <v>46</v>
      </c>
      <c r="H32" s="5" t="s">
        <v>75</v>
      </c>
      <c r="I32" s="8">
        <v>-1239000</v>
      </c>
      <c r="J32" s="5" t="s">
        <v>42</v>
      </c>
      <c r="K32" s="5" t="s">
        <v>121</v>
      </c>
      <c r="L32" s="5" t="s">
        <v>119</v>
      </c>
    </row>
    <row r="33" spans="1:12" ht="99.95" hidden="1" customHeight="1">
      <c r="A33" s="4">
        <v>27</v>
      </c>
      <c r="B33" s="5" t="s">
        <v>5</v>
      </c>
      <c r="C33" s="5" t="s">
        <v>37</v>
      </c>
      <c r="D33" s="6" t="s">
        <v>122</v>
      </c>
      <c r="E33" s="7">
        <v>45815</v>
      </c>
      <c r="F33" s="5" t="s">
        <v>123</v>
      </c>
      <c r="G33" s="5" t="s">
        <v>40</v>
      </c>
      <c r="H33" s="5" t="s">
        <v>75</v>
      </c>
      <c r="I33" s="8">
        <v>2032050</v>
      </c>
      <c r="J33" s="5" t="s">
        <v>42</v>
      </c>
      <c r="K33" s="5" t="s">
        <v>124</v>
      </c>
      <c r="L33" s="5" t="s">
        <v>125</v>
      </c>
    </row>
    <row r="34" spans="1:12" ht="99.95" hidden="1" customHeight="1">
      <c r="A34" s="4">
        <v>28</v>
      </c>
      <c r="B34" s="5" t="s">
        <v>5</v>
      </c>
      <c r="C34" s="5" t="s">
        <v>37</v>
      </c>
      <c r="D34" s="6" t="s">
        <v>126</v>
      </c>
      <c r="E34" s="7">
        <v>45930</v>
      </c>
      <c r="F34" s="5" t="s">
        <v>123</v>
      </c>
      <c r="G34" s="5" t="s">
        <v>46</v>
      </c>
      <c r="H34" s="5" t="s">
        <v>75</v>
      </c>
      <c r="I34" s="8">
        <v>-2032050</v>
      </c>
      <c r="J34" s="5" t="s">
        <v>42</v>
      </c>
      <c r="K34" s="5" t="s">
        <v>127</v>
      </c>
      <c r="L34" s="5" t="s">
        <v>125</v>
      </c>
    </row>
    <row r="35" spans="1:12" ht="99.95" hidden="1" customHeight="1">
      <c r="A35" s="4">
        <v>29</v>
      </c>
      <c r="B35" s="5" t="s">
        <v>5</v>
      </c>
      <c r="C35" s="5" t="s">
        <v>37</v>
      </c>
      <c r="D35" s="6" t="s">
        <v>128</v>
      </c>
      <c r="E35" s="7">
        <v>45816</v>
      </c>
      <c r="F35" s="5" t="s">
        <v>129</v>
      </c>
      <c r="G35" s="5" t="s">
        <v>40</v>
      </c>
      <c r="H35" s="5" t="s">
        <v>75</v>
      </c>
      <c r="I35" s="8">
        <v>819000</v>
      </c>
      <c r="J35" s="5" t="s">
        <v>42</v>
      </c>
      <c r="K35" s="5" t="s">
        <v>130</v>
      </c>
      <c r="L35" s="5" t="s">
        <v>131</v>
      </c>
    </row>
    <row r="36" spans="1:12" ht="99.95" hidden="1" customHeight="1">
      <c r="A36" s="4">
        <v>30</v>
      </c>
      <c r="B36" s="5" t="s">
        <v>5</v>
      </c>
      <c r="C36" s="5" t="s">
        <v>37</v>
      </c>
      <c r="D36" s="6" t="s">
        <v>132</v>
      </c>
      <c r="E36" s="7">
        <v>45930</v>
      </c>
      <c r="F36" s="5" t="s">
        <v>129</v>
      </c>
      <c r="G36" s="5" t="s">
        <v>46</v>
      </c>
      <c r="H36" s="5" t="s">
        <v>75</v>
      </c>
      <c r="I36" s="8">
        <v>-819000</v>
      </c>
      <c r="J36" s="5" t="s">
        <v>42</v>
      </c>
      <c r="K36" s="5" t="s">
        <v>133</v>
      </c>
      <c r="L36" s="5" t="s">
        <v>131</v>
      </c>
    </row>
    <row r="37" spans="1:12" ht="99.95" hidden="1" customHeight="1">
      <c r="A37" s="4">
        <v>31</v>
      </c>
      <c r="B37" s="5" t="s">
        <v>5</v>
      </c>
      <c r="C37" s="5" t="s">
        <v>37</v>
      </c>
      <c r="D37" s="6" t="s">
        <v>134</v>
      </c>
      <c r="E37" s="7">
        <v>45816</v>
      </c>
      <c r="F37" s="5" t="s">
        <v>135</v>
      </c>
      <c r="G37" s="5" t="s">
        <v>40</v>
      </c>
      <c r="H37" s="5" t="s">
        <v>75</v>
      </c>
      <c r="I37" s="8">
        <v>819000</v>
      </c>
      <c r="J37" s="5" t="s">
        <v>42</v>
      </c>
      <c r="K37" s="5" t="s">
        <v>136</v>
      </c>
      <c r="L37" s="5" t="s">
        <v>137</v>
      </c>
    </row>
    <row r="38" spans="1:12" ht="99.95" hidden="1" customHeight="1">
      <c r="A38" s="4">
        <v>32</v>
      </c>
      <c r="B38" s="5" t="s">
        <v>5</v>
      </c>
      <c r="C38" s="5" t="s">
        <v>37</v>
      </c>
      <c r="D38" s="6" t="s">
        <v>138</v>
      </c>
      <c r="E38" s="7">
        <v>45930</v>
      </c>
      <c r="F38" s="5" t="s">
        <v>135</v>
      </c>
      <c r="G38" s="5" t="s">
        <v>46</v>
      </c>
      <c r="H38" s="5" t="s">
        <v>75</v>
      </c>
      <c r="I38" s="8">
        <v>-819000</v>
      </c>
      <c r="J38" s="5" t="s">
        <v>42</v>
      </c>
      <c r="K38" s="5" t="s">
        <v>139</v>
      </c>
      <c r="L38" s="5" t="s">
        <v>137</v>
      </c>
    </row>
    <row r="39" spans="1:12" ht="99.95" hidden="1" customHeight="1">
      <c r="A39" s="4">
        <v>33</v>
      </c>
      <c r="B39" s="5" t="s">
        <v>5</v>
      </c>
      <c r="C39" s="5" t="s">
        <v>37</v>
      </c>
      <c r="D39" s="6" t="s">
        <v>140</v>
      </c>
      <c r="E39" s="7">
        <v>45817</v>
      </c>
      <c r="F39" s="5" t="s">
        <v>141</v>
      </c>
      <c r="G39" s="5" t="s">
        <v>40</v>
      </c>
      <c r="H39" s="5" t="s">
        <v>75</v>
      </c>
      <c r="I39" s="8">
        <v>829000</v>
      </c>
      <c r="J39" s="5" t="s">
        <v>42</v>
      </c>
      <c r="K39" s="5" t="s">
        <v>142</v>
      </c>
      <c r="L39" s="5" t="s">
        <v>143</v>
      </c>
    </row>
    <row r="40" spans="1:12" ht="99.95" hidden="1" customHeight="1">
      <c r="A40" s="4">
        <v>34</v>
      </c>
      <c r="B40" s="5" t="s">
        <v>5</v>
      </c>
      <c r="C40" s="5" t="s">
        <v>37</v>
      </c>
      <c r="D40" s="6" t="s">
        <v>144</v>
      </c>
      <c r="E40" s="7">
        <v>45930</v>
      </c>
      <c r="F40" s="5" t="s">
        <v>141</v>
      </c>
      <c r="G40" s="5" t="s">
        <v>46</v>
      </c>
      <c r="H40" s="5" t="s">
        <v>75</v>
      </c>
      <c r="I40" s="8">
        <v>-829000</v>
      </c>
      <c r="J40" s="5" t="s">
        <v>42</v>
      </c>
      <c r="K40" s="5" t="s">
        <v>145</v>
      </c>
      <c r="L40" s="5" t="s">
        <v>143</v>
      </c>
    </row>
    <row r="41" spans="1:12" ht="99.95" hidden="1" customHeight="1">
      <c r="A41" s="4">
        <v>35</v>
      </c>
      <c r="B41" s="5" t="s">
        <v>5</v>
      </c>
      <c r="C41" s="5" t="s">
        <v>37</v>
      </c>
      <c r="D41" s="6" t="s">
        <v>146</v>
      </c>
      <c r="E41" s="7">
        <v>45817</v>
      </c>
      <c r="F41" s="5" t="s">
        <v>147</v>
      </c>
      <c r="G41" s="5" t="s">
        <v>40</v>
      </c>
      <c r="H41" s="5" t="s">
        <v>75</v>
      </c>
      <c r="I41" s="8">
        <v>1310049</v>
      </c>
      <c r="J41" s="5" t="s">
        <v>42</v>
      </c>
      <c r="K41" s="5" t="s">
        <v>148</v>
      </c>
      <c r="L41" s="5" t="s">
        <v>149</v>
      </c>
    </row>
    <row r="42" spans="1:12" ht="99.95" hidden="1" customHeight="1">
      <c r="A42" s="4">
        <v>36</v>
      </c>
      <c r="B42" s="5" t="s">
        <v>5</v>
      </c>
      <c r="C42" s="5" t="s">
        <v>37</v>
      </c>
      <c r="D42" s="6" t="s">
        <v>150</v>
      </c>
      <c r="E42" s="7">
        <v>45930</v>
      </c>
      <c r="F42" s="5" t="s">
        <v>147</v>
      </c>
      <c r="G42" s="5" t="s">
        <v>46</v>
      </c>
      <c r="H42" s="5" t="s">
        <v>75</v>
      </c>
      <c r="I42" s="8">
        <v>-1310049</v>
      </c>
      <c r="J42" s="5" t="s">
        <v>42</v>
      </c>
      <c r="K42" s="5" t="s">
        <v>151</v>
      </c>
      <c r="L42" s="5" t="s">
        <v>149</v>
      </c>
    </row>
    <row r="43" spans="1:12" ht="99.95" hidden="1" customHeight="1">
      <c r="A43" s="4">
        <v>37</v>
      </c>
      <c r="B43" s="5" t="s">
        <v>5</v>
      </c>
      <c r="C43" s="5" t="s">
        <v>37</v>
      </c>
      <c r="D43" s="6" t="s">
        <v>152</v>
      </c>
      <c r="E43" s="7">
        <v>45818</v>
      </c>
      <c r="F43" s="5" t="s">
        <v>153</v>
      </c>
      <c r="G43" s="5" t="s">
        <v>40</v>
      </c>
      <c r="H43" s="5" t="s">
        <v>75</v>
      </c>
      <c r="I43" s="8">
        <v>657272</v>
      </c>
      <c r="J43" s="5" t="s">
        <v>42</v>
      </c>
      <c r="K43" s="5" t="s">
        <v>154</v>
      </c>
      <c r="L43" s="5" t="s">
        <v>155</v>
      </c>
    </row>
    <row r="44" spans="1:12" ht="99.95" hidden="1" customHeight="1">
      <c r="A44" s="4">
        <v>38</v>
      </c>
      <c r="B44" s="5" t="s">
        <v>5</v>
      </c>
      <c r="C44" s="5" t="s">
        <v>37</v>
      </c>
      <c r="D44" s="6" t="s">
        <v>156</v>
      </c>
      <c r="E44" s="7">
        <v>45930</v>
      </c>
      <c r="F44" s="5" t="s">
        <v>153</v>
      </c>
      <c r="G44" s="5" t="s">
        <v>46</v>
      </c>
      <c r="H44" s="5" t="s">
        <v>75</v>
      </c>
      <c r="I44" s="8">
        <v>-657272</v>
      </c>
      <c r="J44" s="5" t="s">
        <v>42</v>
      </c>
      <c r="K44" s="5" t="s">
        <v>157</v>
      </c>
      <c r="L44" s="5" t="s">
        <v>155</v>
      </c>
    </row>
    <row r="45" spans="1:12" ht="99.95" hidden="1" customHeight="1">
      <c r="A45" s="4">
        <v>39</v>
      </c>
      <c r="B45" s="5" t="s">
        <v>5</v>
      </c>
      <c r="C45" s="5" t="s">
        <v>37</v>
      </c>
      <c r="D45" s="6" t="s">
        <v>158</v>
      </c>
      <c r="E45" s="7">
        <v>45818</v>
      </c>
      <c r="F45" s="5" t="s">
        <v>159</v>
      </c>
      <c r="G45" s="5" t="s">
        <v>40</v>
      </c>
      <c r="H45" s="5" t="s">
        <v>75</v>
      </c>
      <c r="I45" s="8">
        <v>949000</v>
      </c>
      <c r="J45" s="5" t="s">
        <v>42</v>
      </c>
      <c r="K45" s="5" t="s">
        <v>160</v>
      </c>
      <c r="L45" s="5" t="s">
        <v>161</v>
      </c>
    </row>
    <row r="46" spans="1:12" ht="99.95" hidden="1" customHeight="1">
      <c r="A46" s="4">
        <v>40</v>
      </c>
      <c r="B46" s="5" t="s">
        <v>5</v>
      </c>
      <c r="C46" s="5" t="s">
        <v>37</v>
      </c>
      <c r="D46" s="6" t="s">
        <v>162</v>
      </c>
      <c r="E46" s="7">
        <v>45930</v>
      </c>
      <c r="F46" s="5" t="s">
        <v>159</v>
      </c>
      <c r="G46" s="5" t="s">
        <v>46</v>
      </c>
      <c r="H46" s="5" t="s">
        <v>75</v>
      </c>
      <c r="I46" s="8">
        <v>-949000</v>
      </c>
      <c r="J46" s="5" t="s">
        <v>42</v>
      </c>
      <c r="K46" s="5" t="s">
        <v>163</v>
      </c>
      <c r="L46" s="5" t="s">
        <v>161</v>
      </c>
    </row>
    <row r="47" spans="1:12" ht="99.95" hidden="1" customHeight="1">
      <c r="A47" s="4">
        <v>41</v>
      </c>
      <c r="B47" s="5" t="s">
        <v>5</v>
      </c>
      <c r="C47" s="5" t="s">
        <v>37</v>
      </c>
      <c r="D47" s="6" t="s">
        <v>164</v>
      </c>
      <c r="E47" s="7">
        <v>45819</v>
      </c>
      <c r="F47" s="5" t="s">
        <v>165</v>
      </c>
      <c r="G47" s="5" t="s">
        <v>40</v>
      </c>
      <c r="H47" s="5" t="s">
        <v>75</v>
      </c>
      <c r="I47" s="8">
        <v>679000</v>
      </c>
      <c r="J47" s="5" t="s">
        <v>42</v>
      </c>
      <c r="K47" s="5" t="s">
        <v>166</v>
      </c>
      <c r="L47" s="5" t="s">
        <v>167</v>
      </c>
    </row>
    <row r="48" spans="1:12" ht="99.95" hidden="1" customHeight="1">
      <c r="A48" s="4">
        <v>42</v>
      </c>
      <c r="B48" s="5" t="s">
        <v>5</v>
      </c>
      <c r="C48" s="5" t="s">
        <v>37</v>
      </c>
      <c r="D48" s="6" t="s">
        <v>168</v>
      </c>
      <c r="E48" s="7">
        <v>45930</v>
      </c>
      <c r="F48" s="5" t="s">
        <v>165</v>
      </c>
      <c r="G48" s="5" t="s">
        <v>46</v>
      </c>
      <c r="H48" s="5" t="s">
        <v>75</v>
      </c>
      <c r="I48" s="8">
        <v>-679000</v>
      </c>
      <c r="J48" s="5" t="s">
        <v>42</v>
      </c>
      <c r="K48" s="5" t="s">
        <v>169</v>
      </c>
      <c r="L48" s="5" t="s">
        <v>167</v>
      </c>
    </row>
    <row r="49" spans="1:12" ht="99.95" hidden="1" customHeight="1">
      <c r="A49" s="4">
        <v>43</v>
      </c>
      <c r="B49" s="5" t="s">
        <v>5</v>
      </c>
      <c r="C49" s="5" t="s">
        <v>37</v>
      </c>
      <c r="D49" s="6" t="s">
        <v>170</v>
      </c>
      <c r="E49" s="7">
        <v>45819</v>
      </c>
      <c r="F49" s="5" t="s">
        <v>171</v>
      </c>
      <c r="G49" s="5" t="s">
        <v>40</v>
      </c>
      <c r="H49" s="5" t="s">
        <v>75</v>
      </c>
      <c r="I49" s="8">
        <v>538999</v>
      </c>
      <c r="J49" s="5" t="s">
        <v>42</v>
      </c>
      <c r="K49" s="5" t="s">
        <v>172</v>
      </c>
      <c r="L49" s="5" t="s">
        <v>173</v>
      </c>
    </row>
    <row r="50" spans="1:12" ht="99.95" hidden="1" customHeight="1">
      <c r="A50" s="4">
        <v>44</v>
      </c>
      <c r="B50" s="5" t="s">
        <v>5</v>
      </c>
      <c r="C50" s="5" t="s">
        <v>37</v>
      </c>
      <c r="D50" s="6" t="s">
        <v>174</v>
      </c>
      <c r="E50" s="7">
        <v>45930</v>
      </c>
      <c r="F50" s="5" t="s">
        <v>171</v>
      </c>
      <c r="G50" s="5" t="s">
        <v>46</v>
      </c>
      <c r="H50" s="5" t="s">
        <v>75</v>
      </c>
      <c r="I50" s="8">
        <v>-538999</v>
      </c>
      <c r="J50" s="5" t="s">
        <v>42</v>
      </c>
      <c r="K50" s="5" t="s">
        <v>175</v>
      </c>
      <c r="L50" s="5" t="s">
        <v>173</v>
      </c>
    </row>
    <row r="51" spans="1:12" ht="99.95" hidden="1" customHeight="1">
      <c r="A51" s="4">
        <v>45</v>
      </c>
      <c r="B51" s="5" t="s">
        <v>5</v>
      </c>
      <c r="C51" s="5" t="s">
        <v>37</v>
      </c>
      <c r="D51" s="6" t="s">
        <v>176</v>
      </c>
      <c r="E51" s="7">
        <v>45819</v>
      </c>
      <c r="F51" s="5" t="s">
        <v>177</v>
      </c>
      <c r="G51" s="5" t="s">
        <v>40</v>
      </c>
      <c r="H51" s="5" t="s">
        <v>75</v>
      </c>
      <c r="I51" s="8">
        <v>1747050</v>
      </c>
      <c r="J51" s="5" t="s">
        <v>42</v>
      </c>
      <c r="K51" s="5" t="s">
        <v>178</v>
      </c>
      <c r="L51" s="5" t="s">
        <v>179</v>
      </c>
    </row>
    <row r="52" spans="1:12" ht="99.95" hidden="1" customHeight="1">
      <c r="A52" s="4">
        <v>46</v>
      </c>
      <c r="B52" s="5" t="s">
        <v>5</v>
      </c>
      <c r="C52" s="5" t="s">
        <v>37</v>
      </c>
      <c r="D52" s="6" t="s">
        <v>180</v>
      </c>
      <c r="E52" s="7">
        <v>45930</v>
      </c>
      <c r="F52" s="5" t="s">
        <v>177</v>
      </c>
      <c r="G52" s="5" t="s">
        <v>46</v>
      </c>
      <c r="H52" s="5" t="s">
        <v>75</v>
      </c>
      <c r="I52" s="8">
        <v>-1747050</v>
      </c>
      <c r="J52" s="5" t="s">
        <v>42</v>
      </c>
      <c r="K52" s="5" t="s">
        <v>181</v>
      </c>
      <c r="L52" s="5" t="s">
        <v>179</v>
      </c>
    </row>
    <row r="53" spans="1:12" ht="99.95" hidden="1" customHeight="1">
      <c r="A53" s="4">
        <v>47</v>
      </c>
      <c r="B53" s="5" t="s">
        <v>5</v>
      </c>
      <c r="C53" s="5" t="s">
        <v>37</v>
      </c>
      <c r="D53" s="6" t="s">
        <v>182</v>
      </c>
      <c r="E53" s="7">
        <v>45821</v>
      </c>
      <c r="F53" s="5" t="s">
        <v>183</v>
      </c>
      <c r="G53" s="5" t="s">
        <v>40</v>
      </c>
      <c r="H53" s="5" t="s">
        <v>75</v>
      </c>
      <c r="I53" s="8">
        <v>239000</v>
      </c>
      <c r="J53" s="5" t="s">
        <v>42</v>
      </c>
      <c r="K53" s="5" t="s">
        <v>184</v>
      </c>
      <c r="L53" s="5" t="s">
        <v>185</v>
      </c>
    </row>
    <row r="54" spans="1:12" ht="99.95" hidden="1" customHeight="1">
      <c r="A54" s="4">
        <v>48</v>
      </c>
      <c r="B54" s="5" t="s">
        <v>5</v>
      </c>
      <c r="C54" s="5" t="s">
        <v>37</v>
      </c>
      <c r="D54" s="6" t="s">
        <v>186</v>
      </c>
      <c r="E54" s="7">
        <v>45930</v>
      </c>
      <c r="F54" s="5" t="s">
        <v>183</v>
      </c>
      <c r="G54" s="5" t="s">
        <v>46</v>
      </c>
      <c r="H54" s="5" t="s">
        <v>75</v>
      </c>
      <c r="I54" s="8">
        <v>-239000</v>
      </c>
      <c r="J54" s="5" t="s">
        <v>42</v>
      </c>
      <c r="K54" s="5" t="s">
        <v>187</v>
      </c>
      <c r="L54" s="5" t="s">
        <v>185</v>
      </c>
    </row>
    <row r="55" spans="1:12" ht="99.95" hidden="1" customHeight="1">
      <c r="A55" s="4">
        <v>49</v>
      </c>
      <c r="B55" s="5" t="s">
        <v>5</v>
      </c>
      <c r="C55" s="5" t="s">
        <v>37</v>
      </c>
      <c r="D55" s="6" t="s">
        <v>188</v>
      </c>
      <c r="E55" s="7">
        <v>45821</v>
      </c>
      <c r="F55" s="5" t="s">
        <v>189</v>
      </c>
      <c r="G55" s="5" t="s">
        <v>40</v>
      </c>
      <c r="H55" s="5" t="s">
        <v>75</v>
      </c>
      <c r="I55" s="8">
        <v>1479000</v>
      </c>
      <c r="J55" s="5" t="s">
        <v>42</v>
      </c>
      <c r="K55" s="5" t="s">
        <v>190</v>
      </c>
      <c r="L55" s="5" t="s">
        <v>191</v>
      </c>
    </row>
    <row r="56" spans="1:12" ht="99.95" hidden="1" customHeight="1">
      <c r="A56" s="4">
        <v>50</v>
      </c>
      <c r="B56" s="5" t="s">
        <v>5</v>
      </c>
      <c r="C56" s="5" t="s">
        <v>37</v>
      </c>
      <c r="D56" s="6" t="s">
        <v>192</v>
      </c>
      <c r="E56" s="7">
        <v>45930</v>
      </c>
      <c r="F56" s="5" t="s">
        <v>189</v>
      </c>
      <c r="G56" s="5" t="s">
        <v>46</v>
      </c>
      <c r="H56" s="5" t="s">
        <v>75</v>
      </c>
      <c r="I56" s="8">
        <v>-1479000</v>
      </c>
      <c r="J56" s="5" t="s">
        <v>42</v>
      </c>
      <c r="K56" s="5" t="s">
        <v>193</v>
      </c>
      <c r="L56" s="5" t="s">
        <v>191</v>
      </c>
    </row>
    <row r="57" spans="1:12" ht="99.95" hidden="1" customHeight="1">
      <c r="A57" s="4">
        <v>51</v>
      </c>
      <c r="B57" s="5" t="s">
        <v>5</v>
      </c>
      <c r="C57" s="5" t="s">
        <v>37</v>
      </c>
      <c r="D57" s="6" t="s">
        <v>194</v>
      </c>
      <c r="E57" s="7">
        <v>45822</v>
      </c>
      <c r="F57" s="5" t="s">
        <v>195</v>
      </c>
      <c r="G57" s="5" t="s">
        <v>40</v>
      </c>
      <c r="H57" s="5" t="s">
        <v>75</v>
      </c>
      <c r="I57" s="8">
        <v>1379000</v>
      </c>
      <c r="J57" s="5" t="s">
        <v>42</v>
      </c>
      <c r="K57" s="5" t="s">
        <v>196</v>
      </c>
      <c r="L57" s="5" t="s">
        <v>197</v>
      </c>
    </row>
    <row r="58" spans="1:12" ht="99.95" hidden="1" customHeight="1">
      <c r="A58" s="4">
        <v>52</v>
      </c>
      <c r="B58" s="5" t="s">
        <v>5</v>
      </c>
      <c r="C58" s="5" t="s">
        <v>37</v>
      </c>
      <c r="D58" s="6" t="s">
        <v>198</v>
      </c>
      <c r="E58" s="7">
        <v>45930</v>
      </c>
      <c r="F58" s="5" t="s">
        <v>195</v>
      </c>
      <c r="G58" s="5" t="s">
        <v>46</v>
      </c>
      <c r="H58" s="5" t="s">
        <v>75</v>
      </c>
      <c r="I58" s="8">
        <v>-1379000</v>
      </c>
      <c r="J58" s="5" t="s">
        <v>42</v>
      </c>
      <c r="K58" s="5" t="s">
        <v>199</v>
      </c>
      <c r="L58" s="5" t="s">
        <v>197</v>
      </c>
    </row>
    <row r="59" spans="1:12" ht="99.95" hidden="1" customHeight="1">
      <c r="A59" s="4">
        <v>53</v>
      </c>
      <c r="B59" s="5" t="s">
        <v>5</v>
      </c>
      <c r="C59" s="5" t="s">
        <v>37</v>
      </c>
      <c r="D59" s="6" t="s">
        <v>200</v>
      </c>
      <c r="E59" s="7">
        <v>45824</v>
      </c>
      <c r="F59" s="5" t="s">
        <v>201</v>
      </c>
      <c r="G59" s="5" t="s">
        <v>40</v>
      </c>
      <c r="H59" s="5" t="s">
        <v>75</v>
      </c>
      <c r="I59" s="8">
        <v>438000</v>
      </c>
      <c r="J59" s="5" t="s">
        <v>42</v>
      </c>
      <c r="K59" s="5" t="s">
        <v>202</v>
      </c>
      <c r="L59" s="5" t="s">
        <v>203</v>
      </c>
    </row>
    <row r="60" spans="1:12" ht="99.95" hidden="1" customHeight="1">
      <c r="A60" s="4">
        <v>54</v>
      </c>
      <c r="B60" s="5" t="s">
        <v>5</v>
      </c>
      <c r="C60" s="5" t="s">
        <v>37</v>
      </c>
      <c r="D60" s="6" t="s">
        <v>204</v>
      </c>
      <c r="E60" s="7">
        <v>45930</v>
      </c>
      <c r="F60" s="5" t="s">
        <v>201</v>
      </c>
      <c r="G60" s="5" t="s">
        <v>46</v>
      </c>
      <c r="H60" s="5" t="s">
        <v>75</v>
      </c>
      <c r="I60" s="8">
        <v>-438000</v>
      </c>
      <c r="J60" s="5" t="s">
        <v>42</v>
      </c>
      <c r="K60" s="5" t="s">
        <v>205</v>
      </c>
      <c r="L60" s="5" t="s">
        <v>203</v>
      </c>
    </row>
    <row r="61" spans="1:12" ht="99.95" hidden="1" customHeight="1">
      <c r="A61" s="4">
        <v>55</v>
      </c>
      <c r="B61" s="5" t="s">
        <v>5</v>
      </c>
      <c r="C61" s="5" t="s">
        <v>37</v>
      </c>
      <c r="D61" s="6" t="s">
        <v>206</v>
      </c>
      <c r="E61" s="7">
        <v>45826</v>
      </c>
      <c r="F61" s="5" t="s">
        <v>207</v>
      </c>
      <c r="G61" s="5" t="s">
        <v>40</v>
      </c>
      <c r="H61" s="5" t="s">
        <v>75</v>
      </c>
      <c r="I61" s="8">
        <v>645050</v>
      </c>
      <c r="J61" s="5" t="s">
        <v>42</v>
      </c>
      <c r="K61" s="5" t="s">
        <v>208</v>
      </c>
      <c r="L61" s="5" t="s">
        <v>209</v>
      </c>
    </row>
    <row r="62" spans="1:12" ht="99.95" hidden="1" customHeight="1">
      <c r="A62" s="4">
        <v>56</v>
      </c>
      <c r="B62" s="5" t="s">
        <v>5</v>
      </c>
      <c r="C62" s="5" t="s">
        <v>37</v>
      </c>
      <c r="D62" s="6" t="s">
        <v>210</v>
      </c>
      <c r="E62" s="7">
        <v>45930</v>
      </c>
      <c r="F62" s="5" t="s">
        <v>207</v>
      </c>
      <c r="G62" s="5" t="s">
        <v>46</v>
      </c>
      <c r="H62" s="5" t="s">
        <v>75</v>
      </c>
      <c r="I62" s="8">
        <v>-645050</v>
      </c>
      <c r="J62" s="5" t="s">
        <v>42</v>
      </c>
      <c r="K62" s="5" t="s">
        <v>211</v>
      </c>
      <c r="L62" s="5" t="s">
        <v>209</v>
      </c>
    </row>
    <row r="63" spans="1:12" ht="99.95" hidden="1" customHeight="1">
      <c r="A63" s="4">
        <v>57</v>
      </c>
      <c r="B63" s="5" t="s">
        <v>5</v>
      </c>
      <c r="C63" s="5" t="s">
        <v>37</v>
      </c>
      <c r="D63" s="6" t="s">
        <v>212</v>
      </c>
      <c r="E63" s="7">
        <v>45830</v>
      </c>
      <c r="F63" s="5" t="s">
        <v>213</v>
      </c>
      <c r="G63" s="5" t="s">
        <v>40</v>
      </c>
      <c r="H63" s="5" t="s">
        <v>75</v>
      </c>
      <c r="I63" s="8">
        <v>679000</v>
      </c>
      <c r="J63" s="5" t="s">
        <v>42</v>
      </c>
      <c r="K63" s="5" t="s">
        <v>214</v>
      </c>
      <c r="L63" s="5" t="s">
        <v>215</v>
      </c>
    </row>
    <row r="64" spans="1:12" ht="99.95" hidden="1" customHeight="1">
      <c r="A64" s="4">
        <v>58</v>
      </c>
      <c r="B64" s="5" t="s">
        <v>5</v>
      </c>
      <c r="C64" s="5" t="s">
        <v>37</v>
      </c>
      <c r="D64" s="6" t="s">
        <v>216</v>
      </c>
      <c r="E64" s="7">
        <v>45930</v>
      </c>
      <c r="F64" s="5" t="s">
        <v>213</v>
      </c>
      <c r="G64" s="5" t="s">
        <v>46</v>
      </c>
      <c r="H64" s="5" t="s">
        <v>75</v>
      </c>
      <c r="I64" s="8">
        <v>-679000</v>
      </c>
      <c r="J64" s="5" t="s">
        <v>42</v>
      </c>
      <c r="K64" s="5" t="s">
        <v>217</v>
      </c>
      <c r="L64" s="5" t="s">
        <v>215</v>
      </c>
    </row>
    <row r="65" spans="1:12" ht="99.95" hidden="1" customHeight="1">
      <c r="A65" s="4">
        <v>59</v>
      </c>
      <c r="B65" s="5" t="s">
        <v>5</v>
      </c>
      <c r="C65" s="5" t="s">
        <v>37</v>
      </c>
      <c r="D65" s="6" t="s">
        <v>218</v>
      </c>
      <c r="E65" s="7">
        <v>45830</v>
      </c>
      <c r="F65" s="5" t="s">
        <v>219</v>
      </c>
      <c r="G65" s="5" t="s">
        <v>40</v>
      </c>
      <c r="H65" s="5" t="s">
        <v>75</v>
      </c>
      <c r="I65" s="8">
        <v>1038999</v>
      </c>
      <c r="J65" s="5" t="s">
        <v>42</v>
      </c>
      <c r="K65" s="5" t="s">
        <v>220</v>
      </c>
      <c r="L65" s="5" t="s">
        <v>221</v>
      </c>
    </row>
    <row r="66" spans="1:12" ht="99.95" hidden="1" customHeight="1">
      <c r="A66" s="4">
        <v>60</v>
      </c>
      <c r="B66" s="5" t="s">
        <v>5</v>
      </c>
      <c r="C66" s="5" t="s">
        <v>37</v>
      </c>
      <c r="D66" s="6" t="s">
        <v>222</v>
      </c>
      <c r="E66" s="7">
        <v>45930</v>
      </c>
      <c r="F66" s="5" t="s">
        <v>219</v>
      </c>
      <c r="G66" s="5" t="s">
        <v>46</v>
      </c>
      <c r="H66" s="5" t="s">
        <v>75</v>
      </c>
      <c r="I66" s="8">
        <v>-1038999</v>
      </c>
      <c r="J66" s="5" t="s">
        <v>42</v>
      </c>
      <c r="K66" s="5" t="s">
        <v>223</v>
      </c>
      <c r="L66" s="5" t="s">
        <v>221</v>
      </c>
    </row>
    <row r="67" spans="1:12" ht="99.95" hidden="1" customHeight="1">
      <c r="A67" s="4">
        <v>61</v>
      </c>
      <c r="B67" s="5" t="s">
        <v>5</v>
      </c>
      <c r="C67" s="5" t="s">
        <v>37</v>
      </c>
      <c r="D67" s="6" t="s">
        <v>224</v>
      </c>
      <c r="E67" s="7">
        <v>45838</v>
      </c>
      <c r="F67" s="5" t="s">
        <v>225</v>
      </c>
      <c r="G67" s="5" t="s">
        <v>40</v>
      </c>
      <c r="H67" s="5" t="s">
        <v>75</v>
      </c>
      <c r="I67" s="8">
        <v>549000</v>
      </c>
      <c r="J67" s="5" t="s">
        <v>42</v>
      </c>
      <c r="K67" s="5" t="s">
        <v>226</v>
      </c>
      <c r="L67" s="5" t="s">
        <v>227</v>
      </c>
    </row>
    <row r="68" spans="1:12" ht="99.95" hidden="1" customHeight="1">
      <c r="A68" s="4">
        <v>62</v>
      </c>
      <c r="B68" s="5" t="s">
        <v>5</v>
      </c>
      <c r="C68" s="5" t="s">
        <v>37</v>
      </c>
      <c r="D68" s="6" t="s">
        <v>228</v>
      </c>
      <c r="E68" s="7">
        <v>45930</v>
      </c>
      <c r="F68" s="5" t="s">
        <v>225</v>
      </c>
      <c r="G68" s="5" t="s">
        <v>46</v>
      </c>
      <c r="H68" s="5" t="s">
        <v>75</v>
      </c>
      <c r="I68" s="8">
        <v>-549000</v>
      </c>
      <c r="J68" s="5" t="s">
        <v>42</v>
      </c>
      <c r="K68" s="5" t="s">
        <v>229</v>
      </c>
      <c r="L68" s="5" t="s">
        <v>227</v>
      </c>
    </row>
    <row r="69" spans="1:12" ht="99.95" customHeight="1">
      <c r="A69" s="9">
        <v>63</v>
      </c>
      <c r="B69" s="10" t="s">
        <v>7</v>
      </c>
      <c r="C69" s="10" t="s">
        <v>230</v>
      </c>
      <c r="D69" s="11" t="s">
        <v>231</v>
      </c>
      <c r="E69" s="12">
        <v>45301</v>
      </c>
      <c r="F69" s="10" t="s">
        <v>232</v>
      </c>
      <c r="G69" s="10" t="s">
        <v>40</v>
      </c>
      <c r="H69" s="10" t="s">
        <v>233</v>
      </c>
      <c r="I69" s="13">
        <v>12240860</v>
      </c>
      <c r="J69" s="10" t="s">
        <v>234</v>
      </c>
      <c r="K69" s="10" t="s">
        <v>235</v>
      </c>
      <c r="L69" s="10" t="s">
        <v>236</v>
      </c>
    </row>
    <row r="70" spans="1:12" ht="99.95" customHeight="1">
      <c r="A70" s="9">
        <v>64</v>
      </c>
      <c r="B70" s="10" t="s">
        <v>7</v>
      </c>
      <c r="C70" s="10" t="s">
        <v>37</v>
      </c>
      <c r="D70" s="11" t="s">
        <v>237</v>
      </c>
      <c r="E70" s="12">
        <v>45773</v>
      </c>
      <c r="F70" s="10" t="s">
        <v>232</v>
      </c>
      <c r="G70" s="10" t="s">
        <v>46</v>
      </c>
      <c r="H70" s="10" t="s">
        <v>233</v>
      </c>
      <c r="I70" s="13">
        <v>-384572</v>
      </c>
      <c r="J70" s="10" t="s">
        <v>234</v>
      </c>
      <c r="K70" s="10" t="s">
        <v>238</v>
      </c>
      <c r="L70" s="10" t="s">
        <v>236</v>
      </c>
    </row>
    <row r="71" spans="1:12" ht="99.95" customHeight="1">
      <c r="A71" s="9">
        <v>65</v>
      </c>
      <c r="B71" s="10" t="s">
        <v>7</v>
      </c>
      <c r="C71" s="10" t="s">
        <v>230</v>
      </c>
      <c r="D71" s="11" t="s">
        <v>239</v>
      </c>
      <c r="E71" s="12">
        <v>45565</v>
      </c>
      <c r="F71" s="10" t="s">
        <v>240</v>
      </c>
      <c r="G71" s="10" t="s">
        <v>40</v>
      </c>
      <c r="H71" s="10" t="s">
        <v>241</v>
      </c>
      <c r="I71" s="13">
        <v>213545767</v>
      </c>
      <c r="J71" s="10" t="s">
        <v>234</v>
      </c>
      <c r="K71" s="10" t="s">
        <v>242</v>
      </c>
      <c r="L71" s="10" t="s">
        <v>243</v>
      </c>
    </row>
    <row r="72" spans="1:12" ht="99.95" customHeight="1">
      <c r="A72" s="9">
        <v>66</v>
      </c>
      <c r="B72" s="10" t="s">
        <v>7</v>
      </c>
      <c r="C72" s="10" t="s">
        <v>37</v>
      </c>
      <c r="D72" s="11" t="s">
        <v>244</v>
      </c>
      <c r="E72" s="12">
        <v>45807</v>
      </c>
      <c r="F72" s="10" t="s">
        <v>240</v>
      </c>
      <c r="G72" s="10" t="s">
        <v>46</v>
      </c>
      <c r="H72" s="10" t="s">
        <v>241</v>
      </c>
      <c r="I72" s="13">
        <v>19257033</v>
      </c>
      <c r="J72" s="10" t="s">
        <v>234</v>
      </c>
      <c r="K72" s="10" t="s">
        <v>245</v>
      </c>
      <c r="L72" s="10" t="s">
        <v>243</v>
      </c>
    </row>
    <row r="73" spans="1:12" ht="99.95" customHeight="1">
      <c r="A73" s="9">
        <v>67</v>
      </c>
      <c r="B73" s="10" t="s">
        <v>7</v>
      </c>
      <c r="C73" s="10" t="s">
        <v>230</v>
      </c>
      <c r="D73" s="11" t="s">
        <v>246</v>
      </c>
      <c r="E73" s="12">
        <v>45611</v>
      </c>
      <c r="F73" s="10" t="s">
        <v>247</v>
      </c>
      <c r="G73" s="10" t="s">
        <v>40</v>
      </c>
      <c r="H73" s="10" t="s">
        <v>233</v>
      </c>
      <c r="I73" s="13"/>
      <c r="J73" s="10" t="s">
        <v>234</v>
      </c>
      <c r="K73" s="10" t="s">
        <v>248</v>
      </c>
      <c r="L73" s="10" t="s">
        <v>249</v>
      </c>
    </row>
    <row r="74" spans="1:12" ht="99.95" customHeight="1">
      <c r="A74" s="9">
        <v>68</v>
      </c>
      <c r="B74" s="10" t="s">
        <v>7</v>
      </c>
      <c r="C74" s="10" t="s">
        <v>37</v>
      </c>
      <c r="D74" s="11" t="s">
        <v>250</v>
      </c>
      <c r="E74" s="12">
        <v>45807</v>
      </c>
      <c r="F74" s="10" t="s">
        <v>247</v>
      </c>
      <c r="G74" s="10" t="s">
        <v>46</v>
      </c>
      <c r="H74" s="10" t="s">
        <v>233</v>
      </c>
      <c r="I74" s="13">
        <v>1839000</v>
      </c>
      <c r="J74" s="10" t="s">
        <v>234</v>
      </c>
      <c r="K74" s="10" t="s">
        <v>251</v>
      </c>
      <c r="L74" s="10" t="s">
        <v>249</v>
      </c>
    </row>
    <row r="75" spans="1:12" ht="99.95" customHeight="1">
      <c r="A75" s="9">
        <v>69</v>
      </c>
      <c r="B75" s="10" t="s">
        <v>7</v>
      </c>
      <c r="C75" s="10" t="s">
        <v>37</v>
      </c>
      <c r="D75" s="11" t="s">
        <v>252</v>
      </c>
      <c r="E75" s="12">
        <v>45804</v>
      </c>
      <c r="F75" s="10" t="s">
        <v>253</v>
      </c>
      <c r="G75" s="10" t="s">
        <v>40</v>
      </c>
      <c r="H75" s="10" t="s">
        <v>254</v>
      </c>
      <c r="I75" s="13">
        <v>729000</v>
      </c>
      <c r="J75" s="10" t="s">
        <v>234</v>
      </c>
      <c r="K75" s="10" t="s">
        <v>255</v>
      </c>
      <c r="L75" s="10" t="s">
        <v>256</v>
      </c>
    </row>
    <row r="76" spans="1:12" ht="99.95" customHeight="1">
      <c r="A76" s="9">
        <v>70</v>
      </c>
      <c r="B76" s="10" t="s">
        <v>7</v>
      </c>
      <c r="C76" s="10" t="s">
        <v>37</v>
      </c>
      <c r="D76" s="11" t="s">
        <v>257</v>
      </c>
      <c r="E76" s="12">
        <v>45825</v>
      </c>
      <c r="F76" s="10" t="s">
        <v>253</v>
      </c>
      <c r="G76" s="10" t="s">
        <v>46</v>
      </c>
      <c r="H76" s="10" t="s">
        <v>254</v>
      </c>
      <c r="I76" s="13"/>
      <c r="J76" s="10" t="s">
        <v>234</v>
      </c>
      <c r="K76" s="10" t="s">
        <v>258</v>
      </c>
      <c r="L76" s="10" t="s">
        <v>256</v>
      </c>
    </row>
    <row r="77" spans="1:12" ht="99.95" customHeight="1">
      <c r="A77" s="9">
        <v>71</v>
      </c>
      <c r="B77" s="10" t="s">
        <v>7</v>
      </c>
      <c r="C77" s="10" t="s">
        <v>37</v>
      </c>
      <c r="D77" s="11" t="s">
        <v>259</v>
      </c>
      <c r="E77" s="12">
        <v>45807</v>
      </c>
      <c r="F77" s="10" t="s">
        <v>260</v>
      </c>
      <c r="G77" s="10" t="s">
        <v>40</v>
      </c>
      <c r="H77" s="10" t="s">
        <v>254</v>
      </c>
      <c r="I77" s="13">
        <v>438999</v>
      </c>
      <c r="J77" s="10" t="s">
        <v>234</v>
      </c>
      <c r="K77" s="10" t="s">
        <v>261</v>
      </c>
      <c r="L77" s="10" t="s">
        <v>262</v>
      </c>
    </row>
    <row r="78" spans="1:12" ht="99.95" customHeight="1">
      <c r="A78" s="9">
        <v>72</v>
      </c>
      <c r="B78" s="10" t="s">
        <v>7</v>
      </c>
      <c r="C78" s="10" t="s">
        <v>37</v>
      </c>
      <c r="D78" s="11" t="s">
        <v>263</v>
      </c>
      <c r="E78" s="12">
        <v>45817</v>
      </c>
      <c r="F78" s="10" t="s">
        <v>260</v>
      </c>
      <c r="G78" s="10" t="s">
        <v>46</v>
      </c>
      <c r="H78" s="10" t="s">
        <v>254</v>
      </c>
      <c r="I78" s="13"/>
      <c r="J78" s="10" t="s">
        <v>234</v>
      </c>
      <c r="K78" s="10" t="s">
        <v>264</v>
      </c>
      <c r="L78" s="10" t="s">
        <v>262</v>
      </c>
    </row>
    <row r="79" spans="1:12" ht="99.95" customHeight="1">
      <c r="A79" s="9">
        <v>73</v>
      </c>
      <c r="B79" s="10" t="s">
        <v>7</v>
      </c>
      <c r="C79" s="10" t="s">
        <v>37</v>
      </c>
      <c r="D79" s="11" t="s">
        <v>265</v>
      </c>
      <c r="E79" s="12">
        <v>45807</v>
      </c>
      <c r="F79" s="10" t="s">
        <v>266</v>
      </c>
      <c r="G79" s="10" t="s">
        <v>40</v>
      </c>
      <c r="H79" s="10" t="s">
        <v>254</v>
      </c>
      <c r="I79" s="13">
        <v>438999</v>
      </c>
      <c r="J79" s="10" t="s">
        <v>234</v>
      </c>
      <c r="K79" s="10" t="s">
        <v>267</v>
      </c>
      <c r="L79" s="10" t="s">
        <v>268</v>
      </c>
    </row>
    <row r="80" spans="1:12" ht="99.95" customHeight="1">
      <c r="A80" s="9">
        <v>74</v>
      </c>
      <c r="B80" s="10" t="s">
        <v>7</v>
      </c>
      <c r="C80" s="10" t="s">
        <v>37</v>
      </c>
      <c r="D80" s="11" t="s">
        <v>269</v>
      </c>
      <c r="E80" s="12">
        <v>45817</v>
      </c>
      <c r="F80" s="10" t="s">
        <v>266</v>
      </c>
      <c r="G80" s="10" t="s">
        <v>46</v>
      </c>
      <c r="H80" s="10" t="s">
        <v>254</v>
      </c>
      <c r="I80" s="13"/>
      <c r="J80" s="10" t="s">
        <v>234</v>
      </c>
      <c r="K80" s="10" t="s">
        <v>270</v>
      </c>
      <c r="L80" s="10" t="s">
        <v>268</v>
      </c>
    </row>
    <row r="81" spans="1:12" ht="99.95" hidden="1" customHeight="1">
      <c r="A81" s="4">
        <v>75</v>
      </c>
      <c r="B81" s="5" t="s">
        <v>9</v>
      </c>
      <c r="C81" s="5" t="s">
        <v>230</v>
      </c>
      <c r="D81" s="6" t="s">
        <v>271</v>
      </c>
      <c r="E81" s="7">
        <v>45560</v>
      </c>
      <c r="F81" s="5" t="s">
        <v>272</v>
      </c>
      <c r="G81" s="5" t="s">
        <v>40</v>
      </c>
      <c r="H81" s="5" t="s">
        <v>273</v>
      </c>
      <c r="I81" s="8">
        <v>2379000</v>
      </c>
      <c r="J81" s="5" t="s">
        <v>274</v>
      </c>
      <c r="K81" s="5" t="s">
        <v>275</v>
      </c>
      <c r="L81" s="5" t="s">
        <v>276</v>
      </c>
    </row>
    <row r="82" spans="1:12" ht="99.95" hidden="1" customHeight="1">
      <c r="A82" s="4">
        <v>76</v>
      </c>
      <c r="B82" s="5" t="s">
        <v>9</v>
      </c>
      <c r="C82" s="5" t="s">
        <v>37</v>
      </c>
      <c r="D82" s="6" t="s">
        <v>277</v>
      </c>
      <c r="E82" s="7">
        <v>45808</v>
      </c>
      <c r="F82" s="5" t="s">
        <v>272</v>
      </c>
      <c r="G82" s="5" t="s">
        <v>46</v>
      </c>
      <c r="H82" s="5" t="s">
        <v>273</v>
      </c>
      <c r="I82" s="8">
        <v>400000</v>
      </c>
      <c r="J82" s="5" t="s">
        <v>274</v>
      </c>
      <c r="K82" s="5" t="s">
        <v>278</v>
      </c>
      <c r="L82" s="5" t="s">
        <v>276</v>
      </c>
    </row>
    <row r="83" spans="1:12" ht="99.95" hidden="1" customHeight="1">
      <c r="A83" s="4">
        <v>77</v>
      </c>
      <c r="B83" s="5" t="s">
        <v>9</v>
      </c>
      <c r="C83" s="5" t="s">
        <v>37</v>
      </c>
      <c r="D83" s="6" t="s">
        <v>279</v>
      </c>
      <c r="E83" s="7">
        <v>45683</v>
      </c>
      <c r="F83" s="5" t="s">
        <v>280</v>
      </c>
      <c r="G83" s="5" t="s">
        <v>40</v>
      </c>
      <c r="H83" s="5" t="s">
        <v>281</v>
      </c>
      <c r="I83" s="8">
        <v>955880</v>
      </c>
      <c r="J83" s="5" t="s">
        <v>274</v>
      </c>
      <c r="K83" s="5" t="s">
        <v>282</v>
      </c>
      <c r="L83" s="5" t="s">
        <v>283</v>
      </c>
    </row>
    <row r="84" spans="1:12" ht="99.95" hidden="1" customHeight="1">
      <c r="A84" s="4">
        <v>78</v>
      </c>
      <c r="B84" s="5" t="s">
        <v>9</v>
      </c>
      <c r="C84" s="5" t="s">
        <v>37</v>
      </c>
      <c r="D84" s="6" t="s">
        <v>284</v>
      </c>
      <c r="E84" s="7">
        <v>45782</v>
      </c>
      <c r="F84" s="5" t="s">
        <v>280</v>
      </c>
      <c r="G84" s="5" t="s">
        <v>46</v>
      </c>
      <c r="H84" s="5" t="s">
        <v>281</v>
      </c>
      <c r="I84" s="8">
        <v>83120</v>
      </c>
      <c r="J84" s="5" t="s">
        <v>274</v>
      </c>
      <c r="K84" s="5" t="s">
        <v>285</v>
      </c>
      <c r="L84" s="5" t="s">
        <v>283</v>
      </c>
    </row>
    <row r="85" spans="1:12" ht="99.95" hidden="1" customHeight="1">
      <c r="A85" s="9">
        <v>79</v>
      </c>
      <c r="B85" s="10" t="s">
        <v>11</v>
      </c>
      <c r="C85" s="10" t="s">
        <v>37</v>
      </c>
      <c r="D85" s="11" t="s">
        <v>286</v>
      </c>
      <c r="E85" s="12">
        <v>45816</v>
      </c>
      <c r="F85" s="10" t="s">
        <v>287</v>
      </c>
      <c r="G85" s="10" t="s">
        <v>40</v>
      </c>
      <c r="H85" s="10" t="s">
        <v>75</v>
      </c>
      <c r="I85" s="13">
        <v>539000</v>
      </c>
      <c r="J85" s="10" t="s">
        <v>288</v>
      </c>
      <c r="K85" s="10" t="s">
        <v>289</v>
      </c>
      <c r="L85" s="10" t="s">
        <v>290</v>
      </c>
    </row>
    <row r="86" spans="1:12" ht="99.95" hidden="1" customHeight="1">
      <c r="A86" s="9">
        <v>80</v>
      </c>
      <c r="B86" s="10" t="s">
        <v>11</v>
      </c>
      <c r="C86" s="10" t="s">
        <v>37</v>
      </c>
      <c r="D86" s="11" t="s">
        <v>291</v>
      </c>
      <c r="E86" s="12">
        <v>45930</v>
      </c>
      <c r="F86" s="10" t="s">
        <v>287</v>
      </c>
      <c r="G86" s="10" t="s">
        <v>46</v>
      </c>
      <c r="H86" s="10" t="s">
        <v>75</v>
      </c>
      <c r="I86" s="13">
        <v>-539000</v>
      </c>
      <c r="J86" s="10" t="s">
        <v>288</v>
      </c>
      <c r="K86" s="10" t="s">
        <v>292</v>
      </c>
      <c r="L86" s="10" t="s">
        <v>290</v>
      </c>
    </row>
    <row r="87" spans="1:12" ht="99.95" hidden="1" customHeight="1">
      <c r="A87" s="9">
        <v>81</v>
      </c>
      <c r="B87" s="10" t="s">
        <v>11</v>
      </c>
      <c r="C87" s="10" t="s">
        <v>37</v>
      </c>
      <c r="D87" s="11" t="s">
        <v>293</v>
      </c>
      <c r="E87" s="12">
        <v>45820</v>
      </c>
      <c r="F87" s="10" t="s">
        <v>294</v>
      </c>
      <c r="G87" s="10" t="s">
        <v>40</v>
      </c>
      <c r="H87" s="10" t="s">
        <v>75</v>
      </c>
      <c r="I87" s="13">
        <v>2478999</v>
      </c>
      <c r="J87" s="10" t="s">
        <v>288</v>
      </c>
      <c r="K87" s="10" t="s">
        <v>295</v>
      </c>
      <c r="L87" s="10" t="s">
        <v>296</v>
      </c>
    </row>
    <row r="88" spans="1:12" ht="99.95" hidden="1" customHeight="1">
      <c r="A88" s="9">
        <v>82</v>
      </c>
      <c r="B88" s="10" t="s">
        <v>11</v>
      </c>
      <c r="C88" s="10" t="s">
        <v>37</v>
      </c>
      <c r="D88" s="11" t="s">
        <v>297</v>
      </c>
      <c r="E88" s="12">
        <v>45930</v>
      </c>
      <c r="F88" s="10" t="s">
        <v>294</v>
      </c>
      <c r="G88" s="10" t="s">
        <v>46</v>
      </c>
      <c r="H88" s="10" t="s">
        <v>75</v>
      </c>
      <c r="I88" s="13">
        <v>-2478999</v>
      </c>
      <c r="J88" s="10" t="s">
        <v>288</v>
      </c>
      <c r="K88" s="10" t="s">
        <v>298</v>
      </c>
      <c r="L88" s="10" t="s">
        <v>296</v>
      </c>
    </row>
    <row r="89" spans="1:12" ht="99.95" hidden="1" customHeight="1">
      <c r="A89" s="9">
        <v>83</v>
      </c>
      <c r="B89" s="10" t="s">
        <v>11</v>
      </c>
      <c r="C89" s="10" t="s">
        <v>37</v>
      </c>
      <c r="D89" s="11" t="s">
        <v>299</v>
      </c>
      <c r="E89" s="12">
        <v>45830</v>
      </c>
      <c r="F89" s="10" t="s">
        <v>300</v>
      </c>
      <c r="G89" s="10" t="s">
        <v>40</v>
      </c>
      <c r="H89" s="10" t="s">
        <v>75</v>
      </c>
      <c r="I89" s="13">
        <v>524999</v>
      </c>
      <c r="J89" s="10" t="s">
        <v>288</v>
      </c>
      <c r="K89" s="10" t="s">
        <v>301</v>
      </c>
      <c r="L89" s="10" t="s">
        <v>302</v>
      </c>
    </row>
    <row r="90" spans="1:12" ht="99.95" hidden="1" customHeight="1">
      <c r="A90" s="9">
        <v>84</v>
      </c>
      <c r="B90" s="10" t="s">
        <v>11</v>
      </c>
      <c r="C90" s="10" t="s">
        <v>37</v>
      </c>
      <c r="D90" s="11" t="s">
        <v>303</v>
      </c>
      <c r="E90" s="12">
        <v>45930</v>
      </c>
      <c r="F90" s="10" t="s">
        <v>300</v>
      </c>
      <c r="G90" s="10" t="s">
        <v>46</v>
      </c>
      <c r="H90" s="10" t="s">
        <v>75</v>
      </c>
      <c r="I90" s="13">
        <v>-524999</v>
      </c>
      <c r="J90" s="10" t="s">
        <v>288</v>
      </c>
      <c r="K90" s="10" t="s">
        <v>304</v>
      </c>
      <c r="L90" s="10" t="s">
        <v>302</v>
      </c>
    </row>
    <row r="91" spans="1:12" ht="99.95" hidden="1" customHeight="1">
      <c r="A91" s="4">
        <v>85</v>
      </c>
      <c r="B91" s="5" t="s">
        <v>13</v>
      </c>
      <c r="C91" s="5" t="s">
        <v>37</v>
      </c>
      <c r="D91" s="6" t="s">
        <v>305</v>
      </c>
      <c r="E91" s="7">
        <v>45837</v>
      </c>
      <c r="F91" s="5" t="s">
        <v>306</v>
      </c>
      <c r="G91" s="5" t="s">
        <v>46</v>
      </c>
      <c r="H91" s="5" t="s">
        <v>75</v>
      </c>
      <c r="I91" s="8"/>
      <c r="J91" s="5" t="s">
        <v>307</v>
      </c>
      <c r="K91" s="5" t="s">
        <v>308</v>
      </c>
      <c r="L91" s="5" t="s">
        <v>309</v>
      </c>
    </row>
  </sheetData>
  <mergeCells count="3">
    <mergeCell ref="A2:L2"/>
    <mergeCell ref="A3:L3"/>
    <mergeCell ref="A4:L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hop</vt:lpstr>
      <vt:lpstr>85 hoa 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tran</cp:lastModifiedBy>
  <dcterms:modified xsi:type="dcterms:W3CDTF">2026-10-19T15:46:23Z</dcterms:modified>
</cp:coreProperties>
</file>