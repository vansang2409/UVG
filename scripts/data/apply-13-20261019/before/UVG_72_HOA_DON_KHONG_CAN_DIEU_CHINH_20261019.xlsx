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aa0b8b23f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hop" sheetId="1" r:id="R52f1869158fd48e6"/>
    <x:sheet xmlns:r="http://schemas.openxmlformats.org/officeDocument/2006/relationships" name="Khong can dieu chinh" sheetId="2" r:id="R0eb4ddafba20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000000"/>
    <x:numFmt numFmtId="202" formatCode="dd/mm/yyyy"/>
    <x:numFmt numFmtId="203" formatCode="0"/>
  </x:numFmts>
  <x:fonts count="7">
    <x:font>
      <x:sz val="11"/>
      <x:name val="Carlito"/>
    </x:font>
    <x:font>
      <x:sz val="10"/>
      <x:color rgb="FF243142"/>
      <x:name val="Arial"/>
    </x:font>
    <x:font>
      <x:b/>
      <x:sz val="14"/>
      <x:color rgb="FF22364D"/>
      <x:name val="Arial"/>
    </x:font>
    <x:font>
      <x:b/>
      <x:sz val="10"/>
      <x:color rgb="FF243142"/>
      <x:name val="Arial"/>
    </x:font>
    <x:font>
      <x:b/>
      <x:sz val="10"/>
      <x:color rgb="FFFFFFFF"/>
      <x:name val="Arial"/>
    </x:font>
    <x:font>
      <x:sz val="10"/>
      <x:color rgb="FF596778"/>
      <x:name val="Arial"/>
    </x:font>
    <x:font>
      <x:i/>
      <x:sz val="10"/>
      <x:color rgb="FF5967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22364D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2364D"/>
      </x:bottom>
      <x:diagonal/>
    </x:border>
    <x:border>
      <x:left/>
      <x:right/>
      <x:top style="thin">
        <x:color rgb="FFB5C1CD"/>
      </x:top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9d0ba6b3b4a76" /><Relationship Type="http://schemas.openxmlformats.org/officeDocument/2006/relationships/theme" Target="/xl/theme/theme1.xml" Id="Rfb16a837b8584fa9" /><Relationship Type="http://schemas.openxmlformats.org/officeDocument/2006/relationships/sharedStrings" Target="/xl/sharedStrings.xml" Id="R3b59645851764d16" /><Relationship Type="http://schemas.openxmlformats.org/officeDocument/2006/relationships/worksheet" Target="/xl/worksheets/sheet1.xml" Id="R52f1869158fd48e6" /><Relationship Type="http://schemas.openxmlformats.org/officeDocument/2006/relationships/worksheet" Target="/xl/worksheets/sheet2.xml" Id="R0eb4ddafba204ffe" /></Relationships>
</file>

<file path=xl/tables/table1.xml><?xml version="1.0" encoding="utf-8"?>
<x:table xmlns:x="http://schemas.openxmlformats.org/spreadsheetml/2006/main" id="1" name="HoaDonKhongCanDieuChinh" displayName="HoaDonKhongCanDieuChinh" ref="A6:H78" headerRowCount="1" totalsRowCount="0" totalsRowShown="0">
  <x:autoFilter ref="A6:H78"/>
  <x:tableColumns count="8">
    <x:tableColumn id="1" name="STT"/>
    <x:tableColumn id="2" name="Nhóm"/>
    <x:tableColumn id="3" name="Ký hiệu"/>
    <x:tableColumn id="4" name="Số hóa đơn"/>
    <x:tableColumn id="5" name="Ngày hóa đơn"/>
    <x:tableColumn id="6" name="Hóa đơn gốc của chuỗi"/>
    <x:tableColumn id="7" name="Tên người mua"/>
    <x:tableColumn id="8" name="Lý do không cần xuất điều chỉn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14d5a23c4b4ffe" /></Relationships>
</file>

<file path=xl/worksheets/sheet1.xml><?xml version="1.0" encoding="utf-8"?>
<x:worksheet xmlns:x="http://schemas.openxmlformats.org/spreadsheetml/2006/main">
  <x:sheetPr>
    <x:tabColor rgb="FF22364D"/>
  </x:sheetPr>
  <x:sheetViews>
    <x:sheetView showGridLines="0" workbookViewId="0"/>
  </x:sheetViews>
  <x:sheetFormatPr defaultRowHeight="15"/>
  <x:cols>
    <x:col min="1" max="1" width="55" hidden="0" customWidth="1"/>
    <x:col min="2" max="2" width="18" hidden="0" customWidth="1"/>
    <x:col min="3" max="3" width="3" hidden="0" customWidth="1"/>
    <x:col min="4" max="4" width="75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4" t="str">
        <x:v>SỐ HÓA ĐƠN CẦN XUẤT SAU ĐỐI CHIẾU</x:v>
      </x:c>
      <x:c r="B2" s="5"/>
      <x:c r="C2" s="5"/>
      <x:c r="D2" s="5"/>
    </x:row>
    <x:row r="3" ht="25" customHeight="1">
      <x:c r="A3" s="2"/>
      <x:c r="B3" s="2"/>
      <x:c r="C3" s="2"/>
      <x:c r="D3" s="2"/>
    </x:row>
    <x:row r="4" ht="31" customHeight="1">
      <x:c r="A4" s="19" t="str">
        <x:v>Chỉ tiêu</x:v>
      </x:c>
      <x:c r="B4" s="19" t="str">
        <x:v>Số hóa đơn</x:v>
      </x:c>
      <x:c r="C4" s="2"/>
      <x:c r="D4" s="19" t="str">
        <x:v>Diễn giải</x:v>
      </x:c>
    </x:row>
    <x:row r="5" ht="38" customHeight="1">
      <x:c r="A5" s="2" t="str">
        <x:v>Tập kế toán sau loại trùng</x:v>
      </x:c>
      <x:c r="B5" s="7" t="n">
        <x:v>10527</x:v>
      </x:c>
      <x:c r="C5" s="2"/>
      <x:c r="D5" s="8" t="str">
        <x:v>10.442 hóa đơn trong bộ hiện tại + 85 hóa đơn đối chiếu.</x:v>
      </x:c>
    </x:row>
    <x:row r="6" ht="38" customHeight="1">
      <x:c r="A6" s="2" t="str">
        <x:v>Không cần xuất điều chỉnh</x:v>
      </x:c>
      <x:c r="B6" s="7" t="n">
        <x:f>COUNTA('Khong can dieu chinh'!D7:D78)</x:f>
        <x:v>72</x:v>
      </x:c>
      <x:c r="C6" s="2"/>
      <x:c r="D6" s="8" t="str">
        <x:v>62 đã khớp + 6 cùng chuỗi sản phẩm + 4 chỉ đổi thông tin.</x:v>
      </x:c>
    </x:row>
    <x:row r="7" ht="38" customHeight="1">
      <x:c r="A7" s="11" t="str">
        <x:v>Cần xuất theo phương án mới</x:v>
      </x:c>
      <x:c r="B7" s="12" t="n">
        <x:f>B5-B6</x:f>
        <x:v>10455</x:v>
      </x:c>
      <x:c r="C7" s="2"/>
      <x:c r="D7" s="8" t="str">
        <x:v>Số hóa đơn riêng biệt trừ số không cần điều chỉnh.</x:v>
      </x:c>
    </x:row>
    <x:row r="8" ht="38" customHeight="1">
      <x:c r="A8" s="2" t="str">
        <x:v>Đã có trong bộ import hiện tại</x:v>
      </x:c>
      <x:c r="B8" s="7" t="n">
        <x:v>10442</x:v>
      </x:c>
      <x:c r="C8" s="2"/>
      <x:c r="D8" s="8" t="str">
        <x:v>8.410 chưa điều chỉnh + 2.032 đã điều chỉnh.</x:v>
      </x:c>
    </x:row>
    <x:row r="9" ht="38" customHeight="1">
      <x:c r="A9" s="11" t="str">
        <x:v>Cần bổ sung vào bộ import</x:v>
      </x:c>
      <x:c r="B9" s="12" t="n">
        <x:f>B7-B8</x:f>
        <x:v>13</x:v>
      </x:c>
      <x:c r="C9" s="2"/>
      <x:c r="D9" s="8" t="str">
        <x:v>13 hóa đơn trên 8 chuỗi; chưa bổ sung vào các file import.</x:v>
      </x:c>
    </x:row>
    <x:row r="10" ht="25" customHeight="1">
      <x:c r="A10" s="2"/>
      <x:c r="B10" s="2"/>
      <x:c r="C10" s="2"/>
      <x:c r="D10" s="2"/>
    </x:row>
    <x:row r="11" ht="25" customHeight="1">
      <x:c r="A11" s="2"/>
      <x:c r="B11" s="2"/>
      <x:c r="C11" s="2"/>
      <x:c r="D11" s="2"/>
    </x:row>
    <x:row r="12" ht="31" customHeight="1">
      <x:c r="A12" s="19" t="str">
        <x:v>Nhóm không cần xuất điều chỉnh</x:v>
      </x:c>
      <x:c r="B12" s="19" t="str">
        <x:v>Số hóa đơn</x:v>
      </x:c>
      <x:c r="C12" s="2"/>
      <x:c r="D12" s="19" t="str">
        <x:v>Lý do</x:v>
      </x:c>
    </x:row>
    <x:row r="13" ht="38" customHeight="1">
      <x:c r="A13" s="2" t="str">
        <x:v>Đã khớp chi tiết và số tiền</x:v>
      </x:c>
      <x:c r="B13" s="6" t="n">
        <x:f>COUNTIFS('Khong can dieu chinh'!B7:B78,A13)</x:f>
        <x:v>62</x:v>
      </x:c>
      <x:c r="C13" s="2"/>
      <x:c r="D13" s="8" t="str">
        <x:v>Chi tiết và số tiền đã khớp; tổng các hóa đơn liên quan = 0.</x:v>
      </x:c>
    </x:row>
    <x:row r="14" ht="38" customHeight="1">
      <x:c r="A14" s="2" t="str">
        <x:v>Cùng chuỗi sản phẩm, đã khớp</x:v>
      </x:c>
      <x:c r="B14" s="6" t="n">
        <x:f>COUNTIFS('Khong can dieu chinh'!B7:B78,A14)</x:f>
        <x:v>6</x:v>
      </x:c>
      <x:c r="C14" s="2"/>
      <x:c r="D14" s="8" t="str">
        <x:v>Cùng chuỗi sản phẩm, chi tiết và số tiền đã khớp; tổng chuỗi = 0.</x:v>
      </x:c>
    </x:row>
    <x:row r="15" ht="38" customHeight="1">
      <x:c r="A15" s="2" t="str">
        <x:v>Chỉ điều chỉnh thông tin</x:v>
      </x:c>
      <x:c r="B15" s="6" t="n">
        <x:f>COUNTIFS('Khong can dieu chinh'!B7:B78,A15)</x:f>
        <x:v>4</x:v>
      </x:c>
      <x:c r="C15" s="2"/>
      <x:c r="D15" s="8" t="str">
        <x:v>3 đổi thông tin người mua + 1 đổi tên hàng; không ảnh hưởng tiền hàng, tiền thuế.</x:v>
      </x:c>
    </x:row>
    <x:row r="16" ht="38" customHeight="1">
      <x:c r="A16" s="15" t="str">
        <x:v>Tổng không cần xuất</x:v>
      </x:c>
      <x:c r="B16" s="16" t="n">
        <x:f>SUM(B13:B15)</x:f>
        <x:v>72</x:v>
      </x:c>
      <x:c r="C16" s="2"/>
      <x:c r="D16" s="8" t="str">
        <x:v>Danh sách từng hóa đơn tại sheet Khong can dieu chinh.</x:v>
      </x:c>
    </x:row>
    <x:row r="17" ht="25" customHeight="1">
      <x:c r="A17" s="2"/>
      <x:c r="B17" s="2"/>
      <x:c r="C17" s="2"/>
      <x:c r="D17" s="2"/>
    </x:row>
    <x:row r="18" ht="25" customHeight="1">
      <x:c r="A18" s="20" t="str">
        <x:v>Giữ 00006108, 00004203, 00004204 vì chỉ đổi thông tin người mua; vẫn xử lý hóa đơn gốc.</x:v>
      </x:c>
      <x:c r="B18" s="2"/>
      <x:c r="C18" s="2"/>
      <x:c r="D18" s="2"/>
    </x:row>
    <x:row r="19" ht="25" customHeight="1">
      <x:c r="A19" s="20" t="str">
        <x:v>Cộng 00009186 chỉ đổi tên hàng: tổng 4 hóa đơn không đổi tiền hàng, tiền thuế.</x:v>
      </x:c>
      <x:c r="B19" s="2"/>
      <x:c r="C19" s="2"/>
      <x:c r="D19" s="2"/>
    </x:row>
    <x:row r="20" ht="25" customHeight="1">
      <x:c r="A20" s="20" t="str">
        <x:v>13 hóa đơn bổ sung = 9 thuộc 6 cặp trước đây giữ riêng + 4 hóa đơn dùng MST cá nhân.</x:v>
      </x:c>
      <x:c r="B20" s="2"/>
      <x:c r="C20" s="2"/>
      <x:c r="D20" s="2"/>
    </x:row>
    <x:row r="21" ht="25" customHeight="1">
      <x:c r="A21" s="20" t="str">
        <x:v>10.455 là số theo phương án mới. Các file import hiện tại vẫn có 10.442 hóa đơn.</x:v>
      </x:c>
      <x:c r="B21" s="2"/>
      <x:c r="C21" s="2"/>
      <x:c r="D21" s="2"/>
    </x:row>
    <x:row r="22" ht="25" customHeight="1">
      <x:c r="A22" s="2"/>
      <x:c r="B22" s="2"/>
      <x:c r="C22" s="2"/>
      <x:c r="D22" s="2"/>
    </x:row>
    <x:row r="23" ht="25" customHeight="1">
      <x:c r="A23" s="21" t="str">
        <x:v>Nguồn: danh sách 85 hóa đơn đối chiếu kế toán và xác nhận mới ngày 19/10/2026.</x:v>
      </x:c>
      <x:c r="B23" s="2"/>
      <x:c r="C23" s="2"/>
      <x:c r="D23" s="2"/>
    </x:row>
    <x:row r="24" ht="25" customHeight="1">
      <x:c r="A24" s="2"/>
      <x:c r="B24" s="2"/>
      <x:c r="C24" s="2"/>
      <x:c r="D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6" hidden="0" customWidth="1"/>
    <x:col min="2" max="2" width="31" hidden="0" customWidth="1"/>
    <x:col min="3" max="3" width="12" hidden="0" customWidth="1"/>
    <x:col min="4" max="4" width="14" hidden="0" customWidth="1"/>
    <x:col min="5" max="5" width="14" hidden="0" customWidth="1"/>
    <x:col min="6" max="6" width="26" hidden="0" customWidth="1"/>
    <x:col min="7" max="7" width="40" hidden="0" customWidth="1"/>
    <x:col min="8" max="8" width="6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4" t="str">
        <x:v>72 HÓA ĐƠN KHÔNG CẦN XUẤT ĐIỀU CHỈNH</x:v>
      </x:c>
      <x:c r="B2" s="5"/>
      <x:c r="C2" s="5"/>
      <x:c r="D2" s="5"/>
      <x:c r="E2" s="5"/>
      <x:c r="F2" s="5"/>
      <x:c r="G2" s="5"/>
      <x:c r="H2" s="5"/>
    </x:row>
    <x:row r="3" ht="25" customHeight="1">
      <x:c r="A3" s="20" t="str">
        <x:v>Trong nhóm 85 hóa đơn đối chiếu; các hóa đơn chỉ đổi thông tin không đổi tiền được giữ nguyên, hóa đơn gốc tiếp tục xử lý.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42" customHeight="1">
      <x:c r="A6" s="23" t="str">
        <x:v>STT</x:v>
      </x:c>
      <x:c r="B6" s="23" t="str">
        <x:v>Nhóm</x:v>
      </x:c>
      <x:c r="C6" s="23" t="str">
        <x:v>Ký hiệu</x:v>
      </x:c>
      <x:c r="D6" s="23" t="str">
        <x:v>Số hóa đơn</x:v>
      </x:c>
      <x:c r="E6" s="23" t="str">
        <x:v>Ngày hóa đơn</x:v>
      </x:c>
      <x:c r="F6" s="23" t="str">
        <x:v>Hóa đơn gốc của chuỗi</x:v>
      </x:c>
      <x:c r="G6" s="23" t="str">
        <x:v>Tên người mua</x:v>
      </x:c>
      <x:c r="H6" s="23" t="str">
        <x:v>Lý do không cần xuất điều chỉnh</x:v>
      </x:c>
    </x:row>
    <x:row r="7" ht="47" customHeight="1">
      <x:c r="A7" s="27" t="n">
        <x:v>1</x:v>
      </x:c>
      <x:c r="B7" s="8" t="str">
        <x:v>Đã khớp chi tiết và số tiền</x:v>
      </x:c>
      <x:c r="C7" s="28" t="str">
        <x:v>1C25TUV</x:v>
      </x:c>
      <x:c r="D7" s="29" t="str">
        <x:v>00000850</x:v>
      </x:c>
      <x:c r="E7" s="32" t="d">
        <x:v>2025-05-25T00:00:00.000Z</x:v>
      </x:c>
      <x:c r="F7" s="31" t="str">
        <x:v>1C25TUV/00000850</x:v>
      </x:c>
      <x:c r="G7" s="8" t="str">
        <x:v>KHÁCH HÀNG LẺ TT -KHÔNG LẤY HÓA ĐƠN</x:v>
      </x:c>
      <x:c r="H7" s="8" t="str">
        <x:v>Đã điều chỉnh khớp chi tiết và số tiền; tổng các hóa đơn liên quan = 0.</x:v>
      </x:c>
    </x:row>
    <x:row r="8" ht="47" customHeight="1">
      <x:c r="A8" s="27" t="n">
        <x:v>2</x:v>
      </x:c>
      <x:c r="B8" s="8" t="str">
        <x:v>Đã khớp chi tiết và số tiền</x:v>
      </x:c>
      <x:c r="C8" s="28" t="str">
        <x:v>1C25TUV</x:v>
      </x:c>
      <x:c r="D8" s="29" t="str">
        <x:v>00013065</x:v>
      </x:c>
      <x:c r="E8" s="32" t="d">
        <x:v>2025-09-30T00:00:00.000Z</x:v>
      </x:c>
      <x:c r="F8" s="31" t="str">
        <x:v>1C25TUV/00000850</x:v>
      </x:c>
      <x:c r="G8" s="8" t="str">
        <x:v>KHÁCH HÀNG LẺ TT -KHÔNG LẤY HÓA ĐƠN</x:v>
      </x:c>
      <x:c r="H8" s="8" t="str">
        <x:v>Đã điều chỉnh khớp chi tiết và số tiền; tổng các hóa đơn liên quan = 0.</x:v>
      </x:c>
    </x:row>
    <x:row r="9" ht="47" customHeight="1">
      <x:c r="A9" s="27" t="n">
        <x:v>3</x:v>
      </x:c>
      <x:c r="B9" s="8" t="str">
        <x:v>Đã khớp chi tiết và số tiền</x:v>
      </x:c>
      <x:c r="C9" s="28" t="str">
        <x:v>1C25TUV</x:v>
      </x:c>
      <x:c r="D9" s="29" t="str">
        <x:v>00001640</x:v>
      </x:c>
      <x:c r="E9" s="32" t="d">
        <x:v>2025-05-28T00:00:00.000Z</x:v>
      </x:c>
      <x:c r="F9" s="31" t="str">
        <x:v>1C25TUV/00001640</x:v>
      </x:c>
      <x:c r="G9" s="8" t="str">
        <x:v>KHÁCH HÀNG LẺ TT -KHÔNG LẤY HÓA ĐƠN</x:v>
      </x:c>
      <x:c r="H9" s="8" t="str">
        <x:v>Đã điều chỉnh khớp chi tiết và số tiền; tổng các hóa đơn liên quan = 0.</x:v>
      </x:c>
    </x:row>
    <x:row r="10" ht="47" customHeight="1">
      <x:c r="A10" s="27" t="n">
        <x:v>4</x:v>
      </x:c>
      <x:c r="B10" s="8" t="str">
        <x:v>Đã khớp chi tiết và số tiền</x:v>
      </x:c>
      <x:c r="C10" s="28" t="str">
        <x:v>1C25TUV</x:v>
      </x:c>
      <x:c r="D10" s="29" t="str">
        <x:v>00013066</x:v>
      </x:c>
      <x:c r="E10" s="32" t="d">
        <x:v>2025-09-30T00:00:00.000Z</x:v>
      </x:c>
      <x:c r="F10" s="31" t="str">
        <x:v>1C25TUV/00001640</x:v>
      </x:c>
      <x:c r="G10" s="8" t="str">
        <x:v>KHÁCH HÀNG LẺ TT -KHÔNG LẤY HÓA ĐƠN</x:v>
      </x:c>
      <x:c r="H10" s="8" t="str">
        <x:v>Đã điều chỉnh khớp chi tiết và số tiền; tổng các hóa đơn liên quan = 0.</x:v>
      </x:c>
    </x:row>
    <x:row r="11" ht="47" customHeight="1">
      <x:c r="A11" s="27" t="n">
        <x:v>5</x:v>
      </x:c>
      <x:c r="B11" s="8" t="str">
        <x:v>Đã khớp chi tiết và số tiền</x:v>
      </x:c>
      <x:c r="C11" s="28" t="str">
        <x:v>1C25TUV</x:v>
      </x:c>
      <x:c r="D11" s="29" t="str">
        <x:v>00001680</x:v>
      </x:c>
      <x:c r="E11" s="32" t="d">
        <x:v>2025-05-28T00:00:00.000Z</x:v>
      </x:c>
      <x:c r="F11" s="31" t="str">
        <x:v>1C25TUV/00001680</x:v>
      </x:c>
      <x:c r="G11" s="8" t="str">
        <x:v>KHÁCH HÀNG LẺ TT -KHÔNG LẤY HÓA ĐƠN</x:v>
      </x:c>
      <x:c r="H11" s="8" t="str">
        <x:v>Đã điều chỉnh khớp chi tiết và số tiền; tổng các hóa đơn liên quan = 0.</x:v>
      </x:c>
    </x:row>
    <x:row r="12" ht="47" customHeight="1">
      <x:c r="A12" s="27" t="n">
        <x:v>6</x:v>
      </x:c>
      <x:c r="B12" s="8" t="str">
        <x:v>Đã khớp chi tiết và số tiền</x:v>
      </x:c>
      <x:c r="C12" s="28" t="str">
        <x:v>1C25TUV</x:v>
      </x:c>
      <x:c r="D12" s="29" t="str">
        <x:v>00013067</x:v>
      </x:c>
      <x:c r="E12" s="32" t="d">
        <x:v>2025-09-30T00:00:00.000Z</x:v>
      </x:c>
      <x:c r="F12" s="31" t="str">
        <x:v>1C25TUV/00001680</x:v>
      </x:c>
      <x:c r="G12" s="8" t="str">
        <x:v>KHÁCH HÀNG LẺ TT -KHÔNG LẤY HÓA ĐƠN</x:v>
      </x:c>
      <x:c r="H12" s="8" t="str">
        <x:v>Đã điều chỉnh khớp chi tiết và số tiền; tổng các hóa đơn liên quan = 0.</x:v>
      </x:c>
    </x:row>
    <x:row r="13" ht="47" customHeight="1">
      <x:c r="A13" s="27" t="n">
        <x:v>7</x:v>
      </x:c>
      <x:c r="B13" s="8" t="str">
        <x:v>Đã khớp chi tiết và số tiền</x:v>
      </x:c>
      <x:c r="C13" s="28" t="str">
        <x:v>1C25TUV</x:v>
      </x:c>
      <x:c r="D13" s="29" t="str">
        <x:v>00001892</x:v>
      </x:c>
      <x:c r="E13" s="32" t="d">
        <x:v>2025-05-29T00:00:00.000Z</x:v>
      </x:c>
      <x:c r="F13" s="31" t="str">
        <x:v>1C25TUV/00001892</x:v>
      </x:c>
      <x:c r="G13" s="8" t="str">
        <x:v>KHÁCH HÀNG LẺ TT -KHÔNG LẤY HÓA ĐƠN</x:v>
      </x:c>
      <x:c r="H13" s="8" t="str">
        <x:v>Đã điều chỉnh khớp chi tiết và số tiền; tổng các hóa đơn liên quan = 0.</x:v>
      </x:c>
    </x:row>
    <x:row r="14" ht="47" customHeight="1">
      <x:c r="A14" s="27" t="n">
        <x:v>8</x:v>
      </x:c>
      <x:c r="B14" s="8" t="str">
        <x:v>Đã khớp chi tiết và số tiền</x:v>
      </x:c>
      <x:c r="C14" s="28" t="str">
        <x:v>1C25TUV</x:v>
      </x:c>
      <x:c r="D14" s="29" t="str">
        <x:v>00013069</x:v>
      </x:c>
      <x:c r="E14" s="32" t="d">
        <x:v>2025-09-30T00:00:00.000Z</x:v>
      </x:c>
      <x:c r="F14" s="31" t="str">
        <x:v>1C25TUV/00001892</x:v>
      </x:c>
      <x:c r="G14" s="8" t="str">
        <x:v>KHÁCH HÀNG LẺ TT -KHÔNG LẤY HÓA ĐƠN</x:v>
      </x:c>
      <x:c r="H14" s="8" t="str">
        <x:v>Đã điều chỉnh khớp chi tiết và số tiền; tổng các hóa đơn liên quan = 0.</x:v>
      </x:c>
    </x:row>
    <x:row r="15" ht="47" customHeight="1">
      <x:c r="A15" s="27" t="n">
        <x:v>9</x:v>
      </x:c>
      <x:c r="B15" s="8" t="str">
        <x:v>Đã khớp chi tiết và số tiền</x:v>
      </x:c>
      <x:c r="C15" s="28" t="str">
        <x:v>1C25TUV</x:v>
      </x:c>
      <x:c r="D15" s="29" t="str">
        <x:v>00002500</x:v>
      </x:c>
      <x:c r="E15" s="32" t="d">
        <x:v>2025-05-30T00:00:00.000Z</x:v>
      </x:c>
      <x:c r="F15" s="31" t="str">
        <x:v>1C25TUV/00002500</x:v>
      </x:c>
      <x:c r="G15" s="8" t="str">
        <x:v>KHÁCH HÀNG LẺ TT - KHÔNG LẤY HÓA ĐƠN</x:v>
      </x:c>
      <x:c r="H15" s="8" t="str">
        <x:v>Đã điều chỉnh khớp chi tiết và số tiền; tổng các hóa đơn liên quan = 0.</x:v>
      </x:c>
    </x:row>
    <x:row r="16" ht="47" customHeight="1">
      <x:c r="A16" s="27" t="n">
        <x:v>10</x:v>
      </x:c>
      <x:c r="B16" s="8" t="str">
        <x:v>Đã khớp chi tiết và số tiền</x:v>
      </x:c>
      <x:c r="C16" s="28" t="str">
        <x:v>1C25TUV</x:v>
      </x:c>
      <x:c r="D16" s="29" t="str">
        <x:v>00013068</x:v>
      </x:c>
      <x:c r="E16" s="32" t="d">
        <x:v>2025-09-30T00:00:00.000Z</x:v>
      </x:c>
      <x:c r="F16" s="31" t="str">
        <x:v>1C25TUV/00002500</x:v>
      </x:c>
      <x:c r="G16" s="8" t="str">
        <x:v>KHÁCH HÀNG LẺ TT - KHÔNG LẤY HÓA ĐƠN</x:v>
      </x:c>
      <x:c r="H16" s="8" t="str">
        <x:v>Đã điều chỉnh khớp chi tiết và số tiền; tổng các hóa đơn liên quan = 0.</x:v>
      </x:c>
    </x:row>
    <x:row r="17" ht="47" customHeight="1">
      <x:c r="A17" s="27" t="n">
        <x:v>11</x:v>
      </x:c>
      <x:c r="B17" s="8" t="str">
        <x:v>Đã khớp chi tiết và số tiền</x:v>
      </x:c>
      <x:c r="C17" s="28" t="str">
        <x:v>1C25TUV</x:v>
      </x:c>
      <x:c r="D17" s="29" t="str">
        <x:v>00003139</x:v>
      </x:c>
      <x:c r="E17" s="32" t="d">
        <x:v>2025-06-04T00:00:00.000Z</x:v>
      </x:c>
      <x:c r="F17" s="31" t="str">
        <x:v>1C25TUV/00003139</x:v>
      </x:c>
      <x:c r="G17" s="8" t="str">
        <x:v>KHÁCH HÀNG LẺ TIKTOK - KHÔNG LẤY HÓA ĐƠN</x:v>
      </x:c>
      <x:c r="H17" s="8" t="str">
        <x:v>Đã điều chỉnh khớp chi tiết và số tiền; tổng các hóa đơn liên quan = 0.</x:v>
      </x:c>
    </x:row>
    <x:row r="18" ht="47" customHeight="1">
      <x:c r="A18" s="27" t="n">
        <x:v>12</x:v>
      </x:c>
      <x:c r="B18" s="8" t="str">
        <x:v>Đã khớp chi tiết và số tiền</x:v>
      </x:c>
      <x:c r="C18" s="28" t="str">
        <x:v>1C25TUV</x:v>
      </x:c>
      <x:c r="D18" s="29" t="str">
        <x:v>00013071</x:v>
      </x:c>
      <x:c r="E18" s="32" t="d">
        <x:v>2025-09-30T00:00:00.000Z</x:v>
      </x:c>
      <x:c r="F18" s="31" t="str">
        <x:v>1C25TUV/00003139</x:v>
      </x:c>
      <x:c r="G18" s="8" t="str">
        <x:v>KHÁCH HÀNG LẺ TIKTOK - KHÔNG LẤY HÓA ĐƠN</x:v>
      </x:c>
      <x:c r="H18" s="8" t="str">
        <x:v>Đã điều chỉnh khớp chi tiết và số tiền; tổng các hóa đơn liên quan = 0.</x:v>
      </x:c>
    </x:row>
    <x:row r="19" ht="47" customHeight="1">
      <x:c r="A19" s="27" t="n">
        <x:v>13</x:v>
      </x:c>
      <x:c r="B19" s="8" t="str">
        <x:v>Đã khớp chi tiết và số tiền</x:v>
      </x:c>
      <x:c r="C19" s="28" t="str">
        <x:v>1C25TUV</x:v>
      </x:c>
      <x:c r="D19" s="29" t="str">
        <x:v>00003256</x:v>
      </x:c>
      <x:c r="E19" s="32" t="d">
        <x:v>2025-06-05T00:00:00.000Z</x:v>
      </x:c>
      <x:c r="F19" s="31" t="str">
        <x:v>1C25TUV/00003256</x:v>
      </x:c>
      <x:c r="G19" s="8" t="str">
        <x:v>KHÁCH HÀNG LẺ TIKTOK - KHÔNG LẤY HÓA ĐƠN</x:v>
      </x:c>
      <x:c r="H19" s="8" t="str">
        <x:v>Đã điều chỉnh khớp chi tiết và số tiền; tổng các hóa đơn liên quan = 0.</x:v>
      </x:c>
    </x:row>
    <x:row r="20" ht="47" customHeight="1">
      <x:c r="A20" s="27" t="n">
        <x:v>14</x:v>
      </x:c>
      <x:c r="B20" s="8" t="str">
        <x:v>Đã khớp chi tiết và số tiền</x:v>
      </x:c>
      <x:c r="C20" s="28" t="str">
        <x:v>1C25TUV</x:v>
      </x:c>
      <x:c r="D20" s="29" t="str">
        <x:v>00013074</x:v>
      </x:c>
      <x:c r="E20" s="32" t="d">
        <x:v>2025-09-30T00:00:00.000Z</x:v>
      </x:c>
      <x:c r="F20" s="31" t="str">
        <x:v>1C25TUV/00003256</x:v>
      </x:c>
      <x:c r="G20" s="8" t="str">
        <x:v>KHÁCH HÀNG LẺ TIKTOK - KHÔNG LẤY HÓA ĐƠN</x:v>
      </x:c>
      <x:c r="H20" s="8" t="str">
        <x:v>Đã điều chỉnh khớp chi tiết và số tiền; tổng các hóa đơn liên quan = 0.</x:v>
      </x:c>
    </x:row>
    <x:row r="21" ht="47" customHeight="1">
      <x:c r="A21" s="27" t="n">
        <x:v>15</x:v>
      </x:c>
      <x:c r="B21" s="8" t="str">
        <x:v>Đã khớp chi tiết và số tiền</x:v>
      </x:c>
      <x:c r="C21" s="28" t="str">
        <x:v>1C25TUV</x:v>
      </x:c>
      <x:c r="D21" s="29" t="str">
        <x:v>00003267</x:v>
      </x:c>
      <x:c r="E21" s="32" t="d">
        <x:v>2025-06-05T00:00:00.000Z</x:v>
      </x:c>
      <x:c r="F21" s="31" t="str">
        <x:v>1C25TUV/00003267</x:v>
      </x:c>
      <x:c r="G21" s="8" t="str">
        <x:v>KHÁCH HÀNG LẺ TIKTOK - KHÔNG LẤY HÓA ĐƠN</x:v>
      </x:c>
      <x:c r="H21" s="8" t="str">
        <x:v>Đã điều chỉnh khớp chi tiết và số tiền; tổng các hóa đơn liên quan = 0.</x:v>
      </x:c>
    </x:row>
    <x:row r="22" ht="47" customHeight="1">
      <x:c r="A22" s="27" t="n">
        <x:v>16</x:v>
      </x:c>
      <x:c r="B22" s="8" t="str">
        <x:v>Đã khớp chi tiết và số tiền</x:v>
      </x:c>
      <x:c r="C22" s="28" t="str">
        <x:v>1C25TUV</x:v>
      </x:c>
      <x:c r="D22" s="29" t="str">
        <x:v>00013075</x:v>
      </x:c>
      <x:c r="E22" s="32" t="d">
        <x:v>2025-09-30T00:00:00.000Z</x:v>
      </x:c>
      <x:c r="F22" s="31" t="str">
        <x:v>1C25TUV/00003267</x:v>
      </x:c>
      <x:c r="G22" s="8" t="str">
        <x:v>KHÁCH HÀNG LẺ TIKTOK - KHÔNG LẤY HÓA ĐƠN</x:v>
      </x:c>
      <x:c r="H22" s="8" t="str">
        <x:v>Đã điều chỉnh khớp chi tiết và số tiền; tổng các hóa đơn liên quan = 0.</x:v>
      </x:c>
    </x:row>
    <x:row r="23" ht="47" customHeight="1">
      <x:c r="A23" s="27" t="n">
        <x:v>17</x:v>
      </x:c>
      <x:c r="B23" s="8" t="str">
        <x:v>Đã khớp chi tiết và số tiền</x:v>
      </x:c>
      <x:c r="C23" s="28" t="str">
        <x:v>1C25TUV</x:v>
      </x:c>
      <x:c r="D23" s="29" t="str">
        <x:v>00003271</x:v>
      </x:c>
      <x:c r="E23" s="32" t="d">
        <x:v>2025-06-05T00:00:00.000Z</x:v>
      </x:c>
      <x:c r="F23" s="31" t="str">
        <x:v>1C25TUV/00003271</x:v>
      </x:c>
      <x:c r="G23" s="8" t="str">
        <x:v>KHÁCH HÀNG LẺ TIKTOK - KHÔNG LẤY HÓA ĐƠN</x:v>
      </x:c>
      <x:c r="H23" s="8" t="str">
        <x:v>Đã điều chỉnh khớp chi tiết và số tiền; tổng các hóa đơn liên quan = 0.</x:v>
      </x:c>
    </x:row>
    <x:row r="24" ht="47" customHeight="1">
      <x:c r="A24" s="27" t="n">
        <x:v>18</x:v>
      </x:c>
      <x:c r="B24" s="8" t="str">
        <x:v>Đã khớp chi tiết và số tiền</x:v>
      </x:c>
      <x:c r="C24" s="28" t="str">
        <x:v>1C25TUV</x:v>
      </x:c>
      <x:c r="D24" s="29" t="str">
        <x:v>00013077</x:v>
      </x:c>
      <x:c r="E24" s="32" t="d">
        <x:v>2025-09-30T00:00:00.000Z</x:v>
      </x:c>
      <x:c r="F24" s="31" t="str">
        <x:v>1C25TUV/00003271</x:v>
      </x:c>
      <x:c r="G24" s="8" t="str">
        <x:v>KHÁCH HÀNG LẺ TIKTOK - KHÔNG LẤY HÓA ĐƠN</x:v>
      </x:c>
      <x:c r="H24" s="8" t="str">
        <x:v>Đã điều chỉnh khớp chi tiết và số tiền; tổng các hóa đơn liên quan = 0.</x:v>
      </x:c>
    </x:row>
    <x:row r="25" ht="47" customHeight="1">
      <x:c r="A25" s="27" t="n">
        <x:v>19</x:v>
      </x:c>
      <x:c r="B25" s="8" t="str">
        <x:v>Đã khớp chi tiết và số tiền</x:v>
      </x:c>
      <x:c r="C25" s="28" t="str">
        <x:v>1C25TUV</x:v>
      </x:c>
      <x:c r="D25" s="29" t="str">
        <x:v>00003433</x:v>
      </x:c>
      <x:c r="E25" s="32" t="d">
        <x:v>2025-06-06T00:00:00.000Z</x:v>
      </x:c>
      <x:c r="F25" s="31" t="str">
        <x:v>1C25TUV/00003433</x:v>
      </x:c>
      <x:c r="G25" s="8" t="str">
        <x:v>KHÁCH HÀNG LẺ TIKTOK - KHÔNG LẤY HÓA ĐƠN</x:v>
      </x:c>
      <x:c r="H25" s="8" t="str">
        <x:v>Đã điều chỉnh khớp chi tiết và số tiền; tổng các hóa đơn liên quan = 0.</x:v>
      </x:c>
    </x:row>
    <x:row r="26" ht="47" customHeight="1">
      <x:c r="A26" s="27" t="n">
        <x:v>20</x:v>
      </x:c>
      <x:c r="B26" s="8" t="str">
        <x:v>Đã khớp chi tiết và số tiền</x:v>
      </x:c>
      <x:c r="C26" s="28" t="str">
        <x:v>1C25TUV</x:v>
      </x:c>
      <x:c r="D26" s="29" t="str">
        <x:v>00013078</x:v>
      </x:c>
      <x:c r="E26" s="32" t="d">
        <x:v>2025-09-30T00:00:00.000Z</x:v>
      </x:c>
      <x:c r="F26" s="31" t="str">
        <x:v>1C25TUV/00003433</x:v>
      </x:c>
      <x:c r="G26" s="8" t="str">
        <x:v>KHÁCH HÀNG LẺ TIKTOK - KHÔNG LẤY HÓA ĐƠN</x:v>
      </x:c>
      <x:c r="H26" s="8" t="str">
        <x:v>Đã điều chỉnh khớp chi tiết và số tiền; tổng các hóa đơn liên quan = 0.</x:v>
      </x:c>
    </x:row>
    <x:row r="27" ht="47" customHeight="1">
      <x:c r="A27" s="27" t="n">
        <x:v>21</x:v>
      </x:c>
      <x:c r="B27" s="8" t="str">
        <x:v>Đã khớp chi tiết và số tiền</x:v>
      </x:c>
      <x:c r="C27" s="28" t="str">
        <x:v>1C25TUV</x:v>
      </x:c>
      <x:c r="D27" s="29" t="str">
        <x:v>00003498</x:v>
      </x:c>
      <x:c r="E27" s="32" t="d">
        <x:v>2025-06-06T00:00:00.000Z</x:v>
      </x:c>
      <x:c r="F27" s="31" t="str">
        <x:v>1C25TUV/00003498</x:v>
      </x:c>
      <x:c r="G27" s="8" t="str">
        <x:v>KHÁCH HÀNG LẺ TIKTOK - KHÔNG LẤY HÓA ĐƠN</x:v>
      </x:c>
      <x:c r="H27" s="8" t="str">
        <x:v>Đã điều chỉnh khớp chi tiết và số tiền; tổng các hóa đơn liên quan = 0.</x:v>
      </x:c>
    </x:row>
    <x:row r="28" ht="47" customHeight="1">
      <x:c r="A28" s="27" t="n">
        <x:v>22</x:v>
      </x:c>
      <x:c r="B28" s="8" t="str">
        <x:v>Đã khớp chi tiết và số tiền</x:v>
      </x:c>
      <x:c r="C28" s="28" t="str">
        <x:v>1C25TUV</x:v>
      </x:c>
      <x:c r="D28" s="29" t="str">
        <x:v>00013076</x:v>
      </x:c>
      <x:c r="E28" s="32" t="d">
        <x:v>2025-09-30T00:00:00.000Z</x:v>
      </x:c>
      <x:c r="F28" s="31" t="str">
        <x:v>1C25TUV/00003498</x:v>
      </x:c>
      <x:c r="G28" s="8" t="str">
        <x:v>KHÁCH HÀNG LẺ TIKTOK - KHÔNG LẤY HÓA ĐƠN</x:v>
      </x:c>
      <x:c r="H28" s="8" t="str">
        <x:v>Đã điều chỉnh khớp chi tiết và số tiền; tổng các hóa đơn liên quan = 0.</x:v>
      </x:c>
    </x:row>
    <x:row r="29" ht="47" customHeight="1">
      <x:c r="A29" s="27" t="n">
        <x:v>23</x:v>
      </x:c>
      <x:c r="B29" s="8" t="str">
        <x:v>Đã khớp chi tiết và số tiền</x:v>
      </x:c>
      <x:c r="C29" s="28" t="str">
        <x:v>1C25TUV</x:v>
      </x:c>
      <x:c r="D29" s="29" t="str">
        <x:v>00003510</x:v>
      </x:c>
      <x:c r="E29" s="32" t="d">
        <x:v>2025-06-06T00:00:00.000Z</x:v>
      </x:c>
      <x:c r="F29" s="31" t="str">
        <x:v>1C25TUV/00003510</x:v>
      </x:c>
      <x:c r="G29" s="8" t="str">
        <x:v>KHÁCH HÀNG LẺ TIKTOK - KHÔNG LẤY HÓA ĐƠN</x:v>
      </x:c>
      <x:c r="H29" s="8" t="str">
        <x:v>Đã điều chỉnh khớp chi tiết và số tiền; tổng các hóa đơn liên quan = 0.</x:v>
      </x:c>
    </x:row>
    <x:row r="30" ht="47" customHeight="1">
      <x:c r="A30" s="27" t="n">
        <x:v>24</x:v>
      </x:c>
      <x:c r="B30" s="8" t="str">
        <x:v>Đã khớp chi tiết và số tiền</x:v>
      </x:c>
      <x:c r="C30" s="28" t="str">
        <x:v>1C25TUV</x:v>
      </x:c>
      <x:c r="D30" s="29" t="str">
        <x:v>00013073</x:v>
      </x:c>
      <x:c r="E30" s="32" t="d">
        <x:v>2025-09-30T00:00:00.000Z</x:v>
      </x:c>
      <x:c r="F30" s="31" t="str">
        <x:v>1C25TUV/00003510</x:v>
      </x:c>
      <x:c r="G30" s="8" t="str">
        <x:v>KHÁCH HÀNG LẺ TIKTOK - KHÔNG LẤY HÓA ĐƠN</x:v>
      </x:c>
      <x:c r="H30" s="8" t="str">
        <x:v>Đã điều chỉnh khớp chi tiết và số tiền; tổng các hóa đơn liên quan = 0.</x:v>
      </x:c>
    </x:row>
    <x:row r="31" ht="47" customHeight="1">
      <x:c r="A31" s="27" t="n">
        <x:v>25</x:v>
      </x:c>
      <x:c r="B31" s="8" t="str">
        <x:v>Đã khớp chi tiết và số tiền</x:v>
      </x:c>
      <x:c r="C31" s="28" t="str">
        <x:v>1C25TUV</x:v>
      </x:c>
      <x:c r="D31" s="29" t="str">
        <x:v>00003673</x:v>
      </x:c>
      <x:c r="E31" s="32" t="d">
        <x:v>2025-06-07T00:00:00.000Z</x:v>
      </x:c>
      <x:c r="F31" s="31" t="str">
        <x:v>1C25TUV/00003673</x:v>
      </x:c>
      <x:c r="G31" s="8" t="str">
        <x:v>KHÁCH HÀNG LẺ TIKTOK - KHÔNG LẤY HÓA ĐƠN</x:v>
      </x:c>
      <x:c r="H31" s="8" t="str">
        <x:v>Đã điều chỉnh khớp chi tiết và số tiền; tổng các hóa đơn liên quan = 0.</x:v>
      </x:c>
    </x:row>
    <x:row r="32" ht="47" customHeight="1">
      <x:c r="A32" s="27" t="n">
        <x:v>26</x:v>
      </x:c>
      <x:c r="B32" s="8" t="str">
        <x:v>Đã khớp chi tiết và số tiền</x:v>
      </x:c>
      <x:c r="C32" s="28" t="str">
        <x:v>1C25TUV</x:v>
      </x:c>
      <x:c r="D32" s="29" t="str">
        <x:v>00013086</x:v>
      </x:c>
      <x:c r="E32" s="32" t="d">
        <x:v>2025-09-30T00:00:00.000Z</x:v>
      </x:c>
      <x:c r="F32" s="31" t="str">
        <x:v>1C25TUV/00003673</x:v>
      </x:c>
      <x:c r="G32" s="8" t="str">
        <x:v>KHÁCH HÀNG LẺ TIKTOK - KHÔNG LẤY HÓA ĐƠN</x:v>
      </x:c>
      <x:c r="H32" s="8" t="str">
        <x:v>Đã điều chỉnh khớp chi tiết và số tiền; tổng các hóa đơn liên quan = 0.</x:v>
      </x:c>
    </x:row>
    <x:row r="33" ht="47" customHeight="1">
      <x:c r="A33" s="27" t="n">
        <x:v>27</x:v>
      </x:c>
      <x:c r="B33" s="8" t="str">
        <x:v>Đã khớp chi tiết và số tiền</x:v>
      </x:c>
      <x:c r="C33" s="28" t="str">
        <x:v>1C25TUV</x:v>
      </x:c>
      <x:c r="D33" s="29" t="str">
        <x:v>00003746</x:v>
      </x:c>
      <x:c r="E33" s="32" t="d">
        <x:v>2025-06-07T00:00:00.000Z</x:v>
      </x:c>
      <x:c r="F33" s="31" t="str">
        <x:v>1C25TUV/00003746</x:v>
      </x:c>
      <x:c r="G33" s="8" t="str">
        <x:v>KHÁCH HÀNG LẺ TIKTOK - KHÔNG LẤY HÓA ĐƠN</x:v>
      </x:c>
      <x:c r="H33" s="8" t="str">
        <x:v>Đã điều chỉnh khớp chi tiết và số tiền; tổng các hóa đơn liên quan = 0.</x:v>
      </x:c>
    </x:row>
    <x:row r="34" ht="47" customHeight="1">
      <x:c r="A34" s="27" t="n">
        <x:v>28</x:v>
      </x:c>
      <x:c r="B34" s="8" t="str">
        <x:v>Đã khớp chi tiết và số tiền</x:v>
      </x:c>
      <x:c r="C34" s="28" t="str">
        <x:v>1C25TUV</x:v>
      </x:c>
      <x:c r="D34" s="29" t="str">
        <x:v>00013080</x:v>
      </x:c>
      <x:c r="E34" s="32" t="d">
        <x:v>2025-09-30T00:00:00.000Z</x:v>
      </x:c>
      <x:c r="F34" s="31" t="str">
        <x:v>1C25TUV/00003746</x:v>
      </x:c>
      <x:c r="G34" s="8" t="str">
        <x:v>KHÁCH HÀNG LẺ TIKTOK - KHÔNG LẤY HÓA ĐƠN</x:v>
      </x:c>
      <x:c r="H34" s="8" t="str">
        <x:v>Đã điều chỉnh khớp chi tiết và số tiền; tổng các hóa đơn liên quan = 0.</x:v>
      </x:c>
    </x:row>
    <x:row r="35" ht="47" customHeight="1">
      <x:c r="A35" s="27" t="n">
        <x:v>29</x:v>
      </x:c>
      <x:c r="B35" s="8" t="str">
        <x:v>Đã khớp chi tiết và số tiền</x:v>
      </x:c>
      <x:c r="C35" s="28" t="str">
        <x:v>1C25TUV</x:v>
      </x:c>
      <x:c r="D35" s="29" t="str">
        <x:v>00004002</x:v>
      </x:c>
      <x:c r="E35" s="32" t="d">
        <x:v>2025-06-08T00:00:00.000Z</x:v>
      </x:c>
      <x:c r="F35" s="31" t="str">
        <x:v>1C25TUV/00004002</x:v>
      </x:c>
      <x:c r="G35" s="8" t="str">
        <x:v>KHÁCH HÀNG LẺ TIKTOK - KHÔNG LẤY HÓA ĐƠN</x:v>
      </x:c>
      <x:c r="H35" s="8" t="str">
        <x:v>Đã điều chỉnh khớp chi tiết và số tiền; tổng các hóa đơn liên quan = 0.</x:v>
      </x:c>
    </x:row>
    <x:row r="36" ht="47" customHeight="1">
      <x:c r="A36" s="27" t="n">
        <x:v>30</x:v>
      </x:c>
      <x:c r="B36" s="8" t="str">
        <x:v>Đã khớp chi tiết và số tiền</x:v>
      </x:c>
      <x:c r="C36" s="28" t="str">
        <x:v>1C25TUV</x:v>
      </x:c>
      <x:c r="D36" s="29" t="str">
        <x:v>00013083</x:v>
      </x:c>
      <x:c r="E36" s="32" t="d">
        <x:v>2025-09-30T00:00:00.000Z</x:v>
      </x:c>
      <x:c r="F36" s="31" t="str">
        <x:v>1C25TUV/00004002</x:v>
      </x:c>
      <x:c r="G36" s="8" t="str">
        <x:v>KHÁCH HÀNG LẺ TIKTOK - KHÔNG LẤY HÓA ĐƠN</x:v>
      </x:c>
      <x:c r="H36" s="8" t="str">
        <x:v>Đã điều chỉnh khớp chi tiết và số tiền; tổng các hóa đơn liên quan = 0.</x:v>
      </x:c>
    </x:row>
    <x:row r="37" ht="47" customHeight="1">
      <x:c r="A37" s="27" t="n">
        <x:v>31</x:v>
      </x:c>
      <x:c r="B37" s="8" t="str">
        <x:v>Đã khớp chi tiết và số tiền</x:v>
      </x:c>
      <x:c r="C37" s="28" t="str">
        <x:v>1C25TUV</x:v>
      </x:c>
      <x:c r="D37" s="29" t="str">
        <x:v>00004005</x:v>
      </x:c>
      <x:c r="E37" s="32" t="d">
        <x:v>2025-06-08T00:00:00.000Z</x:v>
      </x:c>
      <x:c r="F37" s="31" t="str">
        <x:v>1C25TUV/00004005</x:v>
      </x:c>
      <x:c r="G37" s="8" t="str">
        <x:v>KHÁCH HÀNG LẺ TIKTOK - KHÔNG LẤY HÓA ĐƠN</x:v>
      </x:c>
      <x:c r="H37" s="8" t="str">
        <x:v>Đã điều chỉnh khớp chi tiết và số tiền; tổng các hóa đơn liên quan = 0.</x:v>
      </x:c>
    </x:row>
    <x:row r="38" ht="47" customHeight="1">
      <x:c r="A38" s="27" t="n">
        <x:v>32</x:v>
      </x:c>
      <x:c r="B38" s="8" t="str">
        <x:v>Đã khớp chi tiết và số tiền</x:v>
      </x:c>
      <x:c r="C38" s="28" t="str">
        <x:v>1C25TUV</x:v>
      </x:c>
      <x:c r="D38" s="29" t="str">
        <x:v>00013084</x:v>
      </x:c>
      <x:c r="E38" s="32" t="d">
        <x:v>2025-09-30T00:00:00.000Z</x:v>
      </x:c>
      <x:c r="F38" s="31" t="str">
        <x:v>1C25TUV/00004005</x:v>
      </x:c>
      <x:c r="G38" s="8" t="str">
        <x:v>KHÁCH HÀNG LẺ TIKTOK - KHÔNG LẤY HÓA ĐƠN</x:v>
      </x:c>
      <x:c r="H38" s="8" t="str">
        <x:v>Đã điều chỉnh khớp chi tiết và số tiền; tổng các hóa đơn liên quan = 0.</x:v>
      </x:c>
    </x:row>
    <x:row r="39" ht="47" customHeight="1">
      <x:c r="A39" s="27" t="n">
        <x:v>33</x:v>
      </x:c>
      <x:c r="B39" s="8" t="str">
        <x:v>Đã khớp chi tiết và số tiền</x:v>
      </x:c>
      <x:c r="C39" s="28" t="str">
        <x:v>1C25TUV</x:v>
      </x:c>
      <x:c r="D39" s="29" t="str">
        <x:v>00004266</x:v>
      </x:c>
      <x:c r="E39" s="32" t="d">
        <x:v>2025-06-09T00:00:00.000Z</x:v>
      </x:c>
      <x:c r="F39" s="31" t="str">
        <x:v>1C25TUV/00004266</x:v>
      </x:c>
      <x:c r="G39" s="8" t="str">
        <x:v>KHÁCH HÀNG LẺ TIKTOK - KHÔNG LẤY HÓA ĐƠN</x:v>
      </x:c>
      <x:c r="H39" s="8" t="str">
        <x:v>Đã điều chỉnh khớp chi tiết và số tiền; tổng các hóa đơn liên quan = 0.</x:v>
      </x:c>
    </x:row>
    <x:row r="40" ht="47" customHeight="1">
      <x:c r="A40" s="27" t="n">
        <x:v>34</x:v>
      </x:c>
      <x:c r="B40" s="8" t="str">
        <x:v>Đã khớp chi tiết và số tiền</x:v>
      </x:c>
      <x:c r="C40" s="28" t="str">
        <x:v>1C25TUV</x:v>
      </x:c>
      <x:c r="D40" s="29" t="str">
        <x:v>00013085</x:v>
      </x:c>
      <x:c r="E40" s="32" t="d">
        <x:v>2025-09-30T00:00:00.000Z</x:v>
      </x:c>
      <x:c r="F40" s="31" t="str">
        <x:v>1C25TUV/00004266</x:v>
      </x:c>
      <x:c r="G40" s="8" t="str">
        <x:v>KHÁCH HÀNG LẺ TIKTOK - KHÔNG LẤY HÓA ĐƠN</x:v>
      </x:c>
      <x:c r="H40" s="8" t="str">
        <x:v>Đã điều chỉnh khớp chi tiết và số tiền; tổng các hóa đơn liên quan = 0.</x:v>
      </x:c>
    </x:row>
    <x:row r="41" ht="47" customHeight="1">
      <x:c r="A41" s="27" t="n">
        <x:v>35</x:v>
      </x:c>
      <x:c r="B41" s="8" t="str">
        <x:v>Đã khớp chi tiết và số tiền</x:v>
      </x:c>
      <x:c r="C41" s="28" t="str">
        <x:v>1C25TUV</x:v>
      </x:c>
      <x:c r="D41" s="29" t="str">
        <x:v>00004269</x:v>
      </x:c>
      <x:c r="E41" s="32" t="d">
        <x:v>2025-06-09T00:00:00.000Z</x:v>
      </x:c>
      <x:c r="F41" s="31" t="str">
        <x:v>1C25TUV/00004269</x:v>
      </x:c>
      <x:c r="G41" s="8" t="str">
        <x:v>KHÁCH HÀNG LẺ TIKTOK - KHÔNG LẤY HÓA ĐƠN</x:v>
      </x:c>
      <x:c r="H41" s="8" t="str">
        <x:v>Đã điều chỉnh khớp chi tiết và số tiền; tổng các hóa đơn liên quan = 0.</x:v>
      </x:c>
    </x:row>
    <x:row r="42" ht="47" customHeight="1">
      <x:c r="A42" s="27" t="n">
        <x:v>36</x:v>
      </x:c>
      <x:c r="B42" s="8" t="str">
        <x:v>Đã khớp chi tiết và số tiền</x:v>
      </x:c>
      <x:c r="C42" s="28" t="str">
        <x:v>1C25TUV</x:v>
      </x:c>
      <x:c r="D42" s="29" t="str">
        <x:v>00013081</x:v>
      </x:c>
      <x:c r="E42" s="32" t="d">
        <x:v>2025-09-30T00:00:00.000Z</x:v>
      </x:c>
      <x:c r="F42" s="31" t="str">
        <x:v>1C25TUV/00004269</x:v>
      </x:c>
      <x:c r="G42" s="8" t="str">
        <x:v>KHÁCH HÀNG LẺ TIKTOK - KHÔNG LẤY HÓA ĐƠN</x:v>
      </x:c>
      <x:c r="H42" s="8" t="str">
        <x:v>Đã điều chỉnh khớp chi tiết và số tiền; tổng các hóa đơn liên quan = 0.</x:v>
      </x:c>
    </x:row>
    <x:row r="43" ht="47" customHeight="1">
      <x:c r="A43" s="27" t="n">
        <x:v>37</x:v>
      </x:c>
      <x:c r="B43" s="8" t="str">
        <x:v>Đã khớp chi tiết và số tiền</x:v>
      </x:c>
      <x:c r="C43" s="28" t="str">
        <x:v>1C25TUV</x:v>
      </x:c>
      <x:c r="D43" s="29" t="str">
        <x:v>00004494</x:v>
      </x:c>
      <x:c r="E43" s="32" t="d">
        <x:v>2025-06-10T00:00:00.000Z</x:v>
      </x:c>
      <x:c r="F43" s="31" t="str">
        <x:v>1C25TUV/00004494</x:v>
      </x:c>
      <x:c r="G43" s="8" t="str">
        <x:v>KHÁCH HÀNG LẺ TIKTOK - KHÔNG LẤY HÓA ĐƠN</x:v>
      </x:c>
      <x:c r="H43" s="8" t="str">
        <x:v>Đã điều chỉnh khớp chi tiết và số tiền; tổng các hóa đơn liên quan = 0.</x:v>
      </x:c>
    </x:row>
    <x:row r="44" ht="47" customHeight="1">
      <x:c r="A44" s="27" t="n">
        <x:v>38</x:v>
      </x:c>
      <x:c r="B44" s="8" t="str">
        <x:v>Đã khớp chi tiết và số tiền</x:v>
      </x:c>
      <x:c r="C44" s="28" t="str">
        <x:v>1C25TUV</x:v>
      </x:c>
      <x:c r="D44" s="29" t="str">
        <x:v>00013088</x:v>
      </x:c>
      <x:c r="E44" s="32" t="d">
        <x:v>2025-09-30T00:00:00.000Z</x:v>
      </x:c>
      <x:c r="F44" s="31" t="str">
        <x:v>1C25TUV/00004494</x:v>
      </x:c>
      <x:c r="G44" s="8" t="str">
        <x:v>KHÁCH HÀNG LẺ TIKTOK - KHÔNG LẤY HÓA ĐƠN</x:v>
      </x:c>
      <x:c r="H44" s="8" t="str">
        <x:v>Đã điều chỉnh khớp chi tiết và số tiền; tổng các hóa đơn liên quan = 0.</x:v>
      </x:c>
    </x:row>
    <x:row r="45" ht="47" customHeight="1">
      <x:c r="A45" s="27" t="n">
        <x:v>39</x:v>
      </x:c>
      <x:c r="B45" s="8" t="str">
        <x:v>Đã khớp chi tiết và số tiền</x:v>
      </x:c>
      <x:c r="C45" s="28" t="str">
        <x:v>1C25TUV</x:v>
      </x:c>
      <x:c r="D45" s="29" t="str">
        <x:v>00004526</x:v>
      </x:c>
      <x:c r="E45" s="32" t="d">
        <x:v>2025-06-10T00:00:00.000Z</x:v>
      </x:c>
      <x:c r="F45" s="31" t="str">
        <x:v>1C25TUV/00004526</x:v>
      </x:c>
      <x:c r="G45" s="8" t="str">
        <x:v>KHÁCH HÀNG LẺ TIKTOK - KHÔNG LẤY HÓA ĐƠN</x:v>
      </x:c>
      <x:c r="H45" s="8" t="str">
        <x:v>Đã điều chỉnh khớp chi tiết và số tiền; tổng các hóa đơn liên quan = 0.</x:v>
      </x:c>
    </x:row>
    <x:row r="46" ht="47" customHeight="1">
      <x:c r="A46" s="27" t="n">
        <x:v>40</x:v>
      </x:c>
      <x:c r="B46" s="8" t="str">
        <x:v>Đã khớp chi tiết và số tiền</x:v>
      </x:c>
      <x:c r="C46" s="28" t="str">
        <x:v>1C25TUV</x:v>
      </x:c>
      <x:c r="D46" s="29" t="str">
        <x:v>00013082</x:v>
      </x:c>
      <x:c r="E46" s="32" t="d">
        <x:v>2025-09-30T00:00:00.000Z</x:v>
      </x:c>
      <x:c r="F46" s="31" t="str">
        <x:v>1C25TUV/00004526</x:v>
      </x:c>
      <x:c r="G46" s="8" t="str">
        <x:v>KHÁCH HÀNG LẺ TIKTOK - KHÔNG LẤY HÓA ĐƠN</x:v>
      </x:c>
      <x:c r="H46" s="8" t="str">
        <x:v>Đã điều chỉnh khớp chi tiết và số tiền; tổng các hóa đơn liên quan = 0.</x:v>
      </x:c>
    </x:row>
    <x:row r="47" ht="47" customHeight="1">
      <x:c r="A47" s="27" t="n">
        <x:v>41</x:v>
      </x:c>
      <x:c r="B47" s="8" t="str">
        <x:v>Đã khớp chi tiết và số tiền</x:v>
      </x:c>
      <x:c r="C47" s="28" t="str">
        <x:v>1C25TUV</x:v>
      </x:c>
      <x:c r="D47" s="29" t="str">
        <x:v>00004719</x:v>
      </x:c>
      <x:c r="E47" s="32" t="d">
        <x:v>2025-06-11T00:00:00.000Z</x:v>
      </x:c>
      <x:c r="F47" s="31" t="str">
        <x:v>1C25TUV/00004719</x:v>
      </x:c>
      <x:c r="G47" s="8" t="str">
        <x:v>KHÁCH HÀNG LẺ TIKTOK - KHÔNG LẤY HÓA ĐƠN</x:v>
      </x:c>
      <x:c r="H47" s="8" t="str">
        <x:v>Đã điều chỉnh khớp chi tiết và số tiền; tổng các hóa đơn liên quan = 0.</x:v>
      </x:c>
    </x:row>
    <x:row r="48" ht="47" customHeight="1">
      <x:c r="A48" s="27" t="n">
        <x:v>42</x:v>
      </x:c>
      <x:c r="B48" s="8" t="str">
        <x:v>Đã khớp chi tiết và số tiền</x:v>
      </x:c>
      <x:c r="C48" s="28" t="str">
        <x:v>1C25TUV</x:v>
      </x:c>
      <x:c r="D48" s="29" t="str">
        <x:v>00013090</x:v>
      </x:c>
      <x:c r="E48" s="32" t="d">
        <x:v>2025-09-30T00:00:00.000Z</x:v>
      </x:c>
      <x:c r="F48" s="31" t="str">
        <x:v>1C25TUV/00004719</x:v>
      </x:c>
      <x:c r="G48" s="8" t="str">
        <x:v>KHÁCH HÀNG LẺ TIKTOK - KHÔNG LẤY HÓA ĐƠN</x:v>
      </x:c>
      <x:c r="H48" s="8" t="str">
        <x:v>Đã điều chỉnh khớp chi tiết và số tiền; tổng các hóa đơn liên quan = 0.</x:v>
      </x:c>
    </x:row>
    <x:row r="49" ht="47" customHeight="1">
      <x:c r="A49" s="27" t="n">
        <x:v>43</x:v>
      </x:c>
      <x:c r="B49" s="8" t="str">
        <x:v>Đã khớp chi tiết và số tiền</x:v>
      </x:c>
      <x:c r="C49" s="28" t="str">
        <x:v>1C25TUV</x:v>
      </x:c>
      <x:c r="D49" s="29" t="str">
        <x:v>00004730</x:v>
      </x:c>
      <x:c r="E49" s="32" t="d">
        <x:v>2025-06-11T00:00:00.000Z</x:v>
      </x:c>
      <x:c r="F49" s="31" t="str">
        <x:v>1C25TUV/00004730</x:v>
      </x:c>
      <x:c r="G49" s="8" t="str">
        <x:v>KHÁCH HÀNG LẺ TIKTOK - KHÔNG LẤY HÓA ĐƠN</x:v>
      </x:c>
      <x:c r="H49" s="8" t="str">
        <x:v>Đã điều chỉnh khớp chi tiết và số tiền; tổng các hóa đơn liên quan = 0.</x:v>
      </x:c>
    </x:row>
    <x:row r="50" ht="47" customHeight="1">
      <x:c r="A50" s="27" t="n">
        <x:v>44</x:v>
      </x:c>
      <x:c r="B50" s="8" t="str">
        <x:v>Đã khớp chi tiết và số tiền</x:v>
      </x:c>
      <x:c r="C50" s="28" t="str">
        <x:v>1C25TUV</x:v>
      </x:c>
      <x:c r="D50" s="29" t="str">
        <x:v>00013091</x:v>
      </x:c>
      <x:c r="E50" s="32" t="d">
        <x:v>2025-09-30T00:00:00.000Z</x:v>
      </x:c>
      <x:c r="F50" s="31" t="str">
        <x:v>1C25TUV/00004730</x:v>
      </x:c>
      <x:c r="G50" s="8" t="str">
        <x:v>KHÁCH HÀNG LẺ TIKTOK - KHÔNG LẤY HÓA ĐƠN</x:v>
      </x:c>
      <x:c r="H50" s="8" t="str">
        <x:v>Đã điều chỉnh khớp chi tiết và số tiền; tổng các hóa đơn liên quan = 0.</x:v>
      </x:c>
    </x:row>
    <x:row r="51" ht="47" customHeight="1">
      <x:c r="A51" s="27" t="n">
        <x:v>45</x:v>
      </x:c>
      <x:c r="B51" s="8" t="str">
        <x:v>Đã khớp chi tiết và số tiền</x:v>
      </x:c>
      <x:c r="C51" s="28" t="str">
        <x:v>1C25TUV</x:v>
      </x:c>
      <x:c r="D51" s="29" t="str">
        <x:v>00004795</x:v>
      </x:c>
      <x:c r="E51" s="32" t="d">
        <x:v>2025-06-11T00:00:00.000Z</x:v>
      </x:c>
      <x:c r="F51" s="31" t="str">
        <x:v>1C25TUV/00004795</x:v>
      </x:c>
      <x:c r="G51" s="8" t="str">
        <x:v>KHÁCH HÀNG LẺ TIKTOK - KHÔNG LẤY HÓA ĐƠN</x:v>
      </x:c>
      <x:c r="H51" s="8" t="str">
        <x:v>Đã điều chỉnh khớp chi tiết và số tiền; tổng các hóa đơn liên quan = 0.</x:v>
      </x:c>
    </x:row>
    <x:row r="52" ht="47" customHeight="1">
      <x:c r="A52" s="27" t="n">
        <x:v>46</x:v>
      </x:c>
      <x:c r="B52" s="8" t="str">
        <x:v>Đã khớp chi tiết và số tiền</x:v>
      </x:c>
      <x:c r="C52" s="28" t="str">
        <x:v>1C25TUV</x:v>
      </x:c>
      <x:c r="D52" s="29" t="str">
        <x:v>00013087</x:v>
      </x:c>
      <x:c r="E52" s="32" t="d">
        <x:v>2025-09-30T00:00:00.000Z</x:v>
      </x:c>
      <x:c r="F52" s="31" t="str">
        <x:v>1C25TUV/00004795</x:v>
      </x:c>
      <x:c r="G52" s="8" t="str">
        <x:v>KHÁCH HÀNG LẺ TIKTOK - KHÔNG LẤY HÓA ĐƠN</x:v>
      </x:c>
      <x:c r="H52" s="8" t="str">
        <x:v>Đã điều chỉnh khớp chi tiết và số tiền; tổng các hóa đơn liên quan = 0.</x:v>
      </x:c>
    </x:row>
    <x:row r="53" ht="47" customHeight="1">
      <x:c r="A53" s="27" t="n">
        <x:v>47</x:v>
      </x:c>
      <x:c r="B53" s="8" t="str">
        <x:v>Đã khớp chi tiết và số tiền</x:v>
      </x:c>
      <x:c r="C53" s="28" t="str">
        <x:v>1C25TUV</x:v>
      </x:c>
      <x:c r="D53" s="29" t="str">
        <x:v>00005154</x:v>
      </x:c>
      <x:c r="E53" s="32" t="d">
        <x:v>2025-06-13T00:00:00.000Z</x:v>
      </x:c>
      <x:c r="F53" s="31" t="str">
        <x:v>1C25TUV/00005154</x:v>
      </x:c>
      <x:c r="G53" s="8" t="str">
        <x:v>KHÁCH HÀNG LẺ TIKTOK - KHÔNG LẤY HÓA ĐƠN</x:v>
      </x:c>
      <x:c r="H53" s="8" t="str">
        <x:v>Đã điều chỉnh khớp chi tiết và số tiền; tổng các hóa đơn liên quan = 0.</x:v>
      </x:c>
    </x:row>
    <x:row r="54" ht="47" customHeight="1">
      <x:c r="A54" s="27" t="n">
        <x:v>48</x:v>
      </x:c>
      <x:c r="B54" s="8" t="str">
        <x:v>Đã khớp chi tiết và số tiền</x:v>
      </x:c>
      <x:c r="C54" s="28" t="str">
        <x:v>1C25TUV</x:v>
      </x:c>
      <x:c r="D54" s="29" t="str">
        <x:v>00013094</x:v>
      </x:c>
      <x:c r="E54" s="32" t="d">
        <x:v>2025-09-30T00:00:00.000Z</x:v>
      </x:c>
      <x:c r="F54" s="31" t="str">
        <x:v>1C25TUV/00005154</x:v>
      </x:c>
      <x:c r="G54" s="8" t="str">
        <x:v>KHÁCH HÀNG LẺ TIKTOK - KHÔNG LẤY HÓA ĐƠN</x:v>
      </x:c>
      <x:c r="H54" s="8" t="str">
        <x:v>Đã điều chỉnh khớp chi tiết và số tiền; tổng các hóa đơn liên quan = 0.</x:v>
      </x:c>
    </x:row>
    <x:row r="55" ht="47" customHeight="1">
      <x:c r="A55" s="27" t="n">
        <x:v>49</x:v>
      </x:c>
      <x:c r="B55" s="8" t="str">
        <x:v>Đã khớp chi tiết và số tiền</x:v>
      </x:c>
      <x:c r="C55" s="28" t="str">
        <x:v>1C25TUV</x:v>
      </x:c>
      <x:c r="D55" s="29" t="str">
        <x:v>00005212</x:v>
      </x:c>
      <x:c r="E55" s="32" t="d">
        <x:v>2025-06-13T00:00:00.000Z</x:v>
      </x:c>
      <x:c r="F55" s="31" t="str">
        <x:v>1C25TUV/00005212</x:v>
      </x:c>
      <x:c r="G55" s="8" t="str">
        <x:v>KHÁCH HÀNG LẺ TIKTOK - KHÔNG LẤY HÓA ĐƠN</x:v>
      </x:c>
      <x:c r="H55" s="8" t="str">
        <x:v>Đã điều chỉnh khớp chi tiết và số tiền; tổng các hóa đơn liên quan = 0.</x:v>
      </x:c>
    </x:row>
    <x:row r="56" ht="47" customHeight="1">
      <x:c r="A56" s="27" t="n">
        <x:v>50</x:v>
      </x:c>
      <x:c r="B56" s="8" t="str">
        <x:v>Đã khớp chi tiết và số tiền</x:v>
      </x:c>
      <x:c r="C56" s="28" t="str">
        <x:v>1C25TUV</x:v>
      </x:c>
      <x:c r="D56" s="29" t="str">
        <x:v>00013092</x:v>
      </x:c>
      <x:c r="E56" s="32" t="d">
        <x:v>2025-09-30T00:00:00.000Z</x:v>
      </x:c>
      <x:c r="F56" s="31" t="str">
        <x:v>1C25TUV/00005212</x:v>
      </x:c>
      <x:c r="G56" s="8" t="str">
        <x:v>KHÁCH HÀNG LẺ TIKTOK - KHÔNG LẤY HÓA ĐƠN</x:v>
      </x:c>
      <x:c r="H56" s="8" t="str">
        <x:v>Đã điều chỉnh khớp chi tiết và số tiền; tổng các hóa đơn liên quan = 0.</x:v>
      </x:c>
    </x:row>
    <x:row r="57" ht="47" customHeight="1">
      <x:c r="A57" s="27" t="n">
        <x:v>51</x:v>
      </x:c>
      <x:c r="B57" s="8" t="str">
        <x:v>Đã khớp chi tiết và số tiền</x:v>
      </x:c>
      <x:c r="C57" s="28" t="str">
        <x:v>1C25TUV</x:v>
      </x:c>
      <x:c r="D57" s="29" t="str">
        <x:v>00005577</x:v>
      </x:c>
      <x:c r="E57" s="32" t="d">
        <x:v>2025-06-14T00:00:00.000Z</x:v>
      </x:c>
      <x:c r="F57" s="31" t="str">
        <x:v>1C25TUV/00005577</x:v>
      </x:c>
      <x:c r="G57" s="8" t="str">
        <x:v>KHÁCH HÀNG LẺ TIKTOK - KHÔNG LẤY HÓA ĐƠN</x:v>
      </x:c>
      <x:c r="H57" s="8" t="str">
        <x:v>Đã điều chỉnh khớp chi tiết và số tiền; tổng các hóa đơn liên quan = 0.</x:v>
      </x:c>
    </x:row>
    <x:row r="58" ht="47" customHeight="1">
      <x:c r="A58" s="27" t="n">
        <x:v>52</x:v>
      </x:c>
      <x:c r="B58" s="8" t="str">
        <x:v>Đã khớp chi tiết và số tiền</x:v>
      </x:c>
      <x:c r="C58" s="28" t="str">
        <x:v>1C25TUV</x:v>
      </x:c>
      <x:c r="D58" s="29" t="str">
        <x:v>00013093</x:v>
      </x:c>
      <x:c r="E58" s="32" t="d">
        <x:v>2025-09-30T00:00:00.000Z</x:v>
      </x:c>
      <x:c r="F58" s="31" t="str">
        <x:v>1C25TUV/00005577</x:v>
      </x:c>
      <x:c r="G58" s="8" t="str">
        <x:v>KHÁCH HÀNG LẺ TIKTOK - KHÔNG LẤY HÓA ĐƠN</x:v>
      </x:c>
      <x:c r="H58" s="8" t="str">
        <x:v>Đã điều chỉnh khớp chi tiết và số tiền; tổng các hóa đơn liên quan = 0.</x:v>
      </x:c>
    </x:row>
    <x:row r="59" ht="47" customHeight="1">
      <x:c r="A59" s="27" t="n">
        <x:v>53</x:v>
      </x:c>
      <x:c r="B59" s="8" t="str">
        <x:v>Đã khớp chi tiết và số tiền</x:v>
      </x:c>
      <x:c r="C59" s="28" t="str">
        <x:v>1C25TUV</x:v>
      </x:c>
      <x:c r="D59" s="29" t="str">
        <x:v>00005925</x:v>
      </x:c>
      <x:c r="E59" s="32" t="d">
        <x:v>2025-06-16T00:00:00.000Z</x:v>
      </x:c>
      <x:c r="F59" s="31" t="str">
        <x:v>1C25TUV/00005925</x:v>
      </x:c>
      <x:c r="G59" s="8" t="str">
        <x:v>KHÁCH HÀNG LẺ TIKTOK - KHÔNG LẤY HÓA ĐƠN</x:v>
      </x:c>
      <x:c r="H59" s="8" t="str">
        <x:v>Đã điều chỉnh khớp chi tiết và số tiền; tổng các hóa đơn liên quan = 0.</x:v>
      </x:c>
    </x:row>
    <x:row r="60" ht="47" customHeight="1">
      <x:c r="A60" s="27" t="n">
        <x:v>54</x:v>
      </x:c>
      <x:c r="B60" s="8" t="str">
        <x:v>Đã khớp chi tiết và số tiền</x:v>
      </x:c>
      <x:c r="C60" s="28" t="str">
        <x:v>1C25TUV</x:v>
      </x:c>
      <x:c r="D60" s="29" t="str">
        <x:v>00013096</x:v>
      </x:c>
      <x:c r="E60" s="32" t="d">
        <x:v>2025-09-30T00:00:00.000Z</x:v>
      </x:c>
      <x:c r="F60" s="31" t="str">
        <x:v>1C25TUV/00005925</x:v>
      </x:c>
      <x:c r="G60" s="8" t="str">
        <x:v>KHÁCH HÀNG LẺ TIKTOK - KHÔNG LẤY HÓA ĐƠN</x:v>
      </x:c>
      <x:c r="H60" s="8" t="str">
        <x:v>Đã điều chỉnh khớp chi tiết và số tiền; tổng các hóa đơn liên quan = 0.</x:v>
      </x:c>
    </x:row>
    <x:row r="61" ht="47" customHeight="1">
      <x:c r="A61" s="27" t="n">
        <x:v>55</x:v>
      </x:c>
      <x:c r="B61" s="8" t="str">
        <x:v>Đã khớp chi tiết và số tiền</x:v>
      </x:c>
      <x:c r="C61" s="28" t="str">
        <x:v>1C25TUV</x:v>
      </x:c>
      <x:c r="D61" s="29" t="str">
        <x:v>00006593</x:v>
      </x:c>
      <x:c r="E61" s="32" t="d">
        <x:v>2025-06-18T00:00:00.000Z</x:v>
      </x:c>
      <x:c r="F61" s="31" t="str">
        <x:v>1C25TUV/00006593</x:v>
      </x:c>
      <x:c r="G61" s="8" t="str">
        <x:v>KHÁCH HÀNG LẺ TIKTOK - KHÔNG LẤY HÓA ĐƠN</x:v>
      </x:c>
      <x:c r="H61" s="8" t="str">
        <x:v>Đã điều chỉnh khớp chi tiết và số tiền; tổng các hóa đơn liên quan = 0.</x:v>
      </x:c>
    </x:row>
    <x:row r="62" ht="47" customHeight="1">
      <x:c r="A62" s="27" t="n">
        <x:v>56</x:v>
      </x:c>
      <x:c r="B62" s="8" t="str">
        <x:v>Đã khớp chi tiết và số tiền</x:v>
      </x:c>
      <x:c r="C62" s="28" t="str">
        <x:v>1C25TUV</x:v>
      </x:c>
      <x:c r="D62" s="29" t="str">
        <x:v>00013097</x:v>
      </x:c>
      <x:c r="E62" s="32" t="d">
        <x:v>2025-09-30T00:00:00.000Z</x:v>
      </x:c>
      <x:c r="F62" s="31" t="str">
        <x:v>1C25TUV/00006593</x:v>
      </x:c>
      <x:c r="G62" s="8" t="str">
        <x:v>KHÁCH HÀNG LẺ TIKTOK - KHÔNG LẤY HÓA ĐƠN</x:v>
      </x:c>
      <x:c r="H62" s="8" t="str">
        <x:v>Đã điều chỉnh khớp chi tiết và số tiền; tổng các hóa đơn liên quan = 0.</x:v>
      </x:c>
    </x:row>
    <x:row r="63" ht="47" customHeight="1">
      <x:c r="A63" s="27" t="n">
        <x:v>57</x:v>
      </x:c>
      <x:c r="B63" s="8" t="str">
        <x:v>Đã khớp chi tiết và số tiền</x:v>
      </x:c>
      <x:c r="C63" s="28" t="str">
        <x:v>1C25TUV</x:v>
      </x:c>
      <x:c r="D63" s="29" t="str">
        <x:v>00007718</x:v>
      </x:c>
      <x:c r="E63" s="32" t="d">
        <x:v>2025-06-22T00:00:00.000Z</x:v>
      </x:c>
      <x:c r="F63" s="31" t="str">
        <x:v>1C25TUV/00007718</x:v>
      </x:c>
      <x:c r="G63" s="8" t="str">
        <x:v>KHÁCH HÀNG LẺ TIKTOK - KHÔNG LẤY HÓA ĐƠN</x:v>
      </x:c>
      <x:c r="H63" s="8" t="str">
        <x:v>Đã điều chỉnh khớp chi tiết và số tiền; tổng các hóa đơn liên quan = 0.</x:v>
      </x:c>
    </x:row>
    <x:row r="64" ht="47" customHeight="1">
      <x:c r="A64" s="27" t="n">
        <x:v>58</x:v>
      </x:c>
      <x:c r="B64" s="8" t="str">
        <x:v>Đã khớp chi tiết và số tiền</x:v>
      </x:c>
      <x:c r="C64" s="28" t="str">
        <x:v>1C25TUV</x:v>
      </x:c>
      <x:c r="D64" s="29" t="str">
        <x:v>00013098</x:v>
      </x:c>
      <x:c r="E64" s="32" t="d">
        <x:v>2025-09-30T00:00:00.000Z</x:v>
      </x:c>
      <x:c r="F64" s="31" t="str">
        <x:v>1C25TUV/00007718</x:v>
      </x:c>
      <x:c r="G64" s="8" t="str">
        <x:v>KHÁCH HÀNG LẺ TIKTOK - KHÔNG LẤY HÓA ĐƠN</x:v>
      </x:c>
      <x:c r="H64" s="8" t="str">
        <x:v>Đã điều chỉnh khớp chi tiết và số tiền; tổng các hóa đơn liên quan = 0.</x:v>
      </x:c>
    </x:row>
    <x:row r="65" ht="47" customHeight="1">
      <x:c r="A65" s="27" t="n">
        <x:v>59</x:v>
      </x:c>
      <x:c r="B65" s="8" t="str">
        <x:v>Đã khớp chi tiết và số tiền</x:v>
      </x:c>
      <x:c r="C65" s="28" t="str">
        <x:v>1C25TUV</x:v>
      </x:c>
      <x:c r="D65" s="29" t="str">
        <x:v>00007810</x:v>
      </x:c>
      <x:c r="E65" s="32" t="d">
        <x:v>2025-06-22T00:00:00.000Z</x:v>
      </x:c>
      <x:c r="F65" s="31" t="str">
        <x:v>1C25TUV/00007810</x:v>
      </x:c>
      <x:c r="G65" s="8" t="str">
        <x:v>KHÁCH HÀNG LẺ TIKTOK - KHÔNG LẤY HÓA ĐƠN</x:v>
      </x:c>
      <x:c r="H65" s="8" t="str">
        <x:v>Đã điều chỉnh khớp chi tiết và số tiền; tổng các hóa đơn liên quan = 0.</x:v>
      </x:c>
    </x:row>
    <x:row r="66" ht="47" customHeight="1">
      <x:c r="A66" s="27" t="n">
        <x:v>60</x:v>
      </x:c>
      <x:c r="B66" s="8" t="str">
        <x:v>Đã khớp chi tiết và số tiền</x:v>
      </x:c>
      <x:c r="C66" s="28" t="str">
        <x:v>1C25TUV</x:v>
      </x:c>
      <x:c r="D66" s="29" t="str">
        <x:v>00013100</x:v>
      </x:c>
      <x:c r="E66" s="32" t="d">
        <x:v>2025-09-30T00:00:00.000Z</x:v>
      </x:c>
      <x:c r="F66" s="31" t="str">
        <x:v>1C25TUV/00007810</x:v>
      </x:c>
      <x:c r="G66" s="8" t="str">
        <x:v>KHÁCH HÀNG LẺ TIKTOK - KHÔNG LẤY HÓA ĐƠN</x:v>
      </x:c>
      <x:c r="H66" s="8" t="str">
        <x:v>Đã điều chỉnh khớp chi tiết và số tiền; tổng các hóa đơn liên quan = 0.</x:v>
      </x:c>
    </x:row>
    <x:row r="67" ht="47" customHeight="1">
      <x:c r="A67" s="27" t="n">
        <x:v>61</x:v>
      </x:c>
      <x:c r="B67" s="8" t="str">
        <x:v>Đã khớp chi tiết và số tiền</x:v>
      </x:c>
      <x:c r="C67" s="28" t="str">
        <x:v>1C25TUV</x:v>
      </x:c>
      <x:c r="D67" s="29" t="str">
        <x:v>00009565</x:v>
      </x:c>
      <x:c r="E67" s="32" t="d">
        <x:v>2025-06-30T00:00:00.000Z</x:v>
      </x:c>
      <x:c r="F67" s="31" t="str">
        <x:v>1C25TUV/00009565</x:v>
      </x:c>
      <x:c r="G67" s="8" t="str">
        <x:v>KHÁCH HÀNG LẺ TIKTOK - KHÔNG LẤY HÓA ĐƠN</x:v>
      </x:c>
      <x:c r="H67" s="8" t="str">
        <x:v>Đã điều chỉnh khớp chi tiết và số tiền; tổng các hóa đơn liên quan = 0.</x:v>
      </x:c>
    </x:row>
    <x:row r="68" ht="47" customHeight="1">
      <x:c r="A68" s="27" t="n">
        <x:v>62</x:v>
      </x:c>
      <x:c r="B68" s="8" t="str">
        <x:v>Đã khớp chi tiết và số tiền</x:v>
      </x:c>
      <x:c r="C68" s="28" t="str">
        <x:v>1C25TUV</x:v>
      </x:c>
      <x:c r="D68" s="29" t="str">
        <x:v>00013101</x:v>
      </x:c>
      <x:c r="E68" s="32" t="d">
        <x:v>2025-09-30T00:00:00.000Z</x:v>
      </x:c>
      <x:c r="F68" s="31" t="str">
        <x:v>1C25TUV/00009565</x:v>
      </x:c>
      <x:c r="G68" s="8" t="str">
        <x:v>KHÁCH HÀNG LẺ TIKTOK - KHÔNG LẤY HÓA ĐƠN</x:v>
      </x:c>
      <x:c r="H68" s="8" t="str">
        <x:v>Đã điều chỉnh khớp chi tiết và số tiền; tổng các hóa đơn liên quan = 0.</x:v>
      </x:c>
    </x:row>
    <x:row r="69" ht="47" customHeight="1">
      <x:c r="A69" s="27" t="n">
        <x:v>63</x:v>
      </x:c>
      <x:c r="B69" s="8" t="str">
        <x:v>Cùng chuỗi sản phẩm, đã khớp</x:v>
      </x:c>
      <x:c r="C69" s="28" t="str">
        <x:v>1C25TUV</x:v>
      </x:c>
      <x:c r="D69" s="29" t="str">
        <x:v>00004026</x:v>
      </x:c>
      <x:c r="E69" s="32" t="d">
        <x:v>2025-06-08T00:00:00.000Z</x:v>
      </x:c>
      <x:c r="F69" s="31" t="str">
        <x:v>1C25TUV/00004026</x:v>
      </x:c>
      <x:c r="G69" s="8" t="str">
        <x:v>KHÁCH HÀNG LẺ TIKTOK - KHÔNG LẤY HÓA ĐƠN</x:v>
      </x:c>
      <x:c r="H69" s="8" t="str">
        <x:v>Đã điều chỉnh cùng chuỗi sản phẩm, khớp chi tiết và số tiền; tổng các hóa đơn liên quan = 0.</x:v>
      </x:c>
    </x:row>
    <x:row r="70" ht="47" customHeight="1">
      <x:c r="A70" s="27" t="n">
        <x:v>64</x:v>
      </x:c>
      <x:c r="B70" s="8" t="str">
        <x:v>Cùng chuỗi sản phẩm, đã khớp</x:v>
      </x:c>
      <x:c r="C70" s="28" t="str">
        <x:v>1C25TUV</x:v>
      </x:c>
      <x:c r="D70" s="29" t="str">
        <x:v>00013079</x:v>
      </x:c>
      <x:c r="E70" s="32" t="d">
        <x:v>2025-09-30T00:00:00.000Z</x:v>
      </x:c>
      <x:c r="F70" s="31" t="str">
        <x:v>1C25TUV/00004026</x:v>
      </x:c>
      <x:c r="G70" s="8" t="str">
        <x:v>KHÁCH HÀNG LẺ TIKTOK - KHÔNG LẤY HÓA ĐƠN</x:v>
      </x:c>
      <x:c r="H70" s="8" t="str">
        <x:v>Đã điều chỉnh cùng chuỗi sản phẩm, khớp chi tiết và số tiền; tổng các hóa đơn liên quan = 0.</x:v>
      </x:c>
    </x:row>
    <x:row r="71" ht="47" customHeight="1">
      <x:c r="A71" s="27" t="n">
        <x:v>65</x:v>
      </x:c>
      <x:c r="B71" s="8" t="str">
        <x:v>Cùng chuỗi sản phẩm, đã khớp</x:v>
      </x:c>
      <x:c r="C71" s="28" t="str">
        <x:v>1C25TUV</x:v>
      </x:c>
      <x:c r="D71" s="29" t="str">
        <x:v>00004953</x:v>
      </x:c>
      <x:c r="E71" s="32" t="d">
        <x:v>2025-06-12T00:00:00.000Z</x:v>
      </x:c>
      <x:c r="F71" s="31" t="str">
        <x:v>1C25TUV/00004953</x:v>
      </x:c>
      <x:c r="G71" s="8" t="str">
        <x:v>KHÁCH HÀNG LẺ TIKTOK - KHÔNG LẤY HÓA ĐƠN</x:v>
      </x:c>
      <x:c r="H71" s="8" t="str">
        <x:v>Đã điều chỉnh cùng chuỗi sản phẩm, khớp chi tiết và số tiền; tổng các hóa đơn liên quan = 0.</x:v>
      </x:c>
    </x:row>
    <x:row r="72" ht="47" customHeight="1">
      <x:c r="A72" s="27" t="n">
        <x:v>66</x:v>
      </x:c>
      <x:c r="B72" s="8" t="str">
        <x:v>Cùng chuỗi sản phẩm, đã khớp</x:v>
      </x:c>
      <x:c r="C72" s="28" t="str">
        <x:v>1C25TUV</x:v>
      </x:c>
      <x:c r="D72" s="29" t="str">
        <x:v>00013089</x:v>
      </x:c>
      <x:c r="E72" s="32" t="d">
        <x:v>2025-09-30T00:00:00.000Z</x:v>
      </x:c>
      <x:c r="F72" s="31" t="str">
        <x:v>1C25TUV/00004953</x:v>
      </x:c>
      <x:c r="G72" s="8" t="str">
        <x:v>KHÁCH HÀNG LẺ TIKTOK - KHÔNG LẤY HÓA ĐƠN</x:v>
      </x:c>
      <x:c r="H72" s="8" t="str">
        <x:v>Đã điều chỉnh cùng chuỗi sản phẩm, khớp chi tiết và số tiền; tổng các hóa đơn liên quan = 0.</x:v>
      </x:c>
    </x:row>
    <x:row r="73" ht="47" customHeight="1">
      <x:c r="A73" s="27" t="n">
        <x:v>67</x:v>
      </x:c>
      <x:c r="B73" s="8" t="str">
        <x:v>Cùng chuỗi sản phẩm, đã khớp</x:v>
      </x:c>
      <x:c r="C73" s="28" t="str">
        <x:v>1C25TUV</x:v>
      </x:c>
      <x:c r="D73" s="29" t="str">
        <x:v>00007766</x:v>
      </x:c>
      <x:c r="E73" s="32" t="d">
        <x:v>2025-06-22T00:00:00.000Z</x:v>
      </x:c>
      <x:c r="F73" s="31" t="str">
        <x:v>1C25TUV/00007766</x:v>
      </x:c>
      <x:c r="G73" s="8" t="str">
        <x:v>KHÁCH HÀNG LẺ TIKTOK - KHÔNG LẤY HÓA ĐƠN</x:v>
      </x:c>
      <x:c r="H73" s="8" t="str">
        <x:v>Đã điều chỉnh cùng chuỗi sản phẩm, khớp chi tiết và số tiền; tổng các hóa đơn liên quan = 0.</x:v>
      </x:c>
    </x:row>
    <x:row r="74" ht="47" customHeight="1">
      <x:c r="A74" s="27" t="n">
        <x:v>68</x:v>
      </x:c>
      <x:c r="B74" s="8" t="str">
        <x:v>Cùng chuỗi sản phẩm, đã khớp</x:v>
      </x:c>
      <x:c r="C74" s="28" t="str">
        <x:v>1C25TUV</x:v>
      </x:c>
      <x:c r="D74" s="29" t="str">
        <x:v>00013099</x:v>
      </x:c>
      <x:c r="E74" s="32" t="d">
        <x:v>2025-09-30T00:00:00.000Z</x:v>
      </x:c>
      <x:c r="F74" s="31" t="str">
        <x:v>1C25TUV/00007766</x:v>
      </x:c>
      <x:c r="G74" s="8" t="str">
        <x:v>KHÁCH HÀNG LẺ TIKTOK - KHÔNG LẤY HÓA ĐƠN</x:v>
      </x:c>
      <x:c r="H74" s="8" t="str">
        <x:v>Đã điều chỉnh cùng chuỗi sản phẩm, khớp chi tiết và số tiền; tổng các hóa đơn liên quan = 0.</x:v>
      </x:c>
    </x:row>
    <x:row r="75" ht="47" customHeight="1">
      <x:c r="A75" s="27" t="n">
        <x:v>69</x:v>
      </x:c>
      <x:c r="B75" s="8" t="str">
        <x:v>Chỉ điều chỉnh thông tin</x:v>
      </x:c>
      <x:c r="C75" s="28" t="str">
        <x:v>1C25TUV</x:v>
      </x:c>
      <x:c r="D75" s="29" t="str">
        <x:v>00006108</x:v>
      </x:c>
      <x:c r="E75" s="32" t="d">
        <x:v>2025-06-17T00:00:00.000Z</x:v>
      </x:c>
      <x:c r="F75" s="31" t="str">
        <x:v>1C25TUV/00001348</x:v>
      </x:c>
      <x:c r="G75" s="8" t="str">
        <x:v>KHÁCH HÀNG LẺ SP - KHÔNG LẤY HÓA ĐƠN</x:v>
      </x:c>
      <x:c r="H75" s="8" t="str">
        <x:v>Chỉ điều chỉnh tên/thông tin người mua, không đổi tiền hàng và tiền thuế; chỉ xử lý hóa đơn gốc.</x:v>
      </x:c>
    </x:row>
    <x:row r="76" ht="47" customHeight="1">
      <x:c r="A76" s="27" t="n">
        <x:v>70</x:v>
      </x:c>
      <x:c r="B76" s="8" t="str">
        <x:v>Chỉ điều chỉnh thông tin</x:v>
      </x:c>
      <x:c r="C76" s="28" t="str">
        <x:v>1C25TUV</x:v>
      </x:c>
      <x:c r="D76" s="29" t="str">
        <x:v>00004203</x:v>
      </x:c>
      <x:c r="E76" s="32" t="d">
        <x:v>2025-06-09T00:00:00.000Z</x:v>
      </x:c>
      <x:c r="F76" s="31" t="str">
        <x:v>1C25TUV/00002377</x:v>
      </x:c>
      <x:c r="G76" s="8" t="str">
        <x:v>KHÁCH HÀNG LẺ SP - KHÔNG LẤY HÓA ĐƠN</x:v>
      </x:c>
      <x:c r="H76" s="8" t="str">
        <x:v>Chỉ điều chỉnh tên/thông tin người mua, không đổi tiền hàng và tiền thuế; chỉ xử lý hóa đơn gốc.</x:v>
      </x:c>
    </x:row>
    <x:row r="77" ht="47" customHeight="1">
      <x:c r="A77" s="27" t="n">
        <x:v>71</x:v>
      </x:c>
      <x:c r="B77" s="8" t="str">
        <x:v>Chỉ điều chỉnh thông tin</x:v>
      </x:c>
      <x:c r="C77" s="28" t="str">
        <x:v>1C25TUV</x:v>
      </x:c>
      <x:c r="D77" s="29" t="str">
        <x:v>00004204</x:v>
      </x:c>
      <x:c r="E77" s="32" t="d">
        <x:v>2025-06-09T00:00:00.000Z</x:v>
      </x:c>
      <x:c r="F77" s="31" t="str">
        <x:v>1C25TUV/00002378</x:v>
      </x:c>
      <x:c r="G77" s="8" t="str">
        <x:v>KHÁCH HÀNG LẺ SP - KHÔNG LẤY HÓA ĐƠN</x:v>
      </x:c>
      <x:c r="H77" s="8" t="str">
        <x:v>Chỉ điều chỉnh tên/thông tin người mua, không đổi tiền hàng và tiền thuế; chỉ xử lý hóa đơn gốc.</x:v>
      </x:c>
    </x:row>
    <x:row r="78" ht="47" customHeight="1">
      <x:c r="A78" s="27" t="n">
        <x:v>72</x:v>
      </x:c>
      <x:c r="B78" s="8" t="str">
        <x:v>Chỉ điều chỉnh thông tin</x:v>
      </x:c>
      <x:c r="C78" s="28" t="str">
        <x:v>1C25TUV</x:v>
      </x:c>
      <x:c r="D78" s="29" t="str">
        <x:v>00009186</x:v>
      </x:c>
      <x:c r="E78" s="32" t="d">
        <x:v>2025-06-29T00:00:00.000Z</x:v>
      </x:c>
      <x:c r="F78" s="31" t="str">
        <x:v>1C25TUV/00009072</x:v>
      </x:c>
      <x:c r="G78" s="8" t="str">
        <x:v>KHÁCH HÀNG LẺ TIKTOK - KHÔNG LẤY HÓA ĐƠN</x:v>
      </x:c>
      <x:c r="H78" s="8" t="str">
        <x:v>Chỉ điều chỉnh tên hàng, không đổi tiền hàng và tiền thuế; giữ 00009186, chỉ xử lý gốc 00009072.</x:v>
      </x:c>
    </x:row>
  </x:sheetData>
  <x:pageMargins left="0.7" right="0.7" top="0.75" bottom="0.75" header="0.3" footer="0.3"/>
  <x:tableParts count="1">
    <x:tablePart xmlns:r="http://schemas.openxmlformats.org/officeDocument/2006/relationships" r:id="R7014d5a23c4b4ffe"/>
  </x:tableParts>
</x:worksheet>
</file>