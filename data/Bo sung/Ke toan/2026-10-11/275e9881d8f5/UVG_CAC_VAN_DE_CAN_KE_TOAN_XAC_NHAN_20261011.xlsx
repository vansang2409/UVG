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24bf3f486ddcc75a/Desktop/JOB UVG/JOB HOA DON/"/>
    </mc:Choice>
  </mc:AlternateContent>
  <xr:revisionPtr revIDLastSave="172" documentId="11_3AD27FD0EF0643A7819D6ADAFF1C1646840348DD" xr6:coauthVersionLast="47" xr6:coauthVersionMax="47" xr10:uidLastSave="{7290AC06-63FB-473F-82DD-FB6FFE3CA8AA}"/>
  <bookViews>
    <workbookView xWindow="-110" yWindow="-110" windowWidth="25820" windowHeight="15500" firstSheet="2" activeTab="7" xr2:uid="{00000000-000D-0000-FFFF-FFFF00000000}"/>
  </bookViews>
  <sheets>
    <sheet name="Tong hop" sheetId="1" r:id="rId1"/>
    <sheet name="Lech tien" sheetId="2" r:id="rId2"/>
    <sheet name="So luong can kiem" sheetId="3" r:id="rId3"/>
    <sheet name="Thanh toan trong" sheetId="4" r:id="rId4"/>
    <sheet name="Hang va mo ta" sheetId="5" r:id="rId5"/>
    <sheet name="Cach ghi dieu chinh" sheetId="6" r:id="rId6"/>
    <sheet name="Da co can cu" sheetId="7" r:id="rId7"/>
    <sheet name="Hoa don lien qua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0" i="2" l="1"/>
  <c r="R12" i="2"/>
  <c r="N13" i="6"/>
  <c r="N12" i="6"/>
  <c r="N11" i="6"/>
  <c r="N10" i="6"/>
  <c r="N9" i="6"/>
  <c r="N8" i="6"/>
  <c r="N12" i="5"/>
  <c r="N11" i="5"/>
  <c r="N10" i="5"/>
  <c r="N9" i="5"/>
  <c r="N8" i="5"/>
  <c r="E11" i="1" s="1"/>
  <c r="N9" i="4"/>
  <c r="N8" i="4"/>
  <c r="N15" i="3"/>
  <c r="N14" i="3"/>
  <c r="N13" i="3"/>
  <c r="N12" i="3"/>
  <c r="N11" i="3"/>
  <c r="N10" i="3"/>
  <c r="N9" i="3"/>
  <c r="N8" i="3"/>
  <c r="R15" i="2"/>
  <c r="I15" i="2"/>
  <c r="R14" i="2"/>
  <c r="I14" i="2"/>
  <c r="R13" i="2"/>
  <c r="I13" i="2"/>
  <c r="I12" i="2"/>
  <c r="R11" i="2"/>
  <c r="I11" i="2"/>
  <c r="I10" i="2"/>
  <c r="R9" i="2"/>
  <c r="I9" i="2"/>
  <c r="R8" i="2"/>
  <c r="I8" i="2"/>
  <c r="C12" i="1"/>
  <c r="C11" i="1"/>
  <c r="C10" i="1"/>
  <c r="C9" i="1"/>
  <c r="C14" i="1" s="1"/>
  <c r="C8" i="1"/>
  <c r="E12" i="1" l="1"/>
  <c r="F12" i="1"/>
  <c r="D12" i="1"/>
  <c r="F11" i="1"/>
  <c r="D11" i="1"/>
  <c r="F10" i="1"/>
  <c r="E10" i="1"/>
  <c r="D10" i="1"/>
  <c r="F9" i="1"/>
  <c r="D9" i="1"/>
  <c r="E9" i="1"/>
  <c r="F8" i="1"/>
  <c r="D8" i="1"/>
  <c r="E8" i="1"/>
  <c r="F14" i="1" l="1"/>
  <c r="E14" i="1"/>
  <c r="D14" i="1"/>
</calcChain>
</file>

<file path=xl/sharedStrings.xml><?xml version="1.0" encoding="utf-8"?>
<sst xmlns="http://schemas.openxmlformats.org/spreadsheetml/2006/main" count="999" uniqueCount="468">
  <si>
    <t>UVG – Hồ sơ cần kế toán làm rõ</t>
  </si>
  <si>
    <t>Cập nhật</t>
  </si>
  <si>
    <t>Mỗi dòng là một hồ sơ/chuỗi. 29 hồ sơ cần phản hồi, liên quan 53 hóa đơn.</t>
  </si>
  <si>
    <t>Đủ trường phản hồi nghĩa là đã điền 4 mục chính; chưa đồng nghĩa đã xử lý hoặc nhập hóa đơn.</t>
  </si>
  <si>
    <t>Nhóm vấn đề</t>
  </si>
  <si>
    <t>Sheet chi tiết</t>
  </si>
  <si>
    <t>Hồ sơ</t>
  </si>
  <si>
    <t>Chưa phản hồi</t>
  </si>
  <si>
    <t>Cần bổ sung</t>
  </si>
  <si>
    <t>Đủ trường phản hồi</t>
  </si>
  <si>
    <t>Việc cần kế toán chốt</t>
  </si>
  <si>
    <t>Lệch tiền hàng, thuế và thanh toán</t>
  </si>
  <si>
    <t>Lech tien</t>
  </si>
  <si>
    <t>Chốt ba khoản tiền đúng, nguyên nhân chênh và hướng xử lý.</t>
  </si>
  <si>
    <t>Số lượng bằng 0 hoặc để trống</t>
  </si>
  <si>
    <t>So luong can kiem</t>
  </si>
  <si>
    <t>Phân biệt dòng hàng và dòng diễn giải. Chốt số lượng, tính chất dòng.</t>
  </si>
  <si>
    <t>Thanh toán gốc để trống</t>
  </si>
  <si>
    <t>Thanh toan trong</t>
  </si>
  <si>
    <t>Xác nhận thanh toán gốc bằng 0 hay đang thiếu số liệu.</t>
  </si>
  <si>
    <t>Khác loại hàng hoặc mô tả</t>
  </si>
  <si>
    <t>Hang va mo ta</t>
  </si>
  <si>
    <t>Xác định hàng thực tế, mã hàng và cách xử lý nội dung điều chỉnh.</t>
  </si>
  <si>
    <t>Cách ghi số lượng và giá trị điều chỉnh</t>
  </si>
  <si>
    <t>Cach ghi dieu chinh</t>
  </si>
  <si>
    <t>Chốt giảm giá, giảm số lượng hay giảm một khoản tổng.</t>
  </si>
  <si>
    <t>Tổng cần phản hồi</t>
  </si>
  <si>
    <t>Phạm vi bổ sung</t>
  </si>
  <si>
    <t>Đã đưa thêm 6 hóa đơn chưa điều chỉnh có dòng SL 0 đang được giữ ngoài import vào nhóm số lượng.</t>
  </si>
  <si>
    <t>Đã có căn cứ/quy ước</t>
  </si>
  <si>
    <t>7 hồ sơ ở sheet Da co can cu được giữ riêng để không hỏi lại thông tin hoặc quyết định đã có.</t>
  </si>
  <si>
    <t>Phạm vi đợt này</t>
  </si>
  <si>
    <t>Các chuỗi thay thế chưa được mở xử lý trong đợt điều chỉnh này. File này tổng hợp các vấn đề đang chờ đã xác định.</t>
  </si>
  <si>
    <t>Ô vàng: kế toán điền nguyên nhân, hướng xử lý, số liệu/nội dung đúng và căn cứ.</t>
  </si>
  <si>
    <t>Số/ngày của mọi hóa đơn trong chuỗi và số tiền nguồn nằm tại sheet Hoa don lien quan.</t>
  </si>
  <si>
    <t>Mã hồ sơ</t>
  </si>
  <si>
    <t>Hóa đơn gốc</t>
  </si>
  <si>
    <t>Ngày gốc</t>
  </si>
  <si>
    <t>HĐ điều chỉnh liên quan</t>
  </si>
  <si>
    <t>Ngày điều chỉnh</t>
  </si>
  <si>
    <t>Tiền hàng XML (đ)</t>
  </si>
  <si>
    <t>Thuế XML (đ)</t>
  </si>
  <si>
    <t>Thanh toán XML (đ)</t>
  </si>
  <si>
    <t>Hàng + thuế − thanh toán (đ)</t>
  </si>
  <si>
    <t>Ghi nhận cần kiểm tra</t>
  </si>
  <si>
    <t>Câu hỏi cần kế toán kết luận</t>
  </si>
  <si>
    <t>Nguyên nhân (KT điền)</t>
  </si>
  <si>
    <t>Hướng xử lý (KT điền)</t>
  </si>
  <si>
    <t>Số liệu/nội dung đúng (KT điền)</t>
  </si>
  <si>
    <t>Căn cứ/chứng từ (KT điền)</t>
  </si>
  <si>
    <t>Người phản hồi</t>
  </si>
  <si>
    <t>Ngày phản hồi</t>
  </si>
  <si>
    <t>Theo dõi phản hồi</t>
  </si>
  <si>
    <t>LT01</t>
  </si>
  <si>
    <t>1C25TUV/00000159</t>
  </si>
  <si>
    <t>1C25TUV/00000649</t>
  </si>
  <si>
    <t>Tổng tiền trong XML khớp bảng kê nhưng tiền hàng + thuế khác thanh toán. Tiền hàng và thuế âm, thanh toán dương. Thành tiền dòng XML bằng 0 trong khi tổng tiền hàng khác 0.</t>
  </si>
  <si>
    <t>Xác định tiền hàng, thuế và thanh toán đúng, nguyên nhân chênh, căn cứ và hướng xử lý. Kiểm cả phần dòng và phần tổng. Nếu đã có chứng từ xử lý tiếp, ghi số/ngày.</t>
  </si>
  <si>
    <t>LT02</t>
  </si>
  <si>
    <t>1C25TUV/00000056</t>
  </si>
  <si>
    <t>1C25TUV/00000561</t>
  </si>
  <si>
    <t>Tổng tiền trong XML khớp bảng kê nhưng tiền hàng + thuế khác thanh toán. Thành tiền dòng XML bằng 0 trong khi tổng tiền hàng khác 0.</t>
  </si>
  <si>
    <t>LT03</t>
  </si>
  <si>
    <t>1C24TUV/00000283</t>
  </si>
  <si>
    <t>1C25TUV/00001819</t>
  </si>
  <si>
    <t>LT04</t>
  </si>
  <si>
    <t>1C24TUV/00000093</t>
  </si>
  <si>
    <t>1C25TUV/00001167</t>
  </si>
  <si>
    <t>LT05</t>
  </si>
  <si>
    <t>1C24TUV/00000535</t>
  </si>
  <si>
    <t>1C25TUV/00002145</t>
  </si>
  <si>
    <t>LT06</t>
  </si>
  <si>
    <t>1C24TUV/00000228</t>
  </si>
  <si>
    <t>1C25TUV/00002619</t>
  </si>
  <si>
    <t>Tổng tiền trong XML khớp bảng kê nhưng tiền hàng + thuế khác thanh toán. Thành tiền dòng XML bằng 0 trong khi tổng tiền hàng khác 0. Chuỗi còn điều chỉnh 1C25TUV/00002646 ngày 31/05/2025; xem Hoa don lien quan.</t>
  </si>
  <si>
    <t>LT07</t>
  </si>
  <si>
    <t>1C24TUV/00000285</t>
  </si>
  <si>
    <t>1C25TUV/00001821</t>
  </si>
  <si>
    <t>LT08</t>
  </si>
  <si>
    <t>1C25TUV/00000102</t>
  </si>
  <si>
    <t>1C25TUV/00000626</t>
  </si>
  <si>
    <t>SL01</t>
  </si>
  <si>
    <t>1C24TUV/00000555</t>
  </si>
  <si>
    <t>1C25TUV/00002632</t>
  </si>
  <si>
    <t>Dòng màng lọc HEPA H13 KA350 FT (BS HĐ 547): số lượng và đơn giá trống. Tiền hàng 46.296, thuế 3.705, thanh toán dòng 50.001. Hóa đơn gốc có 6 dòng.</t>
  </si>
  <si>
    <t>Đối chiếu đúng dòng hàng trên XML gốc/bản hiển thị hoặc chứng từ bán. Chốt số lượng, đơn giá, tiền dòng và đây là hàng bán, khuyến mãi hay diễn giải. Ghi nguyên nhân thiếu số liệu và hướng chuẩn bị phần giảm chi tiết.</t>
  </si>
  <si>
    <t>SL02</t>
  </si>
  <si>
    <t>1C25TUV/00000113</t>
  </si>
  <si>
    <t>1C25TUV/00000635</t>
  </si>
  <si>
    <t>Dòng màng/lõi lọc HEPA H13 KA600 FT: số lượng, đơn giá và tiền dòng trống trong bảng xuất mới. Hóa đơn gốc có 48 dòng. Không tự coi các ô trống là 0.</t>
  </si>
  <si>
    <t>SL03</t>
  </si>
  <si>
    <t>1C24TUV/00000774</t>
  </si>
  <si>
    <t>Nhóm chưa điều chỉnh. Toàn bộ 2 dòng đã được giữ ngoài import vì dòng “( Hàng biếu, tặng không thu tiền)” lưu SL/đơn giá/thành tiền = 0 ở bảng kiểm. Bảng xuất mới: SL trống, đơn giá trống, thành tiền trống.</t>
  </si>
  <si>
    <t>Xác nhận dòng này là chú thích hàng tặng hay một mặt hàng có số lượng thực tế. Chốt tính chất và số lượng cần thể hiện khi chuẩn bị điều chỉnh toàn bộ hóa đơn. Không tự bỏ dòng hoặc đưa lại vào import.</t>
  </si>
  <si>
    <t>SL04</t>
  </si>
  <si>
    <t>1C24TUV/00000783</t>
  </si>
  <si>
    <t>Nhóm chưa điều chỉnh. Toàn bộ 3 dòng đã được giữ ngoài import vì dòng “( Hàng tặng không thu tiền)” lưu SL/đơn giá/thành tiền = 0 ở bảng kiểm. Bảng xuất mới: SL trống, đơn giá trống, thành tiền trống.</t>
  </si>
  <si>
    <t>SL05</t>
  </si>
  <si>
    <t>1C24TUV/00000784</t>
  </si>
  <si>
    <t>SL06</t>
  </si>
  <si>
    <t>1C24TUV/00000786</t>
  </si>
  <si>
    <t>Nhóm chưa điều chỉnh. Toàn bộ 15 dòng đã được giữ ngoài import vì dòng “( hàng tặng không thu tiền)” lưu SL/đơn giá/thành tiền = 0 ở bảng kiểm. Bảng xuất mới: SL trống, đơn giá trống, thành tiền trống.</t>
  </si>
  <si>
    <t>SL07</t>
  </si>
  <si>
    <t>1C25TUV/00002796</t>
  </si>
  <si>
    <t>Nhóm chưa điều chỉnh. Toàn bộ 2 dòng đã được giữ ngoài import vì dòng “Vợt bắt muỗi tự động 2 trong 1 thu hút các loại côn trùng KM002” lưu SL/đơn giá/thành tiền = 0 ở bảng kiểm. Bảng xuất mới: SL trống, đơn giá trống, thành tiền trống.</t>
  </si>
  <si>
    <t>Đối chiếu mặt hàng tặng KM002/KM003 với chứng từ bán hoặc XML gốc. Chốt số lượng thực tế và tính chất dòng, giải thích vì sao SL/đơn giá/thành tiền bằng 0. Xác định cách thể hiện khi chuẩn bị điều chỉnh.</t>
  </si>
  <si>
    <t>SL08</t>
  </si>
  <si>
    <t>1C25TUV/00002797</t>
  </si>
  <si>
    <t>Nhóm chưa điều chỉnh. Toàn bộ 2 dòng đã được giữ ngoài import vì dòng “Vợt bắt muỗi tự động 2 trong 1 thu hút các loại côn trùng KM003” lưu SL/đơn giá/thành tiền = 0 ở bảng kiểm. Bảng xuất mới: SL trống, đơn giá trống, thành tiền trống.</t>
  </si>
  <si>
    <t>TT01</t>
  </si>
  <si>
    <t>1C25TUV/00000006</t>
  </si>
  <si>
    <t>1C25TUV/00000655</t>
  </si>
  <si>
    <t>Bảng tổng của hóa đơn gốc ghi tiền hàng = 0, thuế = 0 nhưng thanh toán để trống. Chưa có XML gốc trong phần nguồn đã lưu hiện tại để xác nhận giá trị thanh toán. Điều chỉnh liên quan đã có XML.</t>
  </si>
  <si>
    <t>Thanh toán gốc đúng là 0 hay bảng xuất đang thiếu? Nếu thiếu, chốt giá trị đúng và căn cứ. Nếu đúng 0, xác nhận rõ cho riêng hóa đơn này. Không áp dụng quy ước của gốc 1C24TUV/00000574 sang đây.</t>
  </si>
  <si>
    <t>TT02</t>
  </si>
  <si>
    <t>1C25TUV/00000016</t>
  </si>
  <si>
    <t>1C25TUV/00000657</t>
  </si>
  <si>
    <t>HH01</t>
  </si>
  <si>
    <t>1C25TUV/00003548</t>
  </si>
  <si>
    <t>1C25TUV/00013072</t>
  </si>
  <si>
    <t>Khác loại hàng. Gốc: Máy lọc không khí diệt khuẩn bằng tia UVC KA150S. Điều chỉnh: Lõi lọc diệt khuẩn - Filter - KA150S. Cộng dồn tiền hàng, thuế, thanh toán đã bằng 0.</t>
  </si>
  <si>
    <t>Xác định hàng thực tế bán/trả, tên và mã hàng đúng. Bên nào ghi sai giữa gốc và điều chỉnh? Chốt hướng xử lý lần điều chỉnh cũ và dữ liệu cần chuẩn bị tiếp.</t>
  </si>
  <si>
    <t>HH02</t>
  </si>
  <si>
    <t>1C25TUV/00004026</t>
  </si>
  <si>
    <t>1C25TUV/00013079</t>
  </si>
  <si>
    <t>Khác mô tả. Gốc: Máy phun sương tạo độ ẩm không khí diệt khuẩn bằng tia UVC KH100. Điều chỉnh: Máy phun sương tạo độ ẩm không khí diệt khuẩn bằng tia UVC với màn hình LCD - KH100. Cộng dồn tiền hàng, thuế, thanh toán đã bằng 0.</t>
  </si>
  <si>
    <t>Hai mô tả có cùng mã hàng/sản phẩm thực tế không? Xác nhận rõ cùng hàng hoặc chỉ ra khác biệt. Chốt mô tả đúng và hướng xử lý nội dung điều chỉnh.</t>
  </si>
  <si>
    <t>HH03</t>
  </si>
  <si>
    <t>1C25TUV/00004953</t>
  </si>
  <si>
    <t>1C25TUV/00013089</t>
  </si>
  <si>
    <t>Khác mô tả. Gốc: Máy lọc không khí diệt khuẩn bằng tia UVC KA350 ProUpgrade. Điều chỉnh: Máy lọc không khí diệt khuẩn bằng tia UVC - KA350 Pro-Upgrade. Cộng dồn tiền hàng, thuế, thanh toán đã bằng 0.</t>
  </si>
  <si>
    <t>HH04</t>
  </si>
  <si>
    <t>1C25TUV/00005905</t>
  </si>
  <si>
    <t>1C25TUV/00013095</t>
  </si>
  <si>
    <t>Khác loại hàng. Gốc: Lõi lọc diệt khuẩn  Filter KA600. Điều chỉnh: Máy lọc không khí diệt khuẩn bằng tia UVC - KA600. Cộng dồn tiền hàng, thuế, thanh toán đã bằng 0.</t>
  </si>
  <si>
    <t>HH05</t>
  </si>
  <si>
    <t>1C25TUV/00007766</t>
  </si>
  <si>
    <t>1C25TUV/00013099</t>
  </si>
  <si>
    <t>DC01</t>
  </si>
  <si>
    <t>1C25TUV/00001061</t>
  </si>
  <si>
    <t>1C25TUV/00012835</t>
  </si>
  <si>
    <t>Gốc có 1 đèn bắt muỗi KM300. Điều chỉnh giảm một khoản tổng: SL/đơn giá = 0, thành tiền dòng -499.074, thuế -39.926, thanh toán -539.000. Tiền dòng khớp phần tổng và chuỗi đã về 0.</t>
  </si>
  <si>
    <t>Nghiệp vụ thực tế là giảm một khoản tiền hay giảm toàn bộ 1 sản phẩm KM300? Chốt cách thể hiện nội dung/số lượng đúng với mục tiêu xử lý tiếp và căn cứ.</t>
  </si>
  <si>
    <t>DC02</t>
  </si>
  <si>
    <t>1C25TUV/00001094</t>
  </si>
  <si>
    <t>1C25TUV/00013038</t>
  </si>
  <si>
    <t>Lõi lọc diệt khuẩn Filter KA350S. Hóa đơn gốc SL +1; điều chỉnh vẫn SL +1, đơn giá âm. Tổng tiền đã về 0, số lượng hai phía chưa triệt tiêu.</t>
  </si>
  <si>
    <t>Nghiệp vụ thực tế là giảm giá hay giảm/trả toàn bộ số lượng hàng? Chốt mục tiêu xử lý số lượng và giá trị, căn cứ và hướng xử lý điều chỉnh cũ. Đơn giá âm chưa tự chứng minh nội dung sai.</t>
  </si>
  <si>
    <t>DC03</t>
  </si>
  <si>
    <t>1C25TUV/00003113</t>
  </si>
  <si>
    <t>1C25TUV/00013032</t>
  </si>
  <si>
    <t>Vợt bắt muỗi tự động 2 trong 1 thu hút các loại côn trùng KM002. Hóa đơn gốc SL +1; điều chỉnh vẫn SL +1, đơn giá âm. Tổng tiền đã về 0, số lượng hai phía chưa triệt tiêu.</t>
  </si>
  <si>
    <t>DC04</t>
  </si>
  <si>
    <t>1C25TUV/00004081</t>
  </si>
  <si>
    <t>1C25TUV/00013033</t>
  </si>
  <si>
    <t>DC05</t>
  </si>
  <si>
    <t>1C25TUV/00005555</t>
  </si>
  <si>
    <t>1C25TUV/00013034</t>
  </si>
  <si>
    <t>DC06</t>
  </si>
  <si>
    <t>1C25TUV/00005918</t>
  </si>
  <si>
    <t>1C25TUV/00013035</t>
  </si>
  <si>
    <t>Các hồ sơ đã có căn cứ hoặc quyết định</t>
  </si>
  <si>
    <t>Giữ riêng để tham khảo khi xử lý tiếp; không yêu cầu kế toán xác nhận lại cùng thông tin.</t>
  </si>
  <si>
    <t>Nội dung đã làm rõ</t>
  </si>
  <si>
    <t>Việc chuẩn bị tiếp</t>
  </si>
  <si>
    <t>CC01</t>
  </si>
  <si>
    <t>1C24TUV/00000003</t>
  </si>
  <si>
    <t>1C25TUV/00000508</t>
  </si>
  <si>
    <t>Phương án đảo khoản giảm 00000508 và giảm đầy đủ chi tiết gốc đã được người dùng chốt từ 09/10/2026. XML đã có; phần dòng khác tổng đã được ghi nhận.</t>
  </si>
  <si>
    <t>Tiếp tục chuẩn bị/cập nhật dữ liệu theo phương án đã chốt. Không yêu cầu chốt lại cùng phương án.</t>
  </si>
  <si>
    <t>CC02</t>
  </si>
  <si>
    <t>1C24TUV/00000498</t>
  </si>
  <si>
    <t>1C25TUV/00002140</t>
  </si>
  <si>
    <t>XML 00002140 có thuế suất tổng hợp 8%. Tiền hàng 17.830.586, thuế 1.426.447, thanh toán 19.257.033. Không có danh sách dòng hàng.</t>
  </si>
  <si>
    <t>Dùng bằng chứng XML để chuẩn bị dữ liệu tiếp. Không yêu cầu tìm lại thuế suất chỉ vì bảng chi tiết không thể hiện.</t>
  </si>
  <si>
    <t>CC03</t>
  </si>
  <si>
    <t>1C24TUV/00000574</t>
  </si>
  <si>
    <t>1C25TUV/00002189</t>
  </si>
  <si>
    <t>Người dùng đã chốt tạm tính thanh toán gốc bằng 0. Ô bảng tổng vẫn trống. Quy ước chỉ áp dụng cho hóa đơn này.</t>
  </si>
  <si>
    <t>Tiếp tục chuẩn bị dữ liệu theo quy ước riêng đã có. Không tự đổi ô nguồn hoặc mở rộng quy ước.</t>
  </si>
  <si>
    <t>CC04</t>
  </si>
  <si>
    <t>1C25TUV/00001348</t>
  </si>
  <si>
    <t>1C25TUV/00006108</t>
  </si>
  <si>
    <t>XML điều chỉnh thông tin người mua; ba tổng tiền đều 0. Bảng kê để trống thanh toán. Nội dung thông tin người mua nằm trong ghi chú tham chiếu XML.</t>
  </si>
  <si>
    <t>Giữ nội dung điều chỉnh thông tin và phân biệt 0 trong XML với ô trống bảng kê khi chuẩn bị dữ liệu tiếp.</t>
  </si>
  <si>
    <t>CC05</t>
  </si>
  <si>
    <t>1C25TUV/00002377</t>
  </si>
  <si>
    <t>1C25TUV/00004203</t>
  </si>
  <si>
    <t>CC06</t>
  </si>
  <si>
    <t>1C25TUV/00002378</t>
  </si>
  <si>
    <t>1C25TUV/00004204</t>
  </si>
  <si>
    <t>CC07</t>
  </si>
  <si>
    <t>1C25TUV/00009072</t>
  </si>
  <si>
    <t>1C25TUV/00009186</t>
  </si>
  <si>
    <t>XML điều chỉnh tên hàng có 2 dòng TChat=4; ba tổng tiền đều 0. Bảng kê để trống thanh toán. Nội dung đổi tên hàng đã có trong XML.</t>
  </si>
  <si>
    <t>Hóa đơn liên quan và căn cứ đối chiếu</t>
  </si>
  <si>
    <t>Đơn vị tiền: đồng. Ô trống được giữ trống; số 0 là giá trị có trong nguồn.</t>
  </si>
  <si>
    <t>Nguồn: bảng kê xuất lại 09/10/2026, XML đã nhận, hai workbook hiện tại và quyết định đã ghi nhận.</t>
  </si>
  <si>
    <t>Phạm vi công việc</t>
  </si>
  <si>
    <t>Vai trò</t>
  </si>
  <si>
    <t>Ký hiệu</t>
  </si>
  <si>
    <t>Số hóa đơn</t>
  </si>
  <si>
    <t>Ngày hóa đơn</t>
  </si>
  <si>
    <t>Tiền hàng bảng kê (đ)</t>
  </si>
  <si>
    <t>Thuế bảng kê (đ)</t>
  </si>
  <si>
    <t>Thanh toán bảng kê (đ)</t>
  </si>
  <si>
    <t>Nội dung dòng/ghi chú cần đối chiếu</t>
  </si>
  <si>
    <t>Nguồn bảng kê</t>
  </si>
  <si>
    <t>File XML</t>
  </si>
  <si>
    <t>Ghi chú độ phủ nguồn</t>
  </si>
  <si>
    <t>Cần kế toán phản hồi</t>
  </si>
  <si>
    <t>1C25TUV</t>
  </si>
  <si>
    <t>00000159</t>
  </si>
  <si>
    <t>Bang_ke_hoa_don_da_su_dung_1791532908545_1.xlsx, dòng 164</t>
  </si>
  <si>
    <t>Chưa có XML trong phần nguồn đã lưu hiện tại.</t>
  </si>
  <si>
    <t>Điều chỉnh liên quan</t>
  </si>
  <si>
    <t>00000649</t>
  </si>
  <si>
    <t>Điều chỉnh giảm giá trị hoá đơn số 00000159
Điều chỉnh giảm giá trị hoá đơn số 00000159 (TChat=1, SL=0, đơn giá=0, thành tiền=0)
Thuế suất tổng hợp: 8%</t>
  </si>
  <si>
    <t>Bang_ke_hoa_don_da_su_dung_1791532908545_1.xlsx, dòng 654</t>
  </si>
  <si>
    <t>1C25TUV_00000649.xml</t>
  </si>
  <si>
    <t>Có XML trong bộ nguồn hiện tại.</t>
  </si>
  <si>
    <t>00000056</t>
  </si>
  <si>
    <t>Bang_ke_hoa_don_da_su_dung_1791532908545_1.xlsx, dòng 61</t>
  </si>
  <si>
    <t>00000561</t>
  </si>
  <si>
    <t>Điều chỉnh tăng giá trị hóa đơn số 00000056
Điều chỉnh tăng giá trị hóa đơn số 00000056 (TChat=1, SL=0, đơn giá=0, thành tiền=0)
Thuế suất tổng hợp: 8%</t>
  </si>
  <si>
    <t>Bang_ke_hoa_don_da_su_dung_1791532908545_1.xlsx, dòng 566</t>
  </si>
  <si>
    <t>1C25TUV_00000561.xml</t>
  </si>
  <si>
    <t>1C24TUV</t>
  </si>
  <si>
    <t>00000283</t>
  </si>
  <si>
    <t>Bang_ke_hoa_don_da_su_dung_1791532882546.xlsx, dòng 288</t>
  </si>
  <si>
    <t>00001819</t>
  </si>
  <si>
    <t>Điều chỉnh  tăng thành tiền hoá đơn số 00000283
Điều chỉnh  tăng thành tiền hoá đơn số 00000283 (TChat=1, SL=0, đơn giá=0, thành tiền=0)
Thuế suất tổng hợp: 8%</t>
  </si>
  <si>
    <t>Bang_ke_hoa_don_da_su_dung_1791532908545_1.xlsx, dòng 1824</t>
  </si>
  <si>
    <t>1C25TUV_00001819.xml</t>
  </si>
  <si>
    <t>00000093</t>
  </si>
  <si>
    <t>Bang_ke_hoa_don_da_su_dung_1791532882546.xlsx, dòng 98</t>
  </si>
  <si>
    <t>00001167</t>
  </si>
  <si>
    <t>Điều chỉnh tăng thành tiền  hoá đơn số 00000093
Điều chỉnh tăng thành tiền  hoá đơn số 00000093 (TChat=1, SL=0, đơn giá=0, thành tiền=0)
Thuế suất tổng hợp: 8%</t>
  </si>
  <si>
    <t>Bang_ke_hoa_don_da_su_dung_1791532908545_1.xlsx, dòng 1172</t>
  </si>
  <si>
    <t>1C25TUV_00001167.xml</t>
  </si>
  <si>
    <t>00000535</t>
  </si>
  <si>
    <t>Bang_ke_hoa_don_da_su_dung_1791532882546.xlsx, dòng 540</t>
  </si>
  <si>
    <t>00002145</t>
  </si>
  <si>
    <t>Điều chỉnh tăng giá trị hóa đơn số 00000535
Điều chỉnh tăng giá trị hóa đơn số 00000535 (TChat=1, SL=0, đơn giá=0, thành tiền=0)
Thuế suất tổng hợp: 8%</t>
  </si>
  <si>
    <t>Bang_ke_hoa_don_da_su_dung_1791532908545_1.xlsx, dòng 2150</t>
  </si>
  <si>
    <t>1C25TUV_00002145.xml</t>
  </si>
  <si>
    <t>00000228</t>
  </si>
  <si>
    <t>Bang_ke_hoa_don_da_su_dung_1791532882546.xlsx, dòng 233</t>
  </si>
  <si>
    <t>00002619</t>
  </si>
  <si>
    <t>Điều chỉnh giảm giá trị hóa đơn số 00000228
Điều chỉnh giảm giá trị hóa đơn số 00000228 (TChat=1, SL=0, đơn giá=0, thành tiền=0)
Thuế suất tổng hợp: 8%</t>
  </si>
  <si>
    <t>Bang_ke_hoa_don_da_su_dung_1791532908545_1.xlsx, dòng 2624</t>
  </si>
  <si>
    <t>1C25TUV_00002619.xml</t>
  </si>
  <si>
    <t>00002646</t>
  </si>
  <si>
    <t>Điều chỉnh tăng giá trị hoá đơn số 00000228
Điều chỉnh tăng giá trị hoá đơn số 00000228 (TChat=1, SL=0, đơn giá=0, thành tiền=0)
Thuế suất tổng hợp: 8%</t>
  </si>
  <si>
    <t>Bang_ke_hoa_don_da_su_dung_1791532908545_1.xlsx, dòng 2651</t>
  </si>
  <si>
    <t>1C25TUV_00002646.xml</t>
  </si>
  <si>
    <t>00000285</t>
  </si>
  <si>
    <t>Bang_ke_hoa_don_da_su_dung_1791532882546.xlsx, dòng 290</t>
  </si>
  <si>
    <t>00001821</t>
  </si>
  <si>
    <t>Điều chỉnh tăng thành tiền hoá đơn số 00000285
Điều chỉnh tăng thành tiền hoá đơn số 00000285 (TChat=1, SL=0, đơn giá=0, thành tiền=0)
Thuế suất tổng hợp: 8%</t>
  </si>
  <si>
    <t>Bang_ke_hoa_don_da_su_dung_1791532908545_1.xlsx, dòng 1826</t>
  </si>
  <si>
    <t>1C25TUV_00001821.xml</t>
  </si>
  <si>
    <t>00000102</t>
  </si>
  <si>
    <t>Bang_ke_hoa_don_da_su_dung_1791532908545_1.xlsx, dòng 107</t>
  </si>
  <si>
    <t>00000626</t>
  </si>
  <si>
    <t>Điều chỉnh tăng giá trị hoá đơn số 00000102
Điều chỉnh tăng giá trị hoá đơn số 00000102 (TChat=1, SL=0, đơn giá=0, thành tiền=0)
Thuế suất tổng hợp: 8%</t>
  </si>
  <si>
    <t>Bang_ke_hoa_don_da_su_dung_1791532908545_1.xlsx, dòng 631</t>
  </si>
  <si>
    <t>1C25TUV_00000626.xml</t>
  </si>
  <si>
    <t>00000555</t>
  </si>
  <si>
    <t>Màng Lọc HEPA H13 Diệt Khuẩn Cho Máy Lọc Không Khí UVGREEN KA350 FT ( BS HĐ 547): SL=trống, đơn giá=trống, tiền hàng=46296, thuế=3705, thanh toán=50001</t>
  </si>
  <si>
    <t>Bang_ke_hoa_don_da_su_dung_1791532882546.xlsx, dòng 560</t>
  </si>
  <si>
    <t>00002632</t>
  </si>
  <si>
    <t>Điều chỉnh giảm giá trị hoá đơn số 00000555
Điều chỉnh giảm giá trị hoá đơn số 00000555 (TChat=1, SL=0, đơn giá=0, thành tiền=0)
Thuế suất tổng hợp: 8%</t>
  </si>
  <si>
    <t>Bang_ke_hoa_don_da_su_dung_1791532908545_1.xlsx, dòng 2637</t>
  </si>
  <si>
    <t>1C25TUV_00002632.xml</t>
  </si>
  <si>
    <t>00000113</t>
  </si>
  <si>
    <t>Màng Lọc (Lõi Lọc) HEPA H13 Diệt Khuẩn Cho Máy Lọc Không Khí UVGREEN KA600 FT: SL=trống, đơn giá=trống, tiền hàng=trống, thuế=trống, thanh toán=trống</t>
  </si>
  <si>
    <t>Bang_ke_hoa_don_da_su_dung_1791532908545_1.xlsx, dòng 118</t>
  </si>
  <si>
    <t>00000635</t>
  </si>
  <si>
    <t>Điều chỉnh tăng giá trị hoá đơn số 00000113
Điều chỉnh tăng giá trị hoá đơn số 00000113 (TChat=1, SL=0, đơn giá=0, thành tiền=0)
Thuế suất tổng hợp: 8%</t>
  </si>
  <si>
    <t>Bang_ke_hoa_don_da_su_dung_1791532908545_1.xlsx, dòng 640</t>
  </si>
  <si>
    <t>1C25TUV_00000635.xml</t>
  </si>
  <si>
    <t>00000774</t>
  </si>
  <si>
    <t>( Hàng biếu, tặng không thu tiền): SL/đơn giá/thành tiền lưu = 0 ở bảng kiểm.</t>
  </si>
  <si>
    <t>Bang_ke_hoa_don_da_su_dung_1791532882546.xlsx, dòng 779</t>
  </si>
  <si>
    <t>00000783</t>
  </si>
  <si>
    <t>( Hàng tặng không thu tiền): SL/đơn giá/thành tiền lưu = 0 ở bảng kiểm.</t>
  </si>
  <si>
    <t>Bang_ke_hoa_don_da_su_dung_1791532882546.xlsx, dòng 788</t>
  </si>
  <si>
    <t>00000784</t>
  </si>
  <si>
    <t>Bang_ke_hoa_don_da_su_dung_1791532882546.xlsx, dòng 789</t>
  </si>
  <si>
    <t>00000786</t>
  </si>
  <si>
    <t>( hàng tặng không thu tiền): SL/đơn giá/thành tiền lưu = 0 ở bảng kiểm.</t>
  </si>
  <si>
    <t>Bang_ke_hoa_don_da_su_dung_1791532882546.xlsx, dòng 791</t>
  </si>
  <si>
    <t>00002796</t>
  </si>
  <si>
    <t>Vợt bắt muỗi tự động 2 trong 1 thu hút các loại côn trùng KM002: SL/đơn giá/thành tiền lưu = 0 ở bảng kiểm.</t>
  </si>
  <si>
    <t>Bang_ke_hoa_don_da_su_dung_1791532908545_1.xlsx, dòng 2801</t>
  </si>
  <si>
    <t>00002797</t>
  </si>
  <si>
    <t>Vợt bắt muỗi tự động 2 trong 1 thu hút các loại côn trùng KM003: SL/đơn giá/thành tiền lưu = 0 ở bảng kiểm.</t>
  </si>
  <si>
    <t>Bang_ke_hoa_don_da_su_dung_1791532908545_1.xlsx, dòng 2802</t>
  </si>
  <si>
    <t>00000006</t>
  </si>
  <si>
    <t>Bang_ke_hoa_don_da_su_dung_1791532908545_1.xlsx, dòng 11</t>
  </si>
  <si>
    <t>00000655</t>
  </si>
  <si>
    <t>Điều chỉnh tăng giá trị hóa đơn số 00000006
Điều chỉnh tăng giá trị hóa đơn số 00000006 (TChat=1, SL=0, đơn giá=0, thành tiền=0)
Thuế suất tổng hợp: 8%</t>
  </si>
  <si>
    <t>Bang_ke_hoa_don_da_su_dung_1791532908545_1.xlsx, dòng 660</t>
  </si>
  <si>
    <t>1C25TUV_00000655.xml</t>
  </si>
  <si>
    <t>00000016</t>
  </si>
  <si>
    <t>Bang_ke_hoa_don_da_su_dung_1791532908545_1.xlsx, dòng 21</t>
  </si>
  <si>
    <t>00000657</t>
  </si>
  <si>
    <t>Điều chỉnh tăng giá trị hóa đơn số 00000016
Điều chỉnh tăng giá trị hóa đơn số 00000016 (TChat=1, SL=0, đơn giá=0, thành tiền=0)
Thuế suất tổng hợp: 8%</t>
  </si>
  <si>
    <t>Bang_ke_hoa_don_da_su_dung_1791532908545_1.xlsx, dòng 662</t>
  </si>
  <si>
    <t>1C25TUV_00000657.xml</t>
  </si>
  <si>
    <t>00003548</t>
  </si>
  <si>
    <t>Bang_ke_hoa_don_da_su_dung_1791532908545_1.xlsx, dòng 3553</t>
  </si>
  <si>
    <t>00013072</t>
  </si>
  <si>
    <t>Điều chỉnh giảm do đổi trả hàng hóa theo hóa đơn số :00003548 ngày 06 tháng 06 năm 2025  
Lõi lọc diệt khuẩn - Filter - KA150S (TChat=1, SL=-1, đơn giá=962037, thành tiền=-962037)
Thuế suất tổng hợp: 8%</t>
  </si>
  <si>
    <t>Bang_ke_hoa_don_da_su_dung_1791532908545_6.xlsx, dòng 3862</t>
  </si>
  <si>
    <t>1C25TUV_00013072.xml</t>
  </si>
  <si>
    <t>00004026</t>
  </si>
  <si>
    <t>Bang_ke_hoa_don_da_su_dung_1791532908545_1.xlsx, dòng 4031</t>
  </si>
  <si>
    <t>00013079</t>
  </si>
  <si>
    <t>Điều chỉnh giảm do đổi trả hàng hóa  theo hóa đơn số :00004026 ngày 08 tháng 06 năm 2025  
Máy phun sương tạo độ ẩm không khí diệt khuẩn bằng tia UVC với màn hình LCD - KH100 (TChat=1, SL=-1, đơn giá=499074, thành tiền=-499074)
Thuế suất tổng hợp: 8%</t>
  </si>
  <si>
    <t>Bang_ke_hoa_don_da_su_dung_1791532908545_6.xlsx, dòng 3869</t>
  </si>
  <si>
    <t>1C25TUV_00013079.xml</t>
  </si>
  <si>
    <t>00004953</t>
  </si>
  <si>
    <t>Bang_ke_hoa_don_da_su_dung_1791532908545_2.xlsx, dòng 45</t>
  </si>
  <si>
    <t>00013089</t>
  </si>
  <si>
    <t>Điều chỉnh giảm do đổi trả hàng hóa  theo hóa đơn số :00004953 ngày 12 tháng 06 năm 2025  
Máy lọc không khí diệt khuẩn bằng tia UVC - KA350 Pro-Upgrade (TChat=1, SL=-1, đơn giá=2295369, thành tiền=-2295369)
Thuế suất tổng hợp: 8%</t>
  </si>
  <si>
    <t>Bang_ke_hoa_don_da_su_dung_1791532908545_6.xlsx, dòng 3879</t>
  </si>
  <si>
    <t>1C25TUV_00013089.xml</t>
  </si>
  <si>
    <t>00005905</t>
  </si>
  <si>
    <t>Bang_ke_hoa_don_da_su_dung_1791532908545_2.xlsx, dòng 997</t>
  </si>
  <si>
    <t>00013095</t>
  </si>
  <si>
    <t>Điều chỉnh giảm do đổi trả hàng hóa  theo hóa đơn số :00005905 ngày 16 tháng 06 năm 2025  
Máy lọc không khí diệt khuẩn bằng tia UVC - KA600 (TChat=1, SL=-1, đơn giá=509259, thành tiền=-509259)
Thuế suất tổng hợp: 8%</t>
  </si>
  <si>
    <t>Bang_ke_hoa_don_da_su_dung_1791532908545_6.xlsx, dòng 3885</t>
  </si>
  <si>
    <t>1C25TUV_00013095.xml</t>
  </si>
  <si>
    <t>00007766</t>
  </si>
  <si>
    <t>Bang_ke_hoa_don_da_su_dung_1791532908545_2.xlsx, dòng 2858</t>
  </si>
  <si>
    <t>00013099</t>
  </si>
  <si>
    <t>Điều chỉnh giảm do đổi trả hàng hóa  theo hóa đơn số :00007766 ngày 22 tháng 06 năm 2025  
Máy phun sương tạo độ ẩm không khí diệt khuẩn bằng tia UVC với màn hình LCD - KH100 (TChat=1, SL=-1, đơn giá=486110, thành tiền=-486110)
Thuế suất tổng hợp: 8%</t>
  </si>
  <si>
    <t>Bang_ke_hoa_don_da_su_dung_1791532908545_6.xlsx, dòng 3889</t>
  </si>
  <si>
    <t>1C25TUV_00013099.xml</t>
  </si>
  <si>
    <t>00001061</t>
  </si>
  <si>
    <t>Bang_ke_hoa_don_da_su_dung_1791532908545_1.xlsx, dòng 1066</t>
  </si>
  <si>
    <t>00012835</t>
  </si>
  <si>
    <t>Điều chỉnh giảm giá trị hoá đơn số 00001061
Điều chỉnh giảm giá trị hoá đơn số 00001061 (TChat=1, SL=0, đơn giá=0, thành tiền=-499074)
Thuế suất tổng hợp: 8%</t>
  </si>
  <si>
    <t>Bang_ke_hoa_don_da_su_dung_1791532908545_5.xlsx, dòng 1288</t>
  </si>
  <si>
    <t>1C25TUV_00012835.xml</t>
  </si>
  <si>
    <t>00001094</t>
  </si>
  <si>
    <t>Bang_ke_hoa_don_da_su_dung_1791532908545_1.xlsx, dòng 1099</t>
  </si>
  <si>
    <t>00013038</t>
  </si>
  <si>
    <t>Điều chỉnh giảm do đổi trả hàng hóa  theo hóa đơn số 00001094 ngày 26 tháng 05 năm 2025
Lõi lọc diệt khuẩn Filter KA350S (TChat=1, SL=1, đơn giá=-509259, thành tiền=-509259)
Thuế suất tổng hợp: 8%</t>
  </si>
  <si>
    <t>Bang_ke_hoa_don_da_su_dung_1791532908545_6.xlsx, dòng 3205</t>
  </si>
  <si>
    <t>1C25TUV_00013038.xml</t>
  </si>
  <si>
    <t>00003113</t>
  </si>
  <si>
    <t>Bang_ke_hoa_don_da_su_dung_1791532908545_1.xlsx, dòng 3118</t>
  </si>
  <si>
    <t>00013032</t>
  </si>
  <si>
    <t>Điều chỉnh giảm do đổi trả hàng hóa theo hóa đơn số 00003113, ngày 04/06/2025
Vợt bắt muỗi tự động 2 trong 1 thu hút các loại côn trùng - KM002 (TChat=1, SL=1, đơn giá=-163889, thành tiền=-163889)
Thuế suất tổng hợp: 8%</t>
  </si>
  <si>
    <t>Bang_ke_hoa_don_da_su_dung_1791532908545_6.xlsx, dòng 3199</t>
  </si>
  <si>
    <t>1C25TUV_00013032.xml</t>
  </si>
  <si>
    <t>00004081</t>
  </si>
  <si>
    <t>Bang_ke_hoa_don_da_su_dung_1791532908545_1.xlsx, dòng 4086</t>
  </si>
  <si>
    <t>00013033</t>
  </si>
  <si>
    <t>Điều chỉnh giảm do đổi trả hàng hóa  theo hóa đơn số 00004081, ngày 08/06/2025
Vợt bắt muỗi tự động 2 trong 1 thu hút các loại côn trùng - KM002 (TChat=1, SL=1, đơn giá=-165741, thành tiền=-165741)
Thuế suất tổng hợp: 8%</t>
  </si>
  <si>
    <t>Bang_ke_hoa_don_da_su_dung_1791532908545_6.xlsx, dòng 3200</t>
  </si>
  <si>
    <t>1C25TUV_00013033.xml</t>
  </si>
  <si>
    <t>00005555</t>
  </si>
  <si>
    <t>Bang_ke_hoa_don_da_su_dung_1791532908545_2.xlsx, dòng 647</t>
  </si>
  <si>
    <t>00013034</t>
  </si>
  <si>
    <t>Điều chỉnh giảm do đổi trả hàng hóa  theo hóa đơn số 00005555, ngày 16/06/2025
Vợt bắt muỗi tự động 2 trong 1 thu hút các loại côn trùng - KM002 (TChat=1, SL=1, đơn giá=-165740, thành tiền=-165740)
Thuế suất tổng hợp: 8%</t>
  </si>
  <si>
    <t>Bang_ke_hoa_don_da_su_dung_1791532908545_6.xlsx, dòng 3201</t>
  </si>
  <si>
    <t>1C25TUV_00013034.xml</t>
  </si>
  <si>
    <t>00005918</t>
  </si>
  <si>
    <t>Bang_ke_hoa_don_da_su_dung_1791532908545_2.xlsx, dòng 1010</t>
  </si>
  <si>
    <t>00013035</t>
  </si>
  <si>
    <t>Điều chỉnh giảm do đổi trả hàng hóa  theo hóa đơn số 00005918,  ngày 16/06/2025
Vợt bắt muỗi tự động 2 trong 1 thu hút các loại côn trùng - KM002 (TChat=1, SL=1, đơn giá=-165741, thành tiền=-165741)
Thuế suất tổng hợp: 8%</t>
  </si>
  <si>
    <t>Bang_ke_hoa_don_da_su_dung_1791532908545_6.xlsx, dòng 3202</t>
  </si>
  <si>
    <t>1C25TUV_00013035.xml</t>
  </si>
  <si>
    <t>00000003</t>
  </si>
  <si>
    <t>Máy Lọc Không Khí Diệt Khuẩn UVGREEN KA600 60m2 - Công Nghệ UVC LED, Ion Âm, HEPA H13 Lọc Sạch Bụi Mịn, Mùi, Khói, Lông Thú Cưng, Bảo Hành 24 Tháng (TChat=1, SL=1, đơn giá=2573148, thành tiền=2573148)
Máy Lọc Không Khí Diệt Khuẩn UVGREEN KA350 40m2 - Công Nghệ UVC LED, Lõi Lọc HEPA H13 Lọc Sạch Bụi Mịn, Mùi, Khói, Lông Thú Cưng, Bảo Hành 24 Tháng (TChat=1, SL=1, đơn giá=1605069, thành tiền=1605069)
Màng Lọc (Lõi Lọc) HEPA H13 Diệt Khuẩn Cho Máy Lọc Không Khí UVGREEN KA350 FT - Bộ Lọc 3 Lớp, Lọc Sạch 99,97% Bụi Mịn (TChat=1, SL=1, đơn giá=267294, thành tiền=267294)
Máy Lọc Không Khí Diệt Khuẩn UVGREEN KA350 40m2 - Công Nghệ UVC LED, Lõi Lọc HEPA H13 Lọc Sạch Bụi Mịn, Mùi, Khói, Lông Thú Cưng, Bảo Hành 24 Tháng (TChat=1, SL=1, đơn giá=1447094, thành tiền=1447094)
Máy Lọc Không Khí Diệt Khuẩn UVGREEN KA600 60m2 - Công Nghệ UVC LED, Ion Âm, HEPA H13 Lọc Sạch Bụi Mịn, Mùi, Khói, Lông Thú Cưng, Bảo Hành 24 Tháng (TChat=1, SL=1, đơn giá=2435193, thành tiền=2435193)
Máy Lọc Không Khí Diệt Khuẩn UVGREEN KA350 40m2 - Công Nghệ UVC LED, Lõi Lọc HEPA H13 Lọc Sạch Bụi Mịn, Mùi, Khói, Lông Thú Cưng, Bảo Hành 24 Tháng (TChat=1, SL=1, đơn giá=1457500, thành tiền=1457500)
Máy Lọc Không Khí Diệt Khuẩn UVGREEN KA350 40m2 - Công Nghệ UVC LED, Lõi Lọc HEPA H13 Lọc Sạch Bụi Mịn, Mùi, Khói, Lông Thú Cưng, Bảo Hành 24 Tháng (TChat=1, SL=1, đơn giá=1548832, thành tiền=1548832)
Thuế suất tổng hợp: 8%</t>
  </si>
  <si>
    <t>Bang_ke_hoa_don_da_su_dung_1791532882546.xlsx, dòng 8</t>
  </si>
  <si>
    <t>1C24TUV_00000003.xml</t>
  </si>
  <si>
    <t>00000508</t>
  </si>
  <si>
    <t>Điều chỉnh giảm thành tiền cho hoá đơn số 00000003
Điều chỉnh giảm thành tiền hoá đơn số 00000003 (TChat=1, SL=0, đơn giá=0, thành tiền=0)
Thuế suất tổng hợp: 8%</t>
  </si>
  <si>
    <t>Bang_ke_hoa_don_da_su_dung_1791532908545_1.xlsx, dòng 513</t>
  </si>
  <si>
    <t>1C25TUV_00000508.xml</t>
  </si>
  <si>
    <t>00000498</t>
  </si>
  <si>
    <t>Bang_ke_hoa_don_da_su_dung_1791532882546.xlsx, dòng 503</t>
  </si>
  <si>
    <t>00002140</t>
  </si>
  <si>
    <t>Điều chỉnh tăng giá trị hóa đơn số 00000498
XML không có danh sách dòng hàng.
Thuế suất tổng hợp: 8%</t>
  </si>
  <si>
    <t>Bang_ke_hoa_don_da_su_dung_1791532908545_1.xlsx, dòng 2145</t>
  </si>
  <si>
    <t>1C25TUV_00002140.xml</t>
  </si>
  <si>
    <t>00000574</t>
  </si>
  <si>
    <t>Bang_ke_hoa_don_da_su_dung_1791532882546.xlsx, dòng 579</t>
  </si>
  <si>
    <t>00002189</t>
  </si>
  <si>
    <t>Điều chỉnh tăng giá trị hóa đơn số 00000574
Điều chỉnh tăng giá trị hóa đơn số 00000574 (TChat=1, SL=0, đơn giá=0, thành tiền=0)
Thuế suất tổng hợp: 8%</t>
  </si>
  <si>
    <t>Bang_ke_hoa_don_da_su_dung_1791532908545_1.xlsx, dòng 2194</t>
  </si>
  <si>
    <t>1C25TUV_00002189.xml</t>
  </si>
  <si>
    <t>00001348</t>
  </si>
  <si>
    <t>Bang_ke_hoa_don_da_su_dung_1791532908545_1.xlsx, dòng 1353</t>
  </si>
  <si>
    <t>00006108</t>
  </si>
  <si>
    <t>Điều chỉnh thông tin người mua hàng. Cụ thể: Tên đơn vị:  Công ty TNHH Thương Mại Dịch Vụ Truyền Thông Giải Trí MMC- Địa chỉ: 204 Đinh Tiên Hoàng, Phường Đa Kao, Quận 1, Tp. HCM- Mã số thuế: 0317749334
XML không có danh sách dòng hàng.</t>
  </si>
  <si>
    <t>Bang_ke_hoa_don_da_su_dung_1791532908545_2.xlsx, dòng 1200</t>
  </si>
  <si>
    <t>1C25TUV_00006108.xml</t>
  </si>
  <si>
    <t>Có XML trong bộ nguồn hiện tại. XML ghi 0 tại ô bảng kê để trống.</t>
  </si>
  <si>
    <t>00002377</t>
  </si>
  <si>
    <t>Bang_ke_hoa_don_da_su_dung_1791532908545_1.xlsx, dòng 2382</t>
  </si>
  <si>
    <t>00004203</t>
  </si>
  <si>
    <t>Điều chỉnh thông tin khách hàng: Hộ kinh doanh Châu Mễ- Mã số thuế: 3501911256-001- Địa chỉ: Thôn 3, xã Tân Phúc, huyện Hàm Tân, Bình Thuận
XML không có danh sách dòng hàng.</t>
  </si>
  <si>
    <t>Bang_ke_hoa_don_da_su_dung_1791532908545_1.xlsx, dòng 4208</t>
  </si>
  <si>
    <t>1C25TUV_00004203.xml</t>
  </si>
  <si>
    <t>00002378</t>
  </si>
  <si>
    <t>Bang_ke_hoa_don_da_su_dung_1791532908545_1.xlsx, dòng 2383</t>
  </si>
  <si>
    <t>00004204</t>
  </si>
  <si>
    <t>Điều chỉnh thông tin khách hàng- Hộ kinh doanh Châu Mễ- Mã số thuế: 3501911256-001- Địa chỉ: Thôn 3, xã Tân Phúc, huyện Hàm Tân, Bình Thuận
XML không có danh sách dòng hàng.</t>
  </si>
  <si>
    <t>Bang_ke_hoa_don_da_su_dung_1791532908545_1.xlsx, dòng 4209</t>
  </si>
  <si>
    <t>1C25TUV_00004204.xml</t>
  </si>
  <si>
    <t>00009072</t>
  </si>
  <si>
    <t>Bang_ke_hoa_don_da_su_dung_1791532908545_2.xlsx, dòng 4164</t>
  </si>
  <si>
    <t>00009186</t>
  </si>
  <si>
    <t>Điều chỉnh tên hàng hoá
Điều chỉnh tên hàng hoá từ  Máy lọc không khí diệt khuẩn bằng tia UVC KA350 ProUpgrade thành Combo Máy lọc không khí diệt khuẩn bằng tia UVC KA350 ProUpgrade và Máy lọc không khí diệt khuẩn bằng tia UVC KA150P (TChat=4, SL=0, đơn giá=0, thành tiền=0)
Điều chỉnh tên hàng hoá t ừ Lõi lọc diệt khuẩn Filter KA350S thành Combo Lõi lọc diệt khuẩn Filter KA350S và Lõi lọc diệt khuẩn  Filter  KA150S (TChat=4, SL=0, đơn giá=0, thành tiền=0)
Thuế suất tổng hợp: 8%</t>
  </si>
  <si>
    <t>Bang_ke_hoa_don_da_su_dung_1791532908545_2.xlsx, dòng 4278</t>
  </si>
  <si>
    <t>1C25TUV_00009186.xml</t>
  </si>
  <si>
    <t>Do kế toán xuất sai</t>
  </si>
  <si>
    <t>Xuất trái dấu ở tất cả các chỉ tiêu</t>
  </si>
  <si>
    <t>- Tiền hàng: -381,481
- Tiền thuế: -30,518
- Thanh toán: -411,999</t>
  </si>
  <si>
    <t>- Tiền hàng: 196,889
- Tiền thuế: 15,751
- Thanh toán: 212,640</t>
  </si>
  <si>
    <t>- Tiền hàng: 7,599,678
- Tiền thuế: 609,974
- Thanh toán: 8,209,652</t>
  </si>
  <si>
    <t>- Tiền hàng: 621,945
- Tiền thuế: 49,756
- Thanh toán: 671,701</t>
  </si>
  <si>
    <t>- Tiền hàng: 39,194,352
- Tiền thuế: 3,135,548
- Thanh toán: 42,329,900</t>
  </si>
  <si>
    <t>- Tiền hàng: -589,554
- Tiền thuế: -47,164
- Thanh toán: -636,718</t>
  </si>
  <si>
    <t>- Tiền hàng: 5,701,066
- Tiền thuế: 456,085
- Thanh toán: 6,157,151</t>
  </si>
  <si>
    <t>- Tiền hàng: 4,347,265
- Tiền thuế: 347,781
- Thanh toán: 4,695,046</t>
  </si>
  <si>
    <t>Không có, tính lại cho đúng logic số liệu</t>
  </si>
  <si>
    <t>Kế toán</t>
  </si>
  <si>
    <t>Kế toán xuất sai</t>
  </si>
  <si>
    <t>Bỏ dòng số 45 "Màng Lọc (Lõi Lọc) HEPA H13 Diệt Khuẩn Cho Máy Lọc Không Khí UVGREEN KA600 FT" đi do số lượng, đơn giá, thành tiền bằng 0.</t>
  </si>
  <si>
    <t>Đây là dòng có tính chất là "Ghi chú, diễn giải" để diễn giải nội dung là "Hàng biếu, tặng không thu tiền" =&gt; đúng rồi.</t>
  </si>
  <si>
    <t>Đây là dòng chú thích hàng tặng, giữ nguyên, không được bỏ dòng này. Vẫn giữ lại khi xuất hóa đơn điều chỉnh.</t>
  </si>
  <si>
    <t>Bỏ dòng số 2 "Vợt bắt muỗi tự động 2 trong 1 thu hút các loại côn trùng KM002" đi do số lượng, đơn giá, thành tiền bằng 0.</t>
  </si>
  <si>
    <t>Giữ nguyên dòng số 6 "Màng Lọc HEPA H13 Diệt Khuẩn Cho Máy Lọc Không Khí UVGREEN KA350 FT ( BS HĐ 547)" diễn giải, xuất điều chỉnh âm số lượng dòng đó</t>
  </si>
  <si>
    <t>Dòng 6 "Màng Lọc HEPA H13 Diệt Khuẩn Cho Máy Lọc Không Khí UVGREEN KA350 FT ( BS HĐ 547)" điều chỉnh giảm Thành tiền chưa có thuế GTGT: -46,296</t>
  </si>
  <si>
    <t>Xuất âm số lượng các dòng hàng hóa trên hóa đơn</t>
  </si>
  <si>
    <t>Dòng 1 "Máy Lọc Không Khí Diệt Khuẩn UVGREEN KA150-UVC LED": số lượng: -1
Dòng 2 "Máy Lọc Không Khí Diệt Khuẩn UVGREEN KA150-UVC LED": số lượng: -1
Dòng 3 "Máy Lọc Không Khí Diệt Khuẩn UVC LED UVGREEN KA600 60m2": số lượng: -1</t>
  </si>
  <si>
    <t>Dòng 1 "Máy Lọc Không Khí Diệt Khuẩn UVGREEN KA350 UVC PRO 40m2": Số lượng: -1
Dòng 2 "Màng Lọc HEPA H13 Diệt Khuẩn Cho Máy Lọc Không Khí UVGREEN KA350 FT": số lượng -1
Dòng 3 "Máy Lọc Không Khí Diệt Khuẩn UVGREEN KA150S-UVC LED": số lượng: -1
Dòng 4 "Máy Lọc Không Khí Diệt Khuẩn UVGREEN KA150P-UVC LED": số lượng: -1
Dòng 5 "Máy Lọc Không Khí Diệt Khuẩn UVGREEN KA150S-UVC LED": số lượng: -1</t>
  </si>
  <si>
    <t>Hóa đơn Điều chỉnh cho hóa đơn 13072 tăng số lượng của "Lõi lọc diệt khuẩn - Filter - KA150S"
Hóa đơn Điều chỉnh cho hóa đơn 3548 giảm số lượng của "Máy lọc không khí diệt khuẩn bằng tia UVC KA150S"</t>
  </si>
  <si>
    <t>Hóa đơn Điều chỉnh cho hóa đơn 13072 tăng số lượng của "Lõi lọc diệt khuẩn - Filter - KA150S": 1
Hóa đơn Điều chỉnh cho hóa đơn 3548 giảm số lượng của "Máy lọc không khí diệt khuẩn bằng tia UVC KA150S": -1</t>
  </si>
  <si>
    <t>2 máy đó thực tế là 1 sản phẩm.</t>
  </si>
  <si>
    <t>Không cần xử lý xuất lại hóa đơn điều chỉnh nữa</t>
  </si>
  <si>
    <t>Hóa đơn Điều chỉnh cho hóa đơn 5905 giảm số lượng của "Lõi lọc diệt khuẩn Filter KA600"
Hóa đơn Điều chỉnh cho hóa đơn 13095 tăng số lượng của "Máy lọc không khí diệt khuẩn bằng tia UVC - KA600"</t>
  </si>
  <si>
    <t>Hóa đơn Điều chỉnh cho hóa đơn 5905 giảm số lượng của "Lõi lọc diệt khuẩn Filter KA600": -1
Hóa đơn Điều chỉnh cho hóa đơn 13095 tăng số lượng của "Máy lọc không khí diệt khuẩn bằng tia UVC - KA600": 1</t>
  </si>
  <si>
    <t xml:space="preserve">Kế toán xuất sai HD 12835. </t>
  </si>
  <si>
    <t>Đèn bắt muỗi, ruồi và các loại côn trùng KM300: số lượng: -1, đơn giá: 499,074, thành tiền: -499,074</t>
  </si>
  <si>
    <t>Kế toán xuất sai HD 13038</t>
  </si>
  <si>
    <t>Lõi lọc diệt khuẩn Filter KA350S: số lượng: -1, đơn giá: 509,259, thành tiền: -509,259</t>
  </si>
  <si>
    <t>Hóa đơn điều chỉnh cho HD 1061: giảm toàn bộ 1 sản phẩm KM300: số lượng: -1, đơn giá: 499,074
Hóa đơn điều chỉnh cho HD 12835: tăng lại thành tiền: 499,074, tiền thuế: 39,926, thanh toán: 539,000</t>
  </si>
  <si>
    <t xml:space="preserve"> Vợt bắt muỗi tự động 2 trong 1 thu hút các loại côn trùng KM002: số lượng: -1, đơn giá: 163,889</t>
  </si>
  <si>
    <t xml:space="preserve"> Vợt bắt muỗi tự động 2 trong 1 thu hút các loại côn trùng KM002: số lượng: -1, đơn giá: 165,741</t>
  </si>
  <si>
    <t xml:space="preserve"> Vợt bắt muỗi tự động 2 trong 1 thu hút các loại côn trùng KM002: số lượng: -1, đơn giá: 165,740</t>
  </si>
  <si>
    <t>Hóa đơn điều chỉnh cho HD 1094: giảm toàn bộ 1 Lõi lọc diệt khuẩn Filter KA350S: số lượng: -1, đơn giá: 509,259
Hóa đơn điều chỉnh cho HD 13038: tăng giảm toàn bộ 1 Lõi lọc diệt khuẩn Filter KA350S: số lượng: -1, đơn giá: 509,259
=&gt; Đảm bảo triệt tiêu số lượng, đơn giá, thành tiền</t>
  </si>
  <si>
    <t>Hóa đơn điều chỉnh cho HD 3113: giảm toàn bộ Vợt bắt muỗi tự động 2 trong 1 thu hút các loại côn trùng KM002: số lượng: -1, đơn giá: 163,889
Hóa đơn điều chỉnh cho HD 13038: Vợt bắt muỗi tự động 2 trong 1 thu hút các loại côn trùng KM002: số lượng: -1, đơn giá: 163,889
=&gt; Đảm bảo triệt tiêu số lượng, đơn giá, thành tiền</t>
  </si>
  <si>
    <t>Hóa đơn điều chỉnh cho HD 3113: giảm toàn bộ Vợt bắt muỗi tự động 2 trong 1 thu hút các loại côn trùng KM002: số lượng: -1, đơn giá: 165,741
Hóa đơn điều chỉnh cho HD 13038: Vợt bắt muỗi tự động 2 trong 1 thu hút các loại côn trùng KM002: số lượng: -1, đơn giá: 165,741
=&gt; Đảm bảo triệt tiêu số lượng, đơn giá, thành tiền</t>
  </si>
  <si>
    <t>Hóa đơn điều chỉnh cho HD 3113: giảm toàn bộ Vợt bắt muỗi tự động 2 trong 1 thu hút các loại côn trùng KM002: số lượng: -1, đơn giá: 165,740
Hóa đơn điều chỉnh cho HD 13038: Vợt bắt muỗi tự động 2 trong 1 thu hút các loại côn trùng KM002: số lượng: -1, đơn giá: 165,740
=&gt; Đảm bảo triệt tiêu số lượng, đơn giá, thành tiền</t>
  </si>
  <si>
    <t>Kế toán xuất sai HD 13032</t>
  </si>
  <si>
    <t>Kế toán xuất sai HD 13033</t>
  </si>
  <si>
    <t>Kế toán xuất sai HD 13034</t>
  </si>
  <si>
    <t>Kế toán xuất sai HD 13035</t>
  </si>
  <si>
    <t>Giữ nguyên, không xử lý điều chỉnh hóa đơn này</t>
  </si>
  <si>
    <t>Xuất điều chỉnh số lượng hàng hóa của hóa đơn 9072, còn hóa đơn 9186 thì kệ.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</si>
</sst>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Red]\(#,##0\);0"/>
    <numFmt numFmtId="166" formatCode="_(* #,##0_);_(* \(#,##0\);_(* &quot;-&quot;??_);_(@_)"/>
  </numFmts>
  <fonts count="8">
    <font>
      <sz val="11"/>
      <name val="Carlito"/>
    </font>
    <font>
      <sz val="10"/>
      <color rgb="FF172B4D"/>
      <name val="Arial"/>
      <family val="2"/>
    </font>
    <font>
      <b/>
      <sz val="14"/>
      <color rgb="FF23374D"/>
      <name val="Arial"/>
      <family val="2"/>
    </font>
    <font>
      <sz val="10"/>
      <color rgb="FF52606D"/>
      <name val="Arial"/>
      <family val="2"/>
    </font>
    <font>
      <b/>
      <sz val="10"/>
      <color rgb="FFFFFFFF"/>
      <name val="Arial"/>
      <family val="2"/>
    </font>
    <font>
      <sz val="10"/>
      <color rgb="FF1D4ED8"/>
      <name val="Arial"/>
      <family val="2"/>
    </font>
    <font>
      <b/>
      <sz val="10"/>
      <color rgb="FF172B4D"/>
      <name val="Arial"/>
      <family val="2"/>
    </font>
    <font>
      <sz val="11"/>
      <name val="Carlito"/>
    </font>
  </fonts>
  <fills count="7">
    <fill>
      <patternFill patternType="none"/>
    </fill>
    <fill>
      <patternFill patternType="gray125"/>
    </fill>
    <fill>
      <patternFill patternType="solid">
        <fgColor rgb="FF23374D"/>
      </patternFill>
    </fill>
    <fill>
      <patternFill patternType="solid">
        <fgColor rgb="FFF3F6FA"/>
      </patternFill>
    </fill>
    <fill>
      <patternFill patternType="solid">
        <fgColor rgb="FF806525"/>
      </patternFill>
    </fill>
    <fill>
      <patternFill patternType="solid">
        <fgColor rgb="FFFFF4CC"/>
      </patternFill>
    </fill>
    <fill>
      <patternFill patternType="solid">
        <fgColor rgb="FFE5EDF4"/>
      </patternFill>
    </fill>
  </fills>
  <borders count="5">
    <border>
      <left/>
      <right/>
      <top/>
      <bottom/>
      <diagonal/>
    </border>
    <border>
      <left/>
      <right/>
      <top/>
      <bottom style="thin">
        <color rgb="FF23374D"/>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s>
  <cellStyleXfs count="2">
    <xf numFmtId="0" fontId="0" fillId="0" borderId="0"/>
    <xf numFmtId="43" fontId="7" fillId="0" borderId="0" applyFont="0" applyFill="0" applyBorder="0" applyAlignment="0" applyProtection="0"/>
  </cellStyleXfs>
  <cellXfs count="29">
    <xf numFmtId="0" fontId="0" fillId="0" borderId="0" xfId="0"/>
    <xf numFmtId="0" fontId="1" fillId="0" borderId="0" xfId="0" applyFont="1" applyAlignment="1">
      <alignment vertical="center"/>
    </xf>
    <xf numFmtId="0" fontId="2" fillId="0" borderId="0" xfId="0" applyFont="1" applyAlignment="1">
      <alignment vertical="center"/>
    </xf>
    <xf numFmtId="14" fontId="1" fillId="0" borderId="0" xfId="0" applyNumberFormat="1" applyFont="1" applyAlignment="1">
      <alignment vertical="center"/>
    </xf>
    <xf numFmtId="0" fontId="1" fillId="0" borderId="1" xfId="0" applyFont="1" applyBorder="1" applyAlignment="1">
      <alignment vertical="center"/>
    </xf>
    <xf numFmtId="0" fontId="3" fillId="0" borderId="0" xfId="0" applyFont="1" applyAlignment="1">
      <alignment vertic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1" fillId="0" borderId="0" xfId="0" applyFont="1" applyAlignment="1">
      <alignment vertical="top" wrapText="1"/>
    </xf>
    <xf numFmtId="0" fontId="1" fillId="3" borderId="0" xfId="0" applyFont="1" applyFill="1" applyAlignment="1">
      <alignment vertical="top" wrapText="1"/>
    </xf>
    <xf numFmtId="14" fontId="1" fillId="0" borderId="0" xfId="0" applyNumberFormat="1" applyFont="1" applyAlignment="1">
      <alignment vertical="top" wrapText="1"/>
    </xf>
    <xf numFmtId="14" fontId="1" fillId="3" borderId="0" xfId="0" applyNumberFormat="1" applyFont="1" applyFill="1" applyAlignment="1">
      <alignment vertical="top" wrapText="1"/>
    </xf>
    <xf numFmtId="49" fontId="1" fillId="0" borderId="0" xfId="0" applyNumberFormat="1" applyFont="1" applyAlignment="1">
      <alignment vertical="top" wrapText="1"/>
    </xf>
    <xf numFmtId="49" fontId="1" fillId="3" borderId="0" xfId="0" applyNumberFormat="1" applyFont="1" applyFill="1" applyAlignment="1">
      <alignment vertical="top" wrapText="1"/>
    </xf>
    <xf numFmtId="164" fontId="1" fillId="0" borderId="0" xfId="0" applyNumberFormat="1" applyFont="1" applyAlignment="1">
      <alignment horizontal="right" vertical="top" wrapText="1"/>
    </xf>
    <xf numFmtId="164" fontId="1" fillId="3" borderId="0" xfId="0" applyNumberFormat="1" applyFont="1" applyFill="1" applyAlignment="1">
      <alignment horizontal="right" vertical="top" wrapText="1"/>
    </xf>
    <xf numFmtId="0" fontId="4" fillId="4" borderId="3" xfId="0" applyFont="1" applyFill="1" applyBorder="1" applyAlignment="1">
      <alignment horizontal="center" vertical="center" wrapText="1"/>
    </xf>
    <xf numFmtId="0" fontId="5" fillId="5" borderId="0" xfId="0" applyFont="1" applyFill="1" applyAlignment="1">
      <alignment vertical="top" wrapText="1"/>
    </xf>
    <xf numFmtId="14" fontId="5" fillId="5" borderId="0" xfId="0" applyNumberFormat="1" applyFont="1" applyFill="1" applyAlignment="1">
      <alignment vertical="top" wrapText="1"/>
    </xf>
    <xf numFmtId="0" fontId="6" fillId="6" borderId="0" xfId="0" applyFont="1" applyFill="1" applyAlignment="1">
      <alignment vertical="center"/>
    </xf>
    <xf numFmtId="1" fontId="1" fillId="0" borderId="0" xfId="0" applyNumberFormat="1" applyFont="1" applyAlignment="1">
      <alignment vertical="top" wrapText="1"/>
    </xf>
    <xf numFmtId="1" fontId="1" fillId="3" borderId="0" xfId="0" applyNumberFormat="1" applyFont="1" applyFill="1" applyAlignment="1">
      <alignment vertical="top" wrapText="1"/>
    </xf>
    <xf numFmtId="1" fontId="1" fillId="0" borderId="0" xfId="0" applyNumberFormat="1" applyFont="1" applyAlignment="1">
      <alignment vertical="center"/>
    </xf>
    <xf numFmtId="1" fontId="6" fillId="6" borderId="0" xfId="0" applyNumberFormat="1" applyFont="1" applyFill="1" applyAlignment="1">
      <alignment vertical="center"/>
    </xf>
    <xf numFmtId="0" fontId="6" fillId="0" borderId="0" xfId="0" applyFont="1" applyAlignment="1">
      <alignment vertical="center"/>
    </xf>
    <xf numFmtId="0" fontId="5" fillId="5" borderId="0" xfId="0" quotePrefix="1" applyFont="1" applyFill="1" applyAlignment="1">
      <alignment vertical="top" wrapText="1"/>
    </xf>
    <xf numFmtId="166" fontId="1" fillId="0" borderId="0" xfId="1" applyNumberFormat="1" applyFont="1" applyAlignment="1">
      <alignment vertical="center"/>
    </xf>
    <xf numFmtId="0" fontId="0" fillId="0" borderId="0" xfId="0" applyAlignment="1">
      <alignment wrapText="1"/>
    </xf>
  </cellXfs>
  <cellStyles count="2">
    <cellStyle name="Comma" xfId="1" builtinId="3"/>
    <cellStyle name="Normal" xfId="0" builtinId="0"/>
  </cellStyles>
  <dxfs count="18">
    <dxf>
      <font>
        <color rgb="FF9C2424"/>
      </font>
      <fill>
        <patternFill patternType="solid">
          <bgColor rgb="FFFDE7E7"/>
        </patternFill>
      </fill>
    </dxf>
    <dxf>
      <font>
        <color rgb="FF9C2424"/>
      </font>
      <fill>
        <patternFill patternType="solid">
          <bgColor rgb="FFFDE7E7"/>
        </patternFill>
      </fill>
    </dxf>
    <dxf>
      <font>
        <color rgb="FF9C2424"/>
      </font>
      <fill>
        <patternFill patternType="solid">
          <bgColor rgb="FFFDE7E7"/>
        </patternFill>
      </fill>
    </dxf>
    <dxf>
      <font>
        <color rgb="FF9C2424"/>
      </font>
      <fill>
        <patternFill patternType="solid">
          <bgColor rgb="FFFDE7E7"/>
        </patternFill>
      </fill>
    </dxf>
    <dxf>
      <font>
        <color rgb="FF9C2424"/>
      </font>
      <fill>
        <patternFill patternType="solid">
          <bgColor rgb="FFFDE7E7"/>
        </patternFill>
      </fill>
    </dxf>
    <dxf>
      <font>
        <b/>
        <color rgb="FF9C2424"/>
      </font>
      <fill>
        <patternFill patternType="solid">
          <bgColor rgb="FFFDE7E7"/>
        </patternFill>
      </fill>
    </dxf>
    <dxf>
      <alignment textRotation="0" wrapText="1" indent="0" justifyLastLine="0" shrinkToFit="0" readingOrder="0"/>
    </dxf>
    <dxf>
      <numFmt numFmtId="19" formatCode="dd/mm/yyyy"/>
    </dxf>
    <dxf>
      <font>
        <b val="0"/>
        <i val="0"/>
        <strike val="0"/>
        <condense val="0"/>
        <extend val="0"/>
        <outline val="0"/>
        <shadow val="0"/>
        <u val="none"/>
        <vertAlign val="baseline"/>
        <sz val="10"/>
        <color rgb="FF1D4ED8"/>
        <name val="Arial"/>
        <family val="2"/>
        <scheme val="none"/>
      </font>
      <fill>
        <patternFill patternType="solid">
          <fgColor indexed="64"/>
          <bgColor rgb="FFFFF4CC"/>
        </patternFill>
      </fill>
      <alignment horizontal="general" vertical="top" textRotation="0" wrapText="1" indent="0" justifyLastLine="0" shrinkToFit="0" readingOrder="0"/>
    </dxf>
    <dxf>
      <numFmt numFmtId="19" formatCode="dd/mm/yyyy"/>
    </dxf>
    <dxf>
      <numFmt numFmtId="19" formatCode="dd/mm/yyyy"/>
    </dxf>
    <dxf>
      <font>
        <b val="0"/>
        <i val="0"/>
        <strike val="0"/>
        <condense val="0"/>
        <extend val="0"/>
        <outline val="0"/>
        <shadow val="0"/>
        <u val="none"/>
        <vertAlign val="baseline"/>
        <sz val="10"/>
        <color rgb="FF1D4ED8"/>
        <name val="Arial"/>
        <family val="2"/>
        <scheme val="none"/>
      </font>
      <fill>
        <patternFill patternType="solid">
          <fgColor indexed="64"/>
          <bgColor rgb="FFFFF4CC"/>
        </patternFill>
      </fill>
      <alignment horizontal="general" vertical="top" textRotation="0" wrapText="1" indent="0" justifyLastLine="0" shrinkToFit="0" readingOrder="0"/>
    </dxf>
    <dxf>
      <numFmt numFmtId="19" formatCode="dd/mm/yyyy"/>
    </dxf>
    <dxf>
      <font>
        <b val="0"/>
        <i val="0"/>
        <strike val="0"/>
        <condense val="0"/>
        <extend val="0"/>
        <outline val="0"/>
        <shadow val="0"/>
        <u val="none"/>
        <vertAlign val="baseline"/>
        <sz val="10"/>
        <color rgb="FF1D4ED8"/>
        <name val="Arial"/>
        <family val="2"/>
        <scheme val="none"/>
      </font>
      <fill>
        <patternFill patternType="solid">
          <fgColor indexed="64"/>
          <bgColor rgb="FFFFF4CC"/>
        </patternFill>
      </fill>
      <alignment horizontal="general" vertical="top" textRotation="0" wrapText="1" indent="0" justifyLastLine="0" shrinkToFit="0" readingOrder="0"/>
    </dxf>
    <dxf>
      <font>
        <b val="0"/>
        <i val="0"/>
        <strike val="0"/>
        <condense val="0"/>
        <extend val="0"/>
        <outline val="0"/>
        <shadow val="0"/>
        <u val="none"/>
        <vertAlign val="baseline"/>
        <sz val="10"/>
        <color rgb="FF1D4ED8"/>
        <name val="Arial"/>
        <family val="2"/>
        <scheme val="none"/>
      </font>
      <fill>
        <patternFill patternType="solid">
          <fgColor indexed="64"/>
          <bgColor rgb="FFFFF4CC"/>
        </patternFill>
      </fill>
      <alignment horizontal="general" vertical="top" textRotation="0" wrapText="1" indent="0" justifyLastLine="0" shrinkToFit="0" readingOrder="0"/>
    </dxf>
    <dxf>
      <font>
        <b val="0"/>
        <i val="0"/>
        <strike val="0"/>
        <condense val="0"/>
        <extend val="0"/>
        <outline val="0"/>
        <shadow val="0"/>
        <u val="none"/>
        <vertAlign val="baseline"/>
        <sz val="10"/>
        <color rgb="FF1D4ED8"/>
        <name val="Arial"/>
        <family val="2"/>
        <scheme val="none"/>
      </font>
      <fill>
        <patternFill patternType="solid">
          <fgColor indexed="64"/>
          <bgColor rgb="FFFFF4CC"/>
        </patternFill>
      </fill>
      <alignment horizontal="general" vertical="top" textRotation="0" wrapText="1" indent="0" justifyLastLine="0" shrinkToFit="0" readingOrder="0"/>
    </dxf>
    <dxf>
      <font>
        <b val="0"/>
        <i val="0"/>
        <strike val="0"/>
        <condense val="0"/>
        <extend val="0"/>
        <outline val="0"/>
        <shadow val="0"/>
        <u val="none"/>
        <vertAlign val="baseline"/>
        <sz val="10"/>
        <color rgb="FF1D4ED8"/>
        <name val="Arial"/>
        <family val="2"/>
        <scheme val="none"/>
      </font>
      <fill>
        <patternFill patternType="solid">
          <fgColor indexed="64"/>
          <bgColor rgb="FFFFF4CC"/>
        </patternFill>
      </fill>
      <alignment horizontal="general" vertical="top" textRotation="0" wrapText="1" indent="0" justifyLastLine="0" shrinkToFit="0" readingOrder="0"/>
    </dxf>
    <dxf>
      <font>
        <b val="0"/>
        <i val="0"/>
        <strike val="0"/>
        <condense val="0"/>
        <extend val="0"/>
        <outline val="0"/>
        <shadow val="0"/>
        <u val="none"/>
        <vertAlign val="baseline"/>
        <sz val="10"/>
        <color rgb="FF1D4ED8"/>
        <name val="Arial"/>
        <family val="2"/>
        <scheme val="none"/>
      </font>
      <fill>
        <patternFill patternType="solid">
          <fgColor indexed="64"/>
          <bgColor rgb="FFFFF4CC"/>
        </patternFill>
      </fill>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ReviewSummary" displayName="ReviewSummary" ref="A7:G12" totalsRowShown="0">
  <autoFilter ref="A7:G12" xr:uid="{00000000-0009-0000-0100-000006000000}"/>
  <tableColumns count="7">
    <tableColumn id="1" xr3:uid="{00000000-0010-0000-0000-000001000000}" name="Nhóm vấn đề"/>
    <tableColumn id="2" xr3:uid="{00000000-0010-0000-0000-000002000000}" name="Sheet chi tiết"/>
    <tableColumn id="3" xr3:uid="{00000000-0010-0000-0000-000003000000}" name="Hồ sơ"/>
    <tableColumn id="4" xr3:uid="{00000000-0010-0000-0000-000004000000}" name="Chưa phản hồi"/>
    <tableColumn id="5" xr3:uid="{00000000-0010-0000-0000-000005000000}" name="Cần bổ sung"/>
    <tableColumn id="6" xr3:uid="{00000000-0010-0000-0000-000006000000}" name="Đủ trường phản hồi"/>
    <tableColumn id="7" xr3:uid="{00000000-0010-0000-0000-000007000000}" name="Việc cần kế toán chốt"/>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ReviewLT" displayName="ReviewLT" ref="A7:R15" totalsRowShown="0">
  <autoFilter ref="A7:R15" xr:uid="{00000000-0009-0000-0100-000001000000}"/>
  <tableColumns count="18">
    <tableColumn id="1" xr3:uid="{00000000-0010-0000-0100-000001000000}" name="Mã hồ sơ"/>
    <tableColumn id="2" xr3:uid="{00000000-0010-0000-0100-000002000000}" name="Hóa đơn gốc"/>
    <tableColumn id="3" xr3:uid="{00000000-0010-0000-0100-000003000000}" name="Ngày gốc"/>
    <tableColumn id="4" xr3:uid="{00000000-0010-0000-0100-000004000000}" name="HĐ điều chỉnh liên quan"/>
    <tableColumn id="5" xr3:uid="{00000000-0010-0000-0100-000005000000}" name="Ngày điều chỉnh"/>
    <tableColumn id="6" xr3:uid="{00000000-0010-0000-0100-000006000000}" name="Tiền hàng XML (đ)"/>
    <tableColumn id="7" xr3:uid="{00000000-0010-0000-0100-000007000000}" name="Thuế XML (đ)"/>
    <tableColumn id="8" xr3:uid="{00000000-0010-0000-0100-000008000000}" name="Thanh toán XML (đ)"/>
    <tableColumn id="9" xr3:uid="{00000000-0010-0000-0100-000009000000}" name="Hàng + thuế − thanh toán (đ)"/>
    <tableColumn id="10" xr3:uid="{00000000-0010-0000-0100-00000A000000}" name="Ghi nhận cần kiểm tra"/>
    <tableColumn id="11" xr3:uid="{00000000-0010-0000-0100-00000B000000}" name="Câu hỏi cần kế toán kết luận"/>
    <tableColumn id="12" xr3:uid="{00000000-0010-0000-0100-00000C000000}" name="Nguyên nhân (KT điền)" dataDxfId="17"/>
    <tableColumn id="13" xr3:uid="{00000000-0010-0000-0100-00000D000000}" name="Hướng xử lý (KT điền)" dataDxfId="16"/>
    <tableColumn id="14" xr3:uid="{00000000-0010-0000-0100-00000E000000}" name="Số liệu/nội dung đúng (KT điền)" dataDxfId="15"/>
    <tableColumn id="15" xr3:uid="{00000000-0010-0000-0100-00000F000000}" name="Căn cứ/chứng từ (KT điền)" dataDxfId="14"/>
    <tableColumn id="16" xr3:uid="{00000000-0010-0000-0100-000010000000}" name="Người phản hồi" dataDxfId="13"/>
    <tableColumn id="17" xr3:uid="{00000000-0010-0000-0100-000011000000}" name="Ngày phản hồi" dataDxfId="12"/>
    <tableColumn id="18" xr3:uid="{00000000-0010-0000-0100-000012000000}" name="Theo dõi phản hồi"/>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ReviewSL" displayName="ReviewSL" ref="A7:N15" totalsRowShown="0">
  <autoFilter ref="A7:N15" xr:uid="{00000000-0009-0000-0100-000002000000}"/>
  <tableColumns count="14">
    <tableColumn id="1" xr3:uid="{00000000-0010-0000-0200-000001000000}" name="Mã hồ sơ"/>
    <tableColumn id="2" xr3:uid="{00000000-0010-0000-0200-000002000000}" name="Hóa đơn gốc"/>
    <tableColumn id="3" xr3:uid="{00000000-0010-0000-0200-000003000000}" name="Ngày gốc"/>
    <tableColumn id="4" xr3:uid="{00000000-0010-0000-0200-000004000000}" name="HĐ điều chỉnh liên quan"/>
    <tableColumn id="5" xr3:uid="{00000000-0010-0000-0200-000005000000}" name="Ngày điều chỉnh"/>
    <tableColumn id="6" xr3:uid="{00000000-0010-0000-0200-000006000000}" name="Ghi nhận cần kiểm tra"/>
    <tableColumn id="7" xr3:uid="{00000000-0010-0000-0200-000007000000}" name="Câu hỏi cần kế toán kết luận"/>
    <tableColumn id="8" xr3:uid="{00000000-0010-0000-0200-000008000000}" name="Nguyên nhân (KT điền)"/>
    <tableColumn id="9" xr3:uid="{00000000-0010-0000-0200-000009000000}" name="Hướng xử lý (KT điền)"/>
    <tableColumn id="10" xr3:uid="{00000000-0010-0000-0200-00000A000000}" name="Số liệu/nội dung đúng (KT điền)"/>
    <tableColumn id="11" xr3:uid="{00000000-0010-0000-0200-00000B000000}" name="Căn cứ/chứng từ (KT điền)"/>
    <tableColumn id="12" xr3:uid="{00000000-0010-0000-0200-00000C000000}" name="Người phản hồi" dataDxfId="11"/>
    <tableColumn id="13" xr3:uid="{00000000-0010-0000-0200-00000D000000}" name="Ngày phản hồi" dataDxfId="10"/>
    <tableColumn id="14" xr3:uid="{00000000-0010-0000-0200-00000E000000}" name="Theo dõi phản hồi"/>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ReviewTT" displayName="ReviewTT" ref="A7:N9" totalsRowShown="0">
  <autoFilter ref="A7:N9" xr:uid="{00000000-0009-0000-0100-000003000000}"/>
  <tableColumns count="14">
    <tableColumn id="1" xr3:uid="{00000000-0010-0000-0300-000001000000}" name="Mã hồ sơ"/>
    <tableColumn id="2" xr3:uid="{00000000-0010-0000-0300-000002000000}" name="Hóa đơn gốc"/>
    <tableColumn id="3" xr3:uid="{00000000-0010-0000-0300-000003000000}" name="Ngày gốc"/>
    <tableColumn id="4" xr3:uid="{00000000-0010-0000-0300-000004000000}" name="HĐ điều chỉnh liên quan"/>
    <tableColumn id="5" xr3:uid="{00000000-0010-0000-0300-000005000000}" name="Ngày điều chỉnh"/>
    <tableColumn id="6" xr3:uid="{00000000-0010-0000-0300-000006000000}" name="Ghi nhận cần kiểm tra"/>
    <tableColumn id="7" xr3:uid="{00000000-0010-0000-0300-000007000000}" name="Câu hỏi cần kế toán kết luận"/>
    <tableColumn id="8" xr3:uid="{00000000-0010-0000-0300-000008000000}" name="Nguyên nhân (KT điền)"/>
    <tableColumn id="9" xr3:uid="{00000000-0010-0000-0300-000009000000}" name="Hướng xử lý (KT điền)"/>
    <tableColumn id="10" xr3:uid="{00000000-0010-0000-0300-00000A000000}" name="Số liệu/nội dung đúng (KT điền)"/>
    <tableColumn id="11" xr3:uid="{00000000-0010-0000-0300-00000B000000}" name="Căn cứ/chứng từ (KT điền)"/>
    <tableColumn id="12" xr3:uid="{00000000-0010-0000-0300-00000C000000}" name="Người phản hồi"/>
    <tableColumn id="13" xr3:uid="{00000000-0010-0000-0300-00000D000000}" name="Ngày phản hồi" dataDxfId="9"/>
    <tableColumn id="14" xr3:uid="{00000000-0010-0000-0300-00000E000000}" name="Theo dõi phản hồi"/>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ReviewHH" displayName="ReviewHH" ref="A7:N12" totalsRowShown="0">
  <autoFilter ref="A7:N12" xr:uid="{00000000-0009-0000-0100-000004000000}"/>
  <tableColumns count="14">
    <tableColumn id="1" xr3:uid="{00000000-0010-0000-0400-000001000000}" name="Mã hồ sơ"/>
    <tableColumn id="2" xr3:uid="{00000000-0010-0000-0400-000002000000}" name="Hóa đơn gốc"/>
    <tableColumn id="3" xr3:uid="{00000000-0010-0000-0400-000003000000}" name="Ngày gốc"/>
    <tableColumn id="4" xr3:uid="{00000000-0010-0000-0400-000004000000}" name="HĐ điều chỉnh liên quan"/>
    <tableColumn id="5" xr3:uid="{00000000-0010-0000-0400-000005000000}" name="Ngày điều chỉnh"/>
    <tableColumn id="6" xr3:uid="{00000000-0010-0000-0400-000006000000}" name="Ghi nhận cần kiểm tra"/>
    <tableColumn id="7" xr3:uid="{00000000-0010-0000-0400-000007000000}" name="Câu hỏi cần kế toán kết luận"/>
    <tableColumn id="8" xr3:uid="{00000000-0010-0000-0400-000008000000}" name="Nguyên nhân (KT điền)"/>
    <tableColumn id="9" xr3:uid="{00000000-0010-0000-0400-000009000000}" name="Hướng xử lý (KT điền)"/>
    <tableColumn id="10" xr3:uid="{00000000-0010-0000-0400-00000A000000}" name="Số liệu/nội dung đúng (KT điền)"/>
    <tableColumn id="11" xr3:uid="{00000000-0010-0000-0400-00000B000000}" name="Căn cứ/chứng từ (KT điền)"/>
    <tableColumn id="12" xr3:uid="{00000000-0010-0000-0400-00000C000000}" name="Người phản hồi"/>
    <tableColumn id="13" xr3:uid="{00000000-0010-0000-0400-00000D000000}" name="Ngày phản hồi"/>
    <tableColumn id="14" xr3:uid="{00000000-0010-0000-0400-00000E000000}" name="Theo dõi phản hồi"/>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ReviewDC" displayName="ReviewDC" ref="A7:N13" totalsRowShown="0">
  <autoFilter ref="A7:N13" xr:uid="{00000000-0009-0000-0100-000005000000}"/>
  <tableColumns count="14">
    <tableColumn id="1" xr3:uid="{00000000-0010-0000-0500-000001000000}" name="Mã hồ sơ"/>
    <tableColumn id="2" xr3:uid="{00000000-0010-0000-0500-000002000000}" name="Hóa đơn gốc"/>
    <tableColumn id="3" xr3:uid="{00000000-0010-0000-0500-000003000000}" name="Ngày gốc"/>
    <tableColumn id="4" xr3:uid="{00000000-0010-0000-0500-000004000000}" name="HĐ điều chỉnh liên quan"/>
    <tableColumn id="5" xr3:uid="{00000000-0010-0000-0500-000005000000}" name="Ngày điều chỉnh"/>
    <tableColumn id="6" xr3:uid="{00000000-0010-0000-0500-000006000000}" name="Ghi nhận cần kiểm tra"/>
    <tableColumn id="7" xr3:uid="{00000000-0010-0000-0500-000007000000}" name="Câu hỏi cần kế toán kết luận"/>
    <tableColumn id="8" xr3:uid="{00000000-0010-0000-0500-000008000000}" name="Nguyên nhân (KT điền)"/>
    <tableColumn id="9" xr3:uid="{00000000-0010-0000-0500-000009000000}" name="Hướng xử lý (KT điền)"/>
    <tableColumn id="10" xr3:uid="{00000000-0010-0000-0500-00000A000000}" name="Số liệu/nội dung đúng (KT điền)"/>
    <tableColumn id="11" xr3:uid="{00000000-0010-0000-0500-00000B000000}" name="Căn cứ/chứng từ (KT điền)"/>
    <tableColumn id="12" xr3:uid="{00000000-0010-0000-0500-00000C000000}" name="Người phản hồi" dataDxfId="8"/>
    <tableColumn id="13" xr3:uid="{00000000-0010-0000-0500-00000D000000}" name="Ngày phản hồi" dataDxfId="7"/>
    <tableColumn id="14" xr3:uid="{00000000-0010-0000-0500-00000E000000}" name="Theo dõi phản hồi"/>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KnownCases" displayName="KnownCases" ref="A7:H14" totalsRowShown="0">
  <autoFilter ref="A7:H14" xr:uid="{00000000-0009-0000-0100-000007000000}"/>
  <tableColumns count="8">
    <tableColumn id="1" xr3:uid="{00000000-0010-0000-0600-000001000000}" name="Mã hồ sơ"/>
    <tableColumn id="2" xr3:uid="{00000000-0010-0000-0600-000002000000}" name="Hóa đơn gốc"/>
    <tableColumn id="3" xr3:uid="{00000000-0010-0000-0600-000003000000}" name="Ngày gốc"/>
    <tableColumn id="4" xr3:uid="{00000000-0010-0000-0600-000004000000}" name="HĐ điều chỉnh liên quan"/>
    <tableColumn id="5" xr3:uid="{00000000-0010-0000-0600-000005000000}" name="Ngày điều chỉnh"/>
    <tableColumn id="6" xr3:uid="{00000000-0010-0000-0600-000006000000}" name="Nội dung đã làm rõ"/>
    <tableColumn id="7" xr3:uid="{00000000-0010-0000-0600-000007000000}" name="Việc chuẩn bị tiếp"/>
    <tableColumn id="8" xr3:uid="{0FB5EEF1-0672-4804-B68A-BEE772F78752}" name="Hướng xử lý (KT điền)" dataDxfId="6"/>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InvoiceEvidence" displayName="InvoiceEvidence" ref="A7:P74" totalsRowShown="0">
  <autoFilter ref="A7:P74" xr:uid="{00000000-0009-0000-0100-000008000000}"/>
  <tableColumns count="16">
    <tableColumn id="1" xr3:uid="{00000000-0010-0000-0700-000001000000}" name="Mã hồ sơ"/>
    <tableColumn id="2" xr3:uid="{00000000-0010-0000-0700-000002000000}" name="Phạm vi công việc"/>
    <tableColumn id="3" xr3:uid="{00000000-0010-0000-0700-000003000000}" name="Vai trò"/>
    <tableColumn id="4" xr3:uid="{00000000-0010-0000-0700-000004000000}" name="Ký hiệu"/>
    <tableColumn id="5" xr3:uid="{00000000-0010-0000-0700-000005000000}" name="Số hóa đơn"/>
    <tableColumn id="6" xr3:uid="{00000000-0010-0000-0700-000006000000}" name="Ngày hóa đơn"/>
    <tableColumn id="7" xr3:uid="{00000000-0010-0000-0700-000007000000}" name="Tiền hàng bảng kê (đ)"/>
    <tableColumn id="8" xr3:uid="{00000000-0010-0000-0700-000008000000}" name="Thuế bảng kê (đ)"/>
    <tableColumn id="9" xr3:uid="{00000000-0010-0000-0700-000009000000}" name="Thanh toán bảng kê (đ)"/>
    <tableColumn id="10" xr3:uid="{00000000-0010-0000-0700-00000A000000}" name="Tiền hàng XML (đ)"/>
    <tableColumn id="11" xr3:uid="{00000000-0010-0000-0700-00000B000000}" name="Thuế XML (đ)"/>
    <tableColumn id="12" xr3:uid="{00000000-0010-0000-0700-00000C000000}" name="Thanh toán XML (đ)"/>
    <tableColumn id="13" xr3:uid="{00000000-0010-0000-0700-00000D000000}" name="Nội dung dòng/ghi chú cần đối chiếu"/>
    <tableColumn id="14" xr3:uid="{00000000-0010-0000-0700-00000E000000}" name="Nguồn bảng kê"/>
    <tableColumn id="15" xr3:uid="{00000000-0010-0000-0700-00000F000000}" name="File XML"/>
    <tableColumn id="16" xr3:uid="{00000000-0010-0000-0700-000010000000}" name="Ghi chú độ phủ nguồn"/>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3374D"/>
  </sheetPr>
  <dimension ref="A1:G25"/>
  <sheetViews>
    <sheetView showGridLines="0" workbookViewId="0">
      <selection activeCell="B9" sqref="B9"/>
    </sheetView>
  </sheetViews>
  <sheetFormatPr defaultRowHeight="14"/>
  <cols>
    <col min="1" max="1" width="43" customWidth="1"/>
    <col min="2" max="2" width="26" customWidth="1"/>
    <col min="3" max="3" width="12" customWidth="1"/>
    <col min="4" max="5" width="19" customWidth="1"/>
    <col min="6" max="6" width="24" customWidth="1"/>
    <col min="7" max="7" width="70" customWidth="1"/>
  </cols>
  <sheetData>
    <row r="1" spans="1:7">
      <c r="A1" s="1"/>
      <c r="B1" s="1"/>
      <c r="C1" s="1"/>
      <c r="D1" s="1"/>
      <c r="E1" s="1"/>
      <c r="F1" s="1"/>
      <c r="G1" s="1"/>
    </row>
    <row r="2" spans="1:7" ht="27" customHeight="1">
      <c r="A2" s="2" t="s">
        <v>0</v>
      </c>
      <c r="B2" s="1"/>
      <c r="C2" s="1"/>
      <c r="D2" s="1"/>
      <c r="E2" s="1"/>
      <c r="F2" s="1"/>
      <c r="G2" s="1"/>
    </row>
    <row r="3" spans="1:7">
      <c r="A3" s="1" t="s">
        <v>1</v>
      </c>
      <c r="B3" s="3">
        <v>46306</v>
      </c>
      <c r="C3" s="1"/>
      <c r="D3" s="1"/>
      <c r="E3" s="1"/>
      <c r="F3" s="1"/>
      <c r="G3" s="1"/>
    </row>
    <row r="4" spans="1:7">
      <c r="A4" s="1" t="s">
        <v>2</v>
      </c>
      <c r="B4" s="1"/>
      <c r="C4" s="1"/>
      <c r="D4" s="1"/>
      <c r="E4" s="1"/>
      <c r="F4" s="1"/>
      <c r="G4" s="1"/>
    </row>
    <row r="5" spans="1:7">
      <c r="A5" s="1" t="s">
        <v>3</v>
      </c>
      <c r="B5" s="1"/>
      <c r="C5" s="1"/>
      <c r="D5" s="1"/>
      <c r="E5" s="1"/>
      <c r="F5" s="1"/>
      <c r="G5" s="1"/>
    </row>
    <row r="6" spans="1:7">
      <c r="A6" s="4"/>
      <c r="B6" s="4"/>
      <c r="C6" s="4"/>
      <c r="D6" s="4"/>
      <c r="E6" s="4"/>
      <c r="F6" s="4"/>
      <c r="G6" s="4"/>
    </row>
    <row r="7" spans="1:7" ht="46" customHeight="1">
      <c r="A7" s="6" t="s">
        <v>4</v>
      </c>
      <c r="B7" s="7" t="s">
        <v>5</v>
      </c>
      <c r="C7" s="7" t="s">
        <v>6</v>
      </c>
      <c r="D7" s="7" t="s">
        <v>7</v>
      </c>
      <c r="E7" s="7" t="s">
        <v>8</v>
      </c>
      <c r="F7" s="7" t="s">
        <v>9</v>
      </c>
      <c r="G7" s="8" t="s">
        <v>10</v>
      </c>
    </row>
    <row r="8" spans="1:7" ht="36" customHeight="1">
      <c r="A8" s="9" t="s">
        <v>11</v>
      </c>
      <c r="B8" s="9" t="s">
        <v>12</v>
      </c>
      <c r="C8" s="21">
        <f>COUNTA('Lech tien'!A8:A15)</f>
        <v>8</v>
      </c>
      <c r="D8" s="21">
        <f>COUNTIFS('Lech tien'!R8:R15,"Chưa phản hồi")</f>
        <v>0</v>
      </c>
      <c r="E8" s="21">
        <f>COUNTIFS('Lech tien'!R8:R15,"Cần bổ sung")</f>
        <v>0</v>
      </c>
      <c r="F8" s="21">
        <f>COUNTIFS('Lech tien'!R8:R15,"Đủ trường phản hồi")</f>
        <v>8</v>
      </c>
      <c r="G8" s="9" t="s">
        <v>13</v>
      </c>
    </row>
    <row r="9" spans="1:7" ht="36" customHeight="1">
      <c r="A9" s="10" t="s">
        <v>14</v>
      </c>
      <c r="B9" s="10" t="s">
        <v>15</v>
      </c>
      <c r="C9" s="22">
        <f>COUNTA('So luong can kiem'!A8:A15)</f>
        <v>8</v>
      </c>
      <c r="D9" s="22">
        <f>COUNTIFS('So luong can kiem'!N8:N15,"Chưa phản hồi")</f>
        <v>0</v>
      </c>
      <c r="E9" s="22">
        <f>COUNTIFS('So luong can kiem'!N8:N15,"Cần bổ sung")</f>
        <v>8</v>
      </c>
      <c r="F9" s="22">
        <f>COUNTIFS('So luong can kiem'!N8:N15,"Đủ trường phản hồi")</f>
        <v>0</v>
      </c>
      <c r="G9" s="10" t="s">
        <v>16</v>
      </c>
    </row>
    <row r="10" spans="1:7" ht="36" customHeight="1">
      <c r="A10" s="9" t="s">
        <v>17</v>
      </c>
      <c r="B10" s="9" t="s">
        <v>18</v>
      </c>
      <c r="C10" s="21">
        <f>COUNTA('Thanh toan trong'!A8:A9)</f>
        <v>2</v>
      </c>
      <c r="D10" s="21">
        <f>COUNTIFS('Thanh toan trong'!N8:N9,"Chưa phản hồi")</f>
        <v>0</v>
      </c>
      <c r="E10" s="21">
        <f>COUNTIFS('Thanh toan trong'!N8:N9,"Cần bổ sung")</f>
        <v>2</v>
      </c>
      <c r="F10" s="21">
        <f>COUNTIFS('Thanh toan trong'!N8:N9,"Đủ trường phản hồi")</f>
        <v>0</v>
      </c>
      <c r="G10" s="9" t="s">
        <v>19</v>
      </c>
    </row>
    <row r="11" spans="1:7" ht="36" customHeight="1">
      <c r="A11" s="10" t="s">
        <v>20</v>
      </c>
      <c r="B11" s="10" t="s">
        <v>21</v>
      </c>
      <c r="C11" s="22">
        <f>COUNTA('Hang va mo ta'!A8:A12)</f>
        <v>5</v>
      </c>
      <c r="D11" s="22">
        <f>COUNTIFS('Hang va mo ta'!N8:N12,"Chưa phản hồi")</f>
        <v>0</v>
      </c>
      <c r="E11" s="22">
        <f>COUNTIFS('Hang va mo ta'!N8:N12,"Cần bổ sung")</f>
        <v>5</v>
      </c>
      <c r="F11" s="22">
        <f>COUNTIFS('Hang va mo ta'!N8:N12,"Đủ trường phản hồi")</f>
        <v>0</v>
      </c>
      <c r="G11" s="10" t="s">
        <v>22</v>
      </c>
    </row>
    <row r="12" spans="1:7" ht="36" customHeight="1">
      <c r="A12" s="9" t="s">
        <v>23</v>
      </c>
      <c r="B12" s="9" t="s">
        <v>24</v>
      </c>
      <c r="C12" s="21">
        <f>COUNTA('Cach ghi dieu chinh'!A8:A13)</f>
        <v>6</v>
      </c>
      <c r="D12" s="21">
        <f>COUNTIFS('Cach ghi dieu chinh'!N8:N13,"Chưa phản hồi")</f>
        <v>0</v>
      </c>
      <c r="E12" s="21">
        <f>COUNTIFS('Cach ghi dieu chinh'!N8:N13,"Cần bổ sung")</f>
        <v>6</v>
      </c>
      <c r="F12" s="21">
        <f>COUNTIFS('Cach ghi dieu chinh'!N8:N13,"Đủ trường phản hồi")</f>
        <v>0</v>
      </c>
      <c r="G12" s="9" t="s">
        <v>25</v>
      </c>
    </row>
    <row r="13" spans="1:7">
      <c r="A13" s="1"/>
      <c r="B13" s="1"/>
      <c r="C13" s="23"/>
      <c r="D13" s="23"/>
      <c r="E13" s="23"/>
      <c r="F13" s="23"/>
      <c r="G13" s="1"/>
    </row>
    <row r="14" spans="1:7" ht="29" customHeight="1">
      <c r="A14" s="20" t="s">
        <v>26</v>
      </c>
      <c r="B14" s="20"/>
      <c r="C14" s="24">
        <f>SUM(C8:C12)</f>
        <v>29</v>
      </c>
      <c r="D14" s="24">
        <f>SUM(D8:D12)</f>
        <v>0</v>
      </c>
      <c r="E14" s="24">
        <f>SUM(E8:E12)</f>
        <v>21</v>
      </c>
      <c r="F14" s="24">
        <f>SUM(F8:F12)</f>
        <v>8</v>
      </c>
      <c r="G14" s="20"/>
    </row>
    <row r="15" spans="1:7">
      <c r="A15" s="1"/>
      <c r="B15" s="1"/>
      <c r="C15" s="1"/>
      <c r="D15" s="1"/>
      <c r="E15" s="1"/>
      <c r="F15" s="1"/>
      <c r="G15" s="1"/>
    </row>
    <row r="16" spans="1:7">
      <c r="A16" s="1"/>
      <c r="B16" s="1"/>
      <c r="C16" s="1"/>
      <c r="D16" s="1"/>
      <c r="E16" s="1"/>
      <c r="F16" s="1"/>
      <c r="G16" s="1"/>
    </row>
    <row r="17" spans="1:7">
      <c r="A17" s="25" t="s">
        <v>27</v>
      </c>
      <c r="B17" s="1"/>
      <c r="C17" s="1"/>
      <c r="D17" s="1"/>
      <c r="E17" s="1"/>
      <c r="F17" s="1"/>
      <c r="G17" s="1"/>
    </row>
    <row r="18" spans="1:7">
      <c r="A18" s="1" t="s">
        <v>28</v>
      </c>
      <c r="B18" s="1"/>
      <c r="C18" s="1"/>
      <c r="D18" s="1"/>
      <c r="E18" s="1"/>
      <c r="F18" s="1"/>
      <c r="G18" s="1"/>
    </row>
    <row r="19" spans="1:7">
      <c r="A19" s="1"/>
      <c r="B19" s="1"/>
      <c r="C19" s="1"/>
      <c r="D19" s="1"/>
      <c r="E19" s="1"/>
      <c r="F19" s="1"/>
      <c r="G19" s="1"/>
    </row>
    <row r="20" spans="1:7">
      <c r="A20" s="25" t="s">
        <v>29</v>
      </c>
      <c r="B20" s="1"/>
      <c r="C20" s="1"/>
      <c r="D20" s="1"/>
      <c r="E20" s="1"/>
      <c r="F20" s="1"/>
      <c r="G20" s="1"/>
    </row>
    <row r="21" spans="1:7">
      <c r="A21" s="1" t="s">
        <v>30</v>
      </c>
      <c r="B21" s="1"/>
      <c r="C21" s="1"/>
      <c r="D21" s="1"/>
      <c r="E21" s="1"/>
      <c r="F21" s="1"/>
      <c r="G21" s="1"/>
    </row>
    <row r="22" spans="1:7">
      <c r="A22" s="1"/>
      <c r="B22" s="1"/>
      <c r="C22" s="1"/>
      <c r="D22" s="1"/>
      <c r="E22" s="1"/>
      <c r="F22" s="1"/>
      <c r="G22" s="1"/>
    </row>
    <row r="23" spans="1:7">
      <c r="A23" s="25" t="s">
        <v>31</v>
      </c>
      <c r="B23" s="1"/>
      <c r="C23" s="1"/>
      <c r="D23" s="1"/>
      <c r="E23" s="1"/>
      <c r="F23" s="1"/>
      <c r="G23" s="1"/>
    </row>
    <row r="24" spans="1:7">
      <c r="A24" s="1" t="s">
        <v>32</v>
      </c>
      <c r="B24" s="1"/>
      <c r="C24" s="1"/>
      <c r="D24" s="1"/>
      <c r="E24" s="1"/>
      <c r="F24" s="1"/>
      <c r="G24" s="1"/>
    </row>
    <row r="25" spans="1:7">
      <c r="A25" s="1"/>
      <c r="B25" s="1"/>
      <c r="C25" s="1"/>
      <c r="D25" s="1"/>
      <c r="E25" s="1"/>
      <c r="F25" s="1"/>
      <c r="G25"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43838"/>
  </sheetPr>
  <dimension ref="A1:R15"/>
  <sheetViews>
    <sheetView showGridLines="0" workbookViewId="0">
      <pane xSplit="2" ySplit="7" topLeftCell="D8" activePane="bottomRight" state="frozen"/>
      <selection pane="topRight"/>
      <selection pane="bottomLeft"/>
      <selection pane="bottomRight" activeCell="O14" sqref="O14"/>
    </sheetView>
  </sheetViews>
  <sheetFormatPr defaultRowHeight="14"/>
  <cols>
    <col min="1" max="1" width="11" customWidth="1"/>
    <col min="2" max="2" width="25" customWidth="1"/>
    <col min="3" max="3" width="14" customWidth="1"/>
    <col min="4" max="4" width="25" customWidth="1"/>
    <col min="5" max="5" width="14" customWidth="1"/>
    <col min="6" max="7" width="18" customWidth="1"/>
    <col min="8" max="8" width="19" customWidth="1"/>
    <col min="9" max="9" width="21" customWidth="1"/>
    <col min="10" max="10" width="57" hidden="1" customWidth="1"/>
    <col min="11" max="11" width="65" hidden="1" customWidth="1"/>
    <col min="12" max="12" width="23.25" bestFit="1" customWidth="1"/>
    <col min="13" max="13" width="25.33203125" bestFit="1" customWidth="1"/>
    <col min="14" max="15" width="40" customWidth="1"/>
    <col min="16" max="16" width="21" customWidth="1"/>
    <col min="17" max="17" width="15" customWidth="1"/>
    <col min="18" max="18" width="25" customWidth="1"/>
  </cols>
  <sheetData>
    <row r="1" spans="1:18">
      <c r="A1" s="1"/>
      <c r="B1" s="1"/>
      <c r="C1" s="1"/>
      <c r="D1" s="1"/>
      <c r="E1" s="1"/>
      <c r="F1" s="1"/>
      <c r="G1" s="1"/>
      <c r="H1" s="1"/>
      <c r="I1" s="1"/>
      <c r="J1" s="1"/>
      <c r="K1" s="1"/>
      <c r="L1" s="1"/>
      <c r="M1" s="1"/>
      <c r="N1" s="1"/>
      <c r="O1" s="1"/>
      <c r="P1" s="1"/>
      <c r="Q1" s="1"/>
      <c r="R1" s="1"/>
    </row>
    <row r="2" spans="1:18" ht="27" customHeight="1">
      <c r="A2" s="2" t="s">
        <v>11</v>
      </c>
      <c r="B2" s="1"/>
      <c r="C2" s="1"/>
      <c r="D2" s="1"/>
      <c r="E2" s="1"/>
      <c r="F2" s="1"/>
      <c r="G2" s="1"/>
      <c r="H2" s="1"/>
      <c r="I2" s="1"/>
      <c r="J2" s="1"/>
      <c r="K2" s="1"/>
      <c r="L2" s="1"/>
      <c r="M2" s="1"/>
      <c r="N2" s="1"/>
      <c r="O2" s="1"/>
      <c r="P2" s="1"/>
      <c r="Q2" s="1"/>
      <c r="R2" s="1"/>
    </row>
    <row r="3" spans="1:18">
      <c r="A3" s="1" t="s">
        <v>1</v>
      </c>
      <c r="B3" s="3">
        <v>46306</v>
      </c>
      <c r="C3" s="1"/>
      <c r="D3" s="1"/>
      <c r="E3" s="1"/>
      <c r="F3" s="1"/>
      <c r="G3" s="1"/>
      <c r="H3" s="1"/>
      <c r="I3" s="1"/>
      <c r="J3" s="1"/>
      <c r="K3" s="1"/>
      <c r="L3" s="1"/>
      <c r="M3" s="1"/>
      <c r="N3" s="1"/>
      <c r="O3" s="1"/>
      <c r="P3" s="1"/>
      <c r="Q3" s="1"/>
      <c r="R3" s="1"/>
    </row>
    <row r="4" spans="1:18">
      <c r="A4" s="5" t="s">
        <v>33</v>
      </c>
      <c r="B4" s="1"/>
      <c r="C4" s="1"/>
      <c r="D4" s="1"/>
      <c r="E4" s="1"/>
      <c r="F4" s="1"/>
      <c r="G4" s="1"/>
      <c r="H4" s="27"/>
      <c r="I4" s="1"/>
      <c r="J4" s="1"/>
      <c r="K4" s="1"/>
      <c r="L4" s="1"/>
      <c r="M4" s="1"/>
      <c r="N4" s="1"/>
      <c r="O4" s="1"/>
      <c r="P4" s="1"/>
      <c r="Q4" s="1"/>
      <c r="R4" s="1"/>
    </row>
    <row r="5" spans="1:18">
      <c r="A5" s="5" t="s">
        <v>34</v>
      </c>
      <c r="B5" s="1"/>
      <c r="C5" s="1"/>
      <c r="D5" s="1"/>
      <c r="E5" s="1"/>
      <c r="F5" s="1"/>
      <c r="G5" s="1"/>
      <c r="H5" s="1"/>
      <c r="I5" s="1"/>
      <c r="J5" s="1"/>
      <c r="K5" s="1"/>
      <c r="L5" s="1"/>
      <c r="M5" s="1"/>
      <c r="N5" s="1"/>
      <c r="O5" s="1"/>
      <c r="P5" s="1"/>
      <c r="Q5" s="1"/>
      <c r="R5" s="1"/>
    </row>
    <row r="6" spans="1:18">
      <c r="A6" s="4"/>
      <c r="B6" s="4"/>
      <c r="C6" s="4"/>
      <c r="D6" s="4"/>
      <c r="E6" s="4"/>
      <c r="F6" s="4"/>
      <c r="G6" s="4"/>
      <c r="H6" s="4"/>
      <c r="I6" s="4"/>
      <c r="J6" s="4"/>
      <c r="K6" s="4"/>
      <c r="L6" s="4"/>
      <c r="M6" s="4"/>
      <c r="N6" s="4"/>
      <c r="O6" s="4"/>
      <c r="P6" s="4"/>
      <c r="Q6" s="4"/>
      <c r="R6" s="4"/>
    </row>
    <row r="7" spans="1:18" ht="46" customHeight="1">
      <c r="A7" s="6" t="s">
        <v>35</v>
      </c>
      <c r="B7" s="7" t="s">
        <v>36</v>
      </c>
      <c r="C7" s="7" t="s">
        <v>37</v>
      </c>
      <c r="D7" s="7" t="s">
        <v>38</v>
      </c>
      <c r="E7" s="7" t="s">
        <v>39</v>
      </c>
      <c r="F7" s="7" t="s">
        <v>40</v>
      </c>
      <c r="G7" s="7" t="s">
        <v>41</v>
      </c>
      <c r="H7" s="7" t="s">
        <v>42</v>
      </c>
      <c r="I7" s="7" t="s">
        <v>43</v>
      </c>
      <c r="J7" s="7" t="s">
        <v>44</v>
      </c>
      <c r="K7" s="7" t="s">
        <v>45</v>
      </c>
      <c r="L7" s="17" t="s">
        <v>46</v>
      </c>
      <c r="M7" s="17" t="s">
        <v>47</v>
      </c>
      <c r="N7" s="17" t="s">
        <v>48</v>
      </c>
      <c r="O7" s="17" t="s">
        <v>49</v>
      </c>
      <c r="P7" s="17" t="s">
        <v>50</v>
      </c>
      <c r="Q7" s="17" t="s">
        <v>51</v>
      </c>
      <c r="R7" s="8" t="s">
        <v>52</v>
      </c>
    </row>
    <row r="8" spans="1:18" ht="72" customHeight="1">
      <c r="A8" s="9" t="s">
        <v>53</v>
      </c>
      <c r="B8" s="13" t="s">
        <v>54</v>
      </c>
      <c r="C8" s="11">
        <v>45716</v>
      </c>
      <c r="D8" s="13" t="s">
        <v>55</v>
      </c>
      <c r="E8" s="11">
        <v>45782</v>
      </c>
      <c r="F8" s="15">
        <v>-381481</v>
      </c>
      <c r="G8" s="15">
        <v>-30518</v>
      </c>
      <c r="H8" s="15">
        <v>411999</v>
      </c>
      <c r="I8" s="15">
        <f t="shared" ref="I8:I15" si="0">F8+G8-H8</f>
        <v>-823998</v>
      </c>
      <c r="J8" s="9" t="s">
        <v>56</v>
      </c>
      <c r="K8" s="9" t="s">
        <v>57</v>
      </c>
      <c r="L8" s="18" t="s">
        <v>422</v>
      </c>
      <c r="M8" s="18" t="s">
        <v>423</v>
      </c>
      <c r="N8" s="26" t="s">
        <v>424</v>
      </c>
      <c r="O8" s="18" t="s">
        <v>432</v>
      </c>
      <c r="P8" s="18" t="s">
        <v>433</v>
      </c>
      <c r="Q8" s="19">
        <v>46306</v>
      </c>
      <c r="R8" s="9" t="str">
        <f t="shared" ref="R8:R15" si="1">IF(COUNTA(L8:Q8)=0,"Chưa phản hồi",IF(AND(L8&lt;&gt;"",M8&lt;&gt;"",N8&lt;&gt;"",O8&lt;&gt;""),"Đủ trường phản hồi","Cần bổ sung"))</f>
        <v>Đủ trường phản hồi</v>
      </c>
    </row>
    <row r="9" spans="1:18" ht="72" customHeight="1">
      <c r="A9" s="10" t="s">
        <v>58</v>
      </c>
      <c r="B9" s="14" t="s">
        <v>59</v>
      </c>
      <c r="C9" s="12">
        <v>45684</v>
      </c>
      <c r="D9" s="14" t="s">
        <v>60</v>
      </c>
      <c r="E9" s="12">
        <v>45781</v>
      </c>
      <c r="F9" s="16">
        <v>196889</v>
      </c>
      <c r="G9" s="16">
        <v>151751</v>
      </c>
      <c r="H9" s="16">
        <v>212640</v>
      </c>
      <c r="I9" s="15">
        <f t="shared" si="0"/>
        <v>136000</v>
      </c>
      <c r="J9" s="10" t="s">
        <v>61</v>
      </c>
      <c r="K9" s="10" t="s">
        <v>57</v>
      </c>
      <c r="L9" s="18" t="s">
        <v>422</v>
      </c>
      <c r="M9" s="18" t="s">
        <v>423</v>
      </c>
      <c r="N9" s="26" t="s">
        <v>425</v>
      </c>
      <c r="O9" s="18" t="s">
        <v>432</v>
      </c>
      <c r="P9" s="18" t="s">
        <v>433</v>
      </c>
      <c r="Q9" s="19">
        <v>46306</v>
      </c>
      <c r="R9" s="9" t="str">
        <f t="shared" si="1"/>
        <v>Đủ trường phản hồi</v>
      </c>
    </row>
    <row r="10" spans="1:18" ht="72" customHeight="1">
      <c r="A10" s="9" t="s">
        <v>62</v>
      </c>
      <c r="B10" s="13" t="s">
        <v>63</v>
      </c>
      <c r="C10" s="11">
        <v>45457</v>
      </c>
      <c r="D10" s="13" t="s">
        <v>64</v>
      </c>
      <c r="E10" s="11">
        <v>45806</v>
      </c>
      <c r="F10" s="15">
        <v>7599678</v>
      </c>
      <c r="G10" s="15">
        <v>609974</v>
      </c>
      <c r="H10" s="15">
        <v>8207652</v>
      </c>
      <c r="I10" s="15">
        <f t="shared" si="0"/>
        <v>2000</v>
      </c>
      <c r="J10" s="9" t="s">
        <v>61</v>
      </c>
      <c r="K10" s="9" t="s">
        <v>57</v>
      </c>
      <c r="L10" s="18" t="s">
        <v>422</v>
      </c>
      <c r="M10" s="18" t="s">
        <v>423</v>
      </c>
      <c r="N10" s="26" t="s">
        <v>426</v>
      </c>
      <c r="O10" s="18" t="s">
        <v>432</v>
      </c>
      <c r="P10" s="18" t="s">
        <v>433</v>
      </c>
      <c r="Q10" s="19">
        <v>46306</v>
      </c>
      <c r="R10" s="9" t="str">
        <f t="shared" si="1"/>
        <v>Đủ trường phản hồi</v>
      </c>
    </row>
    <row r="11" spans="1:18" ht="72" customHeight="1">
      <c r="A11" s="10" t="s">
        <v>65</v>
      </c>
      <c r="B11" s="14" t="s">
        <v>66</v>
      </c>
      <c r="C11" s="12">
        <v>45352</v>
      </c>
      <c r="D11" s="14" t="s">
        <v>67</v>
      </c>
      <c r="E11" s="12">
        <v>45803</v>
      </c>
      <c r="F11" s="16">
        <v>621945</v>
      </c>
      <c r="G11" s="16">
        <v>49756</v>
      </c>
      <c r="H11" s="16">
        <v>670701</v>
      </c>
      <c r="I11" s="15">
        <f t="shared" si="0"/>
        <v>1000</v>
      </c>
      <c r="J11" s="10" t="s">
        <v>61</v>
      </c>
      <c r="K11" s="10" t="s">
        <v>57</v>
      </c>
      <c r="L11" s="18" t="s">
        <v>422</v>
      </c>
      <c r="M11" s="18" t="s">
        <v>423</v>
      </c>
      <c r="N11" s="26" t="s">
        <v>427</v>
      </c>
      <c r="O11" s="18" t="s">
        <v>432</v>
      </c>
      <c r="P11" s="18" t="s">
        <v>433</v>
      </c>
      <c r="Q11" s="19">
        <v>46306</v>
      </c>
      <c r="R11" s="9" t="str">
        <f t="shared" si="1"/>
        <v>Đủ trường phản hồi</v>
      </c>
    </row>
    <row r="12" spans="1:18" ht="72" customHeight="1">
      <c r="A12" s="9" t="s">
        <v>68</v>
      </c>
      <c r="B12" s="13" t="s">
        <v>69</v>
      </c>
      <c r="C12" s="11">
        <v>45587</v>
      </c>
      <c r="D12" s="13" t="s">
        <v>70</v>
      </c>
      <c r="E12" s="11">
        <v>45807</v>
      </c>
      <c r="F12" s="15">
        <v>39194352</v>
      </c>
      <c r="G12" s="15">
        <v>3135548</v>
      </c>
      <c r="H12" s="15">
        <v>42329000</v>
      </c>
      <c r="I12" s="15">
        <f t="shared" si="0"/>
        <v>900</v>
      </c>
      <c r="J12" s="9" t="s">
        <v>61</v>
      </c>
      <c r="K12" s="9" t="s">
        <v>57</v>
      </c>
      <c r="L12" s="18" t="s">
        <v>422</v>
      </c>
      <c r="M12" s="18" t="s">
        <v>423</v>
      </c>
      <c r="N12" s="26" t="s">
        <v>428</v>
      </c>
      <c r="O12" s="18" t="s">
        <v>432</v>
      </c>
      <c r="P12" s="18" t="s">
        <v>433</v>
      </c>
      <c r="Q12" s="19">
        <v>46306</v>
      </c>
      <c r="R12" s="9" t="str">
        <f t="shared" si="1"/>
        <v>Đủ trường phản hồi</v>
      </c>
    </row>
    <row r="13" spans="1:18" ht="72" customHeight="1">
      <c r="A13" s="10" t="s">
        <v>71</v>
      </c>
      <c r="B13" s="14" t="s">
        <v>72</v>
      </c>
      <c r="C13" s="12">
        <v>45425</v>
      </c>
      <c r="D13" s="14" t="s">
        <v>73</v>
      </c>
      <c r="E13" s="12">
        <v>45808</v>
      </c>
      <c r="F13" s="16">
        <v>-589554</v>
      </c>
      <c r="G13" s="16">
        <v>-47164</v>
      </c>
      <c r="H13" s="16">
        <v>-636719</v>
      </c>
      <c r="I13" s="15">
        <f t="shared" si="0"/>
        <v>1</v>
      </c>
      <c r="J13" s="10" t="s">
        <v>74</v>
      </c>
      <c r="K13" s="10" t="s">
        <v>57</v>
      </c>
      <c r="L13" s="18" t="s">
        <v>422</v>
      </c>
      <c r="M13" s="18" t="s">
        <v>423</v>
      </c>
      <c r="N13" s="26" t="s">
        <v>429</v>
      </c>
      <c r="O13" s="18" t="s">
        <v>432</v>
      </c>
      <c r="P13" s="18" t="s">
        <v>433</v>
      </c>
      <c r="Q13" s="19">
        <v>46306</v>
      </c>
      <c r="R13" s="9" t="str">
        <f t="shared" si="1"/>
        <v>Đủ trường phản hồi</v>
      </c>
    </row>
    <row r="14" spans="1:18" ht="72" customHeight="1">
      <c r="A14" s="9" t="s">
        <v>75</v>
      </c>
      <c r="B14" s="13" t="s">
        <v>76</v>
      </c>
      <c r="C14" s="11">
        <v>45458</v>
      </c>
      <c r="D14" s="13" t="s">
        <v>77</v>
      </c>
      <c r="E14" s="11">
        <v>45806</v>
      </c>
      <c r="F14" s="15">
        <v>5701066</v>
      </c>
      <c r="G14" s="15">
        <v>456085</v>
      </c>
      <c r="H14" s="15">
        <v>6157152</v>
      </c>
      <c r="I14" s="15">
        <f t="shared" si="0"/>
        <v>-1</v>
      </c>
      <c r="J14" s="9" t="s">
        <v>61</v>
      </c>
      <c r="K14" s="9" t="s">
        <v>57</v>
      </c>
      <c r="L14" s="18" t="s">
        <v>422</v>
      </c>
      <c r="M14" s="18" t="s">
        <v>423</v>
      </c>
      <c r="N14" s="26" t="s">
        <v>430</v>
      </c>
      <c r="O14" s="18" t="s">
        <v>432</v>
      </c>
      <c r="P14" s="18" t="s">
        <v>433</v>
      </c>
      <c r="Q14" s="19">
        <v>46306</v>
      </c>
      <c r="R14" s="9" t="str">
        <f t="shared" si="1"/>
        <v>Đủ trường phản hồi</v>
      </c>
    </row>
    <row r="15" spans="1:18" ht="72" customHeight="1">
      <c r="A15" s="10" t="s">
        <v>78</v>
      </c>
      <c r="B15" s="14" t="s">
        <v>79</v>
      </c>
      <c r="C15" s="12">
        <v>45707</v>
      </c>
      <c r="D15" s="14" t="s">
        <v>80</v>
      </c>
      <c r="E15" s="12">
        <v>45781</v>
      </c>
      <c r="F15" s="16">
        <v>4347265</v>
      </c>
      <c r="G15" s="16">
        <v>347781</v>
      </c>
      <c r="H15" s="16">
        <v>4695045</v>
      </c>
      <c r="I15" s="15">
        <f t="shared" si="0"/>
        <v>1</v>
      </c>
      <c r="J15" s="10" t="s">
        <v>61</v>
      </c>
      <c r="K15" s="10" t="s">
        <v>57</v>
      </c>
      <c r="L15" s="18" t="s">
        <v>422</v>
      </c>
      <c r="M15" s="18" t="s">
        <v>423</v>
      </c>
      <c r="N15" s="26" t="s">
        <v>431</v>
      </c>
      <c r="O15" s="18" t="s">
        <v>432</v>
      </c>
      <c r="P15" s="18" t="s">
        <v>433</v>
      </c>
      <c r="Q15" s="19">
        <v>46306</v>
      </c>
      <c r="R15" s="9" t="str">
        <f t="shared" si="1"/>
        <v>Đủ trường phản hồi</v>
      </c>
    </row>
  </sheetData>
  <conditionalFormatting sqref="I8:I15">
    <cfRule type="cellIs" dxfId="5" priority="1" operator="notEqual">
      <formula>0</formula>
    </cfRule>
  </conditionalFormatting>
  <conditionalFormatting sqref="R8:R15">
    <cfRule type="containsText" dxfId="4" priority="2" operator="containsText" text="Cần bổ sung"/>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96B8A"/>
  </sheetPr>
  <dimension ref="A1:N15"/>
  <sheetViews>
    <sheetView showGridLines="0" workbookViewId="0">
      <pane xSplit="2" ySplit="7" topLeftCell="C8" activePane="bottomRight" state="frozen"/>
      <selection pane="topRight"/>
      <selection pane="bottomLeft"/>
      <selection pane="bottomRight" activeCell="J9" sqref="J9:J15"/>
    </sheetView>
  </sheetViews>
  <sheetFormatPr defaultRowHeight="14"/>
  <cols>
    <col min="1" max="1" width="11" customWidth="1"/>
    <col min="2" max="2" width="25" customWidth="1"/>
    <col min="3" max="3" width="14" customWidth="1"/>
    <col min="4" max="4" width="25" customWidth="1"/>
    <col min="5" max="5" width="14" customWidth="1"/>
    <col min="6" max="7" width="33" customWidth="1"/>
    <col min="8" max="8" width="26.9140625" customWidth="1"/>
    <col min="9" max="9" width="40" customWidth="1"/>
    <col min="10" max="10" width="42.58203125" customWidth="1"/>
    <col min="11" max="11" width="40" customWidth="1"/>
    <col min="12" max="12" width="21" customWidth="1"/>
    <col min="13" max="13" width="15" customWidth="1"/>
    <col min="14" max="14" width="25" customWidth="1"/>
  </cols>
  <sheetData>
    <row r="1" spans="1:14">
      <c r="A1" s="1"/>
      <c r="B1" s="1"/>
      <c r="C1" s="1"/>
      <c r="D1" s="1"/>
      <c r="E1" s="1"/>
      <c r="F1" s="1"/>
      <c r="G1" s="1"/>
      <c r="H1" s="1"/>
      <c r="I1" s="1"/>
      <c r="J1" s="1"/>
      <c r="K1" s="1"/>
      <c r="L1" s="1"/>
      <c r="M1" s="1"/>
      <c r="N1" s="1"/>
    </row>
    <row r="2" spans="1:14" ht="18">
      <c r="A2" s="2" t="s">
        <v>14</v>
      </c>
      <c r="B2" s="1"/>
      <c r="C2" s="1"/>
      <c r="D2" s="1"/>
      <c r="E2" s="1"/>
      <c r="F2" s="1"/>
      <c r="G2" s="1"/>
      <c r="H2" s="1"/>
      <c r="I2" s="1"/>
      <c r="J2" s="1"/>
      <c r="K2" s="1"/>
      <c r="L2" s="1"/>
      <c r="M2" s="1"/>
      <c r="N2" s="1"/>
    </row>
    <row r="3" spans="1:14">
      <c r="A3" s="1" t="s">
        <v>1</v>
      </c>
      <c r="B3" s="3">
        <v>46306</v>
      </c>
      <c r="C3" s="1"/>
      <c r="D3" s="1"/>
      <c r="E3" s="1"/>
      <c r="F3" s="1"/>
      <c r="G3" s="1"/>
      <c r="H3" s="1"/>
      <c r="I3" s="1"/>
      <c r="J3" s="1"/>
      <c r="K3" s="1"/>
      <c r="L3" s="1"/>
      <c r="M3" s="1"/>
      <c r="N3" s="1"/>
    </row>
    <row r="4" spans="1:14">
      <c r="A4" s="5" t="s">
        <v>33</v>
      </c>
      <c r="B4" s="1"/>
      <c r="C4" s="1"/>
      <c r="D4" s="1"/>
      <c r="E4" s="1"/>
      <c r="F4" s="1"/>
      <c r="G4" s="1"/>
      <c r="H4" s="1"/>
      <c r="I4" s="1"/>
      <c r="J4" s="1"/>
      <c r="K4" s="1"/>
      <c r="L4" s="1"/>
      <c r="M4" s="1"/>
      <c r="N4" s="1"/>
    </row>
    <row r="5" spans="1:14">
      <c r="A5" s="5" t="s">
        <v>34</v>
      </c>
      <c r="B5" s="1"/>
      <c r="C5" s="1"/>
      <c r="D5" s="1"/>
      <c r="E5" s="1"/>
      <c r="F5" s="1"/>
      <c r="G5" s="1"/>
      <c r="H5" s="1"/>
      <c r="I5" s="1"/>
      <c r="J5" s="1"/>
      <c r="K5" s="1"/>
      <c r="L5" s="1"/>
      <c r="M5" s="1"/>
      <c r="N5" s="1"/>
    </row>
    <row r="6" spans="1:14">
      <c r="A6" s="4"/>
      <c r="B6" s="4"/>
      <c r="C6" s="4"/>
      <c r="D6" s="4"/>
      <c r="E6" s="4"/>
      <c r="F6" s="4"/>
      <c r="G6" s="4"/>
      <c r="H6" s="4"/>
      <c r="I6" s="4"/>
      <c r="J6" s="4"/>
      <c r="K6" s="4"/>
      <c r="L6" s="4"/>
      <c r="M6" s="4"/>
      <c r="N6" s="4"/>
    </row>
    <row r="7" spans="1:14">
      <c r="A7" s="6" t="s">
        <v>35</v>
      </c>
      <c r="B7" s="7" t="s">
        <v>36</v>
      </c>
      <c r="C7" s="7" t="s">
        <v>37</v>
      </c>
      <c r="D7" s="7" t="s">
        <v>38</v>
      </c>
      <c r="E7" s="7" t="s">
        <v>39</v>
      </c>
      <c r="F7" s="7" t="s">
        <v>44</v>
      </c>
      <c r="G7" s="7" t="s">
        <v>45</v>
      </c>
      <c r="H7" s="17" t="s">
        <v>46</v>
      </c>
      <c r="I7" s="17" t="s">
        <v>47</v>
      </c>
      <c r="J7" s="17" t="s">
        <v>48</v>
      </c>
      <c r="K7" s="17" t="s">
        <v>49</v>
      </c>
      <c r="L7" s="17" t="s">
        <v>50</v>
      </c>
      <c r="M7" s="17" t="s">
        <v>51</v>
      </c>
      <c r="N7" s="8" t="s">
        <v>52</v>
      </c>
    </row>
    <row r="8" spans="1:14" ht="75">
      <c r="A8" s="9" t="s">
        <v>81</v>
      </c>
      <c r="B8" s="13" t="s">
        <v>82</v>
      </c>
      <c r="C8" s="11">
        <v>45596</v>
      </c>
      <c r="D8" s="13" t="s">
        <v>83</v>
      </c>
      <c r="E8" s="11">
        <v>45808</v>
      </c>
      <c r="F8" s="9" t="s">
        <v>84</v>
      </c>
      <c r="G8" s="9" t="s">
        <v>85</v>
      </c>
      <c r="H8" s="18" t="s">
        <v>434</v>
      </c>
      <c r="I8" s="18" t="s">
        <v>439</v>
      </c>
      <c r="J8" s="18" t="s">
        <v>440</v>
      </c>
      <c r="K8" s="18"/>
      <c r="L8" s="18" t="s">
        <v>433</v>
      </c>
      <c r="M8" s="19">
        <v>46306</v>
      </c>
      <c r="N8" s="9" t="str">
        <f t="shared" ref="N8:N15" si="0">IF(COUNTA(H8:M8)=0,"Chưa phản hồi",IF(AND(H8&lt;&gt;"",I8&lt;&gt;"",J8&lt;&gt;"",K8&lt;&gt;""),"Đủ trường phản hồi","Cần bổ sung"))</f>
        <v>Cần bổ sung</v>
      </c>
    </row>
    <row r="9" spans="1:14" ht="75">
      <c r="A9" s="10" t="s">
        <v>86</v>
      </c>
      <c r="B9" s="14" t="s">
        <v>87</v>
      </c>
      <c r="C9" s="12">
        <v>45707</v>
      </c>
      <c r="D9" s="14" t="s">
        <v>88</v>
      </c>
      <c r="E9" s="12">
        <v>45782</v>
      </c>
      <c r="F9" s="10" t="s">
        <v>89</v>
      </c>
      <c r="G9" s="10" t="s">
        <v>85</v>
      </c>
      <c r="H9" s="18" t="s">
        <v>434</v>
      </c>
      <c r="I9" s="18" t="s">
        <v>435</v>
      </c>
      <c r="J9" s="18" t="s">
        <v>435</v>
      </c>
      <c r="K9" s="18"/>
      <c r="L9" s="18" t="s">
        <v>433</v>
      </c>
      <c r="M9" s="19">
        <v>46306</v>
      </c>
      <c r="N9" s="9" t="str">
        <f t="shared" si="0"/>
        <v>Cần bổ sung</v>
      </c>
    </row>
    <row r="10" spans="1:14" ht="75">
      <c r="A10" s="9" t="s">
        <v>90</v>
      </c>
      <c r="B10" s="13" t="s">
        <v>91</v>
      </c>
      <c r="C10" s="11">
        <v>45657</v>
      </c>
      <c r="D10" s="13"/>
      <c r="E10" s="11"/>
      <c r="F10" s="9" t="s">
        <v>92</v>
      </c>
      <c r="G10" s="9" t="s">
        <v>93</v>
      </c>
      <c r="H10" s="18" t="s">
        <v>436</v>
      </c>
      <c r="I10" s="18" t="s">
        <v>437</v>
      </c>
      <c r="J10" s="18" t="s">
        <v>437</v>
      </c>
      <c r="K10" s="18"/>
      <c r="L10" s="18" t="s">
        <v>433</v>
      </c>
      <c r="M10" s="19">
        <v>46306</v>
      </c>
      <c r="N10" s="9" t="str">
        <f t="shared" si="0"/>
        <v>Cần bổ sung</v>
      </c>
    </row>
    <row r="11" spans="1:14" ht="62.5">
      <c r="A11" s="10" t="s">
        <v>94</v>
      </c>
      <c r="B11" s="14" t="s">
        <v>95</v>
      </c>
      <c r="C11" s="12">
        <v>45657</v>
      </c>
      <c r="D11" s="14"/>
      <c r="E11" s="12"/>
      <c r="F11" s="10" t="s">
        <v>96</v>
      </c>
      <c r="G11" s="10" t="s">
        <v>93</v>
      </c>
      <c r="H11" s="18" t="s">
        <v>436</v>
      </c>
      <c r="I11" s="18" t="s">
        <v>437</v>
      </c>
      <c r="J11" s="18" t="s">
        <v>437</v>
      </c>
      <c r="K11" s="18"/>
      <c r="L11" s="18" t="s">
        <v>433</v>
      </c>
      <c r="M11" s="19">
        <v>46306</v>
      </c>
      <c r="N11" s="9" t="str">
        <f t="shared" si="0"/>
        <v>Cần bổ sung</v>
      </c>
    </row>
    <row r="12" spans="1:14" ht="62.5">
      <c r="A12" s="9" t="s">
        <v>97</v>
      </c>
      <c r="B12" s="13" t="s">
        <v>98</v>
      </c>
      <c r="C12" s="11">
        <v>45657</v>
      </c>
      <c r="D12" s="13"/>
      <c r="E12" s="11"/>
      <c r="F12" s="9" t="s">
        <v>96</v>
      </c>
      <c r="G12" s="9" t="s">
        <v>93</v>
      </c>
      <c r="H12" s="18" t="s">
        <v>436</v>
      </c>
      <c r="I12" s="18" t="s">
        <v>437</v>
      </c>
      <c r="J12" s="18" t="s">
        <v>437</v>
      </c>
      <c r="K12" s="18"/>
      <c r="L12" s="18" t="s">
        <v>433</v>
      </c>
      <c r="M12" s="19">
        <v>46306</v>
      </c>
      <c r="N12" s="9" t="str">
        <f t="shared" si="0"/>
        <v>Cần bổ sung</v>
      </c>
    </row>
    <row r="13" spans="1:14" ht="62.5">
      <c r="A13" s="10" t="s">
        <v>99</v>
      </c>
      <c r="B13" s="14" t="s">
        <v>100</v>
      </c>
      <c r="C13" s="12">
        <v>45657</v>
      </c>
      <c r="D13" s="14"/>
      <c r="E13" s="12"/>
      <c r="F13" s="10" t="s">
        <v>101</v>
      </c>
      <c r="G13" s="10" t="s">
        <v>93</v>
      </c>
      <c r="H13" s="18" t="s">
        <v>436</v>
      </c>
      <c r="I13" s="18" t="s">
        <v>437</v>
      </c>
      <c r="J13" s="18" t="s">
        <v>437</v>
      </c>
      <c r="K13" s="18"/>
      <c r="L13" s="18" t="s">
        <v>433</v>
      </c>
      <c r="M13" s="19">
        <v>46306</v>
      </c>
      <c r="N13" s="9" t="str">
        <f t="shared" si="0"/>
        <v>Cần bổ sung</v>
      </c>
    </row>
    <row r="14" spans="1:14" ht="75">
      <c r="A14" s="9" t="s">
        <v>102</v>
      </c>
      <c r="B14" s="13" t="s">
        <v>103</v>
      </c>
      <c r="C14" s="11">
        <v>45809</v>
      </c>
      <c r="D14" s="13"/>
      <c r="E14" s="11"/>
      <c r="F14" s="9" t="s">
        <v>104</v>
      </c>
      <c r="G14" s="9" t="s">
        <v>105</v>
      </c>
      <c r="H14" s="18" t="s">
        <v>434</v>
      </c>
      <c r="I14" s="18" t="s">
        <v>438</v>
      </c>
      <c r="J14" s="18" t="s">
        <v>438</v>
      </c>
      <c r="K14" s="18"/>
      <c r="L14" s="18" t="s">
        <v>433</v>
      </c>
      <c r="M14" s="19">
        <v>46306</v>
      </c>
      <c r="N14" s="9" t="str">
        <f t="shared" si="0"/>
        <v>Cần bổ sung</v>
      </c>
    </row>
    <row r="15" spans="1:14" ht="75">
      <c r="A15" s="10" t="s">
        <v>106</v>
      </c>
      <c r="B15" s="14" t="s">
        <v>107</v>
      </c>
      <c r="C15" s="12">
        <v>45809</v>
      </c>
      <c r="D15" s="14"/>
      <c r="E15" s="12"/>
      <c r="F15" s="10" t="s">
        <v>108</v>
      </c>
      <c r="G15" s="10" t="s">
        <v>105</v>
      </c>
      <c r="H15" s="18" t="s">
        <v>434</v>
      </c>
      <c r="I15" s="18" t="s">
        <v>438</v>
      </c>
      <c r="J15" s="18" t="s">
        <v>438</v>
      </c>
      <c r="K15" s="18"/>
      <c r="L15" s="18" t="s">
        <v>433</v>
      </c>
      <c r="M15" s="19">
        <v>46306</v>
      </c>
      <c r="N15" s="9" t="str">
        <f t="shared" si="0"/>
        <v>Cần bổ sung</v>
      </c>
    </row>
  </sheetData>
  <conditionalFormatting sqref="N8:N15">
    <cfRule type="containsText" dxfId="3" priority="1" operator="containsText" text="Cần bổ sung"/>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96B8A"/>
  </sheetPr>
  <dimension ref="A1:N9"/>
  <sheetViews>
    <sheetView showGridLines="0" workbookViewId="0">
      <pane xSplit="2" ySplit="7" topLeftCell="I8" activePane="bottomRight" state="frozen"/>
      <selection pane="topRight"/>
      <selection pane="bottomLeft"/>
      <selection pane="bottomRight" activeCell="K9" sqref="K9"/>
    </sheetView>
  </sheetViews>
  <sheetFormatPr defaultRowHeight="14"/>
  <cols>
    <col min="1" max="1" width="11" customWidth="1"/>
    <col min="2" max="2" width="25" customWidth="1"/>
    <col min="3" max="3" width="14" customWidth="1"/>
    <col min="4" max="4" width="25" customWidth="1"/>
    <col min="5" max="5" width="14" customWidth="1"/>
    <col min="6" max="7" width="22.58203125" customWidth="1"/>
    <col min="8" max="11" width="40" customWidth="1"/>
    <col min="12" max="12" width="21" customWidth="1"/>
    <col min="13" max="13" width="15" customWidth="1"/>
    <col min="14" max="14" width="25" customWidth="1"/>
  </cols>
  <sheetData>
    <row r="1" spans="1:14">
      <c r="A1" s="1"/>
      <c r="B1" s="1"/>
      <c r="C1" s="1"/>
      <c r="D1" s="1"/>
      <c r="E1" s="1"/>
      <c r="F1" s="1"/>
      <c r="G1" s="1"/>
      <c r="H1" s="1"/>
      <c r="I1" s="1"/>
      <c r="J1" s="1"/>
      <c r="K1" s="1"/>
      <c r="L1" s="1"/>
      <c r="M1" s="1"/>
      <c r="N1" s="1"/>
    </row>
    <row r="2" spans="1:14" ht="27" customHeight="1">
      <c r="A2" s="2" t="s">
        <v>17</v>
      </c>
      <c r="B2" s="1"/>
      <c r="C2" s="1"/>
      <c r="D2" s="1"/>
      <c r="E2" s="1"/>
      <c r="F2" s="1"/>
      <c r="G2" s="1"/>
      <c r="H2" s="1"/>
      <c r="I2" s="1"/>
      <c r="J2" s="1"/>
      <c r="K2" s="1"/>
      <c r="L2" s="1"/>
      <c r="M2" s="1"/>
      <c r="N2" s="1"/>
    </row>
    <row r="3" spans="1:14">
      <c r="A3" s="1" t="s">
        <v>1</v>
      </c>
      <c r="B3" s="3">
        <v>46306</v>
      </c>
      <c r="C3" s="1"/>
      <c r="D3" s="1"/>
      <c r="E3" s="1"/>
      <c r="F3" s="1"/>
      <c r="G3" s="1"/>
      <c r="H3" s="1"/>
      <c r="I3" s="1"/>
      <c r="J3" s="1"/>
      <c r="K3" s="1"/>
      <c r="L3" s="1"/>
      <c r="M3" s="1"/>
      <c r="N3" s="1"/>
    </row>
    <row r="4" spans="1:14">
      <c r="A4" s="5" t="s">
        <v>33</v>
      </c>
      <c r="B4" s="1"/>
      <c r="C4" s="1"/>
      <c r="D4" s="1"/>
      <c r="E4" s="1"/>
      <c r="F4" s="1"/>
      <c r="G4" s="1"/>
      <c r="H4" s="1"/>
      <c r="I4" s="1"/>
      <c r="J4" s="1"/>
      <c r="K4" s="1"/>
      <c r="L4" s="1"/>
      <c r="M4" s="1"/>
      <c r="N4" s="1"/>
    </row>
    <row r="5" spans="1:14">
      <c r="A5" s="5" t="s">
        <v>34</v>
      </c>
      <c r="B5" s="1"/>
      <c r="C5" s="1"/>
      <c r="D5" s="1"/>
      <c r="E5" s="1"/>
      <c r="F5" s="1"/>
      <c r="G5" s="1"/>
      <c r="H5" s="1"/>
      <c r="I5" s="1"/>
      <c r="J5" s="1"/>
      <c r="K5" s="1"/>
      <c r="L5" s="1"/>
      <c r="M5" s="1"/>
      <c r="N5" s="1"/>
    </row>
    <row r="6" spans="1:14">
      <c r="A6" s="4"/>
      <c r="B6" s="4"/>
      <c r="C6" s="4"/>
      <c r="D6" s="4"/>
      <c r="E6" s="4"/>
      <c r="F6" s="4"/>
      <c r="G6" s="4"/>
      <c r="H6" s="4"/>
      <c r="I6" s="4"/>
      <c r="J6" s="4"/>
      <c r="K6" s="4"/>
      <c r="L6" s="4"/>
      <c r="M6" s="4"/>
      <c r="N6" s="4"/>
    </row>
    <row r="7" spans="1:14" ht="46" customHeight="1">
      <c r="A7" s="6" t="s">
        <v>35</v>
      </c>
      <c r="B7" s="7" t="s">
        <v>36</v>
      </c>
      <c r="C7" s="7" t="s">
        <v>37</v>
      </c>
      <c r="D7" s="7" t="s">
        <v>38</v>
      </c>
      <c r="E7" s="7" t="s">
        <v>39</v>
      </c>
      <c r="F7" s="7" t="s">
        <v>44</v>
      </c>
      <c r="G7" s="7" t="s">
        <v>45</v>
      </c>
      <c r="H7" s="17" t="s">
        <v>46</v>
      </c>
      <c r="I7" s="17" t="s">
        <v>47</v>
      </c>
      <c r="J7" s="17" t="s">
        <v>48</v>
      </c>
      <c r="K7" s="17" t="s">
        <v>49</v>
      </c>
      <c r="L7" s="17" t="s">
        <v>50</v>
      </c>
      <c r="M7" s="17" t="s">
        <v>51</v>
      </c>
      <c r="N7" s="8" t="s">
        <v>52</v>
      </c>
    </row>
    <row r="8" spans="1:14" ht="125">
      <c r="A8" s="9" t="s">
        <v>109</v>
      </c>
      <c r="B8" s="13" t="s">
        <v>110</v>
      </c>
      <c r="C8" s="11">
        <v>45664</v>
      </c>
      <c r="D8" s="13" t="s">
        <v>111</v>
      </c>
      <c r="E8" s="11">
        <v>45782</v>
      </c>
      <c r="F8" s="9" t="s">
        <v>112</v>
      </c>
      <c r="G8" s="9" t="s">
        <v>113</v>
      </c>
      <c r="H8" s="18" t="s">
        <v>434</v>
      </c>
      <c r="I8" s="18" t="s">
        <v>441</v>
      </c>
      <c r="J8" s="18" t="s">
        <v>443</v>
      </c>
      <c r="K8" s="18"/>
      <c r="L8" s="18" t="s">
        <v>433</v>
      </c>
      <c r="M8" s="19">
        <v>46306</v>
      </c>
      <c r="N8" s="9" t="str">
        <f>IF(COUNTA(H8:M8)=0,"Chưa phản hồi",IF(AND(H8&lt;&gt;"",I8&lt;&gt;"",J8&lt;&gt;"",K8&lt;&gt;""),"Đủ trường phản hồi","Cần bổ sung"))</f>
        <v>Cần bổ sung</v>
      </c>
    </row>
    <row r="9" spans="1:14" ht="112.5">
      <c r="A9" s="10" t="s">
        <v>114</v>
      </c>
      <c r="B9" s="14" t="s">
        <v>115</v>
      </c>
      <c r="C9" s="12">
        <v>45671</v>
      </c>
      <c r="D9" s="14" t="s">
        <v>116</v>
      </c>
      <c r="E9" s="12">
        <v>45782</v>
      </c>
      <c r="F9" s="10" t="s">
        <v>112</v>
      </c>
      <c r="G9" s="10" t="s">
        <v>113</v>
      </c>
      <c r="H9" s="18" t="s">
        <v>434</v>
      </c>
      <c r="I9" s="18" t="s">
        <v>441</v>
      </c>
      <c r="J9" s="18" t="s">
        <v>442</v>
      </c>
      <c r="K9" s="18"/>
      <c r="L9" s="18" t="s">
        <v>433</v>
      </c>
      <c r="M9" s="19">
        <v>46306</v>
      </c>
      <c r="N9" s="9" t="str">
        <f>IF(COUNTA(H9:M9)=0,"Chưa phản hồi",IF(AND(H9&lt;&gt;"",I9&lt;&gt;"",J9&lt;&gt;"",K9&lt;&gt;""),"Đủ trường phản hồi","Cần bổ sung"))</f>
        <v>Cần bổ sung</v>
      </c>
    </row>
  </sheetData>
  <conditionalFormatting sqref="N8:N9">
    <cfRule type="containsText" dxfId="2" priority="1" operator="containsText" text="Cần bổ sung"/>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96B8A"/>
  </sheetPr>
  <dimension ref="A1:N12"/>
  <sheetViews>
    <sheetView showGridLines="0" workbookViewId="0">
      <pane xSplit="2" ySplit="7" topLeftCell="G9" activePane="bottomRight" state="frozen"/>
      <selection pane="topRight"/>
      <selection pane="bottomLeft"/>
      <selection pane="bottomRight" activeCell="H11" sqref="H11"/>
    </sheetView>
  </sheetViews>
  <sheetFormatPr defaultRowHeight="14"/>
  <cols>
    <col min="1" max="1" width="11" customWidth="1"/>
    <col min="2" max="2" width="25" customWidth="1"/>
    <col min="3" max="3" width="14" customWidth="1"/>
    <col min="4" max="4" width="25" customWidth="1"/>
    <col min="5" max="5" width="14" customWidth="1"/>
    <col min="6" max="7" width="30.5" customWidth="1"/>
    <col min="8" max="11" width="40" customWidth="1"/>
    <col min="12" max="12" width="21" customWidth="1"/>
    <col min="13" max="13" width="15" customWidth="1"/>
    <col min="14" max="14" width="25" customWidth="1"/>
  </cols>
  <sheetData>
    <row r="1" spans="1:14">
      <c r="A1" s="1"/>
      <c r="B1" s="1"/>
      <c r="C1" s="1"/>
      <c r="D1" s="1"/>
      <c r="E1" s="1"/>
      <c r="F1" s="1"/>
      <c r="G1" s="1"/>
      <c r="H1" s="1"/>
      <c r="I1" s="1"/>
      <c r="J1" s="1"/>
      <c r="K1" s="1"/>
      <c r="L1" s="1"/>
      <c r="M1" s="1"/>
      <c r="N1" s="1"/>
    </row>
    <row r="2" spans="1:14" ht="27" customHeight="1">
      <c r="A2" s="2" t="s">
        <v>20</v>
      </c>
      <c r="B2" s="1"/>
      <c r="C2" s="1"/>
      <c r="D2" s="1"/>
      <c r="E2" s="1"/>
      <c r="F2" s="1"/>
      <c r="G2" s="1"/>
      <c r="H2" s="1"/>
      <c r="I2" s="1"/>
      <c r="J2" s="1"/>
      <c r="K2" s="1"/>
      <c r="L2" s="1"/>
      <c r="M2" s="1"/>
      <c r="N2" s="1"/>
    </row>
    <row r="3" spans="1:14">
      <c r="A3" s="1" t="s">
        <v>1</v>
      </c>
      <c r="B3" s="3">
        <v>46306</v>
      </c>
      <c r="C3" s="1"/>
      <c r="D3" s="1"/>
      <c r="E3" s="1"/>
      <c r="F3" s="1"/>
      <c r="G3" s="1"/>
      <c r="H3" s="1"/>
      <c r="I3" s="1"/>
      <c r="J3" s="1"/>
      <c r="K3" s="1"/>
      <c r="L3" s="1"/>
      <c r="M3" s="1"/>
      <c r="N3" s="1"/>
    </row>
    <row r="4" spans="1:14">
      <c r="A4" s="5" t="s">
        <v>33</v>
      </c>
      <c r="B4" s="1"/>
      <c r="C4" s="1"/>
      <c r="D4" s="1"/>
      <c r="E4" s="1"/>
      <c r="F4" s="1"/>
      <c r="G4" s="1"/>
      <c r="H4" s="1"/>
      <c r="I4" s="1"/>
      <c r="J4" s="1"/>
      <c r="K4" s="1"/>
      <c r="L4" s="1"/>
      <c r="M4" s="1"/>
      <c r="N4" s="1"/>
    </row>
    <row r="5" spans="1:14">
      <c r="A5" s="5" t="s">
        <v>34</v>
      </c>
      <c r="B5" s="1"/>
      <c r="C5" s="1"/>
      <c r="D5" s="1"/>
      <c r="E5" s="1"/>
      <c r="F5" s="1"/>
      <c r="G5" s="1"/>
      <c r="H5" s="1"/>
      <c r="I5" s="1"/>
      <c r="J5" s="1"/>
      <c r="K5" s="1"/>
      <c r="L5" s="1"/>
      <c r="M5" s="1"/>
      <c r="N5" s="1"/>
    </row>
    <row r="6" spans="1:14">
      <c r="A6" s="4"/>
      <c r="B6" s="4"/>
      <c r="C6" s="4"/>
      <c r="D6" s="4"/>
      <c r="E6" s="4"/>
      <c r="F6" s="4"/>
      <c r="G6" s="4"/>
      <c r="H6" s="4"/>
      <c r="I6" s="4"/>
      <c r="J6" s="4"/>
      <c r="K6" s="4"/>
      <c r="L6" s="4"/>
      <c r="M6" s="4"/>
      <c r="N6" s="4"/>
    </row>
    <row r="7" spans="1:14" ht="46" customHeight="1">
      <c r="A7" s="6" t="s">
        <v>35</v>
      </c>
      <c r="B7" s="7" t="s">
        <v>36</v>
      </c>
      <c r="C7" s="7" t="s">
        <v>37</v>
      </c>
      <c r="D7" s="7" t="s">
        <v>38</v>
      </c>
      <c r="E7" s="7" t="s">
        <v>39</v>
      </c>
      <c r="F7" s="7" t="s">
        <v>44</v>
      </c>
      <c r="G7" s="7" t="s">
        <v>45</v>
      </c>
      <c r="H7" s="17" t="s">
        <v>46</v>
      </c>
      <c r="I7" s="17" t="s">
        <v>47</v>
      </c>
      <c r="J7" s="17" t="s">
        <v>48</v>
      </c>
      <c r="K7" s="17" t="s">
        <v>49</v>
      </c>
      <c r="L7" s="17" t="s">
        <v>50</v>
      </c>
      <c r="M7" s="17" t="s">
        <v>51</v>
      </c>
      <c r="N7" s="8" t="s">
        <v>52</v>
      </c>
    </row>
    <row r="8" spans="1:14" ht="72" customHeight="1">
      <c r="A8" s="9" t="s">
        <v>117</v>
      </c>
      <c r="B8" s="13" t="s">
        <v>118</v>
      </c>
      <c r="C8" s="11">
        <v>45814</v>
      </c>
      <c r="D8" s="13" t="s">
        <v>119</v>
      </c>
      <c r="E8" s="11">
        <v>45930</v>
      </c>
      <c r="F8" s="9" t="s">
        <v>120</v>
      </c>
      <c r="G8" s="9" t="s">
        <v>121</v>
      </c>
      <c r="H8" s="18" t="s">
        <v>434</v>
      </c>
      <c r="I8" s="18" t="s">
        <v>444</v>
      </c>
      <c r="J8" s="18" t="s">
        <v>445</v>
      </c>
      <c r="K8" s="18"/>
      <c r="L8" s="18"/>
      <c r="M8" s="19"/>
      <c r="N8" s="9" t="str">
        <f>IF(COUNTA(H8:M8)=0,"Chưa phản hồi",IF(AND(H8&lt;&gt;"",I8&lt;&gt;"",J8&lt;&gt;"",K8&lt;&gt;""),"Đủ trường phản hồi","Cần bổ sung"))</f>
        <v>Cần bổ sung</v>
      </c>
    </row>
    <row r="9" spans="1:14" ht="72" customHeight="1">
      <c r="A9" s="10" t="s">
        <v>122</v>
      </c>
      <c r="B9" s="14" t="s">
        <v>123</v>
      </c>
      <c r="C9" s="12">
        <v>45816</v>
      </c>
      <c r="D9" s="14" t="s">
        <v>124</v>
      </c>
      <c r="E9" s="12">
        <v>45930</v>
      </c>
      <c r="F9" s="10" t="s">
        <v>125</v>
      </c>
      <c r="G9" s="10" t="s">
        <v>126</v>
      </c>
      <c r="H9" s="18" t="s">
        <v>446</v>
      </c>
      <c r="I9" s="18" t="s">
        <v>447</v>
      </c>
      <c r="J9" s="18" t="s">
        <v>447</v>
      </c>
      <c r="K9" s="18"/>
      <c r="L9" s="18"/>
      <c r="M9" s="19"/>
      <c r="N9" s="9" t="str">
        <f>IF(COUNTA(H9:M9)=0,"Chưa phản hồi",IF(AND(H9&lt;&gt;"",I9&lt;&gt;"",J9&lt;&gt;"",K9&lt;&gt;""),"Đủ trường phản hồi","Cần bổ sung"))</f>
        <v>Cần bổ sung</v>
      </c>
    </row>
    <row r="10" spans="1:14" ht="72" customHeight="1">
      <c r="A10" s="9" t="s">
        <v>127</v>
      </c>
      <c r="B10" s="13" t="s">
        <v>128</v>
      </c>
      <c r="C10" s="11">
        <v>45820</v>
      </c>
      <c r="D10" s="13" t="s">
        <v>129</v>
      </c>
      <c r="E10" s="11">
        <v>45930</v>
      </c>
      <c r="F10" s="9" t="s">
        <v>130</v>
      </c>
      <c r="G10" s="9" t="s">
        <v>126</v>
      </c>
      <c r="H10" s="18" t="s">
        <v>446</v>
      </c>
      <c r="I10" s="18" t="s">
        <v>447</v>
      </c>
      <c r="J10" s="18" t="s">
        <v>447</v>
      </c>
      <c r="K10" s="18"/>
      <c r="L10" s="18"/>
      <c r="M10" s="19"/>
      <c r="N10" s="9" t="str">
        <f>IF(COUNTA(H10:M10)=0,"Chưa phản hồi",IF(AND(H10&lt;&gt;"",I10&lt;&gt;"",J10&lt;&gt;"",K10&lt;&gt;""),"Đủ trường phản hồi","Cần bổ sung"))</f>
        <v>Cần bổ sung</v>
      </c>
    </row>
    <row r="11" spans="1:14" ht="72" customHeight="1">
      <c r="A11" s="10" t="s">
        <v>131</v>
      </c>
      <c r="B11" s="14" t="s">
        <v>132</v>
      </c>
      <c r="C11" s="12">
        <v>45824</v>
      </c>
      <c r="D11" s="14" t="s">
        <v>133</v>
      </c>
      <c r="E11" s="12">
        <v>45930</v>
      </c>
      <c r="F11" s="10" t="s">
        <v>134</v>
      </c>
      <c r="G11" s="10" t="s">
        <v>121</v>
      </c>
      <c r="H11" s="18" t="s">
        <v>434</v>
      </c>
      <c r="I11" s="18" t="s">
        <v>448</v>
      </c>
      <c r="J11" s="18" t="s">
        <v>449</v>
      </c>
      <c r="K11" s="18"/>
      <c r="L11" s="18"/>
      <c r="M11" s="19"/>
      <c r="N11" s="9" t="str">
        <f>IF(COUNTA(H11:M11)=0,"Chưa phản hồi",IF(AND(H11&lt;&gt;"",I11&lt;&gt;"",J11&lt;&gt;"",K11&lt;&gt;""),"Đủ trường phản hồi","Cần bổ sung"))</f>
        <v>Cần bổ sung</v>
      </c>
    </row>
    <row r="12" spans="1:14" ht="87.5">
      <c r="A12" s="9" t="s">
        <v>135</v>
      </c>
      <c r="B12" s="13" t="s">
        <v>136</v>
      </c>
      <c r="C12" s="11">
        <v>45830</v>
      </c>
      <c r="D12" s="13" t="s">
        <v>137</v>
      </c>
      <c r="E12" s="11">
        <v>45930</v>
      </c>
      <c r="F12" s="9" t="s">
        <v>125</v>
      </c>
      <c r="G12" s="9" t="s">
        <v>126</v>
      </c>
      <c r="H12" s="18" t="s">
        <v>446</v>
      </c>
      <c r="I12" s="18" t="s">
        <v>447</v>
      </c>
      <c r="J12" s="18" t="s">
        <v>447</v>
      </c>
      <c r="K12" s="18"/>
      <c r="L12" s="18"/>
      <c r="M12" s="19"/>
      <c r="N12" s="9" t="str">
        <f>IF(COUNTA(H12:M12)=0,"Chưa phản hồi",IF(AND(H12&lt;&gt;"",I12&lt;&gt;"",J12&lt;&gt;"",K12&lt;&gt;""),"Đủ trường phản hồi","Cần bổ sung"))</f>
        <v>Cần bổ sung</v>
      </c>
    </row>
  </sheetData>
  <conditionalFormatting sqref="N8:N12">
    <cfRule type="containsText" dxfId="1" priority="1" operator="containsText" text="Cần bổ sung"/>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96B8A"/>
  </sheetPr>
  <dimension ref="A1:N13"/>
  <sheetViews>
    <sheetView showGridLines="0" workbookViewId="0">
      <pane xSplit="2" ySplit="7" topLeftCell="C8" activePane="bottomRight" state="frozen"/>
      <selection pane="topRight"/>
      <selection pane="bottomLeft"/>
      <selection pane="bottomRight" activeCell="I7" sqref="I7"/>
    </sheetView>
  </sheetViews>
  <sheetFormatPr defaultRowHeight="14"/>
  <cols>
    <col min="1" max="1" width="11" customWidth="1"/>
    <col min="2" max="2" width="18.1640625" customWidth="1"/>
    <col min="3" max="3" width="14" customWidth="1"/>
    <col min="4" max="4" width="16.9140625" customWidth="1"/>
    <col min="5" max="5" width="14" customWidth="1"/>
    <col min="6" max="7" width="29.33203125" customWidth="1"/>
    <col min="8" max="8" width="21.58203125" customWidth="1"/>
    <col min="9" max="10" width="30.9140625" customWidth="1"/>
    <col min="11" max="11" width="40" customWidth="1"/>
    <col min="12" max="12" width="21" customWidth="1"/>
    <col min="13" max="13" width="15" customWidth="1"/>
    <col min="14" max="14" width="25" customWidth="1"/>
  </cols>
  <sheetData>
    <row r="1" spans="1:14">
      <c r="A1" s="1"/>
      <c r="B1" s="1"/>
      <c r="C1" s="1"/>
      <c r="D1" s="1"/>
      <c r="E1" s="1"/>
      <c r="F1" s="1"/>
      <c r="G1" s="1"/>
      <c r="H1" s="1"/>
      <c r="I1" s="1"/>
      <c r="J1" s="1"/>
      <c r="K1" s="1"/>
      <c r="L1" s="1"/>
      <c r="M1" s="1"/>
      <c r="N1" s="1"/>
    </row>
    <row r="2" spans="1:14" ht="27" customHeight="1">
      <c r="A2" s="2" t="s">
        <v>23</v>
      </c>
      <c r="B2" s="1"/>
      <c r="C2" s="1"/>
      <c r="D2" s="1"/>
      <c r="E2" s="1"/>
      <c r="F2" s="1"/>
      <c r="G2" s="1"/>
      <c r="H2" s="1"/>
      <c r="I2" s="1"/>
      <c r="J2" s="1"/>
      <c r="K2" s="1"/>
      <c r="L2" s="1"/>
      <c r="M2" s="1"/>
      <c r="N2" s="1"/>
    </row>
    <row r="3" spans="1:14">
      <c r="A3" s="1" t="s">
        <v>1</v>
      </c>
      <c r="B3" s="3">
        <v>46306</v>
      </c>
      <c r="C3" s="1"/>
      <c r="D3" s="1"/>
      <c r="E3" s="1"/>
      <c r="F3" s="1"/>
      <c r="G3" s="1"/>
      <c r="H3" s="1"/>
      <c r="I3" s="1"/>
      <c r="J3" s="1"/>
      <c r="K3" s="1"/>
      <c r="L3" s="1"/>
      <c r="M3" s="1"/>
      <c r="N3" s="1"/>
    </row>
    <row r="4" spans="1:14">
      <c r="A4" s="5" t="s">
        <v>33</v>
      </c>
      <c r="B4" s="1"/>
      <c r="C4" s="1"/>
      <c r="D4" s="1"/>
      <c r="E4" s="1"/>
      <c r="F4" s="1"/>
      <c r="G4" s="1"/>
      <c r="H4" s="1"/>
      <c r="I4" s="1"/>
      <c r="J4" s="1"/>
      <c r="K4" s="1"/>
      <c r="L4" s="1"/>
      <c r="M4" s="1"/>
      <c r="N4" s="1"/>
    </row>
    <row r="5" spans="1:14">
      <c r="A5" s="5" t="s">
        <v>34</v>
      </c>
      <c r="B5" s="1"/>
      <c r="C5" s="1"/>
      <c r="D5" s="1"/>
      <c r="E5" s="1"/>
      <c r="F5" s="1"/>
      <c r="G5" s="1"/>
      <c r="H5" s="1"/>
      <c r="I5" s="1"/>
      <c r="J5" s="1"/>
      <c r="K5" s="1"/>
      <c r="L5" s="1"/>
      <c r="M5" s="1"/>
      <c r="N5" s="1"/>
    </row>
    <row r="6" spans="1:14">
      <c r="A6" s="4"/>
      <c r="B6" s="4"/>
      <c r="C6" s="4"/>
      <c r="D6" s="4"/>
      <c r="E6" s="4"/>
      <c r="F6" s="4"/>
      <c r="G6" s="4"/>
      <c r="H6" s="4"/>
      <c r="I6" s="4"/>
      <c r="J6" s="4"/>
      <c r="K6" s="4"/>
      <c r="L6" s="4"/>
      <c r="M6" s="4"/>
      <c r="N6" s="4"/>
    </row>
    <row r="7" spans="1:14" ht="46" customHeight="1">
      <c r="A7" s="6" t="s">
        <v>35</v>
      </c>
      <c r="B7" s="7" t="s">
        <v>36</v>
      </c>
      <c r="C7" s="7" t="s">
        <v>37</v>
      </c>
      <c r="D7" s="7" t="s">
        <v>38</v>
      </c>
      <c r="E7" s="7" t="s">
        <v>39</v>
      </c>
      <c r="F7" s="7" t="s">
        <v>44</v>
      </c>
      <c r="G7" s="7" t="s">
        <v>45</v>
      </c>
      <c r="H7" s="17" t="s">
        <v>46</v>
      </c>
      <c r="I7" s="17" t="s">
        <v>47</v>
      </c>
      <c r="J7" s="17" t="s">
        <v>48</v>
      </c>
      <c r="K7" s="17" t="s">
        <v>49</v>
      </c>
      <c r="L7" s="17" t="s">
        <v>50</v>
      </c>
      <c r="M7" s="17" t="s">
        <v>51</v>
      </c>
      <c r="N7" s="8" t="s">
        <v>52</v>
      </c>
    </row>
    <row r="8" spans="1:14" ht="75">
      <c r="A8" s="9" t="s">
        <v>138</v>
      </c>
      <c r="B8" s="13" t="s">
        <v>139</v>
      </c>
      <c r="C8" s="11">
        <v>45803</v>
      </c>
      <c r="D8" s="13" t="s">
        <v>140</v>
      </c>
      <c r="E8" s="11">
        <v>45885</v>
      </c>
      <c r="F8" s="9" t="s">
        <v>141</v>
      </c>
      <c r="G8" s="9" t="s">
        <v>142</v>
      </c>
      <c r="H8" s="18" t="s">
        <v>450</v>
      </c>
      <c r="I8" s="18" t="s">
        <v>454</v>
      </c>
      <c r="J8" s="18" t="s">
        <v>451</v>
      </c>
      <c r="K8" s="18"/>
      <c r="L8" s="18" t="s">
        <v>433</v>
      </c>
      <c r="M8" s="19">
        <v>46306</v>
      </c>
      <c r="N8" s="9" t="str">
        <f t="shared" ref="N8:N13" si="0">IF(COUNTA(H8:M8)=0,"Chưa phản hồi",IF(AND(H8&lt;&gt;"",I8&lt;&gt;"",J8&lt;&gt;"",K8&lt;&gt;""),"Đủ trường phản hồi","Cần bổ sung"))</f>
        <v>Cần bổ sung</v>
      </c>
    </row>
    <row r="9" spans="1:14" ht="100">
      <c r="A9" s="10" t="s">
        <v>143</v>
      </c>
      <c r="B9" s="14" t="s">
        <v>144</v>
      </c>
      <c r="C9" s="12">
        <v>45803</v>
      </c>
      <c r="D9" s="14" t="s">
        <v>145</v>
      </c>
      <c r="E9" s="12">
        <v>45926</v>
      </c>
      <c r="F9" s="10" t="s">
        <v>146</v>
      </c>
      <c r="G9" s="10" t="s">
        <v>147</v>
      </c>
      <c r="H9" s="18" t="s">
        <v>452</v>
      </c>
      <c r="I9" s="18" t="s">
        <v>458</v>
      </c>
      <c r="J9" s="18" t="s">
        <v>453</v>
      </c>
      <c r="K9" s="18"/>
      <c r="L9" s="18" t="s">
        <v>433</v>
      </c>
      <c r="M9" s="19">
        <v>46306</v>
      </c>
      <c r="N9" s="9" t="str">
        <f t="shared" si="0"/>
        <v>Cần bổ sung</v>
      </c>
    </row>
    <row r="10" spans="1:14" ht="125">
      <c r="A10" s="9" t="s">
        <v>148</v>
      </c>
      <c r="B10" s="13" t="s">
        <v>149</v>
      </c>
      <c r="C10" s="11">
        <v>45812</v>
      </c>
      <c r="D10" s="13" t="s">
        <v>150</v>
      </c>
      <c r="E10" s="11">
        <v>45926</v>
      </c>
      <c r="F10" s="9" t="s">
        <v>151</v>
      </c>
      <c r="G10" s="9" t="s">
        <v>147</v>
      </c>
      <c r="H10" s="18" t="s">
        <v>462</v>
      </c>
      <c r="I10" s="18" t="s">
        <v>459</v>
      </c>
      <c r="J10" s="18" t="s">
        <v>455</v>
      </c>
      <c r="K10" s="18"/>
      <c r="L10" s="18" t="s">
        <v>433</v>
      </c>
      <c r="M10" s="19">
        <v>46306</v>
      </c>
      <c r="N10" s="9" t="str">
        <f t="shared" si="0"/>
        <v>Cần bổ sung</v>
      </c>
    </row>
    <row r="11" spans="1:14" ht="125">
      <c r="A11" s="10" t="s">
        <v>152</v>
      </c>
      <c r="B11" s="14" t="s">
        <v>153</v>
      </c>
      <c r="C11" s="12">
        <v>45816</v>
      </c>
      <c r="D11" s="14" t="s">
        <v>154</v>
      </c>
      <c r="E11" s="12">
        <v>45926</v>
      </c>
      <c r="F11" s="10" t="s">
        <v>151</v>
      </c>
      <c r="G11" s="10" t="s">
        <v>147</v>
      </c>
      <c r="H11" s="18" t="s">
        <v>463</v>
      </c>
      <c r="I11" s="18" t="s">
        <v>460</v>
      </c>
      <c r="J11" s="18" t="s">
        <v>456</v>
      </c>
      <c r="K11" s="18"/>
      <c r="L11" s="18" t="s">
        <v>433</v>
      </c>
      <c r="M11" s="19">
        <v>46306</v>
      </c>
      <c r="N11" s="9" t="str">
        <f t="shared" si="0"/>
        <v>Cần bổ sung</v>
      </c>
    </row>
    <row r="12" spans="1:14" ht="125">
      <c r="A12" s="9" t="s">
        <v>155</v>
      </c>
      <c r="B12" s="13" t="s">
        <v>156</v>
      </c>
      <c r="C12" s="11">
        <v>45822</v>
      </c>
      <c r="D12" s="13" t="s">
        <v>157</v>
      </c>
      <c r="E12" s="11">
        <v>45926</v>
      </c>
      <c r="F12" s="9" t="s">
        <v>151</v>
      </c>
      <c r="G12" s="9" t="s">
        <v>147</v>
      </c>
      <c r="H12" s="18" t="s">
        <v>464</v>
      </c>
      <c r="I12" s="18" t="s">
        <v>461</v>
      </c>
      <c r="J12" s="18" t="s">
        <v>457</v>
      </c>
      <c r="K12" s="18"/>
      <c r="L12" s="18" t="s">
        <v>433</v>
      </c>
      <c r="M12" s="19">
        <v>46306</v>
      </c>
      <c r="N12" s="9" t="str">
        <f t="shared" si="0"/>
        <v>Cần bổ sung</v>
      </c>
    </row>
    <row r="13" spans="1:14" ht="125">
      <c r="A13" s="10" t="s">
        <v>158</v>
      </c>
      <c r="B13" s="14" t="s">
        <v>159</v>
      </c>
      <c r="C13" s="12">
        <v>45824</v>
      </c>
      <c r="D13" s="14" t="s">
        <v>160</v>
      </c>
      <c r="E13" s="12">
        <v>45926</v>
      </c>
      <c r="F13" s="10" t="s">
        <v>151</v>
      </c>
      <c r="G13" s="10" t="s">
        <v>147</v>
      </c>
      <c r="H13" s="18" t="s">
        <v>465</v>
      </c>
      <c r="I13" s="18" t="s">
        <v>460</v>
      </c>
      <c r="J13" s="18" t="s">
        <v>456</v>
      </c>
      <c r="K13" s="18"/>
      <c r="L13" s="18" t="s">
        <v>433</v>
      </c>
      <c r="M13" s="19">
        <v>46306</v>
      </c>
      <c r="N13" s="9" t="str">
        <f t="shared" si="0"/>
        <v>Cần bổ sung</v>
      </c>
    </row>
  </sheetData>
  <conditionalFormatting sqref="N8:N13">
    <cfRule type="containsText" dxfId="0" priority="1" operator="containsText" text="Cần bổ sung"/>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88594"/>
  </sheetPr>
  <dimension ref="A1:H14"/>
  <sheetViews>
    <sheetView showGridLines="0" workbookViewId="0">
      <pane xSplit="2" ySplit="7" topLeftCell="F8" activePane="bottomRight" state="frozen"/>
      <selection pane="topRight"/>
      <selection pane="bottomLeft"/>
      <selection pane="bottomRight" activeCell="H8" sqref="H8"/>
    </sheetView>
  </sheetViews>
  <sheetFormatPr defaultRowHeight="14"/>
  <cols>
    <col min="1" max="1" width="11" customWidth="1"/>
    <col min="2" max="2" width="25" customWidth="1"/>
    <col min="3" max="3" width="14" customWidth="1"/>
    <col min="4" max="4" width="25" customWidth="1"/>
    <col min="5" max="5" width="14" customWidth="1"/>
    <col min="6" max="6" width="70" customWidth="1"/>
    <col min="7" max="7" width="65" customWidth="1"/>
    <col min="8" max="8" width="25.83203125" style="28" customWidth="1"/>
  </cols>
  <sheetData>
    <row r="1" spans="1:8">
      <c r="A1" s="1"/>
      <c r="B1" s="1"/>
      <c r="C1" s="1"/>
      <c r="D1" s="1"/>
      <c r="E1" s="1"/>
      <c r="F1" s="1"/>
      <c r="G1" s="1"/>
    </row>
    <row r="2" spans="1:8" ht="27" customHeight="1">
      <c r="A2" s="2" t="s">
        <v>161</v>
      </c>
      <c r="B2" s="1"/>
      <c r="C2" s="1"/>
      <c r="D2" s="1"/>
      <c r="E2" s="1"/>
      <c r="F2" s="1"/>
      <c r="G2" s="1"/>
    </row>
    <row r="3" spans="1:8">
      <c r="A3" s="1" t="s">
        <v>1</v>
      </c>
      <c r="B3" s="3">
        <v>46306</v>
      </c>
      <c r="C3" s="1"/>
      <c r="D3" s="1"/>
      <c r="E3" s="1"/>
      <c r="F3" s="1"/>
      <c r="G3" s="1"/>
    </row>
    <row r="4" spans="1:8">
      <c r="A4" s="1" t="s">
        <v>162</v>
      </c>
      <c r="B4" s="1"/>
      <c r="C4" s="1"/>
      <c r="D4" s="1"/>
      <c r="E4" s="1"/>
      <c r="F4" s="1"/>
      <c r="G4" s="1"/>
    </row>
    <row r="5" spans="1:8">
      <c r="A5" s="1"/>
      <c r="B5" s="1"/>
      <c r="C5" s="1"/>
      <c r="D5" s="1"/>
      <c r="E5" s="1"/>
      <c r="F5" s="1"/>
      <c r="G5" s="1"/>
    </row>
    <row r="6" spans="1:8">
      <c r="A6" s="4"/>
      <c r="B6" s="4"/>
      <c r="C6" s="4"/>
      <c r="D6" s="4"/>
      <c r="E6" s="4"/>
      <c r="F6" s="4"/>
      <c r="G6" s="4"/>
    </row>
    <row r="7" spans="1:8" ht="46" customHeight="1">
      <c r="A7" s="6" t="s">
        <v>35</v>
      </c>
      <c r="B7" s="7" t="s">
        <v>36</v>
      </c>
      <c r="C7" s="7" t="s">
        <v>37</v>
      </c>
      <c r="D7" s="7" t="s">
        <v>38</v>
      </c>
      <c r="E7" s="7" t="s">
        <v>39</v>
      </c>
      <c r="F7" s="7" t="s">
        <v>163</v>
      </c>
      <c r="G7" s="8" t="s">
        <v>164</v>
      </c>
      <c r="H7" s="17" t="s">
        <v>47</v>
      </c>
    </row>
    <row r="8" spans="1:8" ht="72" customHeight="1">
      <c r="A8" s="9" t="s">
        <v>165</v>
      </c>
      <c r="B8" s="9" t="s">
        <v>166</v>
      </c>
      <c r="C8" s="11">
        <v>45301</v>
      </c>
      <c r="D8" s="9" t="s">
        <v>167</v>
      </c>
      <c r="E8" s="11">
        <v>45773</v>
      </c>
      <c r="F8" s="9" t="s">
        <v>168</v>
      </c>
      <c r="G8" s="9" t="s">
        <v>169</v>
      </c>
      <c r="H8" s="28" t="s">
        <v>466</v>
      </c>
    </row>
    <row r="9" spans="1:8" ht="72" customHeight="1">
      <c r="A9" s="10" t="s">
        <v>170</v>
      </c>
      <c r="B9" s="10" t="s">
        <v>171</v>
      </c>
      <c r="C9" s="12">
        <v>45565</v>
      </c>
      <c r="D9" s="10" t="s">
        <v>172</v>
      </c>
      <c r="E9" s="12">
        <v>45807</v>
      </c>
      <c r="F9" s="10" t="s">
        <v>173</v>
      </c>
      <c r="G9" s="10" t="s">
        <v>174</v>
      </c>
      <c r="H9" s="28" t="s">
        <v>466</v>
      </c>
    </row>
    <row r="10" spans="1:8" ht="72" customHeight="1">
      <c r="A10" s="9" t="s">
        <v>175</v>
      </c>
      <c r="B10" s="9" t="s">
        <v>176</v>
      </c>
      <c r="C10" s="11">
        <v>45611</v>
      </c>
      <c r="D10" s="9" t="s">
        <v>177</v>
      </c>
      <c r="E10" s="11">
        <v>45807</v>
      </c>
      <c r="F10" s="9" t="s">
        <v>178</v>
      </c>
      <c r="G10" s="9" t="s">
        <v>179</v>
      </c>
      <c r="H10" s="28" t="s">
        <v>466</v>
      </c>
    </row>
    <row r="11" spans="1:8" ht="72" customHeight="1">
      <c r="A11" s="10" t="s">
        <v>180</v>
      </c>
      <c r="B11" s="10" t="s">
        <v>181</v>
      </c>
      <c r="C11" s="12">
        <v>45804</v>
      </c>
      <c r="D11" s="10" t="s">
        <v>182</v>
      </c>
      <c r="E11" s="12">
        <v>45825</v>
      </c>
      <c r="F11" s="10" t="s">
        <v>183</v>
      </c>
      <c r="G11" s="10" t="s">
        <v>184</v>
      </c>
      <c r="H11" s="28" t="s">
        <v>466</v>
      </c>
    </row>
    <row r="12" spans="1:8" ht="72" customHeight="1">
      <c r="A12" s="9" t="s">
        <v>185</v>
      </c>
      <c r="B12" s="9" t="s">
        <v>186</v>
      </c>
      <c r="C12" s="11">
        <v>45807</v>
      </c>
      <c r="D12" s="9" t="s">
        <v>187</v>
      </c>
      <c r="E12" s="11">
        <v>45817</v>
      </c>
      <c r="F12" s="9" t="s">
        <v>183</v>
      </c>
      <c r="G12" s="9" t="s">
        <v>184</v>
      </c>
      <c r="H12" s="28" t="s">
        <v>466</v>
      </c>
    </row>
    <row r="13" spans="1:8" ht="72" customHeight="1">
      <c r="A13" s="10" t="s">
        <v>188</v>
      </c>
      <c r="B13" s="10" t="s">
        <v>189</v>
      </c>
      <c r="C13" s="12">
        <v>45807</v>
      </c>
      <c r="D13" s="10" t="s">
        <v>190</v>
      </c>
      <c r="E13" s="12">
        <v>45817</v>
      </c>
      <c r="F13" s="10" t="s">
        <v>183</v>
      </c>
      <c r="G13" s="10" t="s">
        <v>184</v>
      </c>
      <c r="H13" s="28" t="s">
        <v>466</v>
      </c>
    </row>
    <row r="14" spans="1:8" ht="72" customHeight="1">
      <c r="A14" s="9" t="s">
        <v>191</v>
      </c>
      <c r="B14" s="9" t="s">
        <v>192</v>
      </c>
      <c r="C14" s="11">
        <v>45836</v>
      </c>
      <c r="D14" s="9" t="s">
        <v>193</v>
      </c>
      <c r="E14" s="11">
        <v>45837</v>
      </c>
      <c r="F14" s="9" t="s">
        <v>194</v>
      </c>
      <c r="G14" s="9" t="s">
        <v>184</v>
      </c>
      <c r="H14" s="28" t="s">
        <v>467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74"/>
  <sheetViews>
    <sheetView showGridLines="0" tabSelected="1" workbookViewId="0">
      <pane xSplit="2" ySplit="7" topLeftCell="C8" activePane="bottomRight" state="frozen"/>
      <selection pane="topRight"/>
      <selection pane="bottomLeft"/>
      <selection pane="bottomRight" activeCell="H9" sqref="H9"/>
    </sheetView>
  </sheetViews>
  <sheetFormatPr defaultRowHeight="14"/>
  <cols>
    <col min="1" max="1" width="11" customWidth="1"/>
    <col min="2" max="3" width="25" customWidth="1"/>
    <col min="4" max="4" width="15" customWidth="1"/>
    <col min="5" max="5" width="17" customWidth="1"/>
    <col min="6" max="6" width="15" customWidth="1"/>
    <col min="7" max="7" width="20" customWidth="1"/>
    <col min="8" max="8" width="19" customWidth="1"/>
    <col min="9" max="9" width="22" customWidth="1"/>
    <col min="10" max="10" width="20" customWidth="1"/>
    <col min="11" max="11" width="19" customWidth="1"/>
    <col min="12" max="12" width="22" customWidth="1"/>
    <col min="13" max="13" width="85" customWidth="1"/>
    <col min="14" max="14" width="65" customWidth="1"/>
    <col min="15" max="15" width="37" customWidth="1"/>
    <col min="16" max="16" width="55" customWidth="1"/>
  </cols>
  <sheetData>
    <row r="1" spans="1:16">
      <c r="A1" s="1"/>
      <c r="B1" s="1"/>
      <c r="C1" s="1"/>
      <c r="D1" s="1"/>
      <c r="E1" s="1"/>
      <c r="F1" s="1"/>
      <c r="G1" s="1"/>
      <c r="H1" s="1"/>
      <c r="I1" s="1"/>
      <c r="J1" s="1"/>
      <c r="K1" s="1"/>
      <c r="L1" s="1"/>
      <c r="M1" s="1"/>
      <c r="N1" s="1"/>
      <c r="O1" s="1"/>
      <c r="P1" s="1"/>
    </row>
    <row r="2" spans="1:16" ht="27" customHeight="1">
      <c r="A2" s="2" t="s">
        <v>195</v>
      </c>
      <c r="B2" s="1"/>
      <c r="C2" s="1"/>
      <c r="D2" s="1"/>
      <c r="E2" s="1"/>
      <c r="F2" s="1"/>
      <c r="G2" s="1"/>
      <c r="H2" s="1"/>
      <c r="I2" s="1"/>
      <c r="J2" s="1"/>
      <c r="K2" s="1"/>
      <c r="L2" s="1"/>
      <c r="M2" s="1"/>
      <c r="N2" s="1"/>
      <c r="O2" s="1"/>
      <c r="P2" s="1"/>
    </row>
    <row r="3" spans="1:16">
      <c r="A3" s="1" t="s">
        <v>1</v>
      </c>
      <c r="B3" s="3">
        <v>46306</v>
      </c>
      <c r="C3" s="1"/>
      <c r="D3" s="1"/>
      <c r="E3" s="1"/>
      <c r="F3" s="1"/>
      <c r="G3" s="1"/>
      <c r="H3" s="1"/>
      <c r="I3" s="1"/>
      <c r="J3" s="1"/>
      <c r="K3" s="1"/>
      <c r="L3" s="1"/>
      <c r="M3" s="1"/>
      <c r="N3" s="1"/>
      <c r="O3" s="1"/>
      <c r="P3" s="1"/>
    </row>
    <row r="4" spans="1:16">
      <c r="A4" s="1" t="s">
        <v>196</v>
      </c>
      <c r="B4" s="1"/>
      <c r="C4" s="1"/>
      <c r="D4" s="1"/>
      <c r="E4" s="1"/>
      <c r="F4" s="1"/>
      <c r="G4" s="1"/>
      <c r="H4" s="1"/>
      <c r="I4" s="1"/>
      <c r="J4" s="1"/>
      <c r="K4" s="1"/>
      <c r="L4" s="1"/>
      <c r="M4" s="1"/>
      <c r="N4" s="1"/>
      <c r="O4" s="1"/>
      <c r="P4" s="1"/>
    </row>
    <row r="5" spans="1:16">
      <c r="A5" s="1" t="s">
        <v>197</v>
      </c>
      <c r="B5" s="1"/>
      <c r="C5" s="1"/>
      <c r="D5" s="1"/>
      <c r="E5" s="1"/>
      <c r="F5" s="1"/>
      <c r="G5" s="1"/>
      <c r="H5" s="1"/>
      <c r="I5" s="1"/>
      <c r="J5" s="1"/>
      <c r="K5" s="1"/>
      <c r="L5" s="1"/>
      <c r="M5" s="1"/>
      <c r="N5" s="1"/>
      <c r="O5" s="1"/>
      <c r="P5" s="1"/>
    </row>
    <row r="6" spans="1:16">
      <c r="A6" s="4"/>
      <c r="B6" s="4"/>
      <c r="C6" s="4"/>
      <c r="D6" s="4"/>
      <c r="E6" s="4"/>
      <c r="F6" s="4"/>
      <c r="G6" s="4"/>
      <c r="H6" s="4"/>
      <c r="I6" s="4"/>
      <c r="J6" s="4"/>
      <c r="K6" s="4"/>
      <c r="L6" s="4"/>
      <c r="M6" s="4"/>
      <c r="N6" s="4"/>
      <c r="O6" s="4"/>
      <c r="P6" s="4"/>
    </row>
    <row r="7" spans="1:16" ht="46" customHeight="1">
      <c r="A7" s="6" t="s">
        <v>35</v>
      </c>
      <c r="B7" s="7" t="s">
        <v>198</v>
      </c>
      <c r="C7" s="7" t="s">
        <v>199</v>
      </c>
      <c r="D7" s="7" t="s">
        <v>200</v>
      </c>
      <c r="E7" s="7" t="s">
        <v>201</v>
      </c>
      <c r="F7" s="7" t="s">
        <v>202</v>
      </c>
      <c r="G7" s="7" t="s">
        <v>203</v>
      </c>
      <c r="H7" s="7" t="s">
        <v>204</v>
      </c>
      <c r="I7" s="7" t="s">
        <v>205</v>
      </c>
      <c r="J7" s="7" t="s">
        <v>40</v>
      </c>
      <c r="K7" s="7" t="s">
        <v>41</v>
      </c>
      <c r="L7" s="7" t="s">
        <v>42</v>
      </c>
      <c r="M7" s="7" t="s">
        <v>206</v>
      </c>
      <c r="N7" s="7" t="s">
        <v>207</v>
      </c>
      <c r="O7" s="7" t="s">
        <v>208</v>
      </c>
      <c r="P7" s="8" t="s">
        <v>209</v>
      </c>
    </row>
    <row r="8" spans="1:16" ht="72" customHeight="1">
      <c r="A8" s="9" t="s">
        <v>53</v>
      </c>
      <c r="B8" s="9" t="s">
        <v>210</v>
      </c>
      <c r="C8" s="9" t="s">
        <v>36</v>
      </c>
      <c r="D8" s="9" t="s">
        <v>211</v>
      </c>
      <c r="E8" s="13" t="s">
        <v>212</v>
      </c>
      <c r="F8" s="11">
        <v>45716</v>
      </c>
      <c r="G8" s="15">
        <v>412037</v>
      </c>
      <c r="H8" s="15">
        <v>32963</v>
      </c>
      <c r="I8" s="15">
        <v>445000</v>
      </c>
      <c r="J8" s="15"/>
      <c r="K8" s="15"/>
      <c r="L8" s="15"/>
      <c r="M8" s="9"/>
      <c r="N8" s="9" t="s">
        <v>213</v>
      </c>
      <c r="O8" s="9"/>
      <c r="P8" s="9" t="s">
        <v>214</v>
      </c>
    </row>
    <row r="9" spans="1:16" ht="72" customHeight="1">
      <c r="A9" s="10" t="s">
        <v>53</v>
      </c>
      <c r="B9" s="10" t="s">
        <v>210</v>
      </c>
      <c r="C9" s="10" t="s">
        <v>215</v>
      </c>
      <c r="D9" s="10" t="s">
        <v>211</v>
      </c>
      <c r="E9" s="14" t="s">
        <v>216</v>
      </c>
      <c r="F9" s="12">
        <v>45782</v>
      </c>
      <c r="G9" s="16">
        <v>-381481</v>
      </c>
      <c r="H9" s="16">
        <v>-30518</v>
      </c>
      <c r="I9" s="16">
        <v>411999</v>
      </c>
      <c r="J9" s="16">
        <v>-381481</v>
      </c>
      <c r="K9" s="16">
        <v>-30518</v>
      </c>
      <c r="L9" s="16">
        <v>411999</v>
      </c>
      <c r="M9" s="10" t="s">
        <v>217</v>
      </c>
      <c r="N9" s="10" t="s">
        <v>218</v>
      </c>
      <c r="O9" s="10" t="s">
        <v>219</v>
      </c>
      <c r="P9" s="10" t="s">
        <v>220</v>
      </c>
    </row>
    <row r="10" spans="1:16" ht="72" customHeight="1">
      <c r="A10" s="9" t="s">
        <v>58</v>
      </c>
      <c r="B10" s="9" t="s">
        <v>210</v>
      </c>
      <c r="C10" s="9" t="s">
        <v>36</v>
      </c>
      <c r="D10" s="9" t="s">
        <v>211</v>
      </c>
      <c r="E10" s="13" t="s">
        <v>221</v>
      </c>
      <c r="F10" s="11">
        <v>45684</v>
      </c>
      <c r="G10" s="15">
        <v>2264222</v>
      </c>
      <c r="H10" s="15">
        <v>181138</v>
      </c>
      <c r="I10" s="15">
        <v>2445360</v>
      </c>
      <c r="J10" s="15"/>
      <c r="K10" s="15"/>
      <c r="L10" s="15"/>
      <c r="M10" s="9"/>
      <c r="N10" s="9" t="s">
        <v>222</v>
      </c>
      <c r="O10" s="9"/>
      <c r="P10" s="9" t="s">
        <v>214</v>
      </c>
    </row>
    <row r="11" spans="1:16" ht="72" customHeight="1">
      <c r="A11" s="10" t="s">
        <v>58</v>
      </c>
      <c r="B11" s="10" t="s">
        <v>210</v>
      </c>
      <c r="C11" s="10" t="s">
        <v>215</v>
      </c>
      <c r="D11" s="10" t="s">
        <v>211</v>
      </c>
      <c r="E11" s="14" t="s">
        <v>223</v>
      </c>
      <c r="F11" s="12">
        <v>45781</v>
      </c>
      <c r="G11" s="16">
        <v>196889</v>
      </c>
      <c r="H11" s="16">
        <v>151751</v>
      </c>
      <c r="I11" s="16">
        <v>212640</v>
      </c>
      <c r="J11" s="16">
        <v>196889</v>
      </c>
      <c r="K11" s="16">
        <v>151751</v>
      </c>
      <c r="L11" s="16">
        <v>212640</v>
      </c>
      <c r="M11" s="10" t="s">
        <v>224</v>
      </c>
      <c r="N11" s="10" t="s">
        <v>225</v>
      </c>
      <c r="O11" s="10" t="s">
        <v>226</v>
      </c>
      <c r="P11" s="10" t="s">
        <v>220</v>
      </c>
    </row>
    <row r="12" spans="1:16" ht="72" customHeight="1">
      <c r="A12" s="9" t="s">
        <v>62</v>
      </c>
      <c r="B12" s="9" t="s">
        <v>210</v>
      </c>
      <c r="C12" s="9" t="s">
        <v>36</v>
      </c>
      <c r="D12" s="9" t="s">
        <v>227</v>
      </c>
      <c r="E12" s="13" t="s">
        <v>228</v>
      </c>
      <c r="F12" s="11">
        <v>45457</v>
      </c>
      <c r="G12" s="15">
        <v>90142915</v>
      </c>
      <c r="H12" s="15">
        <v>7211433</v>
      </c>
      <c r="I12" s="15">
        <v>97354348</v>
      </c>
      <c r="J12" s="15"/>
      <c r="K12" s="15"/>
      <c r="L12" s="15"/>
      <c r="M12" s="9"/>
      <c r="N12" s="9" t="s">
        <v>229</v>
      </c>
      <c r="O12" s="9"/>
      <c r="P12" s="9" t="s">
        <v>214</v>
      </c>
    </row>
    <row r="13" spans="1:16" ht="72" customHeight="1">
      <c r="A13" s="10" t="s">
        <v>62</v>
      </c>
      <c r="B13" s="10" t="s">
        <v>210</v>
      </c>
      <c r="C13" s="10" t="s">
        <v>215</v>
      </c>
      <c r="D13" s="10" t="s">
        <v>211</v>
      </c>
      <c r="E13" s="14" t="s">
        <v>230</v>
      </c>
      <c r="F13" s="12">
        <v>45806</v>
      </c>
      <c r="G13" s="16">
        <v>7599678</v>
      </c>
      <c r="H13" s="16">
        <v>609974</v>
      </c>
      <c r="I13" s="16">
        <v>8207652</v>
      </c>
      <c r="J13" s="16">
        <v>7599678</v>
      </c>
      <c r="K13" s="16">
        <v>609974</v>
      </c>
      <c r="L13" s="16">
        <v>8207652</v>
      </c>
      <c r="M13" s="10" t="s">
        <v>231</v>
      </c>
      <c r="N13" s="10" t="s">
        <v>232</v>
      </c>
      <c r="O13" s="10" t="s">
        <v>233</v>
      </c>
      <c r="P13" s="10" t="s">
        <v>220</v>
      </c>
    </row>
    <row r="14" spans="1:16" ht="72" customHeight="1">
      <c r="A14" s="9" t="s">
        <v>65</v>
      </c>
      <c r="B14" s="9" t="s">
        <v>210</v>
      </c>
      <c r="C14" s="9" t="s">
        <v>36</v>
      </c>
      <c r="D14" s="9" t="s">
        <v>227</v>
      </c>
      <c r="E14" s="13" t="s">
        <v>234</v>
      </c>
      <c r="F14" s="11">
        <v>45352</v>
      </c>
      <c r="G14" s="15">
        <v>20222499</v>
      </c>
      <c r="H14" s="15">
        <v>1617800</v>
      </c>
      <c r="I14" s="15">
        <v>21840299</v>
      </c>
      <c r="J14" s="15"/>
      <c r="K14" s="15"/>
      <c r="L14" s="15"/>
      <c r="M14" s="9"/>
      <c r="N14" s="9" t="s">
        <v>235</v>
      </c>
      <c r="O14" s="9"/>
      <c r="P14" s="9" t="s">
        <v>214</v>
      </c>
    </row>
    <row r="15" spans="1:16" ht="72" customHeight="1">
      <c r="A15" s="10" t="s">
        <v>65</v>
      </c>
      <c r="B15" s="10" t="s">
        <v>210</v>
      </c>
      <c r="C15" s="10" t="s">
        <v>215</v>
      </c>
      <c r="D15" s="10" t="s">
        <v>211</v>
      </c>
      <c r="E15" s="14" t="s">
        <v>236</v>
      </c>
      <c r="F15" s="12">
        <v>45803</v>
      </c>
      <c r="G15" s="16">
        <v>621945</v>
      </c>
      <c r="H15" s="16">
        <v>49756</v>
      </c>
      <c r="I15" s="16">
        <v>670701</v>
      </c>
      <c r="J15" s="16">
        <v>621945</v>
      </c>
      <c r="K15" s="16">
        <v>49756</v>
      </c>
      <c r="L15" s="16">
        <v>670701</v>
      </c>
      <c r="M15" s="10" t="s">
        <v>237</v>
      </c>
      <c r="N15" s="10" t="s">
        <v>238</v>
      </c>
      <c r="O15" s="10" t="s">
        <v>239</v>
      </c>
      <c r="P15" s="10" t="s">
        <v>220</v>
      </c>
    </row>
    <row r="16" spans="1:16" ht="72" customHeight="1">
      <c r="A16" s="9" t="s">
        <v>68</v>
      </c>
      <c r="B16" s="9" t="s">
        <v>210</v>
      </c>
      <c r="C16" s="9" t="s">
        <v>36</v>
      </c>
      <c r="D16" s="9" t="s">
        <v>227</v>
      </c>
      <c r="E16" s="13" t="s">
        <v>240</v>
      </c>
      <c r="F16" s="11">
        <v>45587</v>
      </c>
      <c r="G16" s="15">
        <v>180276018</v>
      </c>
      <c r="H16" s="15">
        <v>14422081</v>
      </c>
      <c r="I16" s="15">
        <v>194698099</v>
      </c>
      <c r="J16" s="15"/>
      <c r="K16" s="15"/>
      <c r="L16" s="15"/>
      <c r="M16" s="9"/>
      <c r="N16" s="9" t="s">
        <v>241</v>
      </c>
      <c r="O16" s="9"/>
      <c r="P16" s="9" t="s">
        <v>214</v>
      </c>
    </row>
    <row r="17" spans="1:16" ht="72" customHeight="1">
      <c r="A17" s="10" t="s">
        <v>68</v>
      </c>
      <c r="B17" s="10" t="s">
        <v>210</v>
      </c>
      <c r="C17" s="10" t="s">
        <v>215</v>
      </c>
      <c r="D17" s="10" t="s">
        <v>211</v>
      </c>
      <c r="E17" s="14" t="s">
        <v>242</v>
      </c>
      <c r="F17" s="12">
        <v>45807</v>
      </c>
      <c r="G17" s="16">
        <v>39194352</v>
      </c>
      <c r="H17" s="16">
        <v>3135548</v>
      </c>
      <c r="I17" s="16">
        <v>42329000</v>
      </c>
      <c r="J17" s="16">
        <v>39194352</v>
      </c>
      <c r="K17" s="16">
        <v>3135548</v>
      </c>
      <c r="L17" s="16">
        <v>42329000</v>
      </c>
      <c r="M17" s="10" t="s">
        <v>243</v>
      </c>
      <c r="N17" s="10" t="s">
        <v>244</v>
      </c>
      <c r="O17" s="10" t="s">
        <v>245</v>
      </c>
      <c r="P17" s="10" t="s">
        <v>220</v>
      </c>
    </row>
    <row r="18" spans="1:16" ht="72" customHeight="1">
      <c r="A18" s="9" t="s">
        <v>71</v>
      </c>
      <c r="B18" s="9" t="s">
        <v>210</v>
      </c>
      <c r="C18" s="9" t="s">
        <v>36</v>
      </c>
      <c r="D18" s="9" t="s">
        <v>227</v>
      </c>
      <c r="E18" s="13" t="s">
        <v>246</v>
      </c>
      <c r="F18" s="11">
        <v>45425</v>
      </c>
      <c r="G18" s="15">
        <v>10131221</v>
      </c>
      <c r="H18" s="15">
        <v>810498</v>
      </c>
      <c r="I18" s="15">
        <v>10941719</v>
      </c>
      <c r="J18" s="15"/>
      <c r="K18" s="15"/>
      <c r="L18" s="15"/>
      <c r="M18" s="9"/>
      <c r="N18" s="9" t="s">
        <v>247</v>
      </c>
      <c r="O18" s="9"/>
      <c r="P18" s="9" t="s">
        <v>214</v>
      </c>
    </row>
    <row r="19" spans="1:16" ht="72" customHeight="1">
      <c r="A19" s="10" t="s">
        <v>71</v>
      </c>
      <c r="B19" s="10" t="s">
        <v>210</v>
      </c>
      <c r="C19" s="10" t="s">
        <v>215</v>
      </c>
      <c r="D19" s="10" t="s">
        <v>211</v>
      </c>
      <c r="E19" s="14" t="s">
        <v>248</v>
      </c>
      <c r="F19" s="12">
        <v>45808</v>
      </c>
      <c r="G19" s="16">
        <v>-589554</v>
      </c>
      <c r="H19" s="16">
        <v>-47164</v>
      </c>
      <c r="I19" s="16">
        <v>-636719</v>
      </c>
      <c r="J19" s="16">
        <v>-589554</v>
      </c>
      <c r="K19" s="16">
        <v>-47164</v>
      </c>
      <c r="L19" s="16">
        <v>-636719</v>
      </c>
      <c r="M19" s="10" t="s">
        <v>249</v>
      </c>
      <c r="N19" s="10" t="s">
        <v>250</v>
      </c>
      <c r="O19" s="10" t="s">
        <v>251</v>
      </c>
      <c r="P19" s="10" t="s">
        <v>220</v>
      </c>
    </row>
    <row r="20" spans="1:16" ht="72" customHeight="1">
      <c r="A20" s="9" t="s">
        <v>71</v>
      </c>
      <c r="B20" s="9" t="s">
        <v>210</v>
      </c>
      <c r="C20" s="9" t="s">
        <v>215</v>
      </c>
      <c r="D20" s="9" t="s">
        <v>211</v>
      </c>
      <c r="E20" s="13" t="s">
        <v>252</v>
      </c>
      <c r="F20" s="11">
        <v>45808</v>
      </c>
      <c r="G20" s="15">
        <v>1718981</v>
      </c>
      <c r="H20" s="15">
        <v>137518</v>
      </c>
      <c r="I20" s="15">
        <v>1856499</v>
      </c>
      <c r="J20" s="15">
        <v>1718981</v>
      </c>
      <c r="K20" s="15">
        <v>137518</v>
      </c>
      <c r="L20" s="15">
        <v>1856499</v>
      </c>
      <c r="M20" s="9" t="s">
        <v>253</v>
      </c>
      <c r="N20" s="9" t="s">
        <v>254</v>
      </c>
      <c r="O20" s="9" t="s">
        <v>255</v>
      </c>
      <c r="P20" s="9" t="s">
        <v>220</v>
      </c>
    </row>
    <row r="21" spans="1:16" ht="72" customHeight="1">
      <c r="A21" s="10" t="s">
        <v>75</v>
      </c>
      <c r="B21" s="10" t="s">
        <v>210</v>
      </c>
      <c r="C21" s="10" t="s">
        <v>36</v>
      </c>
      <c r="D21" s="10" t="s">
        <v>227</v>
      </c>
      <c r="E21" s="14" t="s">
        <v>256</v>
      </c>
      <c r="F21" s="12">
        <v>45458</v>
      </c>
      <c r="G21" s="16">
        <v>87458193</v>
      </c>
      <c r="H21" s="16">
        <v>6996655</v>
      </c>
      <c r="I21" s="16">
        <v>94454848</v>
      </c>
      <c r="J21" s="16"/>
      <c r="K21" s="16"/>
      <c r="L21" s="16"/>
      <c r="M21" s="10"/>
      <c r="N21" s="10" t="s">
        <v>257</v>
      </c>
      <c r="O21" s="10"/>
      <c r="P21" s="10" t="s">
        <v>214</v>
      </c>
    </row>
    <row r="22" spans="1:16" ht="72" customHeight="1">
      <c r="A22" s="9" t="s">
        <v>75</v>
      </c>
      <c r="B22" s="9" t="s">
        <v>210</v>
      </c>
      <c r="C22" s="9" t="s">
        <v>215</v>
      </c>
      <c r="D22" s="9" t="s">
        <v>211</v>
      </c>
      <c r="E22" s="13" t="s">
        <v>258</v>
      </c>
      <c r="F22" s="11">
        <v>45806</v>
      </c>
      <c r="G22" s="15">
        <v>5701066</v>
      </c>
      <c r="H22" s="15">
        <v>456085</v>
      </c>
      <c r="I22" s="15">
        <v>6157152</v>
      </c>
      <c r="J22" s="15">
        <v>5701066</v>
      </c>
      <c r="K22" s="15">
        <v>456085</v>
      </c>
      <c r="L22" s="15">
        <v>6157152</v>
      </c>
      <c r="M22" s="9" t="s">
        <v>259</v>
      </c>
      <c r="N22" s="9" t="s">
        <v>260</v>
      </c>
      <c r="O22" s="9" t="s">
        <v>261</v>
      </c>
      <c r="P22" s="9" t="s">
        <v>220</v>
      </c>
    </row>
    <row r="23" spans="1:16" ht="72" customHeight="1">
      <c r="A23" s="10" t="s">
        <v>78</v>
      </c>
      <c r="B23" s="10" t="s">
        <v>210</v>
      </c>
      <c r="C23" s="10" t="s">
        <v>36</v>
      </c>
      <c r="D23" s="10" t="s">
        <v>211</v>
      </c>
      <c r="E23" s="14" t="s">
        <v>262</v>
      </c>
      <c r="F23" s="12">
        <v>45707</v>
      </c>
      <c r="G23" s="16">
        <v>69918243</v>
      </c>
      <c r="H23" s="16">
        <v>5593459</v>
      </c>
      <c r="I23" s="16">
        <v>75511702</v>
      </c>
      <c r="J23" s="16"/>
      <c r="K23" s="16"/>
      <c r="L23" s="16"/>
      <c r="M23" s="10"/>
      <c r="N23" s="10" t="s">
        <v>263</v>
      </c>
      <c r="O23" s="10"/>
      <c r="P23" s="10" t="s">
        <v>214</v>
      </c>
    </row>
    <row r="24" spans="1:16" ht="72" customHeight="1">
      <c r="A24" s="9" t="s">
        <v>78</v>
      </c>
      <c r="B24" s="9" t="s">
        <v>210</v>
      </c>
      <c r="C24" s="9" t="s">
        <v>215</v>
      </c>
      <c r="D24" s="9" t="s">
        <v>211</v>
      </c>
      <c r="E24" s="13" t="s">
        <v>264</v>
      </c>
      <c r="F24" s="11">
        <v>45781</v>
      </c>
      <c r="G24" s="15">
        <v>4347265</v>
      </c>
      <c r="H24" s="15">
        <v>347781</v>
      </c>
      <c r="I24" s="15">
        <v>4695045</v>
      </c>
      <c r="J24" s="15">
        <v>4347265</v>
      </c>
      <c r="K24" s="15">
        <v>347781</v>
      </c>
      <c r="L24" s="15">
        <v>4695045</v>
      </c>
      <c r="M24" s="9" t="s">
        <v>265</v>
      </c>
      <c r="N24" s="9" t="s">
        <v>266</v>
      </c>
      <c r="O24" s="9" t="s">
        <v>267</v>
      </c>
      <c r="P24" s="9" t="s">
        <v>220</v>
      </c>
    </row>
    <row r="25" spans="1:16" ht="72" customHeight="1">
      <c r="A25" s="10" t="s">
        <v>81</v>
      </c>
      <c r="B25" s="10" t="s">
        <v>210</v>
      </c>
      <c r="C25" s="10" t="s">
        <v>36</v>
      </c>
      <c r="D25" s="10" t="s">
        <v>227</v>
      </c>
      <c r="E25" s="14" t="s">
        <v>268</v>
      </c>
      <c r="F25" s="12">
        <v>45596</v>
      </c>
      <c r="G25" s="16">
        <v>6219445</v>
      </c>
      <c r="H25" s="16">
        <v>497556</v>
      </c>
      <c r="I25" s="16">
        <v>6717001</v>
      </c>
      <c r="J25" s="16"/>
      <c r="K25" s="16"/>
      <c r="L25" s="16"/>
      <c r="M25" s="10" t="s">
        <v>269</v>
      </c>
      <c r="N25" s="10" t="s">
        <v>270</v>
      </c>
      <c r="O25" s="10"/>
      <c r="P25" s="10" t="s">
        <v>214</v>
      </c>
    </row>
    <row r="26" spans="1:16" ht="72" customHeight="1">
      <c r="A26" s="9" t="s">
        <v>81</v>
      </c>
      <c r="B26" s="9" t="s">
        <v>210</v>
      </c>
      <c r="C26" s="9" t="s">
        <v>215</v>
      </c>
      <c r="D26" s="9" t="s">
        <v>211</v>
      </c>
      <c r="E26" s="13" t="s">
        <v>271</v>
      </c>
      <c r="F26" s="11">
        <v>45808</v>
      </c>
      <c r="G26" s="15">
        <v>-1888889</v>
      </c>
      <c r="H26" s="15">
        <v>-151111</v>
      </c>
      <c r="I26" s="15">
        <v>-2040000</v>
      </c>
      <c r="J26" s="15">
        <v>-1888889</v>
      </c>
      <c r="K26" s="15">
        <v>-151111</v>
      </c>
      <c r="L26" s="15">
        <v>-2040000</v>
      </c>
      <c r="M26" s="9" t="s">
        <v>272</v>
      </c>
      <c r="N26" s="9" t="s">
        <v>273</v>
      </c>
      <c r="O26" s="9" t="s">
        <v>274</v>
      </c>
      <c r="P26" s="9" t="s">
        <v>220</v>
      </c>
    </row>
    <row r="27" spans="1:16" ht="72" customHeight="1">
      <c r="A27" s="10" t="s">
        <v>86</v>
      </c>
      <c r="B27" s="10" t="s">
        <v>210</v>
      </c>
      <c r="C27" s="10" t="s">
        <v>36</v>
      </c>
      <c r="D27" s="10" t="s">
        <v>211</v>
      </c>
      <c r="E27" s="14" t="s">
        <v>275</v>
      </c>
      <c r="F27" s="12">
        <v>45707</v>
      </c>
      <c r="G27" s="16">
        <v>46178880</v>
      </c>
      <c r="H27" s="16">
        <v>3694310</v>
      </c>
      <c r="I27" s="16">
        <v>49873190</v>
      </c>
      <c r="J27" s="16"/>
      <c r="K27" s="16"/>
      <c r="L27" s="16"/>
      <c r="M27" s="10" t="s">
        <v>276</v>
      </c>
      <c r="N27" s="10" t="s">
        <v>277</v>
      </c>
      <c r="O27" s="10"/>
      <c r="P27" s="10" t="s">
        <v>214</v>
      </c>
    </row>
    <row r="28" spans="1:16" ht="72" customHeight="1">
      <c r="A28" s="9" t="s">
        <v>86</v>
      </c>
      <c r="B28" s="9" t="s">
        <v>210</v>
      </c>
      <c r="C28" s="9" t="s">
        <v>215</v>
      </c>
      <c r="D28" s="9" t="s">
        <v>211</v>
      </c>
      <c r="E28" s="13" t="s">
        <v>278</v>
      </c>
      <c r="F28" s="11">
        <v>45782</v>
      </c>
      <c r="G28" s="15">
        <v>446836</v>
      </c>
      <c r="H28" s="15">
        <v>35747</v>
      </c>
      <c r="I28" s="15">
        <v>482583</v>
      </c>
      <c r="J28" s="15">
        <v>446836</v>
      </c>
      <c r="K28" s="15">
        <v>35747</v>
      </c>
      <c r="L28" s="15">
        <v>482583</v>
      </c>
      <c r="M28" s="9" t="s">
        <v>279</v>
      </c>
      <c r="N28" s="9" t="s">
        <v>280</v>
      </c>
      <c r="O28" s="9" t="s">
        <v>281</v>
      </c>
      <c r="P28" s="9" t="s">
        <v>220</v>
      </c>
    </row>
    <row r="29" spans="1:16" ht="72" customHeight="1">
      <c r="A29" s="10" t="s">
        <v>90</v>
      </c>
      <c r="B29" s="10" t="s">
        <v>210</v>
      </c>
      <c r="C29" s="10" t="s">
        <v>36</v>
      </c>
      <c r="D29" s="10" t="s">
        <v>227</v>
      </c>
      <c r="E29" s="14" t="s">
        <v>282</v>
      </c>
      <c r="F29" s="12">
        <v>45657</v>
      </c>
      <c r="G29" s="16">
        <v>4398148</v>
      </c>
      <c r="H29" s="16">
        <v>351852</v>
      </c>
      <c r="I29" s="16">
        <v>4750000</v>
      </c>
      <c r="J29" s="16"/>
      <c r="K29" s="16"/>
      <c r="L29" s="16"/>
      <c r="M29" s="10" t="s">
        <v>283</v>
      </c>
      <c r="N29" s="10" t="s">
        <v>284</v>
      </c>
      <c r="O29" s="10"/>
      <c r="P29" s="10" t="s">
        <v>214</v>
      </c>
    </row>
    <row r="30" spans="1:16" ht="72" customHeight="1">
      <c r="A30" s="9" t="s">
        <v>94</v>
      </c>
      <c r="B30" s="9" t="s">
        <v>210</v>
      </c>
      <c r="C30" s="9" t="s">
        <v>36</v>
      </c>
      <c r="D30" s="9" t="s">
        <v>227</v>
      </c>
      <c r="E30" s="13" t="s">
        <v>285</v>
      </c>
      <c r="F30" s="11">
        <v>45657</v>
      </c>
      <c r="G30" s="15">
        <v>18240741</v>
      </c>
      <c r="H30" s="15">
        <v>1459259</v>
      </c>
      <c r="I30" s="15">
        <v>19700000</v>
      </c>
      <c r="J30" s="15"/>
      <c r="K30" s="15"/>
      <c r="L30" s="15"/>
      <c r="M30" s="9" t="s">
        <v>286</v>
      </c>
      <c r="N30" s="9" t="s">
        <v>287</v>
      </c>
      <c r="O30" s="9"/>
      <c r="P30" s="9" t="s">
        <v>214</v>
      </c>
    </row>
    <row r="31" spans="1:16" ht="72" customHeight="1">
      <c r="A31" s="10" t="s">
        <v>97</v>
      </c>
      <c r="B31" s="10" t="s">
        <v>210</v>
      </c>
      <c r="C31" s="10" t="s">
        <v>36</v>
      </c>
      <c r="D31" s="10" t="s">
        <v>227</v>
      </c>
      <c r="E31" s="14" t="s">
        <v>288</v>
      </c>
      <c r="F31" s="12">
        <v>45657</v>
      </c>
      <c r="G31" s="16">
        <v>4629630</v>
      </c>
      <c r="H31" s="16">
        <v>370370</v>
      </c>
      <c r="I31" s="16">
        <v>5000000</v>
      </c>
      <c r="J31" s="16"/>
      <c r="K31" s="16"/>
      <c r="L31" s="16"/>
      <c r="M31" s="10" t="s">
        <v>286</v>
      </c>
      <c r="N31" s="10" t="s">
        <v>289</v>
      </c>
      <c r="O31" s="10"/>
      <c r="P31" s="10" t="s">
        <v>214</v>
      </c>
    </row>
    <row r="32" spans="1:16" ht="72" customHeight="1">
      <c r="A32" s="9" t="s">
        <v>99</v>
      </c>
      <c r="B32" s="9" t="s">
        <v>210</v>
      </c>
      <c r="C32" s="9" t="s">
        <v>36</v>
      </c>
      <c r="D32" s="9" t="s">
        <v>227</v>
      </c>
      <c r="E32" s="13" t="s">
        <v>290</v>
      </c>
      <c r="F32" s="11">
        <v>45657</v>
      </c>
      <c r="G32" s="15">
        <v>25879630</v>
      </c>
      <c r="H32" s="15">
        <v>2070370</v>
      </c>
      <c r="I32" s="15">
        <v>27950000</v>
      </c>
      <c r="J32" s="15"/>
      <c r="K32" s="15"/>
      <c r="L32" s="15"/>
      <c r="M32" s="9" t="s">
        <v>291</v>
      </c>
      <c r="N32" s="9" t="s">
        <v>292</v>
      </c>
      <c r="O32" s="9"/>
      <c r="P32" s="9" t="s">
        <v>214</v>
      </c>
    </row>
    <row r="33" spans="1:16" ht="72" customHeight="1">
      <c r="A33" s="10" t="s">
        <v>102</v>
      </c>
      <c r="B33" s="10" t="s">
        <v>210</v>
      </c>
      <c r="C33" s="10" t="s">
        <v>36</v>
      </c>
      <c r="D33" s="10" t="s">
        <v>211</v>
      </c>
      <c r="E33" s="14" t="s">
        <v>293</v>
      </c>
      <c r="F33" s="12">
        <v>45809</v>
      </c>
      <c r="G33" s="16">
        <v>443519</v>
      </c>
      <c r="H33" s="16">
        <v>35482</v>
      </c>
      <c r="I33" s="16">
        <v>479001</v>
      </c>
      <c r="J33" s="16"/>
      <c r="K33" s="16"/>
      <c r="L33" s="16"/>
      <c r="M33" s="10" t="s">
        <v>294</v>
      </c>
      <c r="N33" s="10" t="s">
        <v>295</v>
      </c>
      <c r="O33" s="10"/>
      <c r="P33" s="10" t="s">
        <v>214</v>
      </c>
    </row>
    <row r="34" spans="1:16" ht="72" customHeight="1">
      <c r="A34" s="9" t="s">
        <v>106</v>
      </c>
      <c r="B34" s="9" t="s">
        <v>210</v>
      </c>
      <c r="C34" s="9" t="s">
        <v>36</v>
      </c>
      <c r="D34" s="9" t="s">
        <v>211</v>
      </c>
      <c r="E34" s="13" t="s">
        <v>296</v>
      </c>
      <c r="F34" s="11">
        <v>45809</v>
      </c>
      <c r="G34" s="15">
        <v>1213008</v>
      </c>
      <c r="H34" s="15">
        <v>97041</v>
      </c>
      <c r="I34" s="15">
        <v>1310049</v>
      </c>
      <c r="J34" s="15"/>
      <c r="K34" s="15"/>
      <c r="L34" s="15"/>
      <c r="M34" s="9" t="s">
        <v>297</v>
      </c>
      <c r="N34" s="9" t="s">
        <v>298</v>
      </c>
      <c r="O34" s="9"/>
      <c r="P34" s="9" t="s">
        <v>214</v>
      </c>
    </row>
    <row r="35" spans="1:16" ht="72" customHeight="1">
      <c r="A35" s="10" t="s">
        <v>109</v>
      </c>
      <c r="B35" s="10" t="s">
        <v>210</v>
      </c>
      <c r="C35" s="10" t="s">
        <v>36</v>
      </c>
      <c r="D35" s="10" t="s">
        <v>211</v>
      </c>
      <c r="E35" s="14" t="s">
        <v>299</v>
      </c>
      <c r="F35" s="12">
        <v>45664</v>
      </c>
      <c r="G35" s="16">
        <v>0</v>
      </c>
      <c r="H35" s="16">
        <v>0</v>
      </c>
      <c r="I35" s="16"/>
      <c r="J35" s="16"/>
      <c r="K35" s="16"/>
      <c r="L35" s="16"/>
      <c r="M35" s="10"/>
      <c r="N35" s="10" t="s">
        <v>300</v>
      </c>
      <c r="O35" s="10"/>
      <c r="P35" s="10" t="s">
        <v>214</v>
      </c>
    </row>
    <row r="36" spans="1:16" ht="72" customHeight="1">
      <c r="A36" s="9" t="s">
        <v>109</v>
      </c>
      <c r="B36" s="9" t="s">
        <v>210</v>
      </c>
      <c r="C36" s="9" t="s">
        <v>215</v>
      </c>
      <c r="D36" s="9" t="s">
        <v>211</v>
      </c>
      <c r="E36" s="13" t="s">
        <v>301</v>
      </c>
      <c r="F36" s="11">
        <v>45782</v>
      </c>
      <c r="G36" s="15">
        <v>3478704</v>
      </c>
      <c r="H36" s="15">
        <v>278296</v>
      </c>
      <c r="I36" s="15">
        <v>3757000</v>
      </c>
      <c r="J36" s="15">
        <v>3478704</v>
      </c>
      <c r="K36" s="15">
        <v>278296</v>
      </c>
      <c r="L36" s="15">
        <v>3757000</v>
      </c>
      <c r="M36" s="9" t="s">
        <v>302</v>
      </c>
      <c r="N36" s="9" t="s">
        <v>303</v>
      </c>
      <c r="O36" s="9" t="s">
        <v>304</v>
      </c>
      <c r="P36" s="9" t="s">
        <v>220</v>
      </c>
    </row>
    <row r="37" spans="1:16" ht="72" customHeight="1">
      <c r="A37" s="10" t="s">
        <v>114</v>
      </c>
      <c r="B37" s="10" t="s">
        <v>210</v>
      </c>
      <c r="C37" s="10" t="s">
        <v>36</v>
      </c>
      <c r="D37" s="10" t="s">
        <v>211</v>
      </c>
      <c r="E37" s="14" t="s">
        <v>305</v>
      </c>
      <c r="F37" s="12">
        <v>45671</v>
      </c>
      <c r="G37" s="16">
        <v>0</v>
      </c>
      <c r="H37" s="16">
        <v>0</v>
      </c>
      <c r="I37" s="16"/>
      <c r="J37" s="16"/>
      <c r="K37" s="16"/>
      <c r="L37" s="16"/>
      <c r="M37" s="10"/>
      <c r="N37" s="10" t="s">
        <v>306</v>
      </c>
      <c r="O37" s="10"/>
      <c r="P37" s="10" t="s">
        <v>214</v>
      </c>
    </row>
    <row r="38" spans="1:16" ht="72" customHeight="1">
      <c r="A38" s="9" t="s">
        <v>114</v>
      </c>
      <c r="B38" s="9" t="s">
        <v>210</v>
      </c>
      <c r="C38" s="9" t="s">
        <v>215</v>
      </c>
      <c r="D38" s="9" t="s">
        <v>211</v>
      </c>
      <c r="E38" s="13" t="s">
        <v>307</v>
      </c>
      <c r="F38" s="11">
        <v>45782</v>
      </c>
      <c r="G38" s="15">
        <v>5275000</v>
      </c>
      <c r="H38" s="15">
        <v>422000</v>
      </c>
      <c r="I38" s="15">
        <v>5697000</v>
      </c>
      <c r="J38" s="15">
        <v>5275000</v>
      </c>
      <c r="K38" s="15">
        <v>422000</v>
      </c>
      <c r="L38" s="15">
        <v>5697000</v>
      </c>
      <c r="M38" s="9" t="s">
        <v>308</v>
      </c>
      <c r="N38" s="9" t="s">
        <v>309</v>
      </c>
      <c r="O38" s="9" t="s">
        <v>310</v>
      </c>
      <c r="P38" s="9" t="s">
        <v>220</v>
      </c>
    </row>
    <row r="39" spans="1:16" ht="72" customHeight="1">
      <c r="A39" s="10" t="s">
        <v>117</v>
      </c>
      <c r="B39" s="10" t="s">
        <v>210</v>
      </c>
      <c r="C39" s="10" t="s">
        <v>36</v>
      </c>
      <c r="D39" s="10" t="s">
        <v>211</v>
      </c>
      <c r="E39" s="14" t="s">
        <v>311</v>
      </c>
      <c r="F39" s="12">
        <v>45814</v>
      </c>
      <c r="G39" s="16">
        <v>962037</v>
      </c>
      <c r="H39" s="16">
        <v>76963</v>
      </c>
      <c r="I39" s="16">
        <v>1039000</v>
      </c>
      <c r="J39" s="16"/>
      <c r="K39" s="16"/>
      <c r="L39" s="16"/>
      <c r="M39" s="10"/>
      <c r="N39" s="10" t="s">
        <v>312</v>
      </c>
      <c r="O39" s="10"/>
      <c r="P39" s="10" t="s">
        <v>214</v>
      </c>
    </row>
    <row r="40" spans="1:16" ht="72" customHeight="1">
      <c r="A40" s="9" t="s">
        <v>117</v>
      </c>
      <c r="B40" s="9" t="s">
        <v>210</v>
      </c>
      <c r="C40" s="9" t="s">
        <v>215</v>
      </c>
      <c r="D40" s="9" t="s">
        <v>211</v>
      </c>
      <c r="E40" s="13" t="s">
        <v>313</v>
      </c>
      <c r="F40" s="11">
        <v>45930</v>
      </c>
      <c r="G40" s="15">
        <v>-962037</v>
      </c>
      <c r="H40" s="15">
        <v>-76963</v>
      </c>
      <c r="I40" s="15">
        <v>-1039000</v>
      </c>
      <c r="J40" s="15">
        <v>-962037</v>
      </c>
      <c r="K40" s="15">
        <v>-76963</v>
      </c>
      <c r="L40" s="15">
        <v>-1039000</v>
      </c>
      <c r="M40" s="9" t="s">
        <v>314</v>
      </c>
      <c r="N40" s="9" t="s">
        <v>315</v>
      </c>
      <c r="O40" s="9" t="s">
        <v>316</v>
      </c>
      <c r="P40" s="9" t="s">
        <v>220</v>
      </c>
    </row>
    <row r="41" spans="1:16" ht="72" customHeight="1">
      <c r="A41" s="10" t="s">
        <v>122</v>
      </c>
      <c r="B41" s="10" t="s">
        <v>210</v>
      </c>
      <c r="C41" s="10" t="s">
        <v>36</v>
      </c>
      <c r="D41" s="10" t="s">
        <v>211</v>
      </c>
      <c r="E41" s="14" t="s">
        <v>317</v>
      </c>
      <c r="F41" s="12">
        <v>45816</v>
      </c>
      <c r="G41" s="16">
        <v>499074</v>
      </c>
      <c r="H41" s="16">
        <v>39926</v>
      </c>
      <c r="I41" s="16">
        <v>539000</v>
      </c>
      <c r="J41" s="16"/>
      <c r="K41" s="16"/>
      <c r="L41" s="16"/>
      <c r="M41" s="10"/>
      <c r="N41" s="10" t="s">
        <v>318</v>
      </c>
      <c r="O41" s="10"/>
      <c r="P41" s="10" t="s">
        <v>214</v>
      </c>
    </row>
    <row r="42" spans="1:16" ht="72" customHeight="1">
      <c r="A42" s="9" t="s">
        <v>122</v>
      </c>
      <c r="B42" s="9" t="s">
        <v>210</v>
      </c>
      <c r="C42" s="9" t="s">
        <v>215</v>
      </c>
      <c r="D42" s="9" t="s">
        <v>211</v>
      </c>
      <c r="E42" s="13" t="s">
        <v>319</v>
      </c>
      <c r="F42" s="11">
        <v>45930</v>
      </c>
      <c r="G42" s="15">
        <v>-499074</v>
      </c>
      <c r="H42" s="15">
        <v>-39926</v>
      </c>
      <c r="I42" s="15">
        <v>-539000</v>
      </c>
      <c r="J42" s="15">
        <v>-499074</v>
      </c>
      <c r="K42" s="15">
        <v>-39926</v>
      </c>
      <c r="L42" s="15">
        <v>-539000</v>
      </c>
      <c r="M42" s="9" t="s">
        <v>320</v>
      </c>
      <c r="N42" s="9" t="s">
        <v>321</v>
      </c>
      <c r="O42" s="9" t="s">
        <v>322</v>
      </c>
      <c r="P42" s="9" t="s">
        <v>220</v>
      </c>
    </row>
    <row r="43" spans="1:16" ht="72" customHeight="1">
      <c r="A43" s="10" t="s">
        <v>127</v>
      </c>
      <c r="B43" s="10" t="s">
        <v>210</v>
      </c>
      <c r="C43" s="10" t="s">
        <v>36</v>
      </c>
      <c r="D43" s="10" t="s">
        <v>211</v>
      </c>
      <c r="E43" s="14" t="s">
        <v>323</v>
      </c>
      <c r="F43" s="12">
        <v>45820</v>
      </c>
      <c r="G43" s="16">
        <v>2295369</v>
      </c>
      <c r="H43" s="16">
        <v>183630</v>
      </c>
      <c r="I43" s="16">
        <v>2478999</v>
      </c>
      <c r="J43" s="16"/>
      <c r="K43" s="16"/>
      <c r="L43" s="16"/>
      <c r="M43" s="10"/>
      <c r="N43" s="10" t="s">
        <v>324</v>
      </c>
      <c r="O43" s="10"/>
      <c r="P43" s="10" t="s">
        <v>214</v>
      </c>
    </row>
    <row r="44" spans="1:16" ht="72" customHeight="1">
      <c r="A44" s="9" t="s">
        <v>127</v>
      </c>
      <c r="B44" s="9" t="s">
        <v>210</v>
      </c>
      <c r="C44" s="9" t="s">
        <v>215</v>
      </c>
      <c r="D44" s="9" t="s">
        <v>211</v>
      </c>
      <c r="E44" s="13" t="s">
        <v>325</v>
      </c>
      <c r="F44" s="11">
        <v>45930</v>
      </c>
      <c r="G44" s="15">
        <v>-2295369</v>
      </c>
      <c r="H44" s="15">
        <v>-183630</v>
      </c>
      <c r="I44" s="15">
        <v>-2478999</v>
      </c>
      <c r="J44" s="15">
        <v>-2295369</v>
      </c>
      <c r="K44" s="15">
        <v>-183630</v>
      </c>
      <c r="L44" s="15">
        <v>-2478999</v>
      </c>
      <c r="M44" s="9" t="s">
        <v>326</v>
      </c>
      <c r="N44" s="9" t="s">
        <v>327</v>
      </c>
      <c r="O44" s="9" t="s">
        <v>328</v>
      </c>
      <c r="P44" s="9" t="s">
        <v>220</v>
      </c>
    </row>
    <row r="45" spans="1:16" ht="72" customHeight="1">
      <c r="A45" s="10" t="s">
        <v>131</v>
      </c>
      <c r="B45" s="10" t="s">
        <v>210</v>
      </c>
      <c r="C45" s="10" t="s">
        <v>36</v>
      </c>
      <c r="D45" s="10" t="s">
        <v>211</v>
      </c>
      <c r="E45" s="14" t="s">
        <v>329</v>
      </c>
      <c r="F45" s="12">
        <v>45824</v>
      </c>
      <c r="G45" s="16">
        <v>509259</v>
      </c>
      <c r="H45" s="16">
        <v>40741</v>
      </c>
      <c r="I45" s="16">
        <v>550000</v>
      </c>
      <c r="J45" s="16"/>
      <c r="K45" s="16"/>
      <c r="L45" s="16"/>
      <c r="M45" s="10"/>
      <c r="N45" s="10" t="s">
        <v>330</v>
      </c>
      <c r="O45" s="10"/>
      <c r="P45" s="10" t="s">
        <v>214</v>
      </c>
    </row>
    <row r="46" spans="1:16" ht="72" customHeight="1">
      <c r="A46" s="9" t="s">
        <v>131</v>
      </c>
      <c r="B46" s="9" t="s">
        <v>210</v>
      </c>
      <c r="C46" s="9" t="s">
        <v>215</v>
      </c>
      <c r="D46" s="9" t="s">
        <v>211</v>
      </c>
      <c r="E46" s="13" t="s">
        <v>331</v>
      </c>
      <c r="F46" s="11">
        <v>45930</v>
      </c>
      <c r="G46" s="15">
        <v>-509259</v>
      </c>
      <c r="H46" s="15">
        <v>-40741</v>
      </c>
      <c r="I46" s="15">
        <v>-550000</v>
      </c>
      <c r="J46" s="15">
        <v>-509259</v>
      </c>
      <c r="K46" s="15">
        <v>-40741</v>
      </c>
      <c r="L46" s="15">
        <v>-550000</v>
      </c>
      <c r="M46" s="9" t="s">
        <v>332</v>
      </c>
      <c r="N46" s="9" t="s">
        <v>333</v>
      </c>
      <c r="O46" s="9" t="s">
        <v>334</v>
      </c>
      <c r="P46" s="9" t="s">
        <v>220</v>
      </c>
    </row>
    <row r="47" spans="1:16" ht="72" customHeight="1">
      <c r="A47" s="10" t="s">
        <v>135</v>
      </c>
      <c r="B47" s="10" t="s">
        <v>210</v>
      </c>
      <c r="C47" s="10" t="s">
        <v>36</v>
      </c>
      <c r="D47" s="10" t="s">
        <v>211</v>
      </c>
      <c r="E47" s="14" t="s">
        <v>335</v>
      </c>
      <c r="F47" s="12">
        <v>45830</v>
      </c>
      <c r="G47" s="16">
        <v>486110</v>
      </c>
      <c r="H47" s="16">
        <v>38889</v>
      </c>
      <c r="I47" s="16">
        <v>524999</v>
      </c>
      <c r="J47" s="16"/>
      <c r="K47" s="16"/>
      <c r="L47" s="16"/>
      <c r="M47" s="10"/>
      <c r="N47" s="10" t="s">
        <v>336</v>
      </c>
      <c r="O47" s="10"/>
      <c r="P47" s="10" t="s">
        <v>214</v>
      </c>
    </row>
    <row r="48" spans="1:16" ht="72" customHeight="1">
      <c r="A48" s="9" t="s">
        <v>135</v>
      </c>
      <c r="B48" s="9" t="s">
        <v>210</v>
      </c>
      <c r="C48" s="9" t="s">
        <v>215</v>
      </c>
      <c r="D48" s="9" t="s">
        <v>211</v>
      </c>
      <c r="E48" s="13" t="s">
        <v>337</v>
      </c>
      <c r="F48" s="11">
        <v>45930</v>
      </c>
      <c r="G48" s="15">
        <v>-486110</v>
      </c>
      <c r="H48" s="15">
        <v>-38889</v>
      </c>
      <c r="I48" s="15">
        <v>-524999</v>
      </c>
      <c r="J48" s="15">
        <v>-486110</v>
      </c>
      <c r="K48" s="15">
        <v>-38889</v>
      </c>
      <c r="L48" s="15">
        <v>-524999</v>
      </c>
      <c r="M48" s="9" t="s">
        <v>338</v>
      </c>
      <c r="N48" s="9" t="s">
        <v>339</v>
      </c>
      <c r="O48" s="9" t="s">
        <v>340</v>
      </c>
      <c r="P48" s="9" t="s">
        <v>220</v>
      </c>
    </row>
    <row r="49" spans="1:16" ht="72" customHeight="1">
      <c r="A49" s="10" t="s">
        <v>138</v>
      </c>
      <c r="B49" s="10" t="s">
        <v>210</v>
      </c>
      <c r="C49" s="10" t="s">
        <v>36</v>
      </c>
      <c r="D49" s="10" t="s">
        <v>211</v>
      </c>
      <c r="E49" s="14" t="s">
        <v>341</v>
      </c>
      <c r="F49" s="12">
        <v>45803</v>
      </c>
      <c r="G49" s="16">
        <v>499074</v>
      </c>
      <c r="H49" s="16">
        <v>39926</v>
      </c>
      <c r="I49" s="16">
        <v>539000</v>
      </c>
      <c r="J49" s="16"/>
      <c r="K49" s="16"/>
      <c r="L49" s="16"/>
      <c r="M49" s="10"/>
      <c r="N49" s="10" t="s">
        <v>342</v>
      </c>
      <c r="O49" s="10"/>
      <c r="P49" s="10" t="s">
        <v>214</v>
      </c>
    </row>
    <row r="50" spans="1:16" ht="72" customHeight="1">
      <c r="A50" s="9" t="s">
        <v>138</v>
      </c>
      <c r="B50" s="9" t="s">
        <v>210</v>
      </c>
      <c r="C50" s="9" t="s">
        <v>215</v>
      </c>
      <c r="D50" s="9" t="s">
        <v>211</v>
      </c>
      <c r="E50" s="13" t="s">
        <v>343</v>
      </c>
      <c r="F50" s="11">
        <v>45885</v>
      </c>
      <c r="G50" s="15">
        <v>-499074</v>
      </c>
      <c r="H50" s="15">
        <v>-39926</v>
      </c>
      <c r="I50" s="15">
        <v>-539000</v>
      </c>
      <c r="J50" s="15">
        <v>-499074</v>
      </c>
      <c r="K50" s="15">
        <v>-39926</v>
      </c>
      <c r="L50" s="15">
        <v>-539000</v>
      </c>
      <c r="M50" s="9" t="s">
        <v>344</v>
      </c>
      <c r="N50" s="9" t="s">
        <v>345</v>
      </c>
      <c r="O50" s="9" t="s">
        <v>346</v>
      </c>
      <c r="P50" s="9" t="s">
        <v>220</v>
      </c>
    </row>
    <row r="51" spans="1:16" ht="72" customHeight="1">
      <c r="A51" s="10" t="s">
        <v>143</v>
      </c>
      <c r="B51" s="10" t="s">
        <v>210</v>
      </c>
      <c r="C51" s="10" t="s">
        <v>36</v>
      </c>
      <c r="D51" s="10" t="s">
        <v>211</v>
      </c>
      <c r="E51" s="14" t="s">
        <v>347</v>
      </c>
      <c r="F51" s="12">
        <v>45803</v>
      </c>
      <c r="G51" s="16">
        <v>509259</v>
      </c>
      <c r="H51" s="16">
        <v>40741</v>
      </c>
      <c r="I51" s="16">
        <v>550000</v>
      </c>
      <c r="J51" s="16"/>
      <c r="K51" s="16"/>
      <c r="L51" s="16"/>
      <c r="M51" s="10"/>
      <c r="N51" s="10" t="s">
        <v>348</v>
      </c>
      <c r="O51" s="10"/>
      <c r="P51" s="10" t="s">
        <v>214</v>
      </c>
    </row>
    <row r="52" spans="1:16" ht="72" customHeight="1">
      <c r="A52" s="9" t="s">
        <v>143</v>
      </c>
      <c r="B52" s="9" t="s">
        <v>210</v>
      </c>
      <c r="C52" s="9" t="s">
        <v>215</v>
      </c>
      <c r="D52" s="9" t="s">
        <v>211</v>
      </c>
      <c r="E52" s="13" t="s">
        <v>349</v>
      </c>
      <c r="F52" s="11">
        <v>45926</v>
      </c>
      <c r="G52" s="15">
        <v>-509259</v>
      </c>
      <c r="H52" s="15">
        <v>-40741</v>
      </c>
      <c r="I52" s="15">
        <v>-550000</v>
      </c>
      <c r="J52" s="15">
        <v>-509259</v>
      </c>
      <c r="K52" s="15">
        <v>-40741</v>
      </c>
      <c r="L52" s="15">
        <v>-550000</v>
      </c>
      <c r="M52" s="9" t="s">
        <v>350</v>
      </c>
      <c r="N52" s="9" t="s">
        <v>351</v>
      </c>
      <c r="O52" s="9" t="s">
        <v>352</v>
      </c>
      <c r="P52" s="9" t="s">
        <v>220</v>
      </c>
    </row>
    <row r="53" spans="1:16" ht="72" customHeight="1">
      <c r="A53" s="10" t="s">
        <v>148</v>
      </c>
      <c r="B53" s="10" t="s">
        <v>210</v>
      </c>
      <c r="C53" s="10" t="s">
        <v>36</v>
      </c>
      <c r="D53" s="10" t="s">
        <v>211</v>
      </c>
      <c r="E53" s="14" t="s">
        <v>353</v>
      </c>
      <c r="F53" s="12">
        <v>45812</v>
      </c>
      <c r="G53" s="16">
        <v>163889</v>
      </c>
      <c r="H53" s="16">
        <v>13111</v>
      </c>
      <c r="I53" s="16">
        <v>177000</v>
      </c>
      <c r="J53" s="16"/>
      <c r="K53" s="16"/>
      <c r="L53" s="16"/>
      <c r="M53" s="10"/>
      <c r="N53" s="10" t="s">
        <v>354</v>
      </c>
      <c r="O53" s="10"/>
      <c r="P53" s="10" t="s">
        <v>214</v>
      </c>
    </row>
    <row r="54" spans="1:16" ht="72" customHeight="1">
      <c r="A54" s="9" t="s">
        <v>148</v>
      </c>
      <c r="B54" s="9" t="s">
        <v>210</v>
      </c>
      <c r="C54" s="9" t="s">
        <v>215</v>
      </c>
      <c r="D54" s="9" t="s">
        <v>211</v>
      </c>
      <c r="E54" s="13" t="s">
        <v>355</v>
      </c>
      <c r="F54" s="11">
        <v>45926</v>
      </c>
      <c r="G54" s="15">
        <v>-163889</v>
      </c>
      <c r="H54" s="15">
        <v>-13111</v>
      </c>
      <c r="I54" s="15">
        <v>-177000</v>
      </c>
      <c r="J54" s="15">
        <v>-163889</v>
      </c>
      <c r="K54" s="15">
        <v>-13111</v>
      </c>
      <c r="L54" s="15">
        <v>-177000</v>
      </c>
      <c r="M54" s="9" t="s">
        <v>356</v>
      </c>
      <c r="N54" s="9" t="s">
        <v>357</v>
      </c>
      <c r="O54" s="9" t="s">
        <v>358</v>
      </c>
      <c r="P54" s="9" t="s">
        <v>220</v>
      </c>
    </row>
    <row r="55" spans="1:16" ht="72" customHeight="1">
      <c r="A55" s="10" t="s">
        <v>152</v>
      </c>
      <c r="B55" s="10" t="s">
        <v>210</v>
      </c>
      <c r="C55" s="10" t="s">
        <v>36</v>
      </c>
      <c r="D55" s="10" t="s">
        <v>211</v>
      </c>
      <c r="E55" s="14" t="s">
        <v>359</v>
      </c>
      <c r="F55" s="12">
        <v>45816</v>
      </c>
      <c r="G55" s="16">
        <v>165741</v>
      </c>
      <c r="H55" s="16">
        <v>13259</v>
      </c>
      <c r="I55" s="16">
        <v>179000</v>
      </c>
      <c r="J55" s="16"/>
      <c r="K55" s="16"/>
      <c r="L55" s="16"/>
      <c r="M55" s="10"/>
      <c r="N55" s="10" t="s">
        <v>360</v>
      </c>
      <c r="O55" s="10"/>
      <c r="P55" s="10" t="s">
        <v>214</v>
      </c>
    </row>
    <row r="56" spans="1:16" ht="72" customHeight="1">
      <c r="A56" s="9" t="s">
        <v>152</v>
      </c>
      <c r="B56" s="9" t="s">
        <v>210</v>
      </c>
      <c r="C56" s="9" t="s">
        <v>215</v>
      </c>
      <c r="D56" s="9" t="s">
        <v>211</v>
      </c>
      <c r="E56" s="13" t="s">
        <v>361</v>
      </c>
      <c r="F56" s="11">
        <v>45926</v>
      </c>
      <c r="G56" s="15">
        <v>-165741</v>
      </c>
      <c r="H56" s="15">
        <v>-13259</v>
      </c>
      <c r="I56" s="15">
        <v>-179000</v>
      </c>
      <c r="J56" s="15">
        <v>-165741</v>
      </c>
      <c r="K56" s="15">
        <v>-13259</v>
      </c>
      <c r="L56" s="15">
        <v>-179000</v>
      </c>
      <c r="M56" s="9" t="s">
        <v>362</v>
      </c>
      <c r="N56" s="9" t="s">
        <v>363</v>
      </c>
      <c r="O56" s="9" t="s">
        <v>364</v>
      </c>
      <c r="P56" s="9" t="s">
        <v>220</v>
      </c>
    </row>
    <row r="57" spans="1:16" ht="72" customHeight="1">
      <c r="A57" s="10" t="s">
        <v>155</v>
      </c>
      <c r="B57" s="10" t="s">
        <v>210</v>
      </c>
      <c r="C57" s="10" t="s">
        <v>36</v>
      </c>
      <c r="D57" s="10" t="s">
        <v>211</v>
      </c>
      <c r="E57" s="14" t="s">
        <v>365</v>
      </c>
      <c r="F57" s="12">
        <v>45822</v>
      </c>
      <c r="G57" s="16">
        <v>165740</v>
      </c>
      <c r="H57" s="16">
        <v>13259</v>
      </c>
      <c r="I57" s="16">
        <v>178999</v>
      </c>
      <c r="J57" s="16"/>
      <c r="K57" s="16"/>
      <c r="L57" s="16"/>
      <c r="M57" s="10"/>
      <c r="N57" s="10" t="s">
        <v>366</v>
      </c>
      <c r="O57" s="10"/>
      <c r="P57" s="10" t="s">
        <v>214</v>
      </c>
    </row>
    <row r="58" spans="1:16" ht="72" customHeight="1">
      <c r="A58" s="9" t="s">
        <v>155</v>
      </c>
      <c r="B58" s="9" t="s">
        <v>210</v>
      </c>
      <c r="C58" s="9" t="s">
        <v>215</v>
      </c>
      <c r="D58" s="9" t="s">
        <v>211</v>
      </c>
      <c r="E58" s="13" t="s">
        <v>367</v>
      </c>
      <c r="F58" s="11">
        <v>45926</v>
      </c>
      <c r="G58" s="15">
        <v>-165740</v>
      </c>
      <c r="H58" s="15">
        <v>-13259</v>
      </c>
      <c r="I58" s="15">
        <v>-178999</v>
      </c>
      <c r="J58" s="15">
        <v>-165740</v>
      </c>
      <c r="K58" s="15">
        <v>-13259</v>
      </c>
      <c r="L58" s="15">
        <v>-178999</v>
      </c>
      <c r="M58" s="9" t="s">
        <v>368</v>
      </c>
      <c r="N58" s="9" t="s">
        <v>369</v>
      </c>
      <c r="O58" s="9" t="s">
        <v>370</v>
      </c>
      <c r="P58" s="9" t="s">
        <v>220</v>
      </c>
    </row>
    <row r="59" spans="1:16" ht="72" customHeight="1">
      <c r="A59" s="10" t="s">
        <v>158</v>
      </c>
      <c r="B59" s="10" t="s">
        <v>210</v>
      </c>
      <c r="C59" s="10" t="s">
        <v>36</v>
      </c>
      <c r="D59" s="10" t="s">
        <v>211</v>
      </c>
      <c r="E59" s="14" t="s">
        <v>371</v>
      </c>
      <c r="F59" s="12">
        <v>45824</v>
      </c>
      <c r="G59" s="16">
        <v>165741</v>
      </c>
      <c r="H59" s="16">
        <v>13259</v>
      </c>
      <c r="I59" s="16">
        <v>179000</v>
      </c>
      <c r="J59" s="16"/>
      <c r="K59" s="16"/>
      <c r="L59" s="16"/>
      <c r="M59" s="10"/>
      <c r="N59" s="10" t="s">
        <v>372</v>
      </c>
      <c r="O59" s="10"/>
      <c r="P59" s="10" t="s">
        <v>214</v>
      </c>
    </row>
    <row r="60" spans="1:16" ht="72" customHeight="1">
      <c r="A60" s="9" t="s">
        <v>158</v>
      </c>
      <c r="B60" s="9" t="s">
        <v>210</v>
      </c>
      <c r="C60" s="9" t="s">
        <v>215</v>
      </c>
      <c r="D60" s="9" t="s">
        <v>211</v>
      </c>
      <c r="E60" s="13" t="s">
        <v>373</v>
      </c>
      <c r="F60" s="11">
        <v>45926</v>
      </c>
      <c r="G60" s="15">
        <v>-165741</v>
      </c>
      <c r="H60" s="15">
        <v>-13259</v>
      </c>
      <c r="I60" s="15">
        <v>-179000</v>
      </c>
      <c r="J60" s="15">
        <v>-165741</v>
      </c>
      <c r="K60" s="15">
        <v>-13259</v>
      </c>
      <c r="L60" s="15">
        <v>-179000</v>
      </c>
      <c r="M60" s="9" t="s">
        <v>374</v>
      </c>
      <c r="N60" s="9" t="s">
        <v>375</v>
      </c>
      <c r="O60" s="9" t="s">
        <v>376</v>
      </c>
      <c r="P60" s="9" t="s">
        <v>220</v>
      </c>
    </row>
    <row r="61" spans="1:16" ht="195" customHeight="1">
      <c r="A61" s="10" t="s">
        <v>165</v>
      </c>
      <c r="B61" s="10" t="s">
        <v>29</v>
      </c>
      <c r="C61" s="10" t="s">
        <v>36</v>
      </c>
      <c r="D61" s="10" t="s">
        <v>227</v>
      </c>
      <c r="E61" s="14" t="s">
        <v>377</v>
      </c>
      <c r="F61" s="12">
        <v>45301</v>
      </c>
      <c r="G61" s="16">
        <v>11334130</v>
      </c>
      <c r="H61" s="16">
        <v>906730</v>
      </c>
      <c r="I61" s="16">
        <v>12240860</v>
      </c>
      <c r="J61" s="16">
        <v>11334130</v>
      </c>
      <c r="K61" s="16">
        <v>906730</v>
      </c>
      <c r="L61" s="16">
        <v>12240860</v>
      </c>
      <c r="M61" s="10" t="s">
        <v>378</v>
      </c>
      <c r="N61" s="10" t="s">
        <v>379</v>
      </c>
      <c r="O61" s="10" t="s">
        <v>380</v>
      </c>
      <c r="P61" s="10" t="s">
        <v>220</v>
      </c>
    </row>
    <row r="62" spans="1:16" ht="72" customHeight="1">
      <c r="A62" s="9" t="s">
        <v>165</v>
      </c>
      <c r="B62" s="9" t="s">
        <v>29</v>
      </c>
      <c r="C62" s="9" t="s">
        <v>215</v>
      </c>
      <c r="D62" s="9" t="s">
        <v>211</v>
      </c>
      <c r="E62" s="13" t="s">
        <v>381</v>
      </c>
      <c r="F62" s="11">
        <v>45773</v>
      </c>
      <c r="G62" s="15">
        <v>-356085</v>
      </c>
      <c r="H62" s="15">
        <v>-28487</v>
      </c>
      <c r="I62" s="15">
        <v>-384572</v>
      </c>
      <c r="J62" s="15">
        <v>-356085</v>
      </c>
      <c r="K62" s="15">
        <v>-28487</v>
      </c>
      <c r="L62" s="15">
        <v>-384572</v>
      </c>
      <c r="M62" s="9" t="s">
        <v>382</v>
      </c>
      <c r="N62" s="9" t="s">
        <v>383</v>
      </c>
      <c r="O62" s="9" t="s">
        <v>384</v>
      </c>
      <c r="P62" s="9" t="s">
        <v>220</v>
      </c>
    </row>
    <row r="63" spans="1:16" ht="72" customHeight="1">
      <c r="A63" s="10" t="s">
        <v>170</v>
      </c>
      <c r="B63" s="10" t="s">
        <v>29</v>
      </c>
      <c r="C63" s="10" t="s">
        <v>36</v>
      </c>
      <c r="D63" s="10" t="s">
        <v>227</v>
      </c>
      <c r="E63" s="14" t="s">
        <v>385</v>
      </c>
      <c r="F63" s="12">
        <v>45565</v>
      </c>
      <c r="G63" s="16">
        <v>197727562</v>
      </c>
      <c r="H63" s="16">
        <v>15818205</v>
      </c>
      <c r="I63" s="16">
        <v>213545767</v>
      </c>
      <c r="J63" s="16"/>
      <c r="K63" s="16"/>
      <c r="L63" s="16"/>
      <c r="M63" s="10"/>
      <c r="N63" s="10" t="s">
        <v>386</v>
      </c>
      <c r="O63" s="10"/>
      <c r="P63" s="10" t="s">
        <v>214</v>
      </c>
    </row>
    <row r="64" spans="1:16" ht="72" customHeight="1">
      <c r="A64" s="9" t="s">
        <v>170</v>
      </c>
      <c r="B64" s="9" t="s">
        <v>29</v>
      </c>
      <c r="C64" s="9" t="s">
        <v>215</v>
      </c>
      <c r="D64" s="9" t="s">
        <v>211</v>
      </c>
      <c r="E64" s="13" t="s">
        <v>387</v>
      </c>
      <c r="F64" s="11">
        <v>45807</v>
      </c>
      <c r="G64" s="15">
        <v>17830586</v>
      </c>
      <c r="H64" s="15">
        <v>1426447</v>
      </c>
      <c r="I64" s="15">
        <v>19257033</v>
      </c>
      <c r="J64" s="15">
        <v>17830586</v>
      </c>
      <c r="K64" s="15">
        <v>1426447</v>
      </c>
      <c r="L64" s="15">
        <v>19257033</v>
      </c>
      <c r="M64" s="9" t="s">
        <v>388</v>
      </c>
      <c r="N64" s="9" t="s">
        <v>389</v>
      </c>
      <c r="O64" s="9" t="s">
        <v>390</v>
      </c>
      <c r="P64" s="9" t="s">
        <v>220</v>
      </c>
    </row>
    <row r="65" spans="1:16" ht="72" customHeight="1">
      <c r="A65" s="10" t="s">
        <v>175</v>
      </c>
      <c r="B65" s="10" t="s">
        <v>29</v>
      </c>
      <c r="C65" s="10" t="s">
        <v>36</v>
      </c>
      <c r="D65" s="10" t="s">
        <v>227</v>
      </c>
      <c r="E65" s="14" t="s">
        <v>391</v>
      </c>
      <c r="F65" s="12">
        <v>45611</v>
      </c>
      <c r="G65" s="16">
        <v>0</v>
      </c>
      <c r="H65" s="16">
        <v>0</v>
      </c>
      <c r="I65" s="16"/>
      <c r="J65" s="16"/>
      <c r="K65" s="16"/>
      <c r="L65" s="16"/>
      <c r="M65" s="10"/>
      <c r="N65" s="10" t="s">
        <v>392</v>
      </c>
      <c r="O65" s="10"/>
      <c r="P65" s="10" t="s">
        <v>214</v>
      </c>
    </row>
    <row r="66" spans="1:16" ht="72" customHeight="1">
      <c r="A66" s="9" t="s">
        <v>175</v>
      </c>
      <c r="B66" s="9" t="s">
        <v>29</v>
      </c>
      <c r="C66" s="9" t="s">
        <v>215</v>
      </c>
      <c r="D66" s="9" t="s">
        <v>211</v>
      </c>
      <c r="E66" s="13" t="s">
        <v>393</v>
      </c>
      <c r="F66" s="11">
        <v>45807</v>
      </c>
      <c r="G66" s="15">
        <v>1702778</v>
      </c>
      <c r="H66" s="15">
        <v>136222</v>
      </c>
      <c r="I66" s="15">
        <v>1839000</v>
      </c>
      <c r="J66" s="15">
        <v>1702778</v>
      </c>
      <c r="K66" s="15">
        <v>136222</v>
      </c>
      <c r="L66" s="15">
        <v>1839000</v>
      </c>
      <c r="M66" s="9" t="s">
        <v>394</v>
      </c>
      <c r="N66" s="9" t="s">
        <v>395</v>
      </c>
      <c r="O66" s="9" t="s">
        <v>396</v>
      </c>
      <c r="P66" s="9" t="s">
        <v>220</v>
      </c>
    </row>
    <row r="67" spans="1:16" ht="72" customHeight="1">
      <c r="A67" s="10" t="s">
        <v>180</v>
      </c>
      <c r="B67" s="10" t="s">
        <v>29</v>
      </c>
      <c r="C67" s="10" t="s">
        <v>36</v>
      </c>
      <c r="D67" s="10" t="s">
        <v>211</v>
      </c>
      <c r="E67" s="14" t="s">
        <v>397</v>
      </c>
      <c r="F67" s="12">
        <v>45804</v>
      </c>
      <c r="G67" s="16">
        <v>675000</v>
      </c>
      <c r="H67" s="16">
        <v>54000</v>
      </c>
      <c r="I67" s="16">
        <v>729000</v>
      </c>
      <c r="J67" s="16"/>
      <c r="K67" s="16"/>
      <c r="L67" s="16"/>
      <c r="M67" s="10"/>
      <c r="N67" s="10" t="s">
        <v>398</v>
      </c>
      <c r="O67" s="10"/>
      <c r="P67" s="10" t="s">
        <v>214</v>
      </c>
    </row>
    <row r="68" spans="1:16" ht="72" customHeight="1">
      <c r="A68" s="9" t="s">
        <v>180</v>
      </c>
      <c r="B68" s="9" t="s">
        <v>29</v>
      </c>
      <c r="C68" s="9" t="s">
        <v>215</v>
      </c>
      <c r="D68" s="9" t="s">
        <v>211</v>
      </c>
      <c r="E68" s="13" t="s">
        <v>399</v>
      </c>
      <c r="F68" s="11">
        <v>45825</v>
      </c>
      <c r="G68" s="15">
        <v>0</v>
      </c>
      <c r="H68" s="15">
        <v>0</v>
      </c>
      <c r="I68" s="15"/>
      <c r="J68" s="15">
        <v>0</v>
      </c>
      <c r="K68" s="15">
        <v>0</v>
      </c>
      <c r="L68" s="15">
        <v>0</v>
      </c>
      <c r="M68" s="9" t="s">
        <v>400</v>
      </c>
      <c r="N68" s="9" t="s">
        <v>401</v>
      </c>
      <c r="O68" s="9" t="s">
        <v>402</v>
      </c>
      <c r="P68" s="9" t="s">
        <v>403</v>
      </c>
    </row>
    <row r="69" spans="1:16" ht="72" customHeight="1">
      <c r="A69" s="10" t="s">
        <v>185</v>
      </c>
      <c r="B69" s="10" t="s">
        <v>29</v>
      </c>
      <c r="C69" s="10" t="s">
        <v>36</v>
      </c>
      <c r="D69" s="10" t="s">
        <v>211</v>
      </c>
      <c r="E69" s="14" t="s">
        <v>404</v>
      </c>
      <c r="F69" s="12">
        <v>45807</v>
      </c>
      <c r="G69" s="16">
        <v>406481</v>
      </c>
      <c r="H69" s="16">
        <v>32518</v>
      </c>
      <c r="I69" s="16">
        <v>438999</v>
      </c>
      <c r="J69" s="16"/>
      <c r="K69" s="16"/>
      <c r="L69" s="16"/>
      <c r="M69" s="10"/>
      <c r="N69" s="10" t="s">
        <v>405</v>
      </c>
      <c r="O69" s="10"/>
      <c r="P69" s="10" t="s">
        <v>214</v>
      </c>
    </row>
    <row r="70" spans="1:16" ht="72" customHeight="1">
      <c r="A70" s="9" t="s">
        <v>185</v>
      </c>
      <c r="B70" s="9" t="s">
        <v>29</v>
      </c>
      <c r="C70" s="9" t="s">
        <v>215</v>
      </c>
      <c r="D70" s="9" t="s">
        <v>211</v>
      </c>
      <c r="E70" s="13" t="s">
        <v>406</v>
      </c>
      <c r="F70" s="11">
        <v>45817</v>
      </c>
      <c r="G70" s="15">
        <v>0</v>
      </c>
      <c r="H70" s="15">
        <v>0</v>
      </c>
      <c r="I70" s="15"/>
      <c r="J70" s="15">
        <v>0</v>
      </c>
      <c r="K70" s="15">
        <v>0</v>
      </c>
      <c r="L70" s="15">
        <v>0</v>
      </c>
      <c r="M70" s="9" t="s">
        <v>407</v>
      </c>
      <c r="N70" s="9" t="s">
        <v>408</v>
      </c>
      <c r="O70" s="9" t="s">
        <v>409</v>
      </c>
      <c r="P70" s="9" t="s">
        <v>403</v>
      </c>
    </row>
    <row r="71" spans="1:16" ht="72" customHeight="1">
      <c r="A71" s="10" t="s">
        <v>188</v>
      </c>
      <c r="B71" s="10" t="s">
        <v>29</v>
      </c>
      <c r="C71" s="10" t="s">
        <v>36</v>
      </c>
      <c r="D71" s="10" t="s">
        <v>211</v>
      </c>
      <c r="E71" s="14" t="s">
        <v>410</v>
      </c>
      <c r="F71" s="12">
        <v>45807</v>
      </c>
      <c r="G71" s="16">
        <v>406481</v>
      </c>
      <c r="H71" s="16">
        <v>32518</v>
      </c>
      <c r="I71" s="16">
        <v>438999</v>
      </c>
      <c r="J71" s="16"/>
      <c r="K71" s="16"/>
      <c r="L71" s="16"/>
      <c r="M71" s="10"/>
      <c r="N71" s="10" t="s">
        <v>411</v>
      </c>
      <c r="O71" s="10"/>
      <c r="P71" s="10" t="s">
        <v>214</v>
      </c>
    </row>
    <row r="72" spans="1:16" ht="72" customHeight="1">
      <c r="A72" s="9" t="s">
        <v>188</v>
      </c>
      <c r="B72" s="9" t="s">
        <v>29</v>
      </c>
      <c r="C72" s="9" t="s">
        <v>215</v>
      </c>
      <c r="D72" s="9" t="s">
        <v>211</v>
      </c>
      <c r="E72" s="13" t="s">
        <v>412</v>
      </c>
      <c r="F72" s="11">
        <v>45817</v>
      </c>
      <c r="G72" s="15">
        <v>0</v>
      </c>
      <c r="H72" s="15">
        <v>0</v>
      </c>
      <c r="I72" s="15"/>
      <c r="J72" s="15">
        <v>0</v>
      </c>
      <c r="K72" s="15">
        <v>0</v>
      </c>
      <c r="L72" s="15">
        <v>0</v>
      </c>
      <c r="M72" s="9" t="s">
        <v>413</v>
      </c>
      <c r="N72" s="9" t="s">
        <v>414</v>
      </c>
      <c r="O72" s="9" t="s">
        <v>415</v>
      </c>
      <c r="P72" s="9" t="s">
        <v>403</v>
      </c>
    </row>
    <row r="73" spans="1:16" ht="72" customHeight="1">
      <c r="A73" s="10" t="s">
        <v>191</v>
      </c>
      <c r="B73" s="10" t="s">
        <v>29</v>
      </c>
      <c r="C73" s="10" t="s">
        <v>36</v>
      </c>
      <c r="D73" s="10" t="s">
        <v>211</v>
      </c>
      <c r="E73" s="14" t="s">
        <v>416</v>
      </c>
      <c r="F73" s="12">
        <v>45836</v>
      </c>
      <c r="G73" s="16">
        <v>3869444</v>
      </c>
      <c r="H73" s="16">
        <v>309556</v>
      </c>
      <c r="I73" s="16">
        <v>4179000</v>
      </c>
      <c r="J73" s="16"/>
      <c r="K73" s="16"/>
      <c r="L73" s="16"/>
      <c r="M73" s="10"/>
      <c r="N73" s="10" t="s">
        <v>417</v>
      </c>
      <c r="O73" s="10"/>
      <c r="P73" s="10" t="s">
        <v>214</v>
      </c>
    </row>
    <row r="74" spans="1:16" ht="91" customHeight="1">
      <c r="A74" s="9" t="s">
        <v>191</v>
      </c>
      <c r="B74" s="9" t="s">
        <v>29</v>
      </c>
      <c r="C74" s="9" t="s">
        <v>215</v>
      </c>
      <c r="D74" s="9" t="s">
        <v>211</v>
      </c>
      <c r="E74" s="13" t="s">
        <v>418</v>
      </c>
      <c r="F74" s="11">
        <v>45837</v>
      </c>
      <c r="G74" s="15">
        <v>0</v>
      </c>
      <c r="H74" s="15">
        <v>0</v>
      </c>
      <c r="I74" s="15"/>
      <c r="J74" s="15">
        <v>0</v>
      </c>
      <c r="K74" s="15">
        <v>0</v>
      </c>
      <c r="L74" s="15">
        <v>0</v>
      </c>
      <c r="M74" s="9" t="s">
        <v>419</v>
      </c>
      <c r="N74" s="9" t="s">
        <v>420</v>
      </c>
      <c r="O74" s="9" t="s">
        <v>421</v>
      </c>
      <c r="P74" s="9" t="s">
        <v>403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Tong hop</vt:lpstr>
      <vt:lpstr>Lech tien</vt:lpstr>
      <vt:lpstr>So luong can kiem</vt:lpstr>
      <vt:lpstr>Thanh toan trong</vt:lpstr>
      <vt:lpstr>Hang va mo ta</vt:lpstr>
      <vt:lpstr>Cach ghi dieu chinh</vt:lpstr>
      <vt:lpstr>Da co can cu</vt:lpstr>
      <vt:lpstr>Hoa don lien quan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Thuong Ngo</cp:lastModifiedBy>
  <dcterms:modified xsi:type="dcterms:W3CDTF">2026-10-11T16:27:47Z</dcterms:modified>
</cp:coreProperties>
</file>