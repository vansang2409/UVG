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 cty 2024" sheetId="1" r:id="rId4"/>
    <sheet state="hidden" name="F0, F1, F2, ..." sheetId="2" r:id="rId5"/>
    <sheet state="hidden" name="Ngoai le" sheetId="3" r:id="rId6"/>
    <sheet state="hidden" name="HD cty 2025" sheetId="4" r:id="rId7"/>
    <sheet state="hidden" name="HĐ ghi nhận UVG 2024" sheetId="5" r:id="rId8"/>
  </sheets>
  <externalReferences>
    <externalReference r:id="rId9"/>
  </externalReferences>
  <definedNames>
    <definedName hidden="1" localSheetId="0" name="_xlnm._FilterDatabase">'HD cty 2024'!$A$1:$Z$119</definedName>
    <definedName hidden="1" localSheetId="1" name="Z_A34D23B9_0938_442E_ADE5_6BD0F8F0124B_.wvu.FilterData">'F0, F1, F2, ...'!$A$2:$BD$594</definedName>
    <definedName hidden="1" localSheetId="2" name="Z_946229BF_9194_41F0_A90A_A8F90018D446_.wvu.FilterData">'Ngoai le'!$A$2:$X$119</definedName>
  </definedNames>
  <calcPr/>
  <customWorkbookViews>
    <customWorkbookView activeSheetId="0" maximized="1" windowHeight="0" windowWidth="0" guid="{A34D23B9-0938-442E-ADE5-6BD0F8F0124B}" name="DieuChinhChuoi filter view"/>
    <customWorkbookView activeSheetId="0" maximized="1" windowHeight="0" windowWidth="0" guid="{946229BF-9194-41F0-A90A-A8F90018D446}" name="NgoaiLeChuoi filter view"/>
  </customWorkbookViews>
  <extLst>
    <ext uri="GoogleSheetsCustomDataVersion2">
      <go:sheetsCustomData xmlns:go="http://customooxmlschemas.google.com/" r:id="rId10" roundtripDataChecksum="Znt7wkHqPXIFgisHIMl2IW9f0FdigWcoa+t7iJnCrW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09">
      <text>
        <t xml:space="preserve">======
ID#doco.nY5isBjmEquYwrR9uGVrMg
tc={5292FFB7-9F7D-4847-956C-42E8D2267F04}    (2026-10-25 03:06:44)
[Threaded comment]
Your version of Excel allows you to read this threaded comment; however, any edits to it will get removed if the file is opened in a newer version of Excel. Learn more: https://go.microsoft.com/fwlink/?linkid=870924
Comment:
    Bị thay thế HD 2605 =&gt; HD61 không còn hiệu lực</t>
      </text>
    </comment>
  </commentList>
  <extLst>
    <ext uri="GoogleSheetsCustomDataVersion2">
      <go:sheetsCustomData xmlns:go="http://customooxmlschemas.google.com/" r:id="rId1" roundtripDataSignature="AMtx7mg6ITOs1yk7rLr5qp74kgUiUi+qAA=="/>
    </ext>
  </extLst>
</comments>
</file>

<file path=xl/sharedStrings.xml><?xml version="1.0" encoding="utf-8"?>
<sst xmlns="http://schemas.openxmlformats.org/spreadsheetml/2006/main" count="9575" uniqueCount="4346">
  <si>
    <t>Ký hiệu</t>
  </si>
  <si>
    <t>Số hóa đơn</t>
  </si>
  <si>
    <t>Ngày hóa đơn</t>
  </si>
  <si>
    <t>MST</t>
  </si>
  <si>
    <t>Tên công ty</t>
  </si>
  <si>
    <t>Địa chỉ</t>
  </si>
  <si>
    <t>Tiền hàng</t>
  </si>
  <si>
    <t>Tiền thuế</t>
  </si>
  <si>
    <t>Thanh toán</t>
  </si>
  <si>
    <t>Trạng thái hóa đơn</t>
  </si>
  <si>
    <t>Số đơn hàng</t>
  </si>
  <si>
    <t>Tên Sàn</t>
  </si>
  <si>
    <t>STT</t>
  </si>
  <si>
    <t>BHH</t>
  </si>
  <si>
    <t>Note</t>
  </si>
  <si>
    <t>Hóa đơn điều chỉnh liên quan</t>
  </si>
  <si>
    <t>Thông tin người mua</t>
  </si>
  <si>
    <t>Ký hiệu mẫu số</t>
  </si>
  <si>
    <t>Ký hiệu hóa đơn</t>
  </si>
  <si>
    <t>Tháng</t>
  </si>
  <si>
    <t>Ngày lập</t>
  </si>
  <si>
    <t>Thành tiền sau điều chỉnh</t>
  </si>
  <si>
    <t>MST người bán/MST người xuất hàng</t>
  </si>
  <si>
    <t>F0 — Hóa đơn gốc</t>
  </si>
  <si>
    <t>Tên người bán/Tên người xuất hàng</t>
  </si>
  <si>
    <t>Thuế sau điều chỉnh</t>
  </si>
  <si>
    <t>MST người mua/MST người nhận hàng</t>
  </si>
  <si>
    <t>Tên người mua/Tên người nhận hàng</t>
  </si>
  <si>
    <t>Lệch tiền hàng so với Amis</t>
  </si>
  <si>
    <t>Địa chỉ người mua</t>
  </si>
  <si>
    <t>Căn cước công dân</t>
  </si>
  <si>
    <t>Tổng tiền chưa thuế</t>
  </si>
  <si>
    <t>Lệch tiền thuế so với Amis</t>
  </si>
  <si>
    <t>Tổng tiền thuế</t>
  </si>
  <si>
    <t>Tổng tiền chiết khấu thương mại</t>
  </si>
  <si>
    <t>Hướng xử lý (Note 25,10,2026)</t>
  </si>
  <si>
    <t>Tổng tiền thanh toán</t>
  </si>
  <si>
    <t>F1 — Điều chỉnh</t>
  </si>
  <si>
    <t>Kết quả kiểm tra hóa đơn</t>
  </si>
  <si>
    <t>F1 — Hóa đơn liên quan</t>
  </si>
  <si>
    <t>1C24TUV</t>
  </si>
  <si>
    <t>F2 — Điều chỉnh</t>
  </si>
  <si>
    <t>F2 — Hóa đơn liên quan</t>
  </si>
  <si>
    <t>C25MUV</t>
  </si>
  <si>
    <t>03/12/2024</t>
  </si>
  <si>
    <t>F3 — Điều chỉnh</t>
  </si>
  <si>
    <t>Giá trị cộng dồn và kiểm tra</t>
  </si>
  <si>
    <t>4001091085</t>
  </si>
  <si>
    <t>CÔNG TY CỔ PHẦN CÔNG NGHỆ UVGREEN</t>
  </si>
  <si>
    <t>DOANH NGHIỆP TƯ NHÂN DU LỊCH AN PHÁT</t>
  </si>
  <si>
    <t>301 Nguyễn Duy Hiệu, Phường Sơn Phong, Thành phố Hội An, Tỉnh Quảng Nam, Việt Nam</t>
  </si>
  <si>
    <t>CÔNG TY TNHH SIMMI FOOD</t>
  </si>
  <si>
    <t>68 Cao Triều Phát, Phú Mỹ Hưng, phường Tân Hưng , Thành phố Hồ Chí Minh</t>
  </si>
  <si>
    <t>1,996,297.0</t>
  </si>
  <si>
    <t>159,704.0</t>
  </si>
  <si>
    <t>2,156,001.0</t>
  </si>
  <si>
    <t>Hóa đơn đã bị điều chỉnh</t>
  </si>
  <si>
    <t>Hóa đơn mới</t>
  </si>
  <si>
    <t>Cục Thuế đã nhận hóa đơn có mã khởi tạo từ máy tính tiền</t>
  </si>
  <si>
    <t>Tên người mua</t>
  </si>
  <si>
    <t>241129FVW621DF</t>
  </si>
  <si>
    <t>F4 — Hóa đơn dự kiến tạo</t>
  </si>
  <si>
    <t>Shopee</t>
  </si>
  <si>
    <t>CÔNG TY TNHH PHÒNG KHÁM VẠN AN MỘC</t>
  </si>
  <si>
    <t>602/58 ĐIỆN BIÊN PHỦ, PHƯỜNG THẠNH MỸ TÂY, THÀNH PHỐ HỒ CHÍ MINH</t>
  </si>
  <si>
    <t>1,589,815.0</t>
  </si>
  <si>
    <t>BHHS2024008034</t>
  </si>
  <si>
    <t>127,185.0</t>
  </si>
  <si>
    <t>1,717,000.0</t>
  </si>
  <si>
    <t>00002591</t>
  </si>
  <si>
    <t>CÔNG TY CỔ PHẦN ĐẦU TƯ XÂY DỰNG SKYLINE</t>
  </si>
  <si>
    <t>Số 30 Đường số 02, Phường An Lạc, Thành phố Hồ Chí Minh, Việt Nam</t>
  </si>
  <si>
    <t>1,369,444.0</t>
  </si>
  <si>
    <t>109,556.0</t>
  </si>
  <si>
    <t>1,479,000.0</t>
  </si>
  <si>
    <t>MST/CCCD chủ hộ nguyên bản</t>
  </si>
  <si>
    <t>CÔNG TY TNHH SẢN XUẤT VÀ ĐẦU TƯ AKIA</t>
  </si>
  <si>
    <t>132 Võ Thị Sáu, Phường Xuân Hòa, TP Hồ Chí Minh, Việt Nam.</t>
  </si>
  <si>
    <t>7,646,668.0</t>
  </si>
  <si>
    <t>611,732.0</t>
  </si>
  <si>
    <t>8,258,400.0</t>
  </si>
  <si>
    <t>CÔNG TY TNHH THE CORE PRODUCTIONS</t>
  </si>
  <si>
    <t>Số 65 ngõ 266 phố Đội Cấn, phường Cống Vị, quận Ba Đình, thành phố Hà Nội</t>
  </si>
  <si>
    <t>3,058,575.0</t>
  </si>
  <si>
    <t>244,686.0</t>
  </si>
  <si>
    <t>Ngày</t>
  </si>
  <si>
    <t>3,303,261.0</t>
  </si>
  <si>
    <t>0315003501-001</t>
  </si>
  <si>
    <t>CHI NHÁNH CÔNG TY TNHH MÁY MÓC AN ĐỨC</t>
  </si>
  <si>
    <t>Lô DC38, Số 48, Đường D11, Khu dân cư Việt- Sing, Khu phố 4, Phường Thuận An, TP Hồ Chí Minh, Việt Nam</t>
  </si>
  <si>
    <t>591,666.0</t>
  </si>
  <si>
    <t>47,333.0</t>
  </si>
  <si>
    <t>638,999.0</t>
  </si>
  <si>
    <t>Thuế</t>
  </si>
  <si>
    <t>F5 — Hóa đơn dự kiến tạo</t>
  </si>
  <si>
    <t>Công Ty TNHH MTV Học Viện Cộng Đồng Quốc Tế</t>
  </si>
  <si>
    <t>Số 20 ngõ 165 Cầu Giấy</t>
  </si>
  <si>
    <t>5,591,666.0</t>
  </si>
  <si>
    <t>Ký hiệu sửa 1</t>
  </si>
  <si>
    <t>447,333.0</t>
  </si>
  <si>
    <t>6,038,999.0</t>
  </si>
  <si>
    <t>F6 — Hóa đơn dự kiến tạo</t>
  </si>
  <si>
    <t>Số hóa đơn sửa 1</t>
  </si>
  <si>
    <t>CÔNG TY TNHH VẬN TẢI VÀ THƯƠNG MẠI TÀI THÔNG</t>
  </si>
  <si>
    <t>Số 9 Ngõ 65, Phố Vân Hồ 3, Phường Hai Bà Trưng, TP Hà Nội, Việt Nam</t>
  </si>
  <si>
    <t>2,260,255.0</t>
  </si>
  <si>
    <t>180,820.0</t>
  </si>
  <si>
    <t>F7 — Hóa đơn dự kiến tạo</t>
  </si>
  <si>
    <t>2,441,075.0</t>
  </si>
  <si>
    <t>Ngày sửa 1</t>
  </si>
  <si>
    <t>Tiền hàng sửa 1</t>
  </si>
  <si>
    <t>Cộng dồn sau F4–F7 (dự kiến)</t>
  </si>
  <si>
    <t>6,528,000.0</t>
  </si>
  <si>
    <t>522,240.0</t>
  </si>
  <si>
    <t>Thuế sửa 1</t>
  </si>
  <si>
    <t>7,050,240.0</t>
  </si>
  <si>
    <t>Thanh toán sửa 1</t>
  </si>
  <si>
    <t>Công Ty TNHH LITTLE CAM</t>
  </si>
  <si>
    <t>04/12/2024</t>
  </si>
  <si>
    <t>0312239812</t>
  </si>
  <si>
    <t>115/3 Trần Quốc Thảo , phường Xuân Hòà ,tp
  Hồ Chí Minh, Việt Nam</t>
  </si>
  <si>
    <t>CÔNG TY TNHH MỘT THÀNH VIÊN XĂNG DẦU SONG ĐĂNG</t>
  </si>
  <si>
    <t>499,073.0</t>
  </si>
  <si>
    <t>D19/28 Hương Lộ 80, ấp 4, Xã Vĩnh Lộc B, Huyện Bình Chánh, Thành phố Hồ Chí Minh, Việt Nam</t>
  </si>
  <si>
    <t>39,926.0</t>
  </si>
  <si>
    <t>Ký hiệu sửa 2</t>
  </si>
  <si>
    <t>538,999.0</t>
  </si>
  <si>
    <t>241130JYVEQAPY</t>
  </si>
  <si>
    <t>BHHS2024008128</t>
  </si>
  <si>
    <t>Số hóa đơn sửa 2</t>
  </si>
  <si>
    <t>Năm</t>
  </si>
  <si>
    <t>00002592</t>
  </si>
  <si>
    <t>CÔNG TY TNHH XÂY DỰNG NĐT VÀ T</t>
  </si>
  <si>
    <t>Phòng 301, Số 79 Đường A4, Phường Bảy Hiền, TP Hồ Chí Minh, Việt Nam.</t>
  </si>
  <si>
    <t>313,889.0</t>
  </si>
  <si>
    <t>25,111.0</t>
  </si>
  <si>
    <t>339,000.0</t>
  </si>
  <si>
    <t>Ngày sửa 2</t>
  </si>
  <si>
    <t>CÔNG TY TNHH THƯƠNG MẠI XE MÁY PHÚC LỘC 68</t>
  </si>
  <si>
    <t>Tiền hàng sửa 2</t>
  </si>
  <si>
    <t>Số 1B, khu phố 12, Phường Tam Hiệp, Đồng Nai, Việt Nam.</t>
  </si>
  <si>
    <t>3,536,111.0</t>
  </si>
  <si>
    <t>282,889.0</t>
  </si>
  <si>
    <t>3,819,000.0</t>
  </si>
  <si>
    <t>Thuế sửa 2</t>
  </si>
  <si>
    <t>Thanh toán sửa 2</t>
  </si>
  <si>
    <t>05/12/2024</t>
  </si>
  <si>
    <t>CÔNG TY CỔ PHẦN SENSE OF LIFE</t>
  </si>
  <si>
    <t>0318588954</t>
  </si>
  <si>
    <t>CÔNG TY TNHH CHÚ CÁ</t>
  </si>
  <si>
    <t>Số 36 Đường số 1, Phường Khánh Hội, TP Hồ Chí Minh, Việt Nam.</t>
  </si>
  <si>
    <t>33 Tân Trụ, Phường 15, Quận Tân Bình, Thành phố Hồ Chí Minh, Việt Nam</t>
  </si>
  <si>
    <t>1,153,704.0</t>
  </si>
  <si>
    <t>Cộng dồn tiền hàng</t>
  </si>
  <si>
    <t>92,296.0</t>
  </si>
  <si>
    <t>1,246,000.0</t>
  </si>
  <si>
    <t>HD007378.01</t>
  </si>
  <si>
    <t>Ngoài sàn</t>
  </si>
  <si>
    <t>BHHN2024000017</t>
  </si>
  <si>
    <t>Cộng dồn thuế</t>
  </si>
  <si>
    <t>Ký hiệu 1</t>
  </si>
  <si>
    <t>CÔNG TY TNHH THƯƠNG MẠI VÀ DỊCH VỤ HÀO TƯỜNG</t>
  </si>
  <si>
    <t>63 Nguyễn Công Hãng, Phường An Khê, TP Đà Nẵng, Việt Nam.</t>
  </si>
  <si>
    <t>Cộng dồn thanh toán</t>
  </si>
  <si>
    <t>2,813,889.0</t>
  </si>
  <si>
    <t>225,111.0</t>
  </si>
  <si>
    <t>3,039,000.0</t>
  </si>
  <si>
    <t>Số hóa đơn 1</t>
  </si>
  <si>
    <t>Hóa đơn thay thế</t>
  </si>
  <si>
    <t>Cần kiểm tra</t>
  </si>
  <si>
    <t>Ngày 1</t>
  </si>
  <si>
    <t>Tiền hàng 1</t>
  </si>
  <si>
    <t>CÔNG TY TNHH GIA SƯ ETEACHER</t>
  </si>
  <si>
    <t>Thuế 1</t>
  </si>
  <si>
    <t>11,938,000.0</t>
  </si>
  <si>
    <t>955,040.0</t>
  </si>
  <si>
    <t>09/12/2024</t>
  </si>
  <si>
    <t>0202232740</t>
  </si>
  <si>
    <t>12,893,040.0</t>
  </si>
  <si>
    <t>CÔNG TY TNHH THƯƠNG MẠI DỊCH VỤ VÀ VẬN CHUYỂN AECP</t>
  </si>
  <si>
    <t>Số 2C/280 Trung Lực, Phường Đằng Lâm, Quận Hải An, Thành phố Hải Phòng, Việt Nam</t>
  </si>
  <si>
    <t>Thanh toán 1</t>
  </si>
  <si>
    <t>0314215951</t>
  </si>
  <si>
    <t>241130KSXRS8QW</t>
  </si>
  <si>
    <t>BHHS2024008146</t>
  </si>
  <si>
    <t>Ký hiệu 2</t>
  </si>
  <si>
    <t>5,970,000.0</t>
  </si>
  <si>
    <t>477,600.0</t>
  </si>
  <si>
    <t>Số hóa đơn 2</t>
  </si>
  <si>
    <t>6,447,600.0</t>
  </si>
  <si>
    <t>Ngày 2</t>
  </si>
  <si>
    <t>11/12/2024</t>
  </si>
  <si>
    <t>0109724748</t>
  </si>
  <si>
    <t>Tiền hàng 2</t>
  </si>
  <si>
    <t>CÔNG TY CỔ PHẦN VGENTECH</t>
  </si>
  <si>
    <t>Xóm 8, thôn Việt Yên, Xã Ngũ Hiệp, Huyện Thanh Trì, Thành phố Hà Nội, Việt Nam</t>
  </si>
  <si>
    <t>579703438136150806</t>
  </si>
  <si>
    <t>Thuế 2</t>
  </si>
  <si>
    <t>Tiktok</t>
  </si>
  <si>
    <t>578,987.0</t>
  </si>
  <si>
    <t>BHHT2024024139</t>
  </si>
  <si>
    <t>46,319.0</t>
  </si>
  <si>
    <t>00002639</t>
  </si>
  <si>
    <t>625,306.0</t>
  </si>
  <si>
    <t>Thanh toán 2</t>
  </si>
  <si>
    <t>Ký hiệu 3</t>
  </si>
  <si>
    <t>60/1 Lê Thị Riêng, Phường Phạm Ngũ Lão, Quận 1, Thành phố Hồ Chí Minh 10000</t>
  </si>
  <si>
    <t>499,074.0</t>
  </si>
  <si>
    <t>Số hóa đơn 3</t>
  </si>
  <si>
    <t>539,000.0</t>
  </si>
  <si>
    <t>Ngày 3</t>
  </si>
  <si>
    <t>602/58 Điện Biên Phủ, Phường Thạnh Mỹ Tây, TP Hồ Chí Minh, Việt Nam</t>
  </si>
  <si>
    <t>1,286,231.0</t>
  </si>
  <si>
    <t>Tiền hàng 3</t>
  </si>
  <si>
    <t>102,899.0</t>
  </si>
  <si>
    <t>13/12/2024</t>
  </si>
  <si>
    <t>1,389,130.0</t>
  </si>
  <si>
    <t>0315729798</t>
  </si>
  <si>
    <t>CÔNG TY TNHH THỰC PHẨM TOÀN CẦU HUY HOÀNG</t>
  </si>
  <si>
    <t>Thuế 3</t>
  </si>
  <si>
    <t>85 Hoàng Sa, Phường Đa Kao, Quận 1, Thành phố Hồ Chí Minh, Việt Nam</t>
  </si>
  <si>
    <t>241212KM47RTQK</t>
  </si>
  <si>
    <t>Thanh toán 3</t>
  </si>
  <si>
    <t>BHHS2024008520</t>
  </si>
  <si>
    <t>CÔNG TY TNHH DJWORKS</t>
  </si>
  <si>
    <t>00002219</t>
  </si>
  <si>
    <t>85 Hoàng Sa, Phường Tân Định, TP Hồ Chí Minh, Việt Nam.</t>
  </si>
  <si>
    <t>474,573.0</t>
  </si>
  <si>
    <t>37,966.0</t>
  </si>
  <si>
    <t>512,539.0</t>
  </si>
  <si>
    <t>0312151237-002</t>
  </si>
  <si>
    <t>CHI NHÁNH CÔNG TY TNHH AUTOGRILL VFS F&amp;B TẠI CAM RANH</t>
  </si>
  <si>
    <t>Khu cách ly ga đi quốc nội (gần gate số 1) tại sân bay Cam Ranh, Phường Bắc Cam Ranh, Khánh Hòa, Việt Nam.</t>
  </si>
  <si>
    <t>471,950.0</t>
  </si>
  <si>
    <t>37,756.0</t>
  </si>
  <si>
    <t>509,706.0</t>
  </si>
  <si>
    <t>16/12/2024</t>
  </si>
  <si>
    <t>0303427866</t>
  </si>
  <si>
    <t>CÔNG TY TNHH TIẾP VẬN VẬN TẢI QUỐC TẾ VÕ LƯƠNG</t>
  </si>
  <si>
    <t>Công ty TNHH PHÒNG KHÁM VẠN AN MỘC</t>
  </si>
  <si>
    <t>174/13 Điện Biên Phủ, Phường 17, Quận Bình Thạnh, Thành phố Hồ Chí Minh, Việt Nam</t>
  </si>
  <si>
    <t>Nội dung F4 / HĐ tham chiếu</t>
  </si>
  <si>
    <t>602/58 Điện Biên Phủ, Phường Thạnh Mỹ Tây, Thành phố Hồ Chí Minh</t>
  </si>
  <si>
    <t>643,116.0</t>
  </si>
  <si>
    <t>241212KHD7Y219</t>
  </si>
  <si>
    <t>51,449.0</t>
  </si>
  <si>
    <t>BHHS2024008508</t>
  </si>
  <si>
    <t>694,565.0</t>
  </si>
  <si>
    <t>00002220</t>
  </si>
  <si>
    <t>CÔNG TY TNHH QUỐC TẾ SYNEX</t>
  </si>
  <si>
    <t>Số HĐ mới F4</t>
  </si>
  <si>
    <t>Doanh Nghiệp TN Du Lịch An Phát</t>
  </si>
  <si>
    <t>0316328904</t>
  </si>
  <si>
    <t>301 Nguyễn Duy Hiệu, phường Hội An, Đà Nẵng, Việt Nam</t>
  </si>
  <si>
    <t>Ngày HĐ mới F4</t>
  </si>
  <si>
    <t>Tiền hàng F4</t>
  </si>
  <si>
    <t>Công ty TNHH Thang máy và nội thất My Home</t>
  </si>
  <si>
    <t>Thuế F4</t>
  </si>
  <si>
    <t>140 Võ Chí Công, Xuân La, Tây Hồ, Hà Nội</t>
  </si>
  <si>
    <t>2,554,146.0</t>
  </si>
  <si>
    <t>17/12/2024</t>
  </si>
  <si>
    <t>204,332.0</t>
  </si>
  <si>
    <t>1701239486</t>
  </si>
  <si>
    <t>2,758,478.0</t>
  </si>
  <si>
    <t>Thanh toán F4</t>
  </si>
  <si>
    <t>CÔNG TY CỔ PHẦN SÀI GÒN DƯƠNG ĐÔNG</t>
  </si>
  <si>
    <t>Đường Cách Mạng Tháng Tám, khu phố 6, Phường Dương Đông, Thành phố Phú Quốc, Tỉnh Kiên Giang, Việt Nam</t>
  </si>
  <si>
    <t>241212M6VCV4RW</t>
  </si>
  <si>
    <t>BHHS2024008591</t>
  </si>
  <si>
    <t>00002595</t>
  </si>
  <si>
    <t>Công ty TNHH Dịch Vụ KUNOICHI</t>
  </si>
  <si>
    <t>Nội dung F5 / HĐ tham chiếu</t>
  </si>
  <si>
    <t>Số 8A/3B2 Đường Thái Văn Lung, Phường Sài Gòn, Thành phố Hồ Chí Minh, Việt Nam</t>
  </si>
  <si>
    <t>Số HĐ mới F5</t>
  </si>
  <si>
    <t>Công ty TNHH MSP</t>
  </si>
  <si>
    <t>Ngày HĐ mới F5</t>
  </si>
  <si>
    <t>95/6/1 Đường Lương Định Của, Khu Phố 3 , Phường An Khánh, Thành phố Hồ Chí Minh, Việt Nam</t>
  </si>
  <si>
    <t>5,627,778.0</t>
  </si>
  <si>
    <t>450,222.0</t>
  </si>
  <si>
    <t>6,078,000.0</t>
  </si>
  <si>
    <t>Tiền hàng F5</t>
  </si>
  <si>
    <t>21/12/2024</t>
  </si>
  <si>
    <t>4000394369</t>
  </si>
  <si>
    <t>CÔNG TY TRÁCH NHIỆM HỮU HẠN YEOU LIH SILICA SAND VIỆT NAM</t>
  </si>
  <si>
    <t>Thôn Mỹ Bình, Xã Tam Hiệp, Huyện Núi Thành, Tỉnh Quảng Nam, Việt Nam</t>
  </si>
  <si>
    <t>Thuế F5</t>
  </si>
  <si>
    <t>241127B8V2GTBF</t>
  </si>
  <si>
    <t>Số 1B, khu phố 12, Phường Tam Hiệp, Tỉnh Đồng Nai, Việt Nam</t>
  </si>
  <si>
    <t>BHHS2024007985</t>
  </si>
  <si>
    <t>5,536,111.0</t>
  </si>
  <si>
    <t>Thanh toán F5</t>
  </si>
  <si>
    <t>442,889.0</t>
  </si>
  <si>
    <t>5,979,000.0</t>
  </si>
  <si>
    <t>Nội dung F6 / HĐ tham chiếu</t>
  </si>
  <si>
    <t>2,813,888.0</t>
  </si>
  <si>
    <t>Số HĐ mới F6</t>
  </si>
  <si>
    <t>3,038,999.0</t>
  </si>
  <si>
    <t>0314069690</t>
  </si>
  <si>
    <t>Ngày HĐ mới F6</t>
  </si>
  <si>
    <t>CÔNG TY TNHH LANDO</t>
  </si>
  <si>
    <t>416E Nguyễn Thị Minh Khai, Phường 05, Quận 3, Thành phố Hồ Chí Minh, Việt Nam</t>
  </si>
  <si>
    <t>CÔNG TY CỔ PHẦN DƯỢC PHẨM BLOOMED</t>
  </si>
  <si>
    <t>166 Cao Lỗ, Phường Chánh Hưng, TP Hồ Chí Minh, Việt Nam.</t>
  </si>
  <si>
    <t>241212MQUR80DS</t>
  </si>
  <si>
    <t>Tiền hàng F6</t>
  </si>
  <si>
    <t>998,148.0</t>
  </si>
  <si>
    <t>BHHS2024008614</t>
  </si>
  <si>
    <t>79,852.0</t>
  </si>
  <si>
    <t>1,078,000.0</t>
  </si>
  <si>
    <t>00002596</t>
  </si>
  <si>
    <t>Thuế F6</t>
  </si>
  <si>
    <t>Công ty TNHH Đầu tư và Thương mại Khánh Phát</t>
  </si>
  <si>
    <t>Khu K15, phường Kinh Bắc, Tỉnh Bắc Ninh, Việt Nam</t>
  </si>
  <si>
    <t>Thanh toán F6</t>
  </si>
  <si>
    <t>675,000.0</t>
  </si>
  <si>
    <t>54,000.0</t>
  </si>
  <si>
    <t>CÔNG TY TNHH ĐẦU TƯ VÀ THIẾT KẾ XÂY DỰNG K.E.C</t>
  </si>
  <si>
    <t>729,000.0</t>
  </si>
  <si>
    <t>Nội dung F7 / HĐ tham chiếu</t>
  </si>
  <si>
    <t>0318152318</t>
  </si>
  <si>
    <t>Số HĐ mới F7</t>
  </si>
  <si>
    <t>CÔNG TY TNHH TM ECOTOP</t>
  </si>
  <si>
    <t>NV1-2 Lô 3 ngõ 885 Tam Trinh, Phường Hoàng Mai, Thành phố Hà Nội</t>
  </si>
  <si>
    <t>1,147,221.0</t>
  </si>
  <si>
    <t>Ngày HĐ mới F7</t>
  </si>
  <si>
    <t>91,778.0</t>
  </si>
  <si>
    <t>25/12/2024</t>
  </si>
  <si>
    <t>1,238,999.0</t>
  </si>
  <si>
    <t>0402181645</t>
  </si>
  <si>
    <t>CÔNG TY TNHH MTV ECOMDY</t>
  </si>
  <si>
    <t>55 Lê Quang Hòa, Phường Hoà Xuân, Quận Cẩm Lệ, Thành phố Đà Nẵng, Việt Nam</t>
  </si>
  <si>
    <t>Tiền hàng F7</t>
  </si>
  <si>
    <t>241222G3V1MPRP</t>
  </si>
  <si>
    <t>BHHS2024008901</t>
  </si>
  <si>
    <t>Thuế F7</t>
  </si>
  <si>
    <t>00002597</t>
  </si>
  <si>
    <t>CÔNG TY TNHH TM&amp;DV VẬN TẢI NAMI</t>
  </si>
  <si>
    <t>Thửa đất số 212, tờ bản đồ 24, Khu phố Xuân Thuỷ, Phường Quế Tân, Thị xã Quế Võ, Tỉnh Bắc Ninh</t>
  </si>
  <si>
    <t>Thanh toán F7</t>
  </si>
  <si>
    <t>Cộng dồn tiền hàng sau dự kiến</t>
  </si>
  <si>
    <t>CÔNG TY TNHH KINH DOANH VÀ ĐẦU TƯ TOÀN CẦU 3K FOREST</t>
  </si>
  <si>
    <t>Cộng dồn thuế sau dự kiến</t>
  </si>
  <si>
    <t>số 113, ngõ 217 đường Trần Phú, Phường Văn Quán, Quận Hà Đông, Hà Nội</t>
  </si>
  <si>
    <t>Cộng dồn thanh toán sau dự kiến</t>
  </si>
  <si>
    <t>0700836294</t>
  </si>
  <si>
    <t>CÔNG TY TNHH HOURENSOU VIỆT NAM</t>
  </si>
  <si>
    <t>Số 39 Tân Khai, Phường Minh Khai, Thành phố Phủ Lý, Tỉnh Hà Nam, Việt Nam</t>
  </si>
  <si>
    <t>579780912382053031</t>
  </si>
  <si>
    <t>BHHT2024022934</t>
  </si>
  <si>
    <t>00002275</t>
  </si>
  <si>
    <t>Số 20, ngõ 165 đường Cầu Giấy, Phường Cầu Giấy, TP Hà Nội, Việt Nam</t>
  </si>
  <si>
    <t>11,072,221.0</t>
  </si>
  <si>
    <t>885,778.0</t>
  </si>
  <si>
    <t>11,957,999.0</t>
  </si>
  <si>
    <t>CÔNG TY TNHH MỘT THÀNH VIÊN KIM NGÂN TÂY NGUYÊN</t>
  </si>
  <si>
    <t>33A Nguyễn Hữu Thọ, Phường Hội Phú, Tỉnh Gia Lai, Việt Nam</t>
  </si>
  <si>
    <t>3,962,037.0</t>
  </si>
  <si>
    <t>07/11/2024</t>
  </si>
  <si>
    <t>316,963.0</t>
  </si>
  <si>
    <t>0318401003</t>
  </si>
  <si>
    <t>CÔNG TY TNHH XUẤT NHẬP KHẨU GOLDEN SUCCESS</t>
  </si>
  <si>
    <t>4,279,000.0</t>
  </si>
  <si>
    <t>60/6 Yên Thế, Phường 2, Quận Tân Bình, Thành phố Hồ Chí Minh, Việt Nam</t>
  </si>
  <si>
    <t>241029SAKRK9H4</t>
  </si>
  <si>
    <t>BHHS2024007137</t>
  </si>
  <si>
    <t>00002171</t>
  </si>
  <si>
    <t>VIỆN CƠ KHÍ NĂNG LƯỢNG VÀ MỎ - VINACOMIN</t>
  </si>
  <si>
    <t>Số 565 đường Nguyễn Trãi, Phường Thanh Liệt, Thành phố Hà Nội, Việt Nam</t>
  </si>
  <si>
    <t>CÔNG TY TNHH THIẾT BỊ CÔNG NGHỆ QUỐC ANH</t>
  </si>
  <si>
    <t>0107470865</t>
  </si>
  <si>
    <t>CÔNG TY CỔ PHẦN TRUYỀN THÔNG HITA</t>
  </si>
  <si>
    <t>Số 1 lô 4E, Trung Yên 10B, Phường Yên Hòa, TP Hà Nội, Việt Nam</t>
  </si>
  <si>
    <t>925,111.0</t>
  </si>
  <si>
    <t>74,009.0</t>
  </si>
  <si>
    <t>999,120.0</t>
  </si>
  <si>
    <t>0100731483</t>
  </si>
  <si>
    <t>VIỆN KHOA HỌC CÔNG NGHỆ VÀ KINH TẾ XÂY DỰNG HÀ NỘI</t>
  </si>
  <si>
    <t>Công ty Cổ phần Đầu Tư Thương Mại NĐ</t>
  </si>
  <si>
    <t>38 phố cát linh, Phường Cát Linh, Quận Đống đa, Thành phố Hà Nội, Việt Nam</t>
  </si>
  <si>
    <t>Số 277, Đường Trần Phú, khu phố 5 Phường Cẩm Phả Tỉnh Quảng NInh</t>
  </si>
  <si>
    <t>1,727,222.0</t>
  </si>
  <si>
    <t>241030VSSYK2H6</t>
  </si>
  <si>
    <t>138,178.0</t>
  </si>
  <si>
    <t>1,865,400.0</t>
  </si>
  <si>
    <t>BHHS2024007171</t>
  </si>
  <si>
    <t>00002172</t>
  </si>
  <si>
    <t>Công ty cổ phần công nghệ HDP Việt Nam</t>
  </si>
  <si>
    <t>Số 42 ngõ 221 phố Vĩnh Hưng, Phường Vĩnh Hưng, Thành Phố Hà Nội</t>
  </si>
  <si>
    <t>Công ty cổ phần tư vấn kỹ thuật xây dựng Nhất Tâm</t>
  </si>
  <si>
    <t>12/11/2024</t>
  </si>
  <si>
    <t>Số 2 Phổ Quang, Phường Tân Sơn Hòa, Thành phố Hồ Chí Minh</t>
  </si>
  <si>
    <t>628,704.0</t>
  </si>
  <si>
    <t>50,296.0</t>
  </si>
  <si>
    <t>679,000.0</t>
  </si>
  <si>
    <t>241106GHXRY2CA</t>
  </si>
  <si>
    <t>BHHS2024007332</t>
  </si>
  <si>
    <t>00002174</t>
  </si>
  <si>
    <t>CÔNG TY TNHH VẬT TƯ KHOA HỌC AN PHÁT</t>
  </si>
  <si>
    <t>Số nhà 18, ngách 40/53, tổ dân phố số 2, Ngọc Trục, Phường Đại Mỗ, Thành phố Hà Nội, Việt Nam</t>
  </si>
  <si>
    <t>4,147,221.0</t>
  </si>
  <si>
    <t>331,778.0</t>
  </si>
  <si>
    <t>4,478,999.0</t>
  </si>
  <si>
    <t>Công ty TNHH Song Long Vĩnh Phát</t>
  </si>
  <si>
    <t>163 Tây Sơn, Phường Phú Thọ Hòa, Thành Phố Hồ Chí Minh, Việt nam</t>
  </si>
  <si>
    <t>CÔNG TY TNHH THƯƠNG MẠI DỊCH VỤ GIA DỤNG THANH VÂN</t>
  </si>
  <si>
    <t>0318074892</t>
  </si>
  <si>
    <t>3702483628</t>
  </si>
  <si>
    <t>CÔNG TY TNHH KHÁCH SẠN NỮ HOÀNG ELIZABETH</t>
  </si>
  <si>
    <t>Số 17/41, Trần Văn ơn, Khu phố 6, Phường Phú Hòa, Thành phố Thủ Dầu Một, Tỉnh Bình Dương, Việt Nam</t>
  </si>
  <si>
    <t>579621705911404561</t>
  </si>
  <si>
    <t>BHHT2024021302</t>
  </si>
  <si>
    <t>CÔNG TY TNHH RU9</t>
  </si>
  <si>
    <t>39 Đinh Công Tráng, Phường Tân Định, TP Hồ Chí Minh, Việt Nam.</t>
  </si>
  <si>
    <t>00002635</t>
  </si>
  <si>
    <t>1C25TUV</t>
  </si>
  <si>
    <t>92,593.0</t>
  </si>
  <si>
    <t>7,407.0</t>
  </si>
  <si>
    <t>100,000.0</t>
  </si>
  <si>
    <t>00000508</t>
  </si>
  <si>
    <t>CÔNG TY TNHH GIANG MINH</t>
  </si>
  <si>
    <t>Số 337K/2 Khu phố 1B, Phường An Phú, TP Hồ Chí Minh, Việt Nam.</t>
  </si>
  <si>
    <t>13/11/2024</t>
  </si>
  <si>
    <t>6400397008</t>
  </si>
  <si>
    <t>00000787</t>
  </si>
  <si>
    <t>CÔNG TY TNHH MỘT THÀNH VIÊN XÂY DỰNG XUÂN TRƯỜNG ĐẮK NÔNG</t>
  </si>
  <si>
    <t>Tổ 1, Phường Nghĩa Trung, Thành phố Gia Nghĩa, Tỉnh Đắk Nông, Việt Nam</t>
  </si>
  <si>
    <t>28,817,333.0</t>
  </si>
  <si>
    <t>2,305,387.0</t>
  </si>
  <si>
    <t>579622523415529731</t>
  </si>
  <si>
    <t>BHHT2024021233</t>
  </si>
  <si>
    <t>31,122,720.0</t>
  </si>
  <si>
    <t>00002636</t>
  </si>
  <si>
    <t>1,796,667.0</t>
  </si>
  <si>
    <t>143,733.0</t>
  </si>
  <si>
    <t>1,940,400.0</t>
  </si>
  <si>
    <t>14,686,000.0</t>
  </si>
  <si>
    <t>1,174,880.0</t>
  </si>
  <si>
    <t>15,860,880.0</t>
  </si>
  <si>
    <t>18/11/2024</t>
  </si>
  <si>
    <t>0311950572</t>
  </si>
  <si>
    <t>CÔNG TY CỔ PHẦN QUẢNG CÁO VÀ THƯƠNG MẠI GSOLUTION</t>
  </si>
  <si>
    <t>90/12/1/16 Bông Sao, Phường 5, Quận 8, Thành phố Hồ Chí Minh, Việt Nam</t>
  </si>
  <si>
    <t>2411135SNXVAA1</t>
  </si>
  <si>
    <t>BHHS2024007662</t>
  </si>
  <si>
    <t>00002589</t>
  </si>
  <si>
    <t>17,376,000.0</t>
  </si>
  <si>
    <t>1,390,080.0</t>
  </si>
  <si>
    <t>18,766,080.0</t>
  </si>
  <si>
    <t>9,686,666.0</t>
  </si>
  <si>
    <t>774,934.0</t>
  </si>
  <si>
    <t>10,461,600.0</t>
  </si>
  <si>
    <t>CÔNG TY BẢO HIỂM PVI PHÍA NAM</t>
  </si>
  <si>
    <t>Đã bổ sung theo chốt 19/10/2026; Giảm số lượng gốc, giữ đơn giá dương: 1C24TUV/00000003, STT 2033; Đảo khoản điều chỉnh cũ; chỉ đảo thành tiền, nguồn không có số lượng/đơn giá: 1C25TUV/00000508, STT 2034.</t>
  </si>
  <si>
    <t>25/11/2024</t>
  </si>
  <si>
    <t>6400448686</t>
  </si>
  <si>
    <t>0105402531-025</t>
  </si>
  <si>
    <t>CÔNG TY TNHH XUẤT NHẬP KHẨU MACA HILLS</t>
  </si>
  <si>
    <t>Giảm số lượng gốc, giữ đơn giá dương: 1C24TUV/00000003 — STT import 2033</t>
  </si>
  <si>
    <t>Tổ dân phố 3, Phường Nghĩa Thành, Thành phố Gia Nghĩa, Tỉnh Đắk Nông, Việt Nam</t>
  </si>
  <si>
    <t>14,872,000.0</t>
  </si>
  <si>
    <t>1,189,760.0</t>
  </si>
  <si>
    <t>579669737495824617</t>
  </si>
  <si>
    <t>16,061,760.0</t>
  </si>
  <si>
    <t>BHHT2024019990</t>
  </si>
  <si>
    <t>00002196</t>
  </si>
  <si>
    <t>26,354,667.0</t>
  </si>
  <si>
    <t>2,108,373.0</t>
  </si>
  <si>
    <t>28,463,040.0</t>
  </si>
  <si>
    <t>38,829,333.0</t>
  </si>
  <si>
    <t>3,106,347.0</t>
  </si>
  <si>
    <t>Đảo khoản điều chỉnh cũ; chỉ đảo thành tiền, nguồn không có số lượng/đơn giá: 1C25TUV/00000508 — STT import 2034</t>
  </si>
  <si>
    <t>41,935,680.0</t>
  </si>
  <si>
    <t>26/11/2024</t>
  </si>
  <si>
    <t>00000790</t>
  </si>
  <si>
    <t>0317749976</t>
  </si>
  <si>
    <t>CÔNG TY TNHH THƯƠNG MẠI DỊCH VỤ VẬT TƯ TRẦN LÂM</t>
  </si>
  <si>
    <t>134/5/28 BIS Lạc Long Quân, Phường 3, Quận 11, Thành phố Hồ Chí Minh, Việt Nam</t>
  </si>
  <si>
    <t>CÔNG TY CỔ PHẦN THƯƠNG MẠI VIGLACERA</t>
  </si>
  <si>
    <t>2411110BWBFW6F</t>
  </si>
  <si>
    <t>Tầng 1, Toà nhà Viglacera, số 1 Đại lộ Thăng Long, Phường Từ Liêm, TP Hà Nội, Việt Nam</t>
  </si>
  <si>
    <t>BHHS2024007540</t>
  </si>
  <si>
    <t>00002179</t>
  </si>
  <si>
    <t>CÔNG TY TNHH THƯƠNG MẠI VÀ ĐẦU TƯ LHC VIỆT NAM</t>
  </si>
  <si>
    <t>Số 38B ngõ 77, đường Xuân La, Phường Tây Hồ, TP Hà Nội, Việt Nam.</t>
  </si>
  <si>
    <t>2,702,777.0</t>
  </si>
  <si>
    <t>216,222.0</t>
  </si>
  <si>
    <t>2,918,999.0</t>
  </si>
  <si>
    <t>CÔNG TY CỔ PHẦN THƯƠNG MẠI HONECO</t>
  </si>
  <si>
    <t>Thôn Hưởng Lộc, Xã Xuân Lãng, Tỉnh Phú Thọ, Việt Nam</t>
  </si>
  <si>
    <t>1,215,381.0</t>
  </si>
  <si>
    <t>97,231.0</t>
  </si>
  <si>
    <t>1,312,612.0</t>
  </si>
  <si>
    <t>******</t>
  </si>
  <si>
    <t>1,121,944.0</t>
  </si>
  <si>
    <t>89,755.0</t>
  </si>
  <si>
    <t>1,211,699.0</t>
  </si>
  <si>
    <t>27/11/2024</t>
  </si>
  <si>
    <t>0102641429</t>
  </si>
  <si>
    <t>TỔNG CÔNG TY BẢO VIỆT NHÂN THỌ</t>
  </si>
  <si>
    <t>Tầng 37, Keangnam Ha Noi Landmark Tower, đường Phạm Hùng, Phường Mễ Trì, Quận Nam Từ Liêm, Thành phố Hà Nội, Việt Nam</t>
  </si>
  <si>
    <t>579678018260928910</t>
  </si>
  <si>
    <t>488,055.0</t>
  </si>
  <si>
    <t>39,044.0</t>
  </si>
  <si>
    <t>BHHT2024019852</t>
  </si>
  <si>
    <t>527,099.0</t>
  </si>
  <si>
    <t>00002638</t>
  </si>
  <si>
    <t>CÔNG TY CỔ PHẦN XÂY DỰNG VÀ NỘI THẤT PHÚ MINH</t>
  </si>
  <si>
    <t>0106357063</t>
  </si>
  <si>
    <t>17,301,336.0</t>
  </si>
  <si>
    <t>1,384,104.0</t>
  </si>
  <si>
    <t>18,685,440.0</t>
  </si>
  <si>
    <t>Công ty TNHH đầu tư xây dựng HĐ</t>
  </si>
  <si>
    <t>Số 1A Cù Chính Lan, Phường Buôn Ma Thuột, Đắk Lắk</t>
  </si>
  <si>
    <t>01/10/2024</t>
  </si>
  <si>
    <t>1101938588</t>
  </si>
  <si>
    <t>CÔNG TY TNHH HANJOWON VINA</t>
  </si>
  <si>
    <t>36 Hoàng Anh, Phường Tân Khánh, Thành phố Tân An, Tỉnh Long An, Việt Nam</t>
  </si>
  <si>
    <t>240925VE1TAMBA</t>
  </si>
  <si>
    <t>BHHS2024005862</t>
  </si>
  <si>
    <t>00002580</t>
  </si>
  <si>
    <t>Công ty TNHH Thiết bị khoa học và Công nghệ Kim Ngân</t>
  </si>
  <si>
    <t>Số 5 Phố Đặng Dung, Phường Trúc Bạch, Quận Ba Đình, Thành phố Hà Nội</t>
  </si>
  <si>
    <t>00000061</t>
  </si>
  <si>
    <t>CÔNG TY TNHH XUẤT NHẬP KHẨU VINCEVU GLOBAL</t>
  </si>
  <si>
    <t>Số nhà 119, Tổ 9, Phường Linh Sơn, Thái Nguyên, Việt Nam.</t>
  </si>
  <si>
    <t>1,147,222.0</t>
  </si>
  <si>
    <t>1,239,000.0</t>
  </si>
  <si>
    <t>03/10/2024</t>
  </si>
  <si>
    <t>0108110061</t>
  </si>
  <si>
    <t>CÔNG TY TNHH DỊCH VỤ VIỄN THÔNG TBQ VIỆT NAM</t>
  </si>
  <si>
    <t>Tầng 2, số 26 ngõ 442 đường Phạm Văn Đồng, Phường Cổ Nhuế 2, Quận Bắc Từ Liêm, Thành phố Hà Nội, Việt Nam</t>
  </si>
  <si>
    <t>Công ty trách nhiệm hữu hạn kỹ thuật Sông Lam</t>
  </si>
  <si>
    <t>240926VJ1TDFEM</t>
  </si>
  <si>
    <t>Tầng2, toà nhà kim ánh, số 1 ngõ 78 phố Duy Tân, phường cầu giấy, thành phố Hà Nội</t>
  </si>
  <si>
    <t>BHHS2024005870</t>
  </si>
  <si>
    <t>00002581</t>
  </si>
  <si>
    <t>00002605</t>
  </si>
  <si>
    <t>0302286281-025</t>
  </si>
  <si>
    <t>CHI NHÁNH CÔNG TY CỔ PHẦN THƯƠNG MẠI NGUYỄN KIM - TRUNG TÂM KHO VẬN HẬU MÃI NGUYỄN KIM HÀ NỘI</t>
  </si>
  <si>
    <t>Lô C1, Kho TNL, 386 Nguyễn Văn Linh, Khu Công Nghiệp Hà Nội - Đài Tư, Phường Phúc Lợi, Thành phố Hà Nội, Việt Nam</t>
  </si>
  <si>
    <t>18,055,555.0</t>
  </si>
  <si>
    <t>1,444,444.0</t>
  </si>
  <si>
    <t>19,499,999.0</t>
  </si>
  <si>
    <t>0313878152</t>
  </si>
  <si>
    <t>CÔNG TY TNHH XÂY DỰNG VÀ SẢN XUẤT CAO MINH</t>
  </si>
  <si>
    <t>14/7 Đường TL 42, phường Thạnh Lộc, Quận 12, Thành phố Hồ Chí Minh, Việt Nam</t>
  </si>
  <si>
    <t>CÔNG TY TNHH MISSO</t>
  </si>
  <si>
    <t>BT5A-1, Tiểu khu đô thị Vạn Phúc, Phường Hà Đông, Thành phố Hà Nội, Việt Nam</t>
  </si>
  <si>
    <t>3,128,596.0</t>
  </si>
  <si>
    <t>241002GFV5GHRS</t>
  </si>
  <si>
    <t>250,288.0</t>
  </si>
  <si>
    <t>BHHS2024006027</t>
  </si>
  <si>
    <t>3,378,884.0</t>
  </si>
  <si>
    <t>00002582</t>
  </si>
  <si>
    <t>1C24TUV/00000060 có bản thay thế trong kỳ; không cộng bản bị thay thế; 1C24TUV/00000061 có bản thay thế trong kỳ; không cộng bản bị thay thế</t>
  </si>
  <si>
    <t>CÔNG TY CP GIÁO DỤC VƯƠN TẦM TRI THỨC</t>
  </si>
  <si>
    <t>Số nhà 58, Ngõ 99/110/23, Phố Định Công Hạ, Phường Định Công, TP Hà Nội, Việt Nam.</t>
  </si>
  <si>
    <t>CÔNG TY CỔ PHẦN DỊCH VỤ LOGISTICS DẦU KHÍ VIỆT NAM</t>
  </si>
  <si>
    <t>0311523789</t>
  </si>
  <si>
    <t>3,128,703.0</t>
  </si>
  <si>
    <t>04/10/2024</t>
  </si>
  <si>
    <t>250,296.0</t>
  </si>
  <si>
    <t>2300720588</t>
  </si>
  <si>
    <t>CÔNG TY TNHH SẢN XUẤT VÀ THƯƠNG MẠI DAVIMAX</t>
  </si>
  <si>
    <t>3,378,999.0</t>
  </si>
  <si>
    <t>Khu Bồ Sơn, Phường Võ Cường, Thành phố Bắc Ninh, Tỉnh Bắc Ninh, Việt Nam</t>
  </si>
  <si>
    <t>HD007178</t>
  </si>
  <si>
    <t>BHHN2024000038</t>
  </si>
  <si>
    <t>CÔNG TY TNHH MỸ PHẨM BEAUTYWORLD</t>
  </si>
  <si>
    <t>B20 Khu Villa Mỹ Mỹ, Đường Nguyễn Hoàng, Phường Bình Trưng, Thành phố Hồ Chí Minh, Việt Nam</t>
  </si>
  <si>
    <t>09/10/2024</t>
  </si>
  <si>
    <t>0318008787</t>
  </si>
  <si>
    <t>11,166,667.0</t>
  </si>
  <si>
    <t>CÔNG TY TNHH SẢN XUẤT NAVIS VIỆT NAM</t>
  </si>
  <si>
    <t>893,333.0</t>
  </si>
  <si>
    <t>L3, Tòa nhà Vạn Đạt, Đường số 8, Lô II-1, Nhóm CN II, Khu Công Nghiệp Tân Bình, Phường Tây Thạnh, Quận Tân phú, Thành phố Hồ Chí Minh, Việt Nam</t>
  </si>
  <si>
    <t>12,060,000.0</t>
  </si>
  <si>
    <t>HD007220</t>
  </si>
  <si>
    <t>BHHN2024000034</t>
  </si>
  <si>
    <t>8,234,000.0</t>
  </si>
  <si>
    <t>658,720.0</t>
  </si>
  <si>
    <t>8,892,720.0</t>
  </si>
  <si>
    <t>00000784</t>
  </si>
  <si>
    <t>6001628711</t>
  </si>
  <si>
    <t>CÔNG TY TNHH TÀI LINH LAND</t>
  </si>
  <si>
    <t>Số 10 Lê Thị Hồng Gấm, Phường Tân An, TP.Buôn Ma Thuột, Tỉnh Đắk Lắk, Việt Nam</t>
  </si>
  <si>
    <t>241004MWDA8FXT</t>
  </si>
  <si>
    <t>7,196,640.0</t>
  </si>
  <si>
    <t>BHHS2024006068</t>
  </si>
  <si>
    <t>575,732.0</t>
  </si>
  <si>
    <t>7,772,372.0</t>
  </si>
  <si>
    <t>00002583</t>
  </si>
  <si>
    <t>CÔNG TY TNHH QUỐC TẾ MTD</t>
  </si>
  <si>
    <t>183-185 Xuân Hồng, Khu phố 8, Phường Bảy Hiền, TP Hồ Chí Minh, Việt Nam.</t>
  </si>
  <si>
    <t>14/10/2024</t>
  </si>
  <si>
    <t>0318522093</t>
  </si>
  <si>
    <t>CÔNG TY TNHH SX VÀ TMDV ĐỒNG XU KỶ NIỆM ZINO</t>
  </si>
  <si>
    <t>150/3 Lê Lợi, Phường 4, Quận Gò Vấp, Thành phố Hồ Chí Minh, Việt Nam</t>
  </si>
  <si>
    <t>579455986800364255</t>
  </si>
  <si>
    <t>BHHT2024018921</t>
  </si>
  <si>
    <t>00002628</t>
  </si>
  <si>
    <t>12,954,667.0</t>
  </si>
  <si>
    <t>1,036,373.0</t>
  </si>
  <si>
    <t>13,991,040.0</t>
  </si>
  <si>
    <t>3301719675</t>
  </si>
  <si>
    <t>11,459,334.0</t>
  </si>
  <si>
    <t>CÔNG TY TNHH THIẾT KẾ VÀ THI CÔNG CÔNG TRÌNH AHA HUẾ</t>
  </si>
  <si>
    <t>916,746.0</t>
  </si>
  <si>
    <t>Tổ 4, KV2, Phường An Tây, Thành phố Huế, Tỉnh Thừa Thiên - Huế, Việt Nam</t>
  </si>
  <si>
    <t>12,376,080.0</t>
  </si>
  <si>
    <t>2410095FR7Q45U</t>
  </si>
  <si>
    <t>BHHS2024006199</t>
  </si>
  <si>
    <t>Đảo khoản 1C25TUV/00000784; tham chiếu gốc 1C24TUV/00000004</t>
  </si>
  <si>
    <t>Công ty CP giáo dục Vươn Tầm Tri Thức</t>
  </si>
  <si>
    <t>Số nhà 58, Ngõ 99/110/23, Phố Định Công Hạ, Phường Định Công, Thành phố Hà Nội, Việt Nam</t>
  </si>
  <si>
    <t>1,795,370.0</t>
  </si>
  <si>
    <t>143,630.0</t>
  </si>
  <si>
    <t>1,939,000.0</t>
  </si>
  <si>
    <t>0101976905</t>
  </si>
  <si>
    <t>CÔNG TY CỔ PHẦN TẬP ĐOÀN SUNHOUSE</t>
  </si>
  <si>
    <t>CÔNG TY CỔ PHẦN WORK FLOW</t>
  </si>
  <si>
    <t>Số 139, phố Nguyễn Thái Học, Phường Điện Biên, Quận Ba Đình, Thành phố Hà Nội, Việt Nam</t>
  </si>
  <si>
    <t>39 Nguyễn Duy Hiệu, Phường An Khánh, TP Hồ Chí Minh, Việt Nam.</t>
  </si>
  <si>
    <t>6,740,741.0</t>
  </si>
  <si>
    <t>240925TVHWC5UR</t>
  </si>
  <si>
    <t>539,259.0</t>
  </si>
  <si>
    <t>BHHS2024005808</t>
  </si>
  <si>
    <t>7,280,000.0</t>
  </si>
  <si>
    <t>00002584</t>
  </si>
  <si>
    <t>Giảm toàn bộ gốc: 1C24TUV/00000004</t>
  </si>
  <si>
    <t>CÔNG TY TNHH CHÍNH XÁC YOSHITA VIỆT NAM</t>
  </si>
  <si>
    <t>Lô I_1C1_CN, I_1C2_CN, đường NA1, khu công nghiệp Mỹ Phước 2, Phường Bến Cát, Thành phố Hồ Chí Minh, Việt Nam</t>
  </si>
  <si>
    <t>39 Nguyễn Duy Hiệu, Phường An Khánh, Thành phố Hồ Chí Minh, Việt Nam</t>
  </si>
  <si>
    <t>2,500,000.0</t>
  </si>
  <si>
    <t>200,000.0</t>
  </si>
  <si>
    <t>2,700,000.0</t>
  </si>
  <si>
    <t>16/10/2024</t>
  </si>
  <si>
    <t>0314404490</t>
  </si>
  <si>
    <t>CÔNG TY TNHH THƯƠNG MẠI DỊCH VỤ DIGI-TRAN</t>
  </si>
  <si>
    <t>Tầng 14, Tòa Nhà HM Town, 412 Nguyễn Thị Minh Khai, Phường 05, Quận 3, Thành phố Hồ Chí Minh, Việt Nam</t>
  </si>
  <si>
    <t>2410107PP4B0UR</t>
  </si>
  <si>
    <t>BHHS2024006394</t>
  </si>
  <si>
    <t>00002586</t>
  </si>
  <si>
    <t>16,683,333.0</t>
  </si>
  <si>
    <t>1C24TUV/00000063 có ô tiền bảng tổng trống; không tự điền 0</t>
  </si>
  <si>
    <t>1,334,667.0</t>
  </si>
  <si>
    <t>18,018,000.0</t>
  </si>
  <si>
    <t>CÔNG TY TNHH CƠ KHÍ XÂY DỰNG ANH ĐẠT</t>
  </si>
  <si>
    <t>10,448,000.0</t>
  </si>
  <si>
    <t>835,840.0</t>
  </si>
  <si>
    <t>11,283,840.0</t>
  </si>
  <si>
    <t>0310367287</t>
  </si>
  <si>
    <t>CÔNG TY TNHH THIẾT BỊ Y TẾ VNHN HÀ NỘI VIỆT NAM</t>
  </si>
  <si>
    <t>1801510068</t>
  </si>
  <si>
    <t>25-27 đường Trương Định, Phường Tương Mai, TP Hà Nội, Việt Nam.</t>
  </si>
  <si>
    <t>CÔNG TY TNHH THƯƠNG MẠI DỊCH VỤ DU LỊCH TÀI PHƯỚC THÀNH</t>
  </si>
  <si>
    <t>412/2 A, Cách Mạng Tháng Tám, Phường Bùi Hữu Nghĩa, Quận Bình Thuỷ, Thành phố Cần Thơ, Việt Nam</t>
  </si>
  <si>
    <t>579465803582245741</t>
  </si>
  <si>
    <t>BHHT2024018495</t>
  </si>
  <si>
    <t>00002629</t>
  </si>
  <si>
    <t>1,785,333.0</t>
  </si>
  <si>
    <t>142,827.0</t>
  </si>
  <si>
    <t>1,928,160.0</t>
  </si>
  <si>
    <t>00002609</t>
  </si>
  <si>
    <t>Công ty TNHH MTV VISTA LAW</t>
  </si>
  <si>
    <t>14 Trương Quyền, Phường Xuân Hoà, Thành phố Hồ Chí Minh, Việt Nam</t>
  </si>
  <si>
    <t>17/10/2024</t>
  </si>
  <si>
    <t>0315568491</t>
  </si>
  <si>
    <t>CÔNG TY TNHH DU LỊCH &amp; SỰ KIỆN PHƯỢNG HOÀNG</t>
  </si>
  <si>
    <t>VP 02, Tầng 10, Tòa nhà Pearl Plaza, Số 561A Điện Biên Phủ, Phường 25, Quận Bình Thạnh, Thành phố Hồ Chí Minh, Việt Nam</t>
  </si>
  <si>
    <t>0318014533-001</t>
  </si>
  <si>
    <t>579481957643422099</t>
  </si>
  <si>
    <t>CHI NHÁNH CÔNG TY CỔ PHẦN F&amp;B AND ENTERTAINMENTS LUMIERE HOLDING</t>
  </si>
  <si>
    <t>BHHT2024018174</t>
  </si>
  <si>
    <t>L1-09CD, Trung Tâm Thương Mại A&amp;B Central Square, Số 44 Trần Phú, Phường Nha Trang, Tỉnh Khánh Hòa, Việt Nam</t>
  </si>
  <si>
    <t>00002630</t>
  </si>
  <si>
    <t>00009375</t>
  </si>
  <si>
    <t>21/10/2024</t>
  </si>
  <si>
    <t>0318344789</t>
  </si>
  <si>
    <t>CÔNG TY CỔ PHẦN DU LỊCH VÀ ĐẦU TƯ MELI CLUB</t>
  </si>
  <si>
    <t>Tòa Dreamplex, 195 Điện Biên Phủ, Phường 15, Quận Bình Thạnh, Thành phố Hồ Chí Minh, Việt Nam</t>
  </si>
  <si>
    <t>579488501531839187</t>
  </si>
  <si>
    <t>BHHT2024017750</t>
  </si>
  <si>
    <t>00002631</t>
  </si>
  <si>
    <t>0315793560</t>
  </si>
  <si>
    <t>4,635,653.0</t>
  </si>
  <si>
    <t>370,853.0</t>
  </si>
  <si>
    <t>5,006,506.0</t>
  </si>
  <si>
    <t>241014GHX7TNKV</t>
  </si>
  <si>
    <t>BHHS2024006521</t>
  </si>
  <si>
    <t>00002587</t>
  </si>
  <si>
    <t>CÔNG TY TNHH THƯƠNG MẠI DỊCH VỤ CẨM THÀNH</t>
  </si>
  <si>
    <t>3C6 Nam Long, Khu Phố 35, Phường An Phú Đông, TP Hồ Chí Minh, Việt Nam.</t>
  </si>
  <si>
    <t>868,519.0</t>
  </si>
  <si>
    <t>69,481.0</t>
  </si>
  <si>
    <t>938,000.0</t>
  </si>
  <si>
    <t>5,029,814.0</t>
  </si>
  <si>
    <t>402,385.0</t>
  </si>
  <si>
    <t>5,432,199.0</t>
  </si>
  <si>
    <t>22/10/2024</t>
  </si>
  <si>
    <t>0109997537</t>
  </si>
  <si>
    <t>CÔNG TY TNHH DỊCH VỤ TRUYỀN THÔNG DTC</t>
  </si>
  <si>
    <t>0302286281-019</t>
  </si>
  <si>
    <t>Số nhà 21A, ngách 56, ngõ 79 đường Cầu Giấy, tổ 3, Phường Yên Hoà, Quận Cầu Giấy, Thành phố Hà Nội, Việt Nam</t>
  </si>
  <si>
    <t>CHI NHÁNH CÔNG TY CỔ PHẦN THƯƠNG MẠI NGUYỄN KIM - TRUNG TÂM KINH DOANH KHO VẬN HẬU MÃI NGUYỄN KIM</t>
  </si>
  <si>
    <t>63 - 65 - 67 Trần Hưng Đạo, Phường Bến Thành, TP Hồ Chí Minh, Việt Nam.</t>
  </si>
  <si>
    <t>579487419366476134</t>
  </si>
  <si>
    <t>BHHT2024017692</t>
  </si>
  <si>
    <t>23,773,152.0</t>
  </si>
  <si>
    <t>1,901,852.0</t>
  </si>
  <si>
    <t>00002642</t>
  </si>
  <si>
    <t>25,675,004.0</t>
  </si>
  <si>
    <t>0302286281-075</t>
  </si>
  <si>
    <t>CHI NHÁNH CÔNG TY CỔ PHẦN THƯƠNG MẠI NGUYỄN KIM - TRUNG TÂM KHO VẬN HẬU MÃI NGUYỄN KIM SÓNG THẦN</t>
  </si>
  <si>
    <t>số 191/2, đường DT743B, khu phố Thống Nhất 2, Phường Dĩ An, TP Hồ Chí Minh, Việt Nam.</t>
  </si>
  <si>
    <t>34,606,478.0</t>
  </si>
  <si>
    <t>2,768,518.0</t>
  </si>
  <si>
    <t>37,374,996.0</t>
  </si>
  <si>
    <t>26/10/2024</t>
  </si>
  <si>
    <t>0304295429</t>
  </si>
  <si>
    <t>17,685,187.0</t>
  </si>
  <si>
    <t>CÔNG TY TNHH INTEL PRODUCTS VIỆT NAM</t>
  </si>
  <si>
    <t>1,414,815.0</t>
  </si>
  <si>
    <t>Lô I2, đường D1, khu công nghệ cao, Phường Tân Phú, Thành phố Thủ Đức, Thành phố Hồ Chí Minh, Việt Nam</t>
  </si>
  <si>
    <t>19,100,002.0</t>
  </si>
  <si>
    <t>2409298GGY2ADN</t>
  </si>
  <si>
    <t>BHHS2024005949</t>
  </si>
  <si>
    <t>00002588</t>
  </si>
  <si>
    <t>CÔNG TY TNHH SẢN XUẤT THƯƠNG MẠI CHẤN KHANG</t>
  </si>
  <si>
    <t>74-74B Cao Thắng, Phường Bàn Cờ, Thành Phố Hồ Chí Minh, Việt Nam</t>
  </si>
  <si>
    <t>CÔNG TY TNHH DỊCH VỤ DU LỊCH VÀ TƯ VẤN MINH ĐĂNG</t>
  </si>
  <si>
    <t>Thửa đất số 3353, tờ bản đồ số 54, Quốc lộ 53, Khóm Đa Cần, Phường Hòa Thuận, Tỉnh Vĩnh Long</t>
  </si>
  <si>
    <t>2,779,468.0</t>
  </si>
  <si>
    <t>222,357.0</t>
  </si>
  <si>
    <t>3,001,825.0</t>
  </si>
  <si>
    <t>30/10/2024</t>
  </si>
  <si>
    <t>0318232274</t>
  </si>
  <si>
    <t>CÔNG TY TNHH TRUYỀN THÔNG VÀ SỰ KIỆN NEW SKY</t>
  </si>
  <si>
    <t>146/10/9 Tô Ký, phường Đông Hưng Thuận, Quận 12, Thành phố Hồ Chí Minh, Việt Nam</t>
  </si>
  <si>
    <t>579489105018194942</t>
  </si>
  <si>
    <t>BHHT2024017794</t>
  </si>
  <si>
    <t>Lô C1, Kho TNL, 386 Nguyễn Văn Linh, Khu Công Nghiệp Hà Nội, Phường Phúc Lợi, TP Hà Nội, Việt Nam.</t>
  </si>
  <si>
    <t>00002633</t>
  </si>
  <si>
    <t>32,349,535.0</t>
  </si>
  <si>
    <t>2,587,963.0</t>
  </si>
  <si>
    <t>34,937,498.0</t>
  </si>
  <si>
    <t>00000785</t>
  </si>
  <si>
    <t>12,203,705.0</t>
  </si>
  <si>
    <t>976,296.0</t>
  </si>
  <si>
    <t>13,180,001.0</t>
  </si>
  <si>
    <t>0315259091</t>
  </si>
  <si>
    <t>CÔNG TY TNHH HUGE-FAM</t>
  </si>
  <si>
    <t>CÔNG TY CỔ PHẦN THƯƠNG MẠI KỸ THUẬT CÔNG NGHỆ G20</t>
  </si>
  <si>
    <t>27B Nguyễn Đình Chiểu, Phường Đa Kao, Quận 1, Thành phố Hồ Chí Minh, Việt Nam</t>
  </si>
  <si>
    <t>Số 10 Tôn Thất Thuyết, Phường Xóm Chiếu, TP Hồ Chí Minh, Việt Nam</t>
  </si>
  <si>
    <t>241029SCHU3H27</t>
  </si>
  <si>
    <t>BHHS2024007139</t>
  </si>
  <si>
    <t>CÔNG TY CP GIÁM ĐỊNH KHỬ TRÙNG VIETNAMCONTROL</t>
  </si>
  <si>
    <t>136 Lê Đình Cẩn, Phường Tân Tạo, TP Hồ Chí Minh</t>
  </si>
  <si>
    <t>2,443,518.0</t>
  </si>
  <si>
    <t>195,481.0</t>
  </si>
  <si>
    <t>2,638,999.0</t>
  </si>
  <si>
    <t>3702501637</t>
  </si>
  <si>
    <t>CÔNG TY TNHH HI-LEVEL ENTERPRISE</t>
  </si>
  <si>
    <t>Lô B7 Khu công nghiệp Đại Đăng, Phường Phú Tân, Thành phố Thủ Dầu Một, Tỉnh Bình Dương, Việt Nam</t>
  </si>
  <si>
    <t>579523460756113690</t>
  </si>
  <si>
    <t>BHHT2024017301</t>
  </si>
  <si>
    <t>15,402,666.0</t>
  </si>
  <si>
    <t>1,232,214.0</t>
  </si>
  <si>
    <t>CÔNG TY TNHH SPECTOS ASIA</t>
  </si>
  <si>
    <t>Đảo khoản 1C25TUV/00000785; tham chiếu gốc 1C24TUV/00000005</t>
  </si>
  <si>
    <t>16,634,880.0</t>
  </si>
  <si>
    <t>0102970529</t>
  </si>
  <si>
    <t>00002634</t>
  </si>
  <si>
    <t>7,673,333.0</t>
  </si>
  <si>
    <t>613,867.0</t>
  </si>
  <si>
    <t>8,287,200.0</t>
  </si>
  <si>
    <t>6,714,667.0</t>
  </si>
  <si>
    <t>537,173.0</t>
  </si>
  <si>
    <t>7,251,840.0</t>
  </si>
  <si>
    <t>Giảm toàn bộ gốc: 1C24TUV/00000005</t>
  </si>
  <si>
    <t>434,259.0</t>
  </si>
  <si>
    <t>34,741.0</t>
  </si>
  <si>
    <t>469,000.0</t>
  </si>
  <si>
    <t>0401699508</t>
  </si>
  <si>
    <t>CÔNG TY TNHH MỘT THÀNH VIÊN PHẠM NGÂN NHI</t>
  </si>
  <si>
    <t>170 Võ Nguyên Giáp, Phường Phước Mỹ, Quận Sơn Trà, Thành phố Đà Nẵng, Việt Nam</t>
  </si>
  <si>
    <t>579522212693182576</t>
  </si>
  <si>
    <t>BHHT2024022346</t>
  </si>
  <si>
    <t>4,849,333.0</t>
  </si>
  <si>
    <t>387,947.0</t>
  </si>
  <si>
    <t>5,237,280.0</t>
  </si>
  <si>
    <t>CÔNG TY TNHH THỜI TRANG HUYAN</t>
  </si>
  <si>
    <t>P 18-17, Tầng 18, TN The Nexus, Số 3A-3B, Đ. Tôn Đức Thắng, Phường Sài Gòn, Thành Phố Hồ Chí Minh, Việt Nam</t>
  </si>
  <si>
    <t>07/09/2024</t>
  </si>
  <si>
    <t>0316329390</t>
  </si>
  <si>
    <t>CÔNG TY TNHH GIẢI TRÍ US</t>
  </si>
  <si>
    <t>6/20L Đường Nguyễn Cảnh Chân, Phường Nguyễn Cư Trinh, Quận 1, Thành phố Hồ Chí Minh, Việt Nam</t>
  </si>
  <si>
    <t>2408257T7XE95M</t>
  </si>
  <si>
    <t>BHHS2024004691</t>
  </si>
  <si>
    <t>Công ty TNHH BW House</t>
  </si>
  <si>
    <t>00002572</t>
  </si>
  <si>
    <t>169/5 Võ Thị Sáu, Phường Xuân Hoà, TPHCM</t>
  </si>
  <si>
    <t>998,146.0</t>
  </si>
  <si>
    <t>1,077,998.0</t>
  </si>
  <si>
    <t>CÔNG TY TNHH TM-DV VẠN THÀNH CÔNG</t>
  </si>
  <si>
    <t>B10/5A, Tổ 10, Ấp 2, Xã Bình Lợi, TP Hồ Chí Minh, Việt Nam.</t>
  </si>
  <si>
    <t>2,573,148.0</t>
  </si>
  <si>
    <t>205,852.0</t>
  </si>
  <si>
    <t>0318439543</t>
  </si>
  <si>
    <t>CÔNG TY TNHH THƯƠNG MẠI DỊCH VỤ HỒ CÁ KOI</t>
  </si>
  <si>
    <t>2,779,000.0</t>
  </si>
  <si>
    <t>92A-94 Bạch Đằng, Phường 2, Quận Tân Bình, Thành phố Hồ Chí Minh, Việt Nam</t>
  </si>
  <si>
    <t>240828EKQPX07X</t>
  </si>
  <si>
    <t>BHHS2024004784</t>
  </si>
  <si>
    <t>00002573</t>
  </si>
  <si>
    <t>6,742,667.0</t>
  </si>
  <si>
    <t>539,413.0</t>
  </si>
  <si>
    <t>7,282,080.0</t>
  </si>
  <si>
    <t>CÔNG TY TNHH KIẾN TRÚC XÂY DỰNG VIỆT AN</t>
  </si>
  <si>
    <t>Tầng 72, Tòa Nhà Landmark81, Số 720A Điện Biên Phủ, Phường Thạnh Mỹ Tây, Thành phố Hồ Chí Minh, Việt Nam</t>
  </si>
  <si>
    <t>09/09/2024</t>
  </si>
  <si>
    <t>0310883796</t>
  </si>
  <si>
    <t>TRƯỜNG TIỂU HỌC, TRUNG HỌC CƠ SỞ VÀ TRUNG HỌC PHỔ THÔNG QUỐC TẾ Á CHÂU</t>
  </si>
  <si>
    <t>41/3 - 41/4Bis Trần Nhật Duật, Phường Tân Định, Quận 1, Thành phố Hồ Chí Minh, Việt Nam</t>
  </si>
  <si>
    <t>240831QNCN1SJ3</t>
  </si>
  <si>
    <t>BHHS2024004859</t>
  </si>
  <si>
    <t>2,985,333.0</t>
  </si>
  <si>
    <t>238,827.0</t>
  </si>
  <si>
    <t>3,224,160.0</t>
  </si>
  <si>
    <t>0317059605</t>
  </si>
  <si>
    <t>CÔNG TY TNHH SÂN KHẤU MỸ THUẬT NTNQ</t>
  </si>
  <si>
    <t>CÔNG TY TNHH FLAMINPOP</t>
  </si>
  <si>
    <t>Số 7 phố Trần Bình, Phường Từ Liêm, TP Hà Nội, Việt Nam.</t>
  </si>
  <si>
    <t>400/65 Hiệp Thành 17, khu phố 5, phường Hiệp Thành, Quận 12, Thành phố Hồ Chí Minh, Việt Nam</t>
  </si>
  <si>
    <t>1,723,556.0</t>
  </si>
  <si>
    <t>137,884.0</t>
  </si>
  <si>
    <t>HD007074</t>
  </si>
  <si>
    <t>1,861,440.0</t>
  </si>
  <si>
    <t>BHHN2024000052</t>
  </si>
  <si>
    <t>CÔNG TY TNHH THƯƠNG MẠI QUỐC TẾ YUE HAO VIỆT NAM</t>
  </si>
  <si>
    <t>Nhà số 168, Thửa đất 199, Tờ bản đồ số 38, Đường Nguyễn Quyền, Khu 4, Phường Võ Cường, Tỉnh Bắc Ninh, Việt Nam</t>
  </si>
  <si>
    <t>11/09/2024</t>
  </si>
  <si>
    <t>0314873573</t>
  </si>
  <si>
    <t>CÔNG TY TNHH THƯƠNG MẠI TRUNG PHONG</t>
  </si>
  <si>
    <t>82/21A Đinh Tiên Hoàng, Phường 1, Quận Bình Thạnh, Thành phố Hồ Chí Minh, Việt Nam</t>
  </si>
  <si>
    <t>Lazada</t>
  </si>
  <si>
    <t>BHHL2024000083</t>
  </si>
  <si>
    <t>00002556</t>
  </si>
  <si>
    <t>CÔNG TY TNHH LEADO VIỆT NAM</t>
  </si>
  <si>
    <t>Số 19 đường số 9, khu dân cư Him Lam, Phường Tân Hưng, Thành phố Hồ Chí Minh, Việt Nam</t>
  </si>
  <si>
    <t>596,640.0</t>
  </si>
  <si>
    <t>47,731.0</t>
  </si>
  <si>
    <t>644,371.0</t>
  </si>
  <si>
    <t>CÔNG TY TNHH THƯƠNG MẠI SẢN XUẤT XÂY DỰNG VÀ XUẤT NHẬP KHẨU GỖ KHÁNH THY</t>
  </si>
  <si>
    <t>Công ty TNHH TM DV THE JOY GROUP</t>
  </si>
  <si>
    <t>0317658951</t>
  </si>
  <si>
    <t>12/09/2024</t>
  </si>
  <si>
    <t>0317526049</t>
  </si>
  <si>
    <t>39 Nguyễn Duy Hiệu, Phường Thảo Điền, Thành phố Thủ Đức, Thành phố Hồ Chí Minh, Việt Nam</t>
  </si>
  <si>
    <t>HD007061</t>
  </si>
  <si>
    <t>CÔNG TY TNHH THE DAILY GROUP</t>
  </si>
  <si>
    <t>BHHN2024000054</t>
  </si>
  <si>
    <t>2,163,888.0</t>
  </si>
  <si>
    <t>173,111.0</t>
  </si>
  <si>
    <t>2,336,999.0</t>
  </si>
  <si>
    <t>8,714,667.0</t>
  </si>
  <si>
    <t>697,173.0</t>
  </si>
  <si>
    <t>9,411,840.0</t>
  </si>
  <si>
    <t>16/09/2024</t>
  </si>
  <si>
    <t>00002611</t>
  </si>
  <si>
    <t>0316585210</t>
  </si>
  <si>
    <t>CÔNG TY TNHH SIM SOLUTION</t>
  </si>
  <si>
    <t>36 Đường số 1, Khu phố 2, Phường An Khánh, Thành phố Thủ Đức, Thành phố Hồ Chí Minh, Việt Nam</t>
  </si>
  <si>
    <t>2409152E3EY3UQ</t>
  </si>
  <si>
    <t>BHHS2024005385</t>
  </si>
  <si>
    <t>CÔNG TY CỔ PHẦN ĐẦU TƯ PHAN VŨ</t>
  </si>
  <si>
    <t>00002574</t>
  </si>
  <si>
    <t>Phòng 3.15 Tầng 3, khu I, The Prince Residence, số 19-21 Nguyễn Văn Trỗi, Phường Phú Nhuận, Thành phố Hồ Chí Minh, Việt Nam</t>
  </si>
  <si>
    <t>1,497,222.0</t>
  </si>
  <si>
    <t>119,778.0</t>
  </si>
  <si>
    <t>1,617,000.0</t>
  </si>
  <si>
    <t>CÔNG TY TNHH RHENUS WAREHOUSING SOLUTIONS VIỆT NAM</t>
  </si>
  <si>
    <t>Tầng 10, Tòa nhà The Nexus, 3A-3B Đường Tôn Đức Thắng, Phường Sài Gòn, TP Hồ Chí Minh, Việt Nam.</t>
  </si>
  <si>
    <t>879,630.0</t>
  </si>
  <si>
    <t>70,370.0</t>
  </si>
  <si>
    <t>00009436</t>
  </si>
  <si>
    <t>950,000.0</t>
  </si>
  <si>
    <t>17/09/2024</t>
  </si>
  <si>
    <t>1,090,741.0</t>
  </si>
  <si>
    <t>0313418500</t>
  </si>
  <si>
    <t>87,259.0</t>
  </si>
  <si>
    <t>CÔNG TY TNHH MINH QUÂN MQB</t>
  </si>
  <si>
    <t>116/24 Bình Lợi, Phường 13, Quận Bình Thạnh, Thành phố Hồ Chí Minh, Việt Nam</t>
  </si>
  <si>
    <t>1,178,000.0</t>
  </si>
  <si>
    <t>579252169447082533</t>
  </si>
  <si>
    <t>BHHT2024017046</t>
  </si>
  <si>
    <t>00002625</t>
  </si>
  <si>
    <t>00000786</t>
  </si>
  <si>
    <t>4,181,334.0</t>
  </si>
  <si>
    <t>334,506.0</t>
  </si>
  <si>
    <t>4,515,840.0</t>
  </si>
  <si>
    <t>CÔNG TY TNHH THIẾT KẾ SẢN XUẤT THƯƠNG MẠI NHẬT MINH</t>
  </si>
  <si>
    <t>266/43/3A Đường Số 8, Phường Thông Tây Hội, TP Hồ Chí Minh, Việt Nam.</t>
  </si>
  <si>
    <t>3,275,000.0</t>
  </si>
  <si>
    <t>262,000.0</t>
  </si>
  <si>
    <t>3,537,000.0</t>
  </si>
  <si>
    <t>CÔNG TY CỔ PHẦN ĐẦU TƯ XÂY DỰNG SOL E&amp;C</t>
  </si>
  <si>
    <t>18/09/2024</t>
  </si>
  <si>
    <t>1801739475</t>
  </si>
  <si>
    <t>CÔNG TY TNHH THƯƠNG MẠI DỊCH VỤ TƯ VẤN ĐẦU TƯ XÂY DỰNG HUY PHÁT</t>
  </si>
  <si>
    <t>386/7A, Đường Cách Mạng Tháng Tám, Phường Bùi Hữu Nghĩa, Quận Bình Thuỷ, Thành phố Cần Thơ, Việt Nam</t>
  </si>
  <si>
    <t>0313541575</t>
  </si>
  <si>
    <t>4,316,000.0</t>
  </si>
  <si>
    <t>345,280.0</t>
  </si>
  <si>
    <t>579344317583100843</t>
  </si>
  <si>
    <t>4,661,280.0</t>
  </si>
  <si>
    <t>BHHT2024015517</t>
  </si>
  <si>
    <t>00002626</t>
  </si>
  <si>
    <t>CÔNG TY TNHH TÂN SAO Á</t>
  </si>
  <si>
    <t>Số 149, Đường Phạm Văn Sáng , Ấp 22, Xã Bà Điểm, TP Hồ Chí Minh, Việt Nam.</t>
  </si>
  <si>
    <t>444,827.0</t>
  </si>
  <si>
    <t>35,586.0</t>
  </si>
  <si>
    <t>480,413.0</t>
  </si>
  <si>
    <t>CÔNG TY TNHH DU LỊCH TẤN PHÁT</t>
  </si>
  <si>
    <t>Thôn Kê Gà, Xã Tân Thành,Tỉnh Lâm Đồng</t>
  </si>
  <si>
    <t>892,593.0</t>
  </si>
  <si>
    <t>71,407.0</t>
  </si>
  <si>
    <t>964,000.0</t>
  </si>
  <si>
    <t>20/09/2024</t>
  </si>
  <si>
    <t>0402246807</t>
  </si>
  <si>
    <t>00001160</t>
  </si>
  <si>
    <t>CÔNG TY TNHH BALOG MEDIA</t>
  </si>
  <si>
    <t>25 An Thượng 15, Phường Mỹ An, Quận Ngũ Hành Sơn, Thành phố Đà Nẵng, Việt Nam</t>
  </si>
  <si>
    <t>240909FT7J3JK8</t>
  </si>
  <si>
    <t>BHHS2024005078</t>
  </si>
  <si>
    <t>CÔNG TY CỔ PHẦN IBP HOLDINGS</t>
  </si>
  <si>
    <t>00002575</t>
  </si>
  <si>
    <t>Tầng 5, Tòa nhà Fimexco, số 231-233 Lê Thánh Tôn, Phường Bến Thành, TP Hồ Chí Minh, Việt Nam.</t>
  </si>
  <si>
    <t>2,495,372.0</t>
  </si>
  <si>
    <t>199,630.0</t>
  </si>
  <si>
    <t>2,695,002.0</t>
  </si>
  <si>
    <t>Công ty cổ phần sản xuất thương mại T&amp;B</t>
  </si>
  <si>
    <t>A43, khu phố Thanh Hùng, phường Thanh Điền, tỉnh Tây Ninh</t>
  </si>
  <si>
    <t>1,303,704.0</t>
  </si>
  <si>
    <t>104,296.0</t>
  </si>
  <si>
    <t>1,408,000.0</t>
  </si>
  <si>
    <t>Công Ty Trách Nhiệm Hữu Hạn Thương Mại Dịch Vụ Linh Trung</t>
  </si>
  <si>
    <t>Đảo khoản 1C25TUV/00000786; tham chiếu gốc 1C24TUV/00000006</t>
  </si>
  <si>
    <t>3700691189</t>
  </si>
  <si>
    <t>16 đường số 3, Khu phố 2, Phường Linh Xuân, TP Hồ Chí Minh</t>
  </si>
  <si>
    <t>CÔNG TY TNHH LEE &amp; SUY VINA</t>
  </si>
  <si>
    <t>730,778.0</t>
  </si>
  <si>
    <t>Khu phố Hòa Lân, Phường Thuận Giao, Thành phố Thuận An, Tỉnh Bình Dương, Việt Nam</t>
  </si>
  <si>
    <t>58,462.0</t>
  </si>
  <si>
    <t>789,240.0</t>
  </si>
  <si>
    <t>240909GBWQ2YSM</t>
  </si>
  <si>
    <t>BHHS2024005135</t>
  </si>
  <si>
    <t>00002576</t>
  </si>
  <si>
    <t>340,741.0</t>
  </si>
  <si>
    <t>27,259.0</t>
  </si>
  <si>
    <t>368,000.0</t>
  </si>
  <si>
    <t>6,967,334.0</t>
  </si>
  <si>
    <t>557,386.0</t>
  </si>
  <si>
    <t>7,524,720.0</t>
  </si>
  <si>
    <t>Giảm toàn bộ gốc: 1C24TUV/00000006</t>
  </si>
  <si>
    <t>21/09/2024</t>
  </si>
  <si>
    <t>4101510170</t>
  </si>
  <si>
    <t>CÔNG TY TNHH DỊCH VỤ CÔNG NGHỆ VÀ CHẤT LƯỢNG HELMSMAN</t>
  </si>
  <si>
    <t>CÔNG TY TNHH MAI TRÀ</t>
  </si>
  <si>
    <t>611/45 đường Điện Biên Phủ, Phường Bàn Cờ, Thành phố Hồ Chí Minh, Việt Nam</t>
  </si>
  <si>
    <t>Số 45 Chương Dương, Phường Nguyễn Văn Cừ, Thành phố Quy Nhơn, Tỉnh Bình Định, Việt Nam</t>
  </si>
  <si>
    <t>CHI NHÁNH CÔNG TY TNHH MỘT THÀNH VIÊN KHÁCH SẠN AZUMAYA</t>
  </si>
  <si>
    <t>2409152GU6KVH6</t>
  </si>
  <si>
    <t>BHHS2024005432</t>
  </si>
  <si>
    <t>00002577</t>
  </si>
  <si>
    <t>0309489918-003</t>
  </si>
  <si>
    <t>CÔNG TY TNHH MTV TM XNK THUẬN HÒA</t>
  </si>
  <si>
    <t>11/40 Đường Thạnh Xuân 24, Khu Phố 42, Phường Thới An, Thành phố Hồ Chí Minh, Việt Nam</t>
  </si>
  <si>
    <t>CÔNG TY CỔ PHẦN XÂY DỰNG VÀ DỊCH VỤ ĐẤU THẦU TÂN AN</t>
  </si>
  <si>
    <t>Đường Nguyễn Thị Định, Xã Tân Phước Hưng, Thành phố Cần Thơ, Việt Nam</t>
  </si>
  <si>
    <t>24/09/2024</t>
  </si>
  <si>
    <t>0312183038</t>
  </si>
  <si>
    <t>CÔNG TY CỔ PHẦN PHÁT TRIỂN BỀN VỮNG OSHE</t>
  </si>
  <si>
    <t>499/44/19C Quang Trung, Phường 10, Quận Gò Vấp, Thành phố Hồ Chí Minh, Việt Nam</t>
  </si>
  <si>
    <t>240922KSVVPXQB</t>
  </si>
  <si>
    <t>BHHS2024005702</t>
  </si>
  <si>
    <t>2,795,334.0</t>
  </si>
  <si>
    <t>223,626.0</t>
  </si>
  <si>
    <t>3,018,960.0</t>
  </si>
  <si>
    <t>7,273,333.0</t>
  </si>
  <si>
    <t>581,867.0</t>
  </si>
  <si>
    <t>7,855,200.0</t>
  </si>
  <si>
    <t>4001007661</t>
  </si>
  <si>
    <t>CÔNG TY TNHH THƯƠNG MẠI &amp; DỊCH VỤ PHƯƠNG NAM THÀNH</t>
  </si>
  <si>
    <t>104 Nguyễn Thái Học, Phường An Mỹ, Thành phố Tam Kỳ, Tỉnh Quảng Nam, Việt Nam</t>
  </si>
  <si>
    <t>CÔNG TY TNHH SẢN XUẤT VÀ THƯƠNG MẠI DỊCH VỤ HOÀNG GIA THỊNH</t>
  </si>
  <si>
    <t>150/3 Lê Lợi Phường 4 Quận Gò Vấp Tp.Hồ Chí Minh</t>
  </si>
  <si>
    <t>579361174110767459</t>
  </si>
  <si>
    <t>511,111.0</t>
  </si>
  <si>
    <t>40,889.0</t>
  </si>
  <si>
    <t>BHHT2024015032</t>
  </si>
  <si>
    <t>552,000.0</t>
  </si>
  <si>
    <t>00002627</t>
  </si>
  <si>
    <t>0102737963-040</t>
  </si>
  <si>
    <t>Công ty Cổ phần Tập đoàn bảo hiểm DBV – Chi nhánh Vạn Xuân</t>
  </si>
  <si>
    <t>Tầng 17, tòa nhà số 169 Nguyễn Ngọc Vũ, Phường Yên Hòa, TP Hà Nội, Việt Nam.</t>
  </si>
  <si>
    <t>2,073,148.0</t>
  </si>
  <si>
    <t>165,852.0</t>
  </si>
  <si>
    <t>2,239,000.0</t>
  </si>
  <si>
    <t>Phòng 1505, Tầng 15, Tòa Nhà Vincom Center, 72 Lê Thánh Tôn, Phường Sài Gòn, Thành phố Hồ Chí Minh, Việt Nam</t>
  </si>
  <si>
    <t>2,202,778.0</t>
  </si>
  <si>
    <t>26/09/2024</t>
  </si>
  <si>
    <t>176,222.0</t>
  </si>
  <si>
    <t>0317762776</t>
  </si>
  <si>
    <t>CÔNG TY TNHH XÂY DỰNG MINH KIM ANH</t>
  </si>
  <si>
    <t>2,379,000.0</t>
  </si>
  <si>
    <t>Số 13/16A đường số 18, Phường Linh Chiểu, Thành phố Thủ Đức, Thành phố Hồ Chí Minh, Việt Nam</t>
  </si>
  <si>
    <t>240925V8X6Q65R</t>
  </si>
  <si>
    <t>BHHS2024005853</t>
  </si>
  <si>
    <t>00002579</t>
  </si>
  <si>
    <t>CÔNG TY TNHH DỊCH VỤ BẢO VỆ CHUYÊN NGHIỆP AE HOÀNG GIA</t>
  </si>
  <si>
    <t>CHI NHÁNH THÁI VĂN LUNG 2 - CÔNG TY TNHH MỘT THÀNH VIÊN KHÁCH SẠN AZUMAYA</t>
  </si>
  <si>
    <t>D19 Khu thương mại Mai Anh, khu phố Lộc An, Phường Trảng Bàng, Tây Ninh, Việt Nam.</t>
  </si>
  <si>
    <t>0309489918-006</t>
  </si>
  <si>
    <t>CÔNG TY CỔ PHẦN ĐẦU TƯ THƯƠNG MẠI VÀ XÂY DỰNG GIA PHẠM</t>
  </si>
  <si>
    <t>Số 197 Quán Rẽ, Xã An Khánh, TP Hải Phòng, Việt Nam</t>
  </si>
  <si>
    <t>2,739,815.0</t>
  </si>
  <si>
    <t>219,185.0</t>
  </si>
  <si>
    <t>2,959,000.0</t>
  </si>
  <si>
    <t>07/08/2024</t>
  </si>
  <si>
    <t>0100283873</t>
  </si>
  <si>
    <t>NGÂN HÀNG THƯƠNG MẠI CỔ PHẦN QUÂN ĐỘI</t>
  </si>
  <si>
    <t>Số 18 Lê Văn Lương, Phường Trung Hoà, Quận Cầu Giấy, Thành phố Hà Nội, Việt Nam</t>
  </si>
  <si>
    <t>579163497285257509</t>
  </si>
  <si>
    <t>BHHT2024013876</t>
  </si>
  <si>
    <t>5,056,481.0</t>
  </si>
  <si>
    <t>404,518.0</t>
  </si>
  <si>
    <t>5,460,999.0</t>
  </si>
  <si>
    <t>CÔNG TY TNHH ĐẦU TƯ VÀ DỊCH VỤ SUNNYLAND</t>
  </si>
  <si>
    <t>Căn số 00.05, Tầng trệt, Tháp B2, Khu chung cư phức hợp Lô M2 ( Sarimi ) - Số 72 đường Nguyễn Cơ Thạch, Phường An Khánh, Thành phố Hồ Chí Minh, Việt Nam.</t>
  </si>
  <si>
    <t>473,519.0</t>
  </si>
  <si>
    <t>37,881.0</t>
  </si>
  <si>
    <t>12/08/2024</t>
  </si>
  <si>
    <t>0101311315</t>
  </si>
  <si>
    <t>511,400.0</t>
  </si>
  <si>
    <t>CÔNG TY CỔ PHẦN XÂY DỰNG PHỤC HƯNG HOLDINGS</t>
  </si>
  <si>
    <t>Tầng 1, Tháp A, Tòa Nhà CT2 (The Light), đường Tố Hữu, Phường Trung Văn, Quận Nam Từ Liêm, Thành phố Hà Nội, Việt Nam</t>
  </si>
  <si>
    <t>240808R2HDWFE9</t>
  </si>
  <si>
    <t>BHHS2024004296</t>
  </si>
  <si>
    <t>00002570</t>
  </si>
  <si>
    <t>6,981,334.0</t>
  </si>
  <si>
    <t>558,506.0</t>
  </si>
  <si>
    <t>7,539,840.0</t>
  </si>
  <si>
    <t>3700723994-008</t>
  </si>
  <si>
    <t>CHI NHÁNH CÔNG TY TNHH YAKULT VIỆT NAM TẠI TỈNH BÌNH DƯƠNG</t>
  </si>
  <si>
    <t>Số 365 đường Phú Lợi, tổ 43, khu phố 5,, Phường Phú Lợi, TP Hồ Chí Minh</t>
  </si>
  <si>
    <t>170,370.0</t>
  </si>
  <si>
    <t>13,630.0</t>
  </si>
  <si>
    <t>184,000.0</t>
  </si>
  <si>
    <t>0314382550</t>
  </si>
  <si>
    <t>CÔNG TY TNHH TM DV KỸ THUẬT BẢO NGHI</t>
  </si>
  <si>
    <t>CÔNG TY TNHH ĐẦU TƯ XÂY DỰNG KIẾN TRÚC NHÀ NHIỆT ĐỚI</t>
  </si>
  <si>
    <t>47/94 Trần Quốc Toản, phường Xuân Hoà , TP HCM</t>
  </si>
  <si>
    <t>692/11 Xô Viết Nghệ Tĩnh, Phường 25, Quận Bình Thạnh, Thành phố Hồ Chí Minh, Việt Nam</t>
  </si>
  <si>
    <t>579175521444071480</t>
  </si>
  <si>
    <t>BHHT2024013466</t>
  </si>
  <si>
    <t>00002622</t>
  </si>
  <si>
    <t>Công ty TNHH thương mại dịch vụ Logistics MSV</t>
  </si>
  <si>
    <t>254/41 Dương Quảng Hàm, phường An Nhơn (p. 05,q. Gò Vấp cũ), TP. Hồ Chí Minh</t>
  </si>
  <si>
    <t>Công Ty TNHH Lam Thảo Cosmetics</t>
  </si>
  <si>
    <t>49 Trần Hưng Đạo, Phường Tân Sơn Nhì, Thành phố Hồ Chí Minh, Việt Nam</t>
  </si>
  <si>
    <t>00000812</t>
  </si>
  <si>
    <t>15/08/2024</t>
  </si>
  <si>
    <t>3702974471</t>
  </si>
  <si>
    <t>CÔNG TY TNHH VẬT LIỆU BAO BÌ QUỐC ĐẰNG</t>
  </si>
  <si>
    <t>ô 54 + ô 56, Lô Dc57, Đường NA4, KĐC Việt Sing, Phường Thuận Giao, Thành phố Thuận An, Tỉnh Bình Dương, Việt Nam</t>
  </si>
  <si>
    <t>578860365679135604</t>
  </si>
  <si>
    <t>BHHT2024005861</t>
  </si>
  <si>
    <t>00002623</t>
  </si>
  <si>
    <t>CÔNG TY TNHH HỚT TÓC KING LUXURY BARBERSHOP</t>
  </si>
  <si>
    <t>20/08/2024</t>
  </si>
  <si>
    <t>0100274124-003</t>
  </si>
  <si>
    <t>72 Lê Lợi, Phường Bến Thành, TP Hồ Chí Minh, Việt Nam</t>
  </si>
  <si>
    <t>CHI NHÁNH CÔNG TY TNHH THƯƠNG MẠI DƯỢC PHẨM ĐÔNG Á</t>
  </si>
  <si>
    <t>44,444,444.0</t>
  </si>
  <si>
    <t>283/26-28 Cách Mạng Tháng Tám, Phường 12, Quận 10, Thành phố Hồ Chí Minh, Việt Nam</t>
  </si>
  <si>
    <t>3,555,556.0</t>
  </si>
  <si>
    <t>48,000,000.0</t>
  </si>
  <si>
    <t>HD007034</t>
  </si>
  <si>
    <t>BHHN2024000060</t>
  </si>
  <si>
    <t>5,674,000.0</t>
  </si>
  <si>
    <t>453,920.0</t>
  </si>
  <si>
    <t>6,127,920.0</t>
  </si>
  <si>
    <t>21/08/2024</t>
  </si>
  <si>
    <t>0109602644</t>
  </si>
  <si>
    <t>CÔNG TY TNHH ICAPITAL</t>
  </si>
  <si>
    <t>Công ty TNHH Tư vấn nhân sự ABY</t>
  </si>
  <si>
    <t>Tẩng 10, Gelex Tower, 52 Lê Đại Hành, Phường Lê Đại Hành, Quận Hai Bà Trưng, Thành phố Hà Nội, Việt Nam</t>
  </si>
  <si>
    <t>25/16 Nhiêu Tứ, Phường Cầu Kiệu, TP. HCM</t>
  </si>
  <si>
    <t>240808QW9TGB1F</t>
  </si>
  <si>
    <t>BHHS2024004271</t>
  </si>
  <si>
    <t>CÔNG TY TRÁCH NHIÊM HỮU HẠN HWASEUNG VINA</t>
  </si>
  <si>
    <t>KCN Nhơn Trạch 1, Xã Nhơn Trạch, Tỉnh Đồng Nai, Việt Nam</t>
  </si>
  <si>
    <t>132 Võ Thị Sáu, Phường Võ Thị Sáu, Quận 3, Thành phố Hồ Chí Minh, Việt Nam</t>
  </si>
  <si>
    <t>Đảo khoản 1C25TUV/00000812; tham chiếu gốc 1C24TUV/00000007</t>
  </si>
  <si>
    <t>CÔNG TY TNHH MỘT THÀNH VIÊN KHÁCH SẠN AZUMAYA</t>
  </si>
  <si>
    <t>HD007027</t>
  </si>
  <si>
    <t>BHHN2024000061</t>
  </si>
  <si>
    <t>1,930,000.0</t>
  </si>
  <si>
    <t>0309489918</t>
  </si>
  <si>
    <t>154,400.0</t>
  </si>
  <si>
    <t>2,084,400.0</t>
  </si>
  <si>
    <t>CÔNG TY TNHH SẢN XUẤT &amp; THƯƠNG MẠI KIM LONG H.T.H</t>
  </si>
  <si>
    <t>109/5 Thái Phiên, Phường Minh Phụng, Thành phố Hồ Chí Minh, Việt Nam</t>
  </si>
  <si>
    <t>2,253,422.0</t>
  </si>
  <si>
    <t>180,274.0</t>
  </si>
  <si>
    <t>2,433,696.0</t>
  </si>
  <si>
    <t>HD007026</t>
  </si>
  <si>
    <t>Giảm toàn bộ gốc: 1C24TUV/00000007</t>
  </si>
  <si>
    <t>BHHN2024000070</t>
  </si>
  <si>
    <t>CÔNG TY TNHH ĐẦU TƯ Y TẾ TRẦN DIỆP KHANH</t>
  </si>
  <si>
    <t>41/21 Nguyễn Oanh, Phường Gò Vấp, TP Hồ Chí Minh, Việt Nam.</t>
  </si>
  <si>
    <t>150,926.0</t>
  </si>
  <si>
    <t>12,074.0</t>
  </si>
  <si>
    <t>163,000.0</t>
  </si>
  <si>
    <t>7,687,333.0</t>
  </si>
  <si>
    <t>614,987.0</t>
  </si>
  <si>
    <t>8,302,320.0</t>
  </si>
  <si>
    <t>HD006987</t>
  </si>
  <si>
    <t>BHHN2024000066</t>
  </si>
  <si>
    <t>TRUNG TÂM NGHIÊN CỨU SẢN XUẤT VẮC XIN VÀ SINH PHẨM Y TẾ</t>
  </si>
  <si>
    <t>Số 135 phố Lò Đúc, Phường Hai Bà Trưng, Thành phố Hà Nội, Việt Nam</t>
  </si>
  <si>
    <t>29/08/2024</t>
  </si>
  <si>
    <t>0102193093-007</t>
  </si>
  <si>
    <t>7,354,667.0</t>
  </si>
  <si>
    <t>CHI NHÁNH CÔNG TY CỔ PHẦN GIÁO DỤC VÀ GIẢI TRÍ TRẺ THƠ - TRƯỜNG MẦM NON VƯỜN KHÁM PHÁ (SMALL WONDER) QUẬN GÒ VẤP</t>
  </si>
  <si>
    <t>588,373.0</t>
  </si>
  <si>
    <t>Số 616/36 Lê Đức Thọ, Phường 15, Quận Gò Vấp, Thành phố Hồ Chí Minh, Việt Nam</t>
  </si>
  <si>
    <t>7,943,040.0</t>
  </si>
  <si>
    <t>240826A8UTM8CU</t>
  </si>
  <si>
    <t>BHHS2024004749</t>
  </si>
  <si>
    <t>00002571</t>
  </si>
  <si>
    <t>17,018,000.0</t>
  </si>
  <si>
    <t>1,361,440.0</t>
  </si>
  <si>
    <t>18,379,440.0</t>
  </si>
  <si>
    <t>CÔNG TY LUẬT TNHH TA LAW &amp; PARTNERS</t>
  </si>
  <si>
    <t>Đường N10, ĐT741, Khu phố Bàu ké, xã Đồng Phú, tỉnh Đồng Nai</t>
  </si>
  <si>
    <t>03/07/2024</t>
  </si>
  <si>
    <t>2803071812</t>
  </si>
  <si>
    <t>CÔNG TY CỔ PHẦN DƯỢC PHẨM VCP</t>
  </si>
  <si>
    <t>CÔNG TY TNHH THƯƠNG MẠI DỊCH VỤ SMART LIFE VIỆT NAM</t>
  </si>
  <si>
    <t>Thôn Thạch Lỗi, Xã Nội Bài, Thành phố Hà Nội</t>
  </si>
  <si>
    <t>Số nhà 10/27 Mai An Tiêm, Phường Lam Sơn, Thành phố Thanh Hoá, Tỉnh Thanh Hoá, Việt Nam</t>
  </si>
  <si>
    <t>HD006790</t>
  </si>
  <si>
    <t>BHHN2024000087</t>
  </si>
  <si>
    <t>Công ty TNHH Sản Xuất Thương Mại Dịch Vụ May Mặc Đồng Phục Đại Việt</t>
  </si>
  <si>
    <t>164/9 Đường 20, Phường An Nhơn, Thành phố Hồ Chí Minh, Việt Nam</t>
  </si>
  <si>
    <t>18/07/2024</t>
  </si>
  <si>
    <t>0309489918-009</t>
  </si>
  <si>
    <t>CHI NHÁNH HẢI PHÒNG - CÔNG TY TNHH MỘT THÀNH VIÊN KHÁCH SẠN AZUMAYA</t>
  </si>
  <si>
    <t>CÔNG TY CỔ PHẦN PHÁT TRIỂN NAM PHI LONG</t>
  </si>
  <si>
    <t>Số 195 đường Vũ Trọng Khánh, Phường Đằng Giang, Quận Ngô Quyền, Thành phố Hải Phòng, Việt Nam</t>
  </si>
  <si>
    <t>379 Nguyễn Công Trứ, Phường Bến Thành, TP Hồ Chí Minh, Việt Nam</t>
  </si>
  <si>
    <t>HD006835.01
HD006836.01</t>
  </si>
  <si>
    <t>BHHN2024000079
BHHN2024000078</t>
  </si>
  <si>
    <t>7,675,999.0</t>
  </si>
  <si>
    <t>614,081.0</t>
  </si>
  <si>
    <t>8,290,080.0</t>
  </si>
  <si>
    <t>Công ty TNHH Dịch Vụ Viễn Thông TBQ Việt Nam</t>
  </si>
  <si>
    <t>Tầng 2, số 26 ngõ 442 đường Phạm Văn Đồng, Phường Đông Ngạc, Thành phố Hà Nội</t>
  </si>
  <si>
    <t>221,296.0</t>
  </si>
  <si>
    <t>17,704.0</t>
  </si>
  <si>
    <t>239,000.0</t>
  </si>
  <si>
    <t>CÔNG TY CỔ PHẦN GIÁO DỤC KỸ NĂNG VICA</t>
  </si>
  <si>
    <t>178 Điện Biên Phủ, Phường Xuân Hoà, TP Hồ Chí Minh</t>
  </si>
  <si>
    <t>Đã chỉnh gộp đơn trên AMIS thành BHHN2024000078</t>
  </si>
  <si>
    <t>875,000.0</t>
  </si>
  <si>
    <t>70,000.0</t>
  </si>
  <si>
    <t>945,000.0</t>
  </si>
  <si>
    <t>19/07/2024</t>
  </si>
  <si>
    <t>0309489918-005</t>
  </si>
  <si>
    <t>CHI NHÁNH KIM MÃ 2 - CÔNG TY TNHH MỘT THÀNH VIÊN KHÁCH SẠN AZUMAYA</t>
  </si>
  <si>
    <t>CÔNG TY TNHH SẢN PHẨM DỆT MAY MERRY (VIỆT NAM)</t>
  </si>
  <si>
    <t>Số 18A Phạm Huy Thông, Phường Ngọc Khánh, Quận Ba Đình, Thành phố Hà Nội, Việt Nam</t>
  </si>
  <si>
    <t>Lô I, đường số Đ.20, khu công nghiệp Châu Đức, Xã Ngãi Giao, TP Hồ Chí Minh, Việt Nam.</t>
  </si>
  <si>
    <t>6,916,667.0</t>
  </si>
  <si>
    <t>HD006832.01</t>
  </si>
  <si>
    <t>553,333.0</t>
  </si>
  <si>
    <t>BHHN2024000082</t>
  </si>
  <si>
    <t>7,470,000.0</t>
  </si>
  <si>
    <t>Công Ty TNHH Thương Mại Dịch Vụ Xuất Nhập Khẩu Tâm Thành Khang</t>
  </si>
  <si>
    <t>52 đường số 11, phường Tân Hưng, Thành Phố Hồ Chí Minh, Việt Nam.</t>
  </si>
  <si>
    <t>CÔNG TY TNHH NHIÊN HOUSE</t>
  </si>
  <si>
    <t>0309489918-010</t>
  </si>
  <si>
    <t>0316160754</t>
  </si>
  <si>
    <t>CHI NHÁNH KIM MÃ 3 - CÔNG TY TNHH MỘT THÀNH VIÊN KHÁCH SẠN AZUMAYA</t>
  </si>
  <si>
    <t>Số 68 Phạm Huy Thông, Phường Ngọc Khánh, Quận Ba Đình, Thành phố Hà Nội, Việt Nam</t>
  </si>
  <si>
    <t>HD006834.01</t>
  </si>
  <si>
    <t>CTY TNHH CASA HOLDING</t>
  </si>
  <si>
    <t>BHHN2024000080</t>
  </si>
  <si>
    <t>108 Trần Đình Xu, Phường Cầu Ông Lãnh, Tp Hồ Chí Minh, Việt Nam</t>
  </si>
  <si>
    <t>4,968,667.0</t>
  </si>
  <si>
    <t>0309489918-008</t>
  </si>
  <si>
    <t>397,493.0</t>
  </si>
  <si>
    <t>CHI NHÁNH LINH LANG - CÔNG TY TNHH MỘT THÀNH VIÊN KHÁCH SẠN AZUMAYA</t>
  </si>
  <si>
    <t>5,366,160.0</t>
  </si>
  <si>
    <t>Số 26, phố Linh Lang, Phường Cống Vị, Quận Ba Đình, Thành phố Hà Nội, Việt Nam</t>
  </si>
  <si>
    <t>HD006833.01</t>
  </si>
  <si>
    <t>BHHN2024000081</t>
  </si>
  <si>
    <t>00001223</t>
  </si>
  <si>
    <t>13,738,000.0</t>
  </si>
  <si>
    <t>1,099,040.0</t>
  </si>
  <si>
    <t>14,837,040.0</t>
  </si>
  <si>
    <t>3,705,333.0</t>
  </si>
  <si>
    <t>00000813</t>
  </si>
  <si>
    <t>296,427.0</t>
  </si>
  <si>
    <t>0309489918-001</t>
  </si>
  <si>
    <t>4,001,760.0</t>
  </si>
  <si>
    <t>CHI NHÁNH HÀ NỘI - CÔNG TY TNHH MỘT THÀNH VIÊN KHÁCH SẠN AZUMAYA</t>
  </si>
  <si>
    <t>Số 16 Bùi Thị Xuân, Phường Nguyễn Du, Quận Hai Bà Trưng, Thành phố Hà Nội, Việt Nam</t>
  </si>
  <si>
    <t>HD006831.01</t>
  </si>
  <si>
    <t>BHHN2024000083</t>
  </si>
  <si>
    <t>CÔNG TY TNHH CLOUD.FIRE</t>
  </si>
  <si>
    <t>109/8 Xa Lộ Hà Nội, phường An Khánh, Thành phố Hồ Chí Minh</t>
  </si>
  <si>
    <t>6,741,333.0</t>
  </si>
  <si>
    <t>539,307.0</t>
  </si>
  <si>
    <t>0318358598</t>
  </si>
  <si>
    <t>CÔNG TY TNHH CYBERTOK</t>
  </si>
  <si>
    <t>7,280,640.0</t>
  </si>
  <si>
    <t>Số 14 đường Sông Thao, Phường 2, Quận Tân Bình, Thành phố Hồ Chí Minh, Việt Nam</t>
  </si>
  <si>
    <t>579076274781849614</t>
  </si>
  <si>
    <t>BHHT2024010766</t>
  </si>
  <si>
    <t>00002621</t>
  </si>
  <si>
    <t>5,447,333.0</t>
  </si>
  <si>
    <t>435,787.0</t>
  </si>
  <si>
    <t>5,883,120.0</t>
  </si>
  <si>
    <t>CÔNG TY CỔ PHẦN NTQ SOLUTION</t>
  </si>
  <si>
    <t>41/21 Nguyễn Oanh, Phường Gò Vấp, Thành 
  phố Hồ Chí Minh, Việt Nam</t>
  </si>
  <si>
    <t>0105355296</t>
  </si>
  <si>
    <t>24/07/2024</t>
  </si>
  <si>
    <t>0309489918-004</t>
  </si>
  <si>
    <t>CÔNG TY TNHH DỊCH VỤ THƯƠNG MẠI GIA MỸ</t>
  </si>
  <si>
    <t>CHI NHÁNH ĐÀ NẴNG - CÔNG TY TNHH MỘT THÀNH VIÊN KHÁCH SẠN AZUMAYA</t>
  </si>
  <si>
    <t>75B Bà Hom, Phường Phú Lâm, TP Hồ Chí Minh, Việt Nam.</t>
  </si>
  <si>
    <t>31- Nguyễn Tất Thành, Phường Thanh Bình, Quận Hải Châu, Thành phố Đà Nẵng, Việt Nam</t>
  </si>
  <si>
    <t>HD006841.01</t>
  </si>
  <si>
    <t>BHHN2024000077</t>
  </si>
  <si>
    <t>1,848,667.0</t>
  </si>
  <si>
    <t>147,893.0</t>
  </si>
  <si>
    <t>1,996,560.0</t>
  </si>
  <si>
    <t>29/07/2024</t>
  </si>
  <si>
    <t>3401241946</t>
  </si>
  <si>
    <t>Đảo khoản 1C25TUV/00000813; tham chiếu gốc 1C24TUV/00000008</t>
  </si>
  <si>
    <t>CÔNG TY TNHH THƯƠNG MẠI - XÂY DỰNG - CƠ ĐIỆN THỦY TIẾN</t>
  </si>
  <si>
    <t>Số 124 Tuyên Quang, Phường Phú Thủy, Thành phố  Phan Thiết, Tỉnh Bình Thuận, Việt Nam</t>
  </si>
  <si>
    <t>CÔNG TY TNHH MTV PHỞ BÒ VIỆT NAM</t>
  </si>
  <si>
    <t>Căn A184, đường Amalfi, Khu Đô thị The Center, tổ 10, Khu phố 6, Đặc khu Phú Quốc, An Giang, Việt Nam.</t>
  </si>
  <si>
    <t>721,295.0</t>
  </si>
  <si>
    <t>240707VMXSUE8J</t>
  </si>
  <si>
    <t>57,704.0</t>
  </si>
  <si>
    <t>BHHS2024003304</t>
  </si>
  <si>
    <t>778,999.0</t>
  </si>
  <si>
    <t>3,794,000.0</t>
  </si>
  <si>
    <t>303,520.0</t>
  </si>
  <si>
    <t>4,097,520.0</t>
  </si>
  <si>
    <t>11/06/2024</t>
  </si>
  <si>
    <t>Giảm toàn bộ gốc: 1C24TUV/00000008</t>
  </si>
  <si>
    <t>0317205768</t>
  </si>
  <si>
    <t>CÔNG TY TNHH TRUYỀN THÔNG SPY</t>
  </si>
  <si>
    <t>471 Lê Đức Thọ, Phường 16, Quận Gò Vấp, Thành phố Hồ Chí Minh, Việt Nam</t>
  </si>
  <si>
    <t>578853156049422817</t>
  </si>
  <si>
    <t>CÔNG TY TNHH SẢN XUẤT THƯƠNG MẠI DỊCH VỤ S-ASIA TEXTILE VINA</t>
  </si>
  <si>
    <t>BHHT2024005932</t>
  </si>
  <si>
    <t>Số nhà 557, khu 11, khu phố Hiệp Tâm 2, Xã Định Quán, Đồng Nai, Việt Nam.</t>
  </si>
  <si>
    <t>132 Võ Thị Sáu, Phường Xuân Hòa, Thành phố Hồ Chí Minh, Việt Nam.</t>
  </si>
  <si>
    <t>CÔNG TY TNHH DỊCH VỤ CÔNG NGHỆ ZSEA</t>
  </si>
  <si>
    <t>CÔNG TY CỔ PHẦN MAJOR EDUCATION</t>
  </si>
  <si>
    <t>Tầng 2, Tòa nhà COPAC, 12 Tôn Đản, Phường Xóm Chiếu, Thành phố Hồ Chí Minh, Việt Nam.</t>
  </si>
  <si>
    <t>2,295,370.0</t>
  </si>
  <si>
    <t>183,630.0</t>
  </si>
  <si>
    <t>0318279201</t>
  </si>
  <si>
    <t>2,479,000.0</t>
  </si>
  <si>
    <t>0310596706</t>
  </si>
  <si>
    <t>CÔNG TY TNHH SMALL DUCK VIỆT NAM</t>
  </si>
  <si>
    <t>Số 136A-138 Quang Trung, Phường 10, Quận Gò Vấp, Thành phố Hồ Chí Minh, Việt Nam</t>
  </si>
  <si>
    <t>2406057T7MUCD7</t>
  </si>
  <si>
    <t>BHHS2024002590</t>
  </si>
  <si>
    <t>00002562</t>
  </si>
  <si>
    <t>3,822,667.0</t>
  </si>
  <si>
    <t>305,813.0</t>
  </si>
  <si>
    <t>4,128,480.0</t>
  </si>
  <si>
    <t>Lô I, đường số Đ.20, khu công nghiệp Châu Đức, Xã Ngãi Giao, Thành phố Hồ Chí Minh, Việt Nam.</t>
  </si>
  <si>
    <t>4,111,111.0</t>
  </si>
  <si>
    <t>328,889.0</t>
  </si>
  <si>
    <t>4,440,000.0</t>
  </si>
  <si>
    <t>17/06/2024</t>
  </si>
  <si>
    <t>0314094707</t>
  </si>
  <si>
    <t>Huyện Mỹ Đức, Thành Phố Hà Nội, Việt Nam</t>
  </si>
  <si>
    <t>CÔNG TY TNHH THƯƠNG MẠI XUẤT NHẬP KHẨU 789</t>
  </si>
  <si>
    <t>1,800,926.0</t>
  </si>
  <si>
    <t>155 đường Hai Bà Trưng, Phường Võ Thị Sáu, Quận 3, Thành phố Hồ Chí Minh, Việt Nam</t>
  </si>
  <si>
    <t>144,074.0</t>
  </si>
  <si>
    <t>1,945,000.0</t>
  </si>
  <si>
    <t>240606A4VN9JYD</t>
  </si>
  <si>
    <t>BHHS2024002704</t>
  </si>
  <si>
    <t>00002565</t>
  </si>
  <si>
    <t>Tổng công ty Bảo Việt Nhân Thọ</t>
  </si>
  <si>
    <t>Tầng 37, Keangnam Ha Noi Landmark Tower, đường Phạm Hùng, Phường Yên Hòa, Thành phố Hà Nội, Việt Nam.</t>
  </si>
  <si>
    <t>0100150619-078</t>
  </si>
  <si>
    <t>NGÂN HÀNG THƯƠNG MẠI CỔ PHẦN ĐẦU TƯ VÀ PHÁT TRIỂN VIỆT NAM - CHI NHÁNH CẦU GIẤY</t>
  </si>
  <si>
    <t>Số 263 đường Cầu Giấy, Phường Cầu Giấy, Thành phố Hà Nội, Việt Nam.</t>
  </si>
  <si>
    <t>656,481.0</t>
  </si>
  <si>
    <t>52,519.0</t>
  </si>
  <si>
    <t>709,000.0</t>
  </si>
  <si>
    <t>21/06/2024</t>
  </si>
  <si>
    <t>0312276204</t>
  </si>
  <si>
    <t>CÔNG TY TNHH ANTS MEDIA</t>
  </si>
  <si>
    <t>251/54 Lê Quang Định, Phường 7, Quận Bình Thạnh, Thành phố Hồ Chí Minh, Việt Nam</t>
  </si>
  <si>
    <t>Tổng công ty cổ phần Tái bảo hiểm Hà Nội</t>
  </si>
  <si>
    <t>240619DGK9SCGY</t>
  </si>
  <si>
    <t>Tầng 25, tòa PVI, lô VP2, khu nhà ở và CTCC Yên Hòa, Phường Cầu Giấy, Thành phố Hà Nội, Việt Nam.</t>
  </si>
  <si>
    <t>BHHS2024003014</t>
  </si>
  <si>
    <t>00002566</t>
  </si>
  <si>
    <t>6,431,333.0</t>
  </si>
  <si>
    <t>514,507.0</t>
  </si>
  <si>
    <t>6,945,840.0</t>
  </si>
  <si>
    <t>HỘ KINH DOANH CỬA HÀNG DỤNG CỤ Y TẾ KHÁNH VIỄN</t>
  </si>
  <si>
    <t>8127675505-001</t>
  </si>
  <si>
    <t>CÔNG TY TNHH PHÁT TRIỂN THƯƠNG MẠI DỊCH VỤ THIÊN AN NÔNG</t>
  </si>
  <si>
    <t>Số 21 Đường D12, KDC Biconsi Tân Bình, Khu phố Tân Thắng, Phường Tân Đông Hiệp, Thành phố Hồ Chí Minh, Việt Nam.</t>
  </si>
  <si>
    <t>27/06/2024</t>
  </si>
  <si>
    <t>509,259.0</t>
  </si>
  <si>
    <t>0317770953</t>
  </si>
  <si>
    <t>40,741.0</t>
  </si>
  <si>
    <t>CÔNG TY CỔ PHẦN ONEIT</t>
  </si>
  <si>
    <t>550,000.0</t>
  </si>
  <si>
    <t>Lầu 1, 170-170 Bis Bùi Thị Xuân, Phường Phạm Ngũ Lão, Quận 1, Thành phố Hồ Chí Minh, Việt Nam</t>
  </si>
  <si>
    <t>2406261UY61KHG</t>
  </si>
  <si>
    <t>BHHS2024003176</t>
  </si>
  <si>
    <t>00002568</t>
  </si>
  <si>
    <t>CÔNG TY TNHH VĨNH ĐẠT</t>
  </si>
  <si>
    <t>Phòng 810, tòa nhà JSC34, ngõ 164 Khuất Duy Tiến, Phường Thanh Xuân, Thành phố Hà Nội, Việt Nam.</t>
  </si>
  <si>
    <t>1,980,556.0</t>
  </si>
  <si>
    <t>158,444.0</t>
  </si>
  <si>
    <t>2,139,000.0</t>
  </si>
  <si>
    <t>10,286,000.0</t>
  </si>
  <si>
    <t>822,880.0</t>
  </si>
  <si>
    <t>11,108,880.0</t>
  </si>
  <si>
    <t>03/05/2024</t>
  </si>
  <si>
    <t>0313342918</t>
  </si>
  <si>
    <t>CÔNG TY CỔ PHẦN THƯƠNG MẠI VÀ DỊCH VỤ SAGEN</t>
  </si>
  <si>
    <t>19 Đường 59A-TML, Khu phố 1, Phường Thạnh Mỹ Lợi, Thành phố Thủ Đức, Thành phố Hồ Chí Minh, Việt Nam</t>
  </si>
  <si>
    <t>578770925371427801</t>
  </si>
  <si>
    <t>3,677,333.0</t>
  </si>
  <si>
    <t>BHHT2024007361</t>
  </si>
  <si>
    <t>294,187.0</t>
  </si>
  <si>
    <t>3,971,520.0</t>
  </si>
  <si>
    <t>00001560</t>
  </si>
  <si>
    <t>CÔNG TY TNHH THƯƠNG MẠI GLOBAL HIGH TECHNOLOGY</t>
  </si>
  <si>
    <t>22D5 Đường Nguyễn Văn Thương, Phường Thạnh Mỹ Tây, Thành phố Hồ Chí Minh, Việt Nam.</t>
  </si>
  <si>
    <t>6,529,333.0</t>
  </si>
  <si>
    <t>522,347.0</t>
  </si>
  <si>
    <t>07/05/2024</t>
  </si>
  <si>
    <t>0318166409</t>
  </si>
  <si>
    <t>7,051,680.0</t>
  </si>
  <si>
    <t>CÔNG TY TNHH TRUYỀN THÔNG VÀ SỰ KIỆN CARPE DIEM</t>
  </si>
  <si>
    <t>31/19/26 Huỳnh Thiện Lộc, Phường Hoà Thạnh, Quận Tân phú, Thành phố Hồ Chí Minh, Việt Nam</t>
  </si>
  <si>
    <t>240425KQ1REQY1</t>
  </si>
  <si>
    <t>BHHS2024001867</t>
  </si>
  <si>
    <t>0106712303-001</t>
  </si>
  <si>
    <t>00001543</t>
  </si>
  <si>
    <t>CHI NHÁNH VENESA HỒ CHÍ MINH - CÔNG TY TNHH VENESA</t>
  </si>
  <si>
    <t>Tầng 2, số 60B Nguyễn Thông, Phường Nhiêu Lộc, Thành phố Hồ Chí Minh, Việt Nam.</t>
  </si>
  <si>
    <t>1,093,943.0</t>
  </si>
  <si>
    <t>87,515.0</t>
  </si>
  <si>
    <t>1,181,458.0</t>
  </si>
  <si>
    <t>00000814</t>
  </si>
  <si>
    <t>CÔNG TY TNHH THỔ KIM PHÁT</t>
  </si>
  <si>
    <t>13,379,333.0</t>
  </si>
  <si>
    <t>1,070,347.0</t>
  </si>
  <si>
    <t>14,449,680.0</t>
  </si>
  <si>
    <t>0110490847</t>
  </si>
  <si>
    <t>Bệnh Viện Huyện Bình Chánh</t>
  </si>
  <si>
    <t>Số 1 Đường số 1, Khu trung tâm hành chính, Xã Tân Nhựt, Thành phố Hồ Chí Minh, Việt Nam.</t>
  </si>
  <si>
    <t>240428VTBXP11B</t>
  </si>
  <si>
    <t>BHHS2024001956</t>
  </si>
  <si>
    <t>Hóa đơn đã bị thay thế</t>
  </si>
  <si>
    <t>00001544</t>
  </si>
  <si>
    <t>00002615</t>
  </si>
  <si>
    <t>CÔNG TY CỔ PHẦN GIAO THÔNG T-N-T</t>
  </si>
  <si>
    <t>Số A41 Tập thể 810 Đường Ngọc Hồi, Xã Thanh Trì, Thành phố Hà Nội, Việt Nam.</t>
  </si>
  <si>
    <t>14/05/2024</t>
  </si>
  <si>
    <t>0309793900</t>
  </si>
  <si>
    <t>CÔNG TY TNHH KMS TECHNOLOGY VIỆT NAM</t>
  </si>
  <si>
    <t>Số 2 đường Tản Viên, Phường 2, Quận Tân Bình, Thành phố Hồ Chí Minh, Việt Nam</t>
  </si>
  <si>
    <t>2405112TBDQ1HM</t>
  </si>
  <si>
    <t>BHHS2024002221</t>
  </si>
  <si>
    <t>00001551</t>
  </si>
  <si>
    <t>10,985,333.0</t>
  </si>
  <si>
    <t>878,827.0</t>
  </si>
  <si>
    <t>11,864,160.0</t>
  </si>
  <si>
    <t>CÔNG TY TNHH ĐẦU TƯ VÀ XÂY DỰNG CÔNG NGHIỆP AN PHÚ</t>
  </si>
  <si>
    <t>Số 10, Khu Đấu Giá Thôn Đìa, Xã Phúc Thịnh, Thành phố Hà Nội, Việt Nam.</t>
  </si>
  <si>
    <t>2,180,600.0</t>
  </si>
  <si>
    <t>174,448.0</t>
  </si>
  <si>
    <t>2,355,048.0</t>
  </si>
  <si>
    <t>23/05/2024</t>
  </si>
  <si>
    <t>Đảo khoản 1C25TUV/00000814; tham chiếu gốc 1C24TUV/00000009</t>
  </si>
  <si>
    <t>Bệnh Viện Đa Khoa Bình Chánh(Mã QHNS: 1086049)</t>
  </si>
  <si>
    <t>Số 1, Đường số 1, Khu trung tâm hành chính, Xã Tân Nhựt, TP Hồ Chí Minh</t>
  </si>
  <si>
    <t>HD006495.01</t>
  </si>
  <si>
    <t>BHHN2024000102</t>
  </si>
  <si>
    <t>0103085460-021</t>
  </si>
  <si>
    <t>Công ty Bảo hiểm BSH An Giang</t>
  </si>
  <si>
    <t>43 Điện Biên Phủ, Phường Long Xuyên , Tỉnh An Giang</t>
  </si>
  <si>
    <t>165,741.0</t>
  </si>
  <si>
    <t>13,259.0</t>
  </si>
  <si>
    <t>179,000.0</t>
  </si>
  <si>
    <t>27/05/2024</t>
  </si>
  <si>
    <t>0318387849</t>
  </si>
  <si>
    <t>CÔNG TY TNHH TRANS MEDIA</t>
  </si>
  <si>
    <t>572A/6, đường Trần Hưng Đạo, Phường 02, Quận 5, Thành phố Hồ Chí Minh, Việt Nam</t>
  </si>
  <si>
    <t>Giảm toàn bộ gốc: 1C24TUV/00000009</t>
  </si>
  <si>
    <t>2405246YP4EKB5</t>
  </si>
  <si>
    <t>BHHS2024002385</t>
  </si>
  <si>
    <t>Sô 43 đường Điện Biên Phủ, Phường Long Xuyên, Tỉnh An Giang, Việt Nam.</t>
  </si>
  <si>
    <t>HD006505.01</t>
  </si>
  <si>
    <t>BHHN2024000101</t>
  </si>
  <si>
    <t>2,450,667.0</t>
  </si>
  <si>
    <t>196,053.0</t>
  </si>
  <si>
    <t>2,646,720.0</t>
  </si>
  <si>
    <t>6,236,000.0</t>
  </si>
  <si>
    <t>498,880.0</t>
  </si>
  <si>
    <t>6,734,880.0</t>
  </si>
  <si>
    <t>28/05/2024</t>
  </si>
  <si>
    <t>0301417333</t>
  </si>
  <si>
    <t>CÔNG TY TNHH THƯƠNG MẠI VÀ SẢN XUẤT TÂN VẠN PHÚC</t>
  </si>
  <si>
    <t>5/6 Quốc lộ 1A, ấp 3, Xã Tân Quý Tây, Huyện Bình Chánh, Thành phố Hồ Chí Minh, Việt Nam</t>
  </si>
  <si>
    <t>578872398699530297</t>
  </si>
  <si>
    <t>BHHT2024005648</t>
  </si>
  <si>
    <t>số 19 đường số 9, khu dân cư Him Lam, Phường Tân Hưng, Thành phố Hồ Chí Minh, Việt Nam.</t>
  </si>
  <si>
    <t>00002620</t>
  </si>
  <si>
    <t>1,207,902.0</t>
  </si>
  <si>
    <t>96,632.0</t>
  </si>
  <si>
    <t>1,304,534.0</t>
  </si>
  <si>
    <t>CÔNG TY TNHH THƯƠNG MẠI &amp; DỊCH VỤ SHEGAN</t>
  </si>
  <si>
    <t>112 đường B2, KĐT Sala, Phường An Khánh, Thành phố Hồ Chí Minh, Việt Nam</t>
  </si>
  <si>
    <t>9,197,222.0</t>
  </si>
  <si>
    <t>735,778.0</t>
  </si>
  <si>
    <t>9,933,000.0</t>
  </si>
  <si>
    <t>05/04/2024</t>
  </si>
  <si>
    <t>10,360,667.0</t>
  </si>
  <si>
    <t>828,853.0</t>
  </si>
  <si>
    <t>11,189,520.0</t>
  </si>
  <si>
    <t>8A/7D1 - 8A/8D1 - 8A/9D1 Thái Văn Lung, Phường Bến Nghé, Quận 1, Thành phố Hồ Chí Minh, Việt Nam</t>
  </si>
  <si>
    <t>HD006467.01</t>
  </si>
  <si>
    <t>BHHN2024000113</t>
  </si>
  <si>
    <t>5,450,000.0</t>
  </si>
  <si>
    <t>436,000.0</t>
  </si>
  <si>
    <t>5,886,000.0</t>
  </si>
  <si>
    <t>CÔNG TY TNHH DRACO LOGISTICS VIỆT NAM</t>
  </si>
  <si>
    <t>2,852,667.0</t>
  </si>
  <si>
    <t>Đã chỉnh thành 2 đơn hàng trên Amis:
BHHN2024000113
BHHN2024000113.1</t>
  </si>
  <si>
    <t>228,213.0</t>
  </si>
  <si>
    <t>3,080,880.0</t>
  </si>
  <si>
    <t>0318228694</t>
  </si>
  <si>
    <t>06/04/2024</t>
  </si>
  <si>
    <t>BHHN2024000113.1</t>
  </si>
  <si>
    <t>Công Ty TNHH Antus</t>
  </si>
  <si>
    <t>31 Đông Du,Phường Sài Gòn,TP.HCM,Việt Nam</t>
  </si>
  <si>
    <t>3,036,111.0</t>
  </si>
  <si>
    <t>242,889.0</t>
  </si>
  <si>
    <t>3,279,000.0</t>
  </si>
  <si>
    <t>8,765,333.0</t>
  </si>
  <si>
    <t>701,227.0</t>
  </si>
  <si>
    <t>9,466,560.0</t>
  </si>
  <si>
    <t>09/04/2024</t>
  </si>
  <si>
    <t>37 Trần Văn Khánh, Phường Tân Thuận Đông, Quận 7, Thành phố Hồ Chí Minh, Việt Nam</t>
  </si>
  <si>
    <t>240404TV8XD9PS</t>
  </si>
  <si>
    <t>00002616</t>
  </si>
  <si>
    <t>BHHS2024001426</t>
  </si>
  <si>
    <t>7,062,667.0</t>
  </si>
  <si>
    <t>565,013.0</t>
  </si>
  <si>
    <t>7,627,680.0</t>
  </si>
  <si>
    <t>Công ty TNHH Leo Aluminium Packaging</t>
  </si>
  <si>
    <t>Số 4 đường số 9 Khu Dân Cư Khang An, Phường Long Trường, Thành phố Hồ Chí Minh, Việt Nam.</t>
  </si>
  <si>
    <t>6,007,333.0</t>
  </si>
  <si>
    <t>480,587.0</t>
  </si>
  <si>
    <t>6,487,920.0</t>
  </si>
  <si>
    <t>Số 129, Đường Nguyễn Lương Bằng, Phường Nam Đồng, Quận Đống đa, Thành phố Hà Nội, Việt Nam</t>
  </si>
  <si>
    <t>240320JN1RKCC8</t>
  </si>
  <si>
    <t>BHHS2024001258</t>
  </si>
  <si>
    <t>Công ty cổ phần thương mại nhiên liệu Tây nam bộ SFT</t>
  </si>
  <si>
    <t>M8, Đường Đinh Công Tráng, Phường Ninh Kiều, Thành phố Cần Thơ, Việt Nam</t>
  </si>
  <si>
    <t>1,437,333.0</t>
  </si>
  <si>
    <t>114,987.0</t>
  </si>
  <si>
    <t>1,552,320.0</t>
  </si>
  <si>
    <t>CÔNG TY TNHH MỘT THÀNH VIÊN THƯƠNG MẠI TƯ VẤN XÂY DỰNG MỸ HÒA</t>
  </si>
  <si>
    <t>CÔNG TY TNHH TRUYỀN THÔNG HÀNH TRÌNH MỚI</t>
  </si>
  <si>
    <t>10/04/2024</t>
  </si>
  <si>
    <t>R01.11 Block Ruby, Charm City, khu phố Thống Nhất, Phường Dĩ An, Thành phố Hồ Chí Minh, Việt Nam</t>
  </si>
  <si>
    <t>1,257,407.0</t>
  </si>
  <si>
    <t>1702245926</t>
  </si>
  <si>
    <t>100,593.0</t>
  </si>
  <si>
    <t>269A Nguyễn Trọng Tuyển, Phường 10, Quận Phú Nhuận, Thành phố Hồ Chí Minh, Việt Nam</t>
  </si>
  <si>
    <t>1,358,000.0</t>
  </si>
  <si>
    <t>HD006478.01</t>
  </si>
  <si>
    <t>BHHN2024000110</t>
  </si>
  <si>
    <t>11,030,000.0</t>
  </si>
  <si>
    <t>882,400.0</t>
  </si>
  <si>
    <t>11,912,400.0</t>
  </si>
  <si>
    <t>00002606</t>
  </si>
  <si>
    <t>15/04/2024</t>
  </si>
  <si>
    <t>6,158,000.0</t>
  </si>
  <si>
    <t>492,640.0</t>
  </si>
  <si>
    <t>18 Trường Chinh, TDP Bãi Giếng 1, Thị trấn Cam Đức, Huyện Cam Lâm, Tỉnh Khánh Hòa, Việt Nam</t>
  </si>
  <si>
    <t>6,650,640.0</t>
  </si>
  <si>
    <t>HD006483</t>
  </si>
  <si>
    <t>BHHN2024000106</t>
  </si>
  <si>
    <t>CÔNG TY TNHH VILLA SOLEIL HỘI AN</t>
  </si>
  <si>
    <t>09 Phạm Hồng Thái, P. Sơn Phong, TP. Hội An, Quảng Nam</t>
  </si>
  <si>
    <t>1,276,852.0</t>
  </si>
  <si>
    <t>102,148.0</t>
  </si>
  <si>
    <t>1,379,000.0</t>
  </si>
  <si>
    <t>20/04/2024</t>
  </si>
  <si>
    <t>39 Đinh Công Tráng, Phường Tân Định, Thành phố Hồ Chí Minh, Việt Nam.</t>
  </si>
  <si>
    <t>29/44 Nguyễn Đình Chiểu, Phường Lê Đại Hành, Quận Hai Bà Trưng, Thành phố Hà Nội, Việt Nam</t>
  </si>
  <si>
    <t>578732467779438606</t>
  </si>
  <si>
    <t>BHHT2024003677</t>
  </si>
  <si>
    <t>132 Võ Thị Sáu, Phường Xuân Hoà, Thành phố Hồ Chí Minh, Việt Nam.</t>
  </si>
  <si>
    <t>7,888,000.0</t>
  </si>
  <si>
    <t>631,040.0</t>
  </si>
  <si>
    <t>8,519,040.0</t>
  </si>
  <si>
    <t>CÔNG TY TNHH THƯƠNG MẠI DỊCH VỤ GIA KHÁNH TÂM</t>
  </si>
  <si>
    <t>Số 7, đường số 1, Phường Hiệp Bình, Thành phố Hồ Chí Minh, Việt Nam.</t>
  </si>
  <si>
    <t>509,204.0</t>
  </si>
  <si>
    <t>40,736.0</t>
  </si>
  <si>
    <t>549,940.0</t>
  </si>
  <si>
    <t>22/04/2024</t>
  </si>
  <si>
    <t>HD006548</t>
  </si>
  <si>
    <t>BHHN2024000100</t>
  </si>
  <si>
    <t>CÔNG TY TNHH THƯƠNG MẠI VÀ DỊCH VỤ THIÊN MINH TRAVEL</t>
  </si>
  <si>
    <t>số 28 ngách 190 ngõ Văn Chương, Phường Văn Miếu - Quốc Tử Giám, Thành phố Hà Nội, Việt Nam.</t>
  </si>
  <si>
    <t>Đảo khoản 1C25TUV/00002606; tham chiếu gốc 1C24TUV/00000010</t>
  </si>
  <si>
    <t>25/04/2024</t>
  </si>
  <si>
    <t>1/3/6 Nguyễn Thái Sơn, Phường 3, Quận Gò Vấp, Thành phố Hồ Chí Minh, Việt Nam</t>
  </si>
  <si>
    <t>578702034028431546</t>
  </si>
  <si>
    <t>Công Ty TNHH Bảo Hiểm Hanwha Life Việt Nam</t>
  </si>
  <si>
    <t>BHHT2024005238</t>
  </si>
  <si>
    <t>Tầng 14, Số 81-85 Hàm Nghi, Phường Sài Gòn, Thành phố Hồ Chí Mình</t>
  </si>
  <si>
    <t>3,497,222.0</t>
  </si>
  <si>
    <t>279,778.0</t>
  </si>
  <si>
    <t>3,777,000.0</t>
  </si>
  <si>
    <t>9,943,333.0</t>
  </si>
  <si>
    <t>795,467.0</t>
  </si>
  <si>
    <t>10,738,800.0</t>
  </si>
  <si>
    <t>Giảm toàn bộ gốc: 1C24TUV/00000010</t>
  </si>
  <si>
    <t>5,116,667.0</t>
  </si>
  <si>
    <t>26/04/2024</t>
  </si>
  <si>
    <t>409,333.0</t>
  </si>
  <si>
    <t>5,526,000.0</t>
  </si>
  <si>
    <t>Số 616, quốc lộ 80, khu phố Ngã Ba, Thị trấn Kiên Lương, Huyện Kiên Lương, Tỉnh Kiên Giang, Việt Nam</t>
  </si>
  <si>
    <t>HD006535</t>
  </si>
  <si>
    <t>BHHN2024000107</t>
  </si>
  <si>
    <t>CÔNG TY CỔ PHẦN ENTERTAINMENT 2020</t>
  </si>
  <si>
    <t>Tầng 4, Tòa nhà Siêu thị chợ Đà Nẵng, Số 46 Điện Biên Phủ, Phường Thanh Khê, Thành phố Đà Nẵng, Việt Nam.</t>
  </si>
  <si>
    <t>CÔNG TY TNHH THƯƠNG MẠI - DỊCH VỤ NGỌC KỲ ANH</t>
  </si>
  <si>
    <t>Số 636 Trần Phú, Phường Vũng Tàu, Thành phố Hồ Chí Minh, Việt Nam.</t>
  </si>
  <si>
    <t>15/03/2024</t>
  </si>
  <si>
    <t>Hóa đơn điều chỉnh</t>
  </si>
  <si>
    <t>HD006365</t>
  </si>
  <si>
    <t>BHHN2024000128</t>
  </si>
  <si>
    <t>CÔNG TY TNHH KỸ THUẬT CAO BÌNH PHƯƠNG HÀ</t>
  </si>
  <si>
    <t>102 - 104 Thái Văn Lung, Phường Hòa Xuân, Thành phố Đà Nẵng, Việt Nam.</t>
  </si>
  <si>
    <t>1,054,630.0</t>
  </si>
  <si>
    <t>84,370.0</t>
  </si>
  <si>
    <t>1,139,000.0</t>
  </si>
  <si>
    <t>4,953,333.0</t>
  </si>
  <si>
    <t>HD003733.01.02</t>
  </si>
  <si>
    <t>396,267.0</t>
  </si>
  <si>
    <t>BHH2023005090</t>
  </si>
  <si>
    <t>5,349,600.0</t>
  </si>
  <si>
    <t>Đơn hàng ghi nhận 2023, xuất hóa đơn 24 =&gt; sai thời điểm</t>
  </si>
  <si>
    <t>6,456,000.0</t>
  </si>
  <si>
    <t>516,480.0</t>
  </si>
  <si>
    <t>6,972,480.0</t>
  </si>
  <si>
    <t>19/03/2024</t>
  </si>
  <si>
    <t>2,518,667.0</t>
  </si>
  <si>
    <t>201,493.0</t>
  </si>
  <si>
    <t>ô số 3, 4, 5 Tầng 3, Tòa nhà IDMC Duy Tân, số 21 Duy Tân, Phường Dịch Vọng Hậu, Quận Cầu Giấy, Thành phố Hà Nội, Việt Nam</t>
  </si>
  <si>
    <t>2,720,160.0</t>
  </si>
  <si>
    <t>578636425503148361</t>
  </si>
  <si>
    <t>BHHT2024002204</t>
  </si>
  <si>
    <t>CÔNG TY TNHH MTV HOA NGỮ THÀNH NHÂN</t>
  </si>
  <si>
    <t>Số 76 Lý Thường Kiệt, khu phố Thắng Lợi 1, Phường Dĩ An, Thành phố Hồ Chí Minh, Việt Nam.</t>
  </si>
  <si>
    <t>52,518.0</t>
  </si>
  <si>
    <t>708,999.0</t>
  </si>
  <si>
    <t>CÔNG TY TNHH NÔNG SẢN THỰC PHẨM QUANG VINH</t>
  </si>
  <si>
    <t>Số 104/1 Đường Phạm Ngọc Thạch, Xã Đơn Dương, Tỉnh Lâm Đồng, Việt Nam.</t>
  </si>
  <si>
    <t>498,167.0</t>
  </si>
  <si>
    <t>20/03/2024</t>
  </si>
  <si>
    <t>39,853.0</t>
  </si>
  <si>
    <t>538,020.0</t>
  </si>
  <si>
    <t>HD006403.01</t>
  </si>
  <si>
    <t>BHHN2024000121</t>
  </si>
  <si>
    <t>CÔNG TY CỔ PHẦN XÂY DỰNG SỐ 1 THÀNH HƯNG</t>
  </si>
  <si>
    <t>Số 14 ngõ 1 tổ 15, đường Hồ Tùng Mậu, Phường Từ Liêm, Thành phố Hà Nội, Việt Nam.</t>
  </si>
  <si>
    <t>28/03/2024</t>
  </si>
  <si>
    <t>1,518,667.0</t>
  </si>
  <si>
    <t>121,493.0</t>
  </si>
  <si>
    <t>1,640,160.0</t>
  </si>
  <si>
    <t>59 Huỳnh Thị Phụng, Phường 4, Quận 8, Thành phố Hồ Chí Minh, Việt Nam</t>
  </si>
  <si>
    <t>578659269613095091</t>
  </si>
  <si>
    <t>BHHT2024001991</t>
  </si>
  <si>
    <t>4,354,667.0</t>
  </si>
  <si>
    <t>348,373.0</t>
  </si>
  <si>
    <t>4,703,040.0</t>
  </si>
  <si>
    <t>CÔNG TY TNHH CÔNG NGHỆ VIỄN THÔNG NEWSTAR</t>
  </si>
  <si>
    <t>17/16 Nguyễn Tư Giản, Phường An Hội Tây, Thành phố Hồ Chí Minh, Việt Nam.</t>
  </si>
  <si>
    <t>CÔNG TY TNHH AMAZING MERIT</t>
  </si>
  <si>
    <t>96 Phan Đăng Lưu, Phường 05, Quận Phú Nhuận, Thành phố Hồ Chí Minh, Việt Nam</t>
  </si>
  <si>
    <t>679 Tạ Quang Bửu, Phường Chánh Hưng , Thành phố Hồ Chí Minh, Việt Nam.</t>
  </si>
  <si>
    <t>2403263V4RTEEN</t>
  </si>
  <si>
    <t>BHHS2024001217</t>
  </si>
  <si>
    <t>CÔNG TY TNHH SẢN XUẤT THƯƠNG MẠI DỊCH VỤ VÀ QUẢNG CÁO P&amp;T</t>
  </si>
  <si>
    <t>183/3A Đường Thạnh Xuân 52, Phường Thới An, Thành phố Hồ Chí Minh, Việt Nam.</t>
  </si>
  <si>
    <t>3,904,629.0</t>
  </si>
  <si>
    <t>312,370.0</t>
  </si>
  <si>
    <t>4,216,999.0</t>
  </si>
  <si>
    <t>C25TUV</t>
  </si>
  <si>
    <t>CÔNG TY TNHH THƯƠNG MẠI DỊCH VỤ PHÁT NHẬT NGUYÊN</t>
  </si>
  <si>
    <t>18 Thủy Lợi, Phường Phước Long A, Thành phố Thủ Đức, Thành phố Hồ Chí Minh, Việt Nam</t>
  </si>
  <si>
    <t>30/03/2024</t>
  </si>
  <si>
    <t>15/3 Lê Thánh Tôn, Phường Bến Nghé, Quận 1, Thành phố Hồ Chí Minh, Việt Nam</t>
  </si>
  <si>
    <t>HD006437</t>
  </si>
  <si>
    <t>BHHN2024000116</t>
  </si>
  <si>
    <t>Đã cấp mã hóa đơn</t>
  </si>
  <si>
    <t>00000509</t>
  </si>
  <si>
    <t>CÔNG TY TNHH THƯƠNG MẠI DỊCH VỤ HUY HÙNG PHÁT</t>
  </si>
  <si>
    <t>Số 75, tổ 6, Khu phố 4B, Phường Trảng Dài, Thành phố Biên Hoà, Tỉnh Đồng Nai, Việt Nam</t>
  </si>
  <si>
    <t>11,177,778.0</t>
  </si>
  <si>
    <t>894,222.0</t>
  </si>
  <si>
    <t>12,072,000.0</t>
  </si>
  <si>
    <t>Đã tách ra làm 3 BHH:
BHHN2024000116
BHHN2024000116.1
BHHN2024000116.2</t>
  </si>
  <si>
    <t>7,287,333.0</t>
  </si>
  <si>
    <t>582,987.0</t>
  </si>
  <si>
    <t>7,870,320.0</t>
  </si>
  <si>
    <t>27 - 29 Thái Văn Lung, Phường Bến Nghé, Quận 1, Thành phố Hồ Chí Minh, Việt Nam</t>
  </si>
  <si>
    <t>3,942,000.0</t>
  </si>
  <si>
    <t>315,360.0</t>
  </si>
  <si>
    <t>4,257,360.0</t>
  </si>
  <si>
    <t>BHHN2024000116.1</t>
  </si>
  <si>
    <t>CÔNG TY CỔ PHẦN THƯƠNG MẠI DỊCH VỤ - VẬN TẢI HƯNG PHÁT THỊNH</t>
  </si>
  <si>
    <t>Số 02, KP 9, Phường Tân Phong, Thành phố Biên Hoà, Tỉnh Đồng Nai, Việt Nam</t>
  </si>
  <si>
    <t>5,443,519.0</t>
  </si>
  <si>
    <t>435,482.0</t>
  </si>
  <si>
    <t>5,879,001.0</t>
  </si>
  <si>
    <t>CÔNG TY TNHH KỸ THUẬT CÔNG NGHIỆP PHÚ SĨ</t>
  </si>
  <si>
    <t>Số 1, đường N, khu nhà ở thu nhập thấp Tân Đông Hiệp 2, 50 đ, Phường Tân Đông Hiệp, Thành phố Dĩ An, Tỉnh Bình Dương, Việt Nam</t>
  </si>
  <si>
    <t>31/03/2024</t>
  </si>
  <si>
    <t>BHHN2024000116.2</t>
  </si>
  <si>
    <t>7,047,333.0</t>
  </si>
  <si>
    <t>563,787.0</t>
  </si>
  <si>
    <t>7,611,120.0</t>
  </si>
  <si>
    <t>5,982,000.0</t>
  </si>
  <si>
    <t>478,560.0</t>
  </si>
  <si>
    <t>6,460,560.0</t>
  </si>
  <si>
    <t>Đảo khoản 1C25TUV/00000509; tham chiếu gốc 1C24TUV/00000011</t>
  </si>
  <si>
    <t>12,457,333.0</t>
  </si>
  <si>
    <t>996,587.0</t>
  </si>
  <si>
    <t>13,453,920.0</t>
  </si>
  <si>
    <t>06/02/2024</t>
  </si>
  <si>
    <t>CÔNG TY CỔ PHẦN KAPLA VIETNAM</t>
  </si>
  <si>
    <t>Tầng 14, Tháp 1, Tòa Nhà Saigon Centre, 65 Lê Lợi, Phường Bến Nghé, Quận 1, Thành phố Hồ Chí Minh, Việt Nam</t>
  </si>
  <si>
    <t>Số 2 ngách 24 ngõ 36 phố Trung Kiên, Phường Tây Tựu, Quận Bắc Từ Liêm, Thành phố Hà Nội, Việt Nam</t>
  </si>
  <si>
    <t>30,429,333.0</t>
  </si>
  <si>
    <t>2,434,347.0</t>
  </si>
  <si>
    <t>32,863,680.0</t>
  </si>
  <si>
    <t>Giảm toàn bộ gốc: 1C24TUV/00000011</t>
  </si>
  <si>
    <t>CÔNG TY CỔ PHẦN TƯ VẤN ĐẦU TƯ XÂY DỰNG HÀ THÀNH</t>
  </si>
  <si>
    <t>Số 17 Lô NO12, Khu đô thị mới Dịch Vọng, Phường Dịch Vọng, Quận Cầu Giấy, Thành phố Hà Nội, Việt Nam</t>
  </si>
  <si>
    <t>CÔNG TY CỔ PHẦN TẬP ĐOÀN MERAP</t>
  </si>
  <si>
    <t>Thôn Bá Khê, Xã Tân Tiến, Huyện Văn Giang, Tỉnh Hưng Yên, Việt Nam</t>
  </si>
  <si>
    <t>2401283MK96JAN</t>
  </si>
  <si>
    <t>BHHS2024000474</t>
  </si>
  <si>
    <t>3,328,667.0</t>
  </si>
  <si>
    <t>266,293.0</t>
  </si>
  <si>
    <t>3,594,960.0</t>
  </si>
  <si>
    <t>1,224,000.0</t>
  </si>
  <si>
    <t>97,920.0</t>
  </si>
  <si>
    <t>1,321,920.0</t>
  </si>
  <si>
    <t>CÔNG TY TNHH VANG NGON SAIGON NO.1</t>
  </si>
  <si>
    <t>35 Mai Thị Lựu, Phường Đa Kao, Quận 1, Thành phố Hồ Chí Minh, Việt Nam</t>
  </si>
  <si>
    <t>20/02/2024</t>
  </si>
  <si>
    <t>Phòng 201-202, Lầu 2, Tòa nhà PetroVietNam, Số 1-5 Lê Duẩn, Phường Bến Nghé, Quận 1, Thành phố Hồ Chí Minh, Việt Nam</t>
  </si>
  <si>
    <t>HD006318.01</t>
  </si>
  <si>
    <t>BHHN2024000133</t>
  </si>
  <si>
    <t>CÔNG TY CỔ PHẦN ĐẦU TƯ NUWA HOLDING</t>
  </si>
  <si>
    <t>Tầng 1, Toà nhà CT1-A10, Khu đô thị Nam Trung Yên, Phường Yên Hoà, Quận Cầu Giấy, Thành phố Hà Nội, Việt Nam</t>
  </si>
  <si>
    <t>2,341,435.0</t>
  </si>
  <si>
    <t>187,315.0</t>
  </si>
  <si>
    <t>2,528,750.0</t>
  </si>
  <si>
    <t>Số 636 Trần Phú, Phường Thắng Nhì, Thành Phố Vũng Tàu, Tỉnh Bà Rịa - Vũng Tàu, Việt Nam</t>
  </si>
  <si>
    <t>Đã chỉnh tăng 200k trên Amis</t>
  </si>
  <si>
    <t>2,994,444.0</t>
  </si>
  <si>
    <t>239,556.0</t>
  </si>
  <si>
    <t>3,234,000.0</t>
  </si>
  <si>
    <t>7,100,667.0</t>
  </si>
  <si>
    <t>568,053.0</t>
  </si>
  <si>
    <t>7,668,720.0</t>
  </si>
  <si>
    <t>28/02/2024</t>
  </si>
  <si>
    <t>18,415,333.0</t>
  </si>
  <si>
    <t>1,473,227.0</t>
  </si>
  <si>
    <t>19,888,560.0</t>
  </si>
  <si>
    <t>22 Ba Vì, Phường 4, Quận Tân Bình, Thành phố Hồ Chí Minh, Việt Nam</t>
  </si>
  <si>
    <t>578562228419463846</t>
  </si>
  <si>
    <t>BHHT2024002867</t>
  </si>
  <si>
    <t>CÔNG TY LUẬT TNHH VTN VÀ CỘNG SỰ</t>
  </si>
  <si>
    <t>Tầng 18, Tòa nhà Văn phòng 789, số 147 Hoàng Quốc Việt, Phường Nghĩa Đô, Quận Cầu Giấy, Hà Nội</t>
  </si>
  <si>
    <t>CÔNG TY TNHH JVG - BỆNH VIỆN THÚ Y NHẬT BẢN</t>
  </si>
  <si>
    <t>46 Đường số 10, Khu đô thị Him Lam, Phường Tân Hưng, Quận 7, Thành phố Hồ Chí Minh, Việt Nam</t>
  </si>
  <si>
    <t>526,852.0</t>
  </si>
  <si>
    <t>42,148.0</t>
  </si>
  <si>
    <t>569,000.0</t>
  </si>
  <si>
    <t>09/01/2024</t>
  </si>
  <si>
    <t>CÔNG TY TNHH THƯƠNG MẠI DỊCH VỤ CHÁNH VINH</t>
  </si>
  <si>
    <t>26 Đường 6, Khu Đô Thị Him Lam, Phường Tân Hưng, Quận 7, Thành Phố Hồ Chí Minh</t>
  </si>
  <si>
    <t>150 Bis Lê Thị Hồng Gấm, Phường Cầu Ông Lãnh, Quận 1, Thành phố Hồ Chí Minh, Việt Nam</t>
  </si>
  <si>
    <t>1,543,519.0</t>
  </si>
  <si>
    <t>123,482.0</t>
  </si>
  <si>
    <t>1,667,001.0</t>
  </si>
  <si>
    <t>578297561583553468</t>
  </si>
  <si>
    <t>BHHT2024000700</t>
  </si>
  <si>
    <t>Công Ty Cổ Phần Quảng Cáo và Thương Mại Gsolution</t>
  </si>
  <si>
    <t>90/12/1/16 Bông Sao Phường 5 Quận 8 HCM</t>
  </si>
  <si>
    <t>537,037.0</t>
  </si>
  <si>
    <t>42,963.0</t>
  </si>
  <si>
    <t>580,000.0</t>
  </si>
  <si>
    <t>CÔNG TY CỔ PHẦN THƯƠNG MẠI DỊCH VỤ BÌNH THUẬN XANH</t>
  </si>
  <si>
    <t>E16 Quốc lộ 1A, Thôn Thắng Lợi, Xã Hàm Thắng, Huyện Hàm Thuận Bắc, Tỉnh Bình Thuận, Việt Nam</t>
  </si>
  <si>
    <t>Số 399B Trường Chinh, Phường 14, Quận Tân Bình, Thành phố Hồ Chí Minh, Việt Nam</t>
  </si>
  <si>
    <t>231222U40UY2ME</t>
  </si>
  <si>
    <t>BHHS2024000055</t>
  </si>
  <si>
    <t>6,231,333.0</t>
  </si>
  <si>
    <t>498,507.0</t>
  </si>
  <si>
    <t>6,729,840.0</t>
  </si>
  <si>
    <t>17/01/2024</t>
  </si>
  <si>
    <t>Số 108/28/43F đường Phạm Văn Sáng, Xã Xuân Thới Thượng, Huyện Hóc Môn, Thành phố Hồ Chí Minh, Việt Nam</t>
  </si>
  <si>
    <t>465,880.0</t>
  </si>
  <si>
    <t>37,270.0</t>
  </si>
  <si>
    <t>240103UEDTEB40</t>
  </si>
  <si>
    <t>503,150.0</t>
  </si>
  <si>
    <t>BHHS2024000142</t>
  </si>
  <si>
    <t>5,620,667.0</t>
  </si>
  <si>
    <t>449,653.0</t>
  </si>
  <si>
    <t>6,070,320.0</t>
  </si>
  <si>
    <t>24/01/2024</t>
  </si>
  <si>
    <t>Số nhà 18D, ngõ 675, đường Ngọc Hồi, Xã Tứ Hiệp, Huyện Thanh Trì, Thành phố Hà Nội, Việt Nam</t>
  </si>
  <si>
    <t>00000815</t>
  </si>
  <si>
    <t>26 Đường 6, Khu Đô Thị Him Lam, Phường Tân Hưng, Quận 7, TP Hồ Chí Minh, Việt Nam.</t>
  </si>
  <si>
    <t>578390416231401857</t>
  </si>
  <si>
    <t>1,543,518.0</t>
  </si>
  <si>
    <t>123,481.0</t>
  </si>
  <si>
    <t>1,666,999.0</t>
  </si>
  <si>
    <t>BHHT2024001394</t>
  </si>
  <si>
    <t>CÔNG TY TNHH NHÀ HÀNG CHEER HOUSE</t>
  </si>
  <si>
    <t>6B LÊ NGÔ CÁT, PHƯỜNG VÕ THỊ SÁU, QUẬN 3, THÀNH PHỐ HỒ CHÍ MINH</t>
  </si>
  <si>
    <t>CÔNG TY TNHH CÔNG NGHỆ THÔNG TIN C.S.C</t>
  </si>
  <si>
    <t>46 Nam Kỳ khởi Nghĩa, Phường Thắng Tam, Thành phố Vũng Tàu, Tỉnh Bà Rịa - Vũng Tàu, Việt Nam</t>
  </si>
  <si>
    <t>135/2-137-139 Trần Quang Cơ, Phường Phú Thạnh, Quận Tân phú, Thành phố Hồ Chí Minh, Việt Nam</t>
  </si>
  <si>
    <t>240120D1AAT0BR</t>
  </si>
  <si>
    <t>BHHS2024000340</t>
  </si>
  <si>
    <t>CÔNG TY TNHH LUX PRO</t>
  </si>
  <si>
    <t>65-67 Đường 1 Tháng 12, Phường Phú Lợi, Thành phố Thủ Dầu Một, Tỉnh Bình Dương, Việt Nam</t>
  </si>
  <si>
    <t>13,101,852.0</t>
  </si>
  <si>
    <t>1,048,148.0</t>
  </si>
  <si>
    <t>14,150,000.0</t>
  </si>
  <si>
    <t>2,716,000.0</t>
  </si>
  <si>
    <t>217,280.0</t>
  </si>
  <si>
    <t>27/01/2024</t>
  </si>
  <si>
    <t>2,933,280.0</t>
  </si>
  <si>
    <t>Tầng 19 Tòa nhà PetroVietnam 1-5 Lê Duẩn, Phường Bến Nghé, Quận 1, Thành phố Hồ Chí Minh, Việt Nam</t>
  </si>
  <si>
    <t>240125QRU82P4P</t>
  </si>
  <si>
    <t>BHHS2024000403</t>
  </si>
  <si>
    <t>CÔNG TY TNHH MTV ĐẦU TƯ PHÁT TRIỂN THE ONE</t>
  </si>
  <si>
    <t>Số 68 Trần Nhân Tông, Phường Phủ Hà, TP. Phan Rang-Tháp Chàm, Tỉnh Ninh Thuận, Việt Nam</t>
  </si>
  <si>
    <t>Đảo khoản 1C25TUV/00000815; tham chiếu gốc 1C24TUV/00000012</t>
  </si>
  <si>
    <t>5,358,000.0</t>
  </si>
  <si>
    <t>428,640.0</t>
  </si>
  <si>
    <t>5,786,640.0</t>
  </si>
  <si>
    <t>3,517,333.0</t>
  </si>
  <si>
    <t>281,387.0</t>
  </si>
  <si>
    <t>3,798,720.0</t>
  </si>
  <si>
    <t>Giảm toàn bộ gốc: 1C24TUV/00000012</t>
  </si>
  <si>
    <t>482,407.0</t>
  </si>
  <si>
    <t>38,593.0</t>
  </si>
  <si>
    <t>521,000.0</t>
  </si>
  <si>
    <t>-76,852.0</t>
  </si>
  <si>
    <t>-6,148.0</t>
  </si>
  <si>
    <t>-83,000.0</t>
  </si>
  <si>
    <t>5,010,000.0</t>
  </si>
  <si>
    <t>400,800.0</t>
  </si>
  <si>
    <t>5,410,800.0</t>
  </si>
  <si>
    <t>4,930,000.0</t>
  </si>
  <si>
    <t>394,400.0</t>
  </si>
  <si>
    <t>5,324,400.0</t>
  </si>
  <si>
    <t>370,370.0</t>
  </si>
  <si>
    <t>29,630.0</t>
  </si>
  <si>
    <t>400,000.0</t>
  </si>
  <si>
    <t>CÔNG TY TNHH SMC PHÚ LONG</t>
  </si>
  <si>
    <t>5 Đường số 85, Phường Tân Quy, Quận 7, Thành phố Hồ Chí Minh, Việt Nam</t>
  </si>
  <si>
    <t>2,165,741.0</t>
  </si>
  <si>
    <t>173,259.0</t>
  </si>
  <si>
    <t>2,339,000.0</t>
  </si>
  <si>
    <t>493,333.0</t>
  </si>
  <si>
    <t>39,467.0</t>
  </si>
  <si>
    <t>532,800.0</t>
  </si>
  <si>
    <t>327,778.0</t>
  </si>
  <si>
    <t>26,222.0</t>
  </si>
  <si>
    <t>354,000.0</t>
  </si>
  <si>
    <t>183,240.0</t>
  </si>
  <si>
    <t>14,659.0</t>
  </si>
  <si>
    <t>197,899.0</t>
  </si>
  <si>
    <t>144,306.0</t>
  </si>
  <si>
    <t>11,544.0</t>
  </si>
  <si>
    <t>155,850.0</t>
  </si>
  <si>
    <t>-206,481.0</t>
  </si>
  <si>
    <t>-16,518.0</t>
  </si>
  <si>
    <t>-222,999.0</t>
  </si>
  <si>
    <t>8,822,000.0</t>
  </si>
  <si>
    <t>705,760.0</t>
  </si>
  <si>
    <t>9,527,760.0</t>
  </si>
  <si>
    <t>CÔNG TY TNHH THÉP KHÔNG GỈ Á CHÂU</t>
  </si>
  <si>
    <t>Số 05 đường 39, Phường Linh Đông, Thành phố Thủ Đức, Thành phố Hồ Chí Minh, Việt Nam</t>
  </si>
  <si>
    <t>4,864,667.0</t>
  </si>
  <si>
    <t>389,173.0</t>
  </si>
  <si>
    <t>5,253,840.0</t>
  </si>
  <si>
    <t>34,839.0</t>
  </si>
  <si>
    <t>470,321.0</t>
  </si>
  <si>
    <t>00000816</t>
  </si>
  <si>
    <t>231,482.0</t>
  </si>
  <si>
    <t>18,519.0</t>
  </si>
  <si>
    <t>250,001.0</t>
  </si>
  <si>
    <t>386,944.0</t>
  </si>
  <si>
    <t>30,956.0</t>
  </si>
  <si>
    <t>417,900.0</t>
  </si>
  <si>
    <t>608,195.0</t>
  </si>
  <si>
    <t>48,656.0</t>
  </si>
  <si>
    <t>656,851.0</t>
  </si>
  <si>
    <t>229,833.0</t>
  </si>
  <si>
    <t>18,387.0</t>
  </si>
  <si>
    <t>248,220.0</t>
  </si>
  <si>
    <t>296,278.0</t>
  </si>
  <si>
    <t>23,702.0</t>
  </si>
  <si>
    <t>319,980.0</t>
  </si>
  <si>
    <t>257,315.0</t>
  </si>
  <si>
    <t>20,585.0</t>
  </si>
  <si>
    <t>277,900.0</t>
  </si>
  <si>
    <t>301,759.0</t>
  </si>
  <si>
    <t>24,141.0</t>
  </si>
  <si>
    <t>Đảo khoản 1C25TUV/00000816; tham chiếu gốc 1C24TUV/00000013</t>
  </si>
  <si>
    <t>325,900.0</t>
  </si>
  <si>
    <t>5,822,667.0</t>
  </si>
  <si>
    <t>465,813.0</t>
  </si>
  <si>
    <t>6,288,480.0</t>
  </si>
  <si>
    <t>79,757.0</t>
  </si>
  <si>
    <t>6,381.0</t>
  </si>
  <si>
    <t>86,138.0</t>
  </si>
  <si>
    <t>Giảm toàn bộ gốc: 1C24TUV/00000013</t>
  </si>
  <si>
    <t>-47,778.0</t>
  </si>
  <si>
    <t>-3,822.0</t>
  </si>
  <si>
    <t>-51,600.0</t>
  </si>
  <si>
    <t>359,491.0</t>
  </si>
  <si>
    <t>28,759.0</t>
  </si>
  <si>
    <t>388,250.0</t>
  </si>
  <si>
    <t>-45,000.0</t>
  </si>
  <si>
    <t>-3,600.0</t>
  </si>
  <si>
    <t>-48,600.0</t>
  </si>
  <si>
    <t>119,889.0</t>
  </si>
  <si>
    <t>9,591.0</t>
  </si>
  <si>
    <t>129,480.0</t>
  </si>
  <si>
    <t>255,417.0</t>
  </si>
  <si>
    <t>20,433.0</t>
  </si>
  <si>
    <t>275,850.0</t>
  </si>
  <si>
    <t>308,778.0</t>
  </si>
  <si>
    <t>24,702.0</t>
  </si>
  <si>
    <t>333,480.0</t>
  </si>
  <si>
    <t>288,611.0</t>
  </si>
  <si>
    <t>23,089.0</t>
  </si>
  <si>
    <t>311,700.0</t>
  </si>
  <si>
    <t>231,481.0</t>
  </si>
  <si>
    <t>18,518.0</t>
  </si>
  <si>
    <t>249,999.0</t>
  </si>
  <si>
    <t>371,945.0</t>
  </si>
  <si>
    <t>29,756.0</t>
  </si>
  <si>
    <t>401,701.0</t>
  </si>
  <si>
    <t>771,944.0</t>
  </si>
  <si>
    <t>61,756.0</t>
  </si>
  <si>
    <t>833,700.0</t>
  </si>
  <si>
    <t>121,944.0</t>
  </si>
  <si>
    <t>9,756.0</t>
  </si>
  <si>
    <t>131,700.0</t>
  </si>
  <si>
    <t>464,333.0</t>
  </si>
  <si>
    <t>37,147.0</t>
  </si>
  <si>
    <t>501,480.0</t>
  </si>
  <si>
    <t>36,852.0</t>
  </si>
  <si>
    <t>2,948.0</t>
  </si>
  <si>
    <t>39,800.0</t>
  </si>
  <si>
    <t>85,000.0</t>
  </si>
  <si>
    <t>6,800.0</t>
  </si>
  <si>
    <t>91,800.0</t>
  </si>
  <si>
    <t>16,468.0</t>
  </si>
  <si>
    <t>222,320.0</t>
  </si>
  <si>
    <t>266,574.0</t>
  </si>
  <si>
    <t>21,326.0</t>
  </si>
  <si>
    <t>287,900.0</t>
  </si>
  <si>
    <t>115,444.0</t>
  </si>
  <si>
    <t>9,236.0</t>
  </si>
  <si>
    <t>124,680.0</t>
  </si>
  <si>
    <t>170,278.0</t>
  </si>
  <si>
    <t>13,622.0</t>
  </si>
  <si>
    <t>183,900.0</t>
  </si>
  <si>
    <t>00000817</t>
  </si>
  <si>
    <t>185,185.0</t>
  </si>
  <si>
    <t>14,815.0</t>
  </si>
  <si>
    <t>208,778.0</t>
  </si>
  <si>
    <t>16,702.0</t>
  </si>
  <si>
    <t>225,480.0</t>
  </si>
  <si>
    <t>405,463.0</t>
  </si>
  <si>
    <t>32,437.0</t>
  </si>
  <si>
    <t>437,900.0</t>
  </si>
  <si>
    <t>92,592.0</t>
  </si>
  <si>
    <t>99,999.0</t>
  </si>
  <si>
    <t>96,463.0</t>
  </si>
  <si>
    <t>7,717.0</t>
  </si>
  <si>
    <t>Đảo khoản 1C25TUV/00000817; tham chiếu gốc 1C24TUV/00000014</t>
  </si>
  <si>
    <t>104,180.0</t>
  </si>
  <si>
    <t>96,204.0</t>
  </si>
  <si>
    <t>7,696.0</t>
  </si>
  <si>
    <t>103,900.0</t>
  </si>
  <si>
    <t>2,536,111.0</t>
  </si>
  <si>
    <t>202,889.0</t>
  </si>
  <si>
    <t>Giảm toàn bộ gốc: 1C24TUV/00000014</t>
  </si>
  <si>
    <t>2,739,000.0</t>
  </si>
  <si>
    <t>-482,407.0</t>
  </si>
  <si>
    <t>-38,593.0</t>
  </si>
  <si>
    <t>-521,000.0</t>
  </si>
  <si>
    <t>76,852.0</t>
  </si>
  <si>
    <t>6,148.0</t>
  </si>
  <si>
    <t>83,000.0</t>
  </si>
  <si>
    <t>41,667.0</t>
  </si>
  <si>
    <t>3,333.0</t>
  </si>
  <si>
    <t>45,000.0</t>
  </si>
  <si>
    <t>69,444.0</t>
  </si>
  <si>
    <t>5,556.0</t>
  </si>
  <si>
    <t>75,000.0</t>
  </si>
  <si>
    <t>111,111.0</t>
  </si>
  <si>
    <t>8,889.0</t>
  </si>
  <si>
    <t>120,000.0</t>
  </si>
  <si>
    <t>157,777.0</t>
  </si>
  <si>
    <t>12,622.0</t>
  </si>
  <si>
    <t>170,399.0</t>
  </si>
  <si>
    <t>373,981.0</t>
  </si>
  <si>
    <t>29,918.0</t>
  </si>
  <si>
    <t>403,899.0</t>
  </si>
  <si>
    <t>166,667.0</t>
  </si>
  <si>
    <t>13,333.0</t>
  </si>
  <si>
    <t>180,000.0</t>
  </si>
  <si>
    <t>138,889.0</t>
  </si>
  <si>
    <t>11,111.0</t>
  </si>
  <si>
    <t>150,000.0</t>
  </si>
  <si>
    <t>231,852.0</t>
  </si>
  <si>
    <t>18,548.0</t>
  </si>
  <si>
    <t>250,400.0</t>
  </si>
  <si>
    <t>00000818</t>
  </si>
  <si>
    <t>385,972.0</t>
  </si>
  <si>
    <t>30,878.0</t>
  </si>
  <si>
    <t>416,850.0</t>
  </si>
  <si>
    <t>-31,203.0</t>
  </si>
  <si>
    <t>-2,496.0</t>
  </si>
  <si>
    <t>-33,699.0</t>
  </si>
  <si>
    <t>148,148.0</t>
  </si>
  <si>
    <t>11,852.0</t>
  </si>
  <si>
    <t>160,000.0</t>
  </si>
  <si>
    <t>157,778.0</t>
  </si>
  <si>
    <t>170,400.0</t>
  </si>
  <si>
    <t>416,667.0</t>
  </si>
  <si>
    <t>33,333.0</t>
  </si>
  <si>
    <t>450,000.0</t>
  </si>
  <si>
    <t>14,098.0</t>
  </si>
  <si>
    <t>Đảo khoản 1C25TUV/00000818; tham chiếu gốc 1C24TUV/00000015</t>
  </si>
  <si>
    <t>190,320.0</t>
  </si>
  <si>
    <t>CÔNG TY TNHH NHỰA KING LUN</t>
  </si>
  <si>
    <t>Tổ dân phố 1, Thửa 429, Phường Lê Hồng Phong, Thành phố Thuỷ Nguyên, Thành phố Hải Phòng, Việt Nam</t>
  </si>
  <si>
    <t>9,795,204.0</t>
  </si>
  <si>
    <t>783,616.0</t>
  </si>
  <si>
    <t>10,578,820.0</t>
  </si>
  <si>
    <t>Giảm toàn bộ gốc: 1C24TUV/00000015</t>
  </si>
  <si>
    <t>2,890,000.0</t>
  </si>
  <si>
    <t>231,200.0</t>
  </si>
  <si>
    <t>3,121,200.0</t>
  </si>
  <si>
    <t>CÔNG TY TRÁCH NHIỆM HỮU HẠN NHỰA ĐƯỜNG HT</t>
  </si>
  <si>
    <t>24 Hồ Bá Kiện, Phường 15, Quận 10, Thành phố Hồ Chí Minh, Việt Nam</t>
  </si>
  <si>
    <t>197,927.0</t>
  </si>
  <si>
    <t>15,834.0</t>
  </si>
  <si>
    <t>213,761.0</t>
  </si>
  <si>
    <t>CÔNG TY TNHH VẬT LIỆU XÂY DỰNG THỜI THƯỢNG</t>
  </si>
  <si>
    <t>17 Bờ Đằm 9, Thôn Quá Giáng 2, Xã Hoà Phước, Huyện Hoà Vang, Thành phố Đà Nẵng, Việt Nam</t>
  </si>
  <si>
    <t>300,259.0</t>
  </si>
  <si>
    <t>24,021.0</t>
  </si>
  <si>
    <t>324,280.0</t>
  </si>
  <si>
    <t>CÔNG TY TNHH ABILITY LOGISTICS</t>
  </si>
  <si>
    <t>Tầng 5, Toà nhà IMC, 62 Trần Quang Khải, Phường Tân Định, Quận 1, Thành phố Hồ Chí Minh, Việt Nam</t>
  </si>
  <si>
    <t>272,445.0</t>
  </si>
  <si>
    <t>21,796.0</t>
  </si>
  <si>
    <t>294,241.0</t>
  </si>
  <si>
    <t>41/21 Nguyễn Oanh, Phường 10, Quận Gò Vấp, Thành phố Hồ Chí Minh, Việt Nam</t>
  </si>
  <si>
    <t>44,352.0</t>
  </si>
  <si>
    <t>3,548.0</t>
  </si>
  <si>
    <t>47,900.0</t>
  </si>
  <si>
    <t>CÔNG TY CỔ PHẦN KIẾN TRÚC VÀ XÂY DỰNG KIẾN BIÊN</t>
  </si>
  <si>
    <t>21/27/9, đường Ngô Thì Nhậm, khu phố 4, Phường Bửu Long, Thành phố Biên Hoà, Tỉnh Đồng Nai, Việt Nam</t>
  </si>
  <si>
    <t>149,167.0</t>
  </si>
  <si>
    <t>11,933.0</t>
  </si>
  <si>
    <t>161,100.0</t>
  </si>
  <si>
    <t>CÔNG TY TNHH KIỂM TOÁN ĐỊNH GIÁ ĐẠI DƯƠNG</t>
  </si>
  <si>
    <t>BT9-262 đường Nguyễn Huy Tưởng, Phường Thanh Xuân Trung, Quận Thanh Xuân, Thành phố Hà Nội, Việt Nam</t>
  </si>
  <si>
    <t>643,287.0</t>
  </si>
  <si>
    <t>51,463.0</t>
  </si>
  <si>
    <t>694,750.0</t>
  </si>
  <si>
    <t>CÔNG TY CỔ PHẦN ĐẦU TƯ BIZMAN SÀI GÒN</t>
  </si>
  <si>
    <t>VIC22 Vinhomes Golden River, Số 02 Tôn Đức Thắng, Phường Bến Nghé, Quận 1, Thành phố Hồ Chí Minh, Việt Nam</t>
  </si>
  <si>
    <t>CÔNG TY TNHH CÔNG NGHỆ VNIDEAS</t>
  </si>
  <si>
    <t>82A - 82B Dân Tộc, Phường Tân Sơn Nhì, Quận Tân phú, Thành phố Hồ Chí Minh, Việt Nam</t>
  </si>
  <si>
    <t>153,222.0</t>
  </si>
  <si>
    <t>12,258.0</t>
  </si>
  <si>
    <t>165,480.0</t>
  </si>
  <si>
    <t>CÔNG TY TNHH QUY HOẠCH XÂY DỰNG MIỀN BẮC</t>
  </si>
  <si>
    <t>50 Tô Hiến Thành, Phường Điện Biên, Thành phố Thanh Hoá, Tỉnh Thanh Hoá, Việt Nam</t>
  </si>
  <si>
    <t>264,334.0</t>
  </si>
  <si>
    <t>21,147.0</t>
  </si>
  <si>
    <t>285,481.0</t>
  </si>
  <si>
    <t>CÔNG TY TNHH LU APARTMENT</t>
  </si>
  <si>
    <t>10/27 Xuân Diệu, Phường 4, Quận Tân Bình, Thành phố Hồ Chí Minh, Việt Nam</t>
  </si>
  <si>
    <t>CÔNG TY CỔ PHẦN TƯ VẤN VÀ ĐẦU TƯ XÂY DỰNG BETA</t>
  </si>
  <si>
    <t>Số nhà 16/8 Đỗ Hành, Phường Phú Sơn, Thành phố Thanh Hoá, Tỉnh Thanh Hoá, Việt Nam</t>
  </si>
  <si>
    <t>CÔNG TY TNHH THƯƠNG MẠI DƯỢC PHẨM MINH QUÂN</t>
  </si>
  <si>
    <t>592/22 đường Trường Chinh, Phường Khương Thượng, Quận Đống đa, Thành phố Hà Nội, Việt Nam</t>
  </si>
  <si>
    <t>153,898.0</t>
  </si>
  <si>
    <t>12,312.0</t>
  </si>
  <si>
    <t>166,210.0</t>
  </si>
  <si>
    <t>CÔNG TY TNHH CÔNG NGHỆ DỊCH VỤ THẾ KỶ 21</t>
  </si>
  <si>
    <t>84-86 Phạm Ngọc Thạch, Phường Võ Thị Sáu, Quận 3, Thành phố Hồ Chí Minh, Việt Nam</t>
  </si>
  <si>
    <t>105,334.0</t>
  </si>
  <si>
    <t>8,427.0</t>
  </si>
  <si>
    <t>113,761.0</t>
  </si>
  <si>
    <t>00000819</t>
  </si>
  <si>
    <t>CÔNG TY TNHH HMK AUTO</t>
  </si>
  <si>
    <t>21-23 Đường Đào Trí, Khu phố 5, Phường Phú Thuận, Quận 7, Thành phố Hồ Chí Minh, Việt Nam</t>
  </si>
  <si>
    <t>4,435,333.0</t>
  </si>
  <si>
    <t>354,827.0</t>
  </si>
  <si>
    <t>4,790,160.0</t>
  </si>
  <si>
    <t>CÔNG TY TNHH MỘT THÀNH VIÊN ĐẦU TƯ VÀ PHÁT TRIỂN DB</t>
  </si>
  <si>
    <t>Khu đô thị thương mại và du lịch Văn Giang, Xã Xuân Quan, Huyện Văn Giang, Tỉnh Hưng Yên, Việt Nam</t>
  </si>
  <si>
    <t>9,981,481.0</t>
  </si>
  <si>
    <t>798,518.0</t>
  </si>
  <si>
    <t>10,779,999.0</t>
  </si>
  <si>
    <t>CÔNG TY TNHH TRẮC ĐỊA XÂY DỰNG BÁCH KHOA</t>
  </si>
  <si>
    <t>số 7/8 Hưng Hóa, Phường 6, Quận Tân Bình, Thành phố Hồ Chí Minh, Việt Nam</t>
  </si>
  <si>
    <t>2,758,332.0</t>
  </si>
  <si>
    <t>220,667.0</t>
  </si>
  <si>
    <t>2,978,999.0</t>
  </si>
  <si>
    <t>5,808,667.0</t>
  </si>
  <si>
    <t>464,693.0</t>
  </si>
  <si>
    <t>6,273,360.0</t>
  </si>
  <si>
    <t>1,527,778.0</t>
  </si>
  <si>
    <t>122,222.0</t>
  </si>
  <si>
    <t>1,650,000.0</t>
  </si>
  <si>
    <t>Đảo khoản 1C25TUV/00000819; tham chiếu gốc 1C24TUV/00000016</t>
  </si>
  <si>
    <t>CÔNG TY TNHH ENKEI VIỆT NAM</t>
  </si>
  <si>
    <t>Lô N-2 khu công nghiệp Thăng Long, Xã Võng La, Huyện Đông Anh, Thành phố Hà Nội, Việt Nam</t>
  </si>
  <si>
    <t>375,000.0</t>
  </si>
  <si>
    <t>30,000.0</t>
  </si>
  <si>
    <t>405,000.0</t>
  </si>
  <si>
    <t>Giảm toàn bộ gốc: 1C24TUV/00000016</t>
  </si>
  <si>
    <t>4,690,000.0</t>
  </si>
  <si>
    <t>375,200.0</t>
  </si>
  <si>
    <t>5,065,200.0</t>
  </si>
  <si>
    <t>9,432,667.0</t>
  </si>
  <si>
    <t>754,613.0</t>
  </si>
  <si>
    <t>10,187,280.0</t>
  </si>
  <si>
    <t>CÔNG TY TNHH CÔNG NGHỆ ÁNH DƯƠNG VN</t>
  </si>
  <si>
    <t>Số 3, ngõ 3, thôn 1, Xã Song Phương, Huyện Hoài Đức, Thành phố Hà Nội, Việt Nam</t>
  </si>
  <si>
    <t>8,101,333.0</t>
  </si>
  <si>
    <t>648,107.0</t>
  </si>
  <si>
    <t>8,749,440.0</t>
  </si>
  <si>
    <t>9,168,000.0</t>
  </si>
  <si>
    <t>733,440.0</t>
  </si>
  <si>
    <t>9,901,440.0</t>
  </si>
  <si>
    <t>422,666.0</t>
  </si>
  <si>
    <t>33,813.0</t>
  </si>
  <si>
    <t>456,479.0</t>
  </si>
  <si>
    <t>253,611.0</t>
  </si>
  <si>
    <t>20,289.0</t>
  </si>
  <si>
    <t>273,900.0</t>
  </si>
  <si>
    <t>6,284,000.0</t>
  </si>
  <si>
    <t>502,720.0</t>
  </si>
  <si>
    <t>6,786,720.0</t>
  </si>
  <si>
    <t>CÔNG TY CP THƯƠNG MẠI DƯỢC LIỆU MƯỜNG THANH TỈNH ĐIỆN BIÊN</t>
  </si>
  <si>
    <t>Số nhà 142, Tổ dân phố 5, Phường Noong Bua, Thành phố Điện Biên Phủ, Tỉnh Điện Biên, Việt Nam</t>
  </si>
  <si>
    <t>850,926.0</t>
  </si>
  <si>
    <t>68,074.0</t>
  </si>
  <si>
    <t>919,000.0</t>
  </si>
  <si>
    <t>4,342,667.0</t>
  </si>
  <si>
    <t>347,413.0</t>
  </si>
  <si>
    <t>4,690,080.0</t>
  </si>
  <si>
    <t>3,450,667.0</t>
  </si>
  <si>
    <t>276,053.0</t>
  </si>
  <si>
    <t>3,726,720.0</t>
  </si>
  <si>
    <t>132 Võ Thị Sáu, Phường Võ Thị Sáu, Quận 3, Thành phố Hồ Chí Minh, Việt Nam</t>
  </si>
  <si>
    <t>5,317,333.0</t>
  </si>
  <si>
    <t>425,387.0</t>
  </si>
  <si>
    <t>5,742,720.0</t>
  </si>
  <si>
    <t>CÔNG TY CỔ PHẦN TƯ VẤN XÂY DỰNG ĐIỆN 2</t>
  </si>
  <si>
    <t>32 Ngô Thời Nhiệm, Phường Võ Thị Sáu, Quận 3, Thành phố Hồ Chí Minh, Việt Nam</t>
  </si>
  <si>
    <t>3,684,259.0</t>
  </si>
  <si>
    <t>294,741.0</t>
  </si>
  <si>
    <t>3,979,000.0</t>
  </si>
  <si>
    <t>10,593,333.0</t>
  </si>
  <si>
    <t>847,467.0</t>
  </si>
  <si>
    <t>11,440,800.0</t>
  </si>
  <si>
    <t>3,678,000.0</t>
  </si>
  <si>
    <t>294,240.0</t>
  </si>
  <si>
    <t>3,972,240.0</t>
  </si>
  <si>
    <t>2,343,333.0</t>
  </si>
  <si>
    <t>187,467.0</t>
  </si>
  <si>
    <t>2,530,800.0</t>
  </si>
  <si>
    <t>1,702,778.0</t>
  </si>
  <si>
    <t>136,222.0</t>
  </si>
  <si>
    <t>1,839,000.0</t>
  </si>
  <si>
    <t>2,744,668.0</t>
  </si>
  <si>
    <t>219,573.0</t>
  </si>
  <si>
    <t>2,964,241.0</t>
  </si>
  <si>
    <t>00000820</t>
  </si>
  <si>
    <t>3,172,000.0</t>
  </si>
  <si>
    <t>253,760.0</t>
  </si>
  <si>
    <t>3,425,760.0</t>
  </si>
  <si>
    <t>3,848,148.0</t>
  </si>
  <si>
    <t>307,852.0</t>
  </si>
  <si>
    <t>4,156,000.0</t>
  </si>
  <si>
    <t>2,796,667.0</t>
  </si>
  <si>
    <t>223,733.0</t>
  </si>
  <si>
    <t>3,020,400.0</t>
  </si>
  <si>
    <t>3,396,667.0</t>
  </si>
  <si>
    <t>271,733.0</t>
  </si>
  <si>
    <t>3,668,400.0</t>
  </si>
  <si>
    <t>8,168,667.0</t>
  </si>
  <si>
    <t>653,493.0</t>
  </si>
  <si>
    <t>8,822,160.0</t>
  </si>
  <si>
    <t>3,757,333.0</t>
  </si>
  <si>
    <t>300,587.0</t>
  </si>
  <si>
    <t>4,057,920.0</t>
  </si>
  <si>
    <t>Đảo khoản 1C25TUV/00000820; tham chiếu gốc 1C24TUV/00000017</t>
  </si>
  <si>
    <t>3,691,333.0</t>
  </si>
  <si>
    <t>295,307.0</t>
  </si>
  <si>
    <t>3,986,640.0</t>
  </si>
  <si>
    <t>CÔNG TY TNHH KIẾN HOÀN</t>
  </si>
  <si>
    <t>76/2 Tô Ngọc Vân, phường Thạnh Xuân, Quận 12, Thành phố Hồ Chí Minh, Việt Nam</t>
  </si>
  <si>
    <t>1,700,926.0</t>
  </si>
  <si>
    <t>136,074.0</t>
  </si>
  <si>
    <t>1,837,000.0</t>
  </si>
  <si>
    <t>1,852,667.0</t>
  </si>
  <si>
    <t>148,213.0</t>
  </si>
  <si>
    <t>2,000,880.0</t>
  </si>
  <si>
    <t>Giảm toàn bộ gốc: 1C24TUV/00000017</t>
  </si>
  <si>
    <t>2,477,333.0</t>
  </si>
  <si>
    <t>198,187.0</t>
  </si>
  <si>
    <t>2,675,520.0</t>
  </si>
  <si>
    <t>3,224,000.0</t>
  </si>
  <si>
    <t>257,920.0</t>
  </si>
  <si>
    <t>3,481,920.0</t>
  </si>
  <si>
    <t>CÔNG TY TNHH KHÁCH SẠN Y&amp;Y</t>
  </si>
  <si>
    <t>26 Đường T4, Khu Phố Phước Thiện, Phường Long Bình, Thành phố Thủ Đức, Thành phố Hồ Chí Minh, Việt Nam</t>
  </si>
  <si>
    <t>2,387,037.0</t>
  </si>
  <si>
    <t>190,963.0</t>
  </si>
  <si>
    <t>2,578,000.0</t>
  </si>
  <si>
    <t>3,957,333.0</t>
  </si>
  <si>
    <t>316,587.0</t>
  </si>
  <si>
    <t>4,273,920.0</t>
  </si>
  <si>
    <t>2,370,667.0</t>
  </si>
  <si>
    <t>189,653.0</t>
  </si>
  <si>
    <t>2,560,320.0</t>
  </si>
  <si>
    <t>5,984,000.0</t>
  </si>
  <si>
    <t>478,720.0</t>
  </si>
  <si>
    <t>6,462,720.0</t>
  </si>
  <si>
    <t>CÔNG TY TNHH PHÁT TRIỂN CÔNG NGHỆ VÂN PHƯƠNG</t>
  </si>
  <si>
    <t>Số 1, ngách 30/19 phố Phan Đình Giót, Phường Phương Liệt, Quận Thanh Xuân, Thành phố Hà Nội, Việt Nam</t>
  </si>
  <si>
    <t>2,997,333.0</t>
  </si>
  <si>
    <t>239,787.0</t>
  </si>
  <si>
    <t>3,237,120.0</t>
  </si>
  <si>
    <t>9,315,333.0</t>
  </si>
  <si>
    <t>745,227.0</t>
  </si>
  <si>
    <t>10,060,560.0</t>
  </si>
  <si>
    <t>3,304,000.0</t>
  </si>
  <si>
    <t>264,320.0</t>
  </si>
  <si>
    <t>3,568,320.0</t>
  </si>
  <si>
    <t>216,000.0</t>
  </si>
  <si>
    <t>2,916,000.0</t>
  </si>
  <si>
    <t>3,730,000.0</t>
  </si>
  <si>
    <t>298,400.0</t>
  </si>
  <si>
    <t>4,028,400.0</t>
  </si>
  <si>
    <t>2,264,370.0</t>
  </si>
  <si>
    <t>181,150.0</t>
  </si>
  <si>
    <t>2,445,520.0</t>
  </si>
  <si>
    <t>3,730,667.0</t>
  </si>
  <si>
    <t>298,453.0</t>
  </si>
  <si>
    <t>4,029,120.0</t>
  </si>
  <si>
    <t>2,770,667.0</t>
  </si>
  <si>
    <t>221,653.0</t>
  </si>
  <si>
    <t>2,992,320.0</t>
  </si>
  <si>
    <t>772,444.0</t>
  </si>
  <si>
    <t>61,796.0</t>
  </si>
  <si>
    <t>834,240.0</t>
  </si>
  <si>
    <t>1,938,444.0</t>
  </si>
  <si>
    <t>155,076.0</t>
  </si>
  <si>
    <t>2,093,520.0</t>
  </si>
  <si>
    <t>865,833.0</t>
  </si>
  <si>
    <t>69,267.0</t>
  </si>
  <si>
    <t>935,100.0</t>
  </si>
  <si>
    <t>919,333.0</t>
  </si>
  <si>
    <t>73,547.0</t>
  </si>
  <si>
    <t>992,880.0</t>
  </si>
  <si>
    <t>00000821</t>
  </si>
  <si>
    <t>1,652,000.0</t>
  </si>
  <si>
    <t>132,160.0</t>
  </si>
  <si>
    <t>1,784,160.0</t>
  </si>
  <si>
    <t>6,488,000.0</t>
  </si>
  <si>
    <t>519,040.0</t>
  </si>
  <si>
    <t>7,007,040.0</t>
  </si>
  <si>
    <t>CÔNG TY TNHH HOÀNG THÀNH F&amp;B</t>
  </si>
  <si>
    <t>11 Đồng Khởi, Phường Bến Nghé, Quận 1, Thành phố Hồ Chí Minh, Việt Nam</t>
  </si>
  <si>
    <t>443,519.0</t>
  </si>
  <si>
    <t>35,482.0</t>
  </si>
  <si>
    <t>479,001.0</t>
  </si>
  <si>
    <t>1,745,333.0</t>
  </si>
  <si>
    <t>139,627.0</t>
  </si>
  <si>
    <t>1,884,960.0</t>
  </si>
  <si>
    <t>5,062,667.0</t>
  </si>
  <si>
    <t>405,013.0</t>
  </si>
  <si>
    <t>5,467,680.0</t>
  </si>
  <si>
    <t>CÔNG TY CỔ PHẦN SUPERKIDS PRE-SCHOOL</t>
  </si>
  <si>
    <t>Tầng 3, Tòa Nhà An Phú Plaza, 117-119 Lý Chính Thắng, Phường Võ Thị Sáu, Quận 3, Thành phố Hồ Chí Minh, Việt Nam</t>
  </si>
  <si>
    <t>1,548,880.0</t>
  </si>
  <si>
    <t>123,910.0</t>
  </si>
  <si>
    <t>1,672,790.0</t>
  </si>
  <si>
    <t>2,272,888.0</t>
  </si>
  <si>
    <t>181,831.0</t>
  </si>
  <si>
    <t>2,454,719.0</t>
  </si>
  <si>
    <t>Đảo khoản 1C25TUV/00000821; tham chiếu gốc 1C24TUV/00000018</t>
  </si>
  <si>
    <t>3,133,111.0</t>
  </si>
  <si>
    <t>250,649.0</t>
  </si>
  <si>
    <t>3,383,760.0</t>
  </si>
  <si>
    <t>CÔNG TY CỔ PHẦN KOLIA PHAN</t>
  </si>
  <si>
    <t>Số 438 Đường Khương Đình, Phường Hạ Đình, Quận Thanh Xuân, Thành phố Hà Nội, Việt Nam</t>
  </si>
  <si>
    <t>4,330,926.0</t>
  </si>
  <si>
    <t>346,474.0</t>
  </si>
  <si>
    <t>4,677,400.0</t>
  </si>
  <si>
    <t>399,167.0</t>
  </si>
  <si>
    <t>Giảm toàn bộ gốc: 1C24TUV/00000018</t>
  </si>
  <si>
    <t>31,933.0</t>
  </si>
  <si>
    <t>431,100.0</t>
  </si>
  <si>
    <t>2,241,417.0</t>
  </si>
  <si>
    <t>179,313.0</t>
  </si>
  <si>
    <t>2,420,730.0</t>
  </si>
  <si>
    <t>1,127,685.0</t>
  </si>
  <si>
    <t>90,215.0</t>
  </si>
  <si>
    <t>1,217,900.0</t>
  </si>
  <si>
    <t>1,929,861.0</t>
  </si>
  <si>
    <t>154,389.0</t>
  </si>
  <si>
    <t>2,084,250.0</t>
  </si>
  <si>
    <t>846,593.0</t>
  </si>
  <si>
    <t>67,727.0</t>
  </si>
  <si>
    <t>914,320.0</t>
  </si>
  <si>
    <t>CÔNG TY CỔ PHẦN PMAX</t>
  </si>
  <si>
    <t>Tầng 6, Tòa nhà Tường Việt – 95 Cách Mạng Tháng 8, Phường Bến Thành, Quận 1, Thành phố Hồ Chí Minh, Việt Nam</t>
  </si>
  <si>
    <t>1,856,152.0</t>
  </si>
  <si>
    <t>148,492.0</t>
  </si>
  <si>
    <t>2,004,644.0</t>
  </si>
  <si>
    <t>1,123,630.0</t>
  </si>
  <si>
    <t>89,890.0</t>
  </si>
  <si>
    <t>1,213,520.0</t>
  </si>
  <si>
    <t>CÔNG TY TNHH THƯƠNG MẠI VÀ DỊCH VỤ Ô TÔ HYUNDAI ĐÔNG SÀI GÒN</t>
  </si>
  <si>
    <t>409 Đường Song Hành Hà Nội, Phường Trường Thọ, Thành phố Thủ Đức, Thành phố Hồ Chí Minh, Việt Nam</t>
  </si>
  <si>
    <t>2,026,556.0</t>
  </si>
  <si>
    <t>162,124.0</t>
  </si>
  <si>
    <t>2,188,680.0</t>
  </si>
  <si>
    <t>2,916,667.0</t>
  </si>
  <si>
    <t>233,333.0</t>
  </si>
  <si>
    <t>3,150,000.0</t>
  </si>
  <si>
    <t>VP 02, Tầng 10, Tòa nhà Pearl Plaza, Số 561A Điện Biên Phủ, Phường Thạnh Mỹ Tây, Thành phố Hồ Chí Minh, Việt Nam</t>
  </si>
  <si>
    <t>1,615,936.0</t>
  </si>
  <si>
    <t>129,275.0</t>
  </si>
  <si>
    <t>1,745,211.0</t>
  </si>
  <si>
    <t>8,858,000.0</t>
  </si>
  <si>
    <t>708,640.0</t>
  </si>
  <si>
    <t>9,566,640.0</t>
  </si>
  <si>
    <t>CÔNG TY TNHH GỖ CÔNG NGHIỆP MỘC AN VIỆT NAM</t>
  </si>
  <si>
    <t>Số nhà 16 ngõ 397, đường TL416, thôn Nhà Thờ, Xã Đoài Phương, Thành phố Hà Nội, Việt Nam.</t>
  </si>
  <si>
    <t>CÔNG TY TNHH GOLDEN BUFFALO VIỆT NAM</t>
  </si>
  <si>
    <t>A16-NV6 ô số 15, Khu đô thị mới hai bên đường Lê Trọng Tấn, Xã An Khánh, Huyện Hoài Đức, Thành phố Hà Nội, Việt Nam</t>
  </si>
  <si>
    <t>13,591,333.0</t>
  </si>
  <si>
    <t>1,087,307.0</t>
  </si>
  <si>
    <t>14,678,640.0</t>
  </si>
  <si>
    <t>4,038,667.0</t>
  </si>
  <si>
    <t>00000510</t>
  </si>
  <si>
    <t>323,093.0</t>
  </si>
  <si>
    <t>4,361,760.0</t>
  </si>
  <si>
    <t>CÔNG TY TNHH SẢN XUẤT THƯƠNG MẠI MIGO</t>
  </si>
  <si>
    <t>78 Cao Đức Lân, Phường An Phú(Hết hiệu lực), Thành phố Hồ Chí Minh, Việt Nam.</t>
  </si>
  <si>
    <t>41/21 Nguyễn Oanh, Phường Gò Vấp, Thành phố Hồ Chí Minh, Việt Nam.</t>
  </si>
  <si>
    <t>2,956,000.0</t>
  </si>
  <si>
    <t>236,480.0</t>
  </si>
  <si>
    <t>3,192,480.0</t>
  </si>
  <si>
    <t>CÔNG TY CỔ PHẦN XÂY DỰNG CBC</t>
  </si>
  <si>
    <t>176A Trần Kế Xương, Phường Cầu Kiệu, Thành Phố Hồ Chí Minh, Việt Nam</t>
  </si>
  <si>
    <t>561,204.0</t>
  </si>
  <si>
    <t>44,896.0</t>
  </si>
  <si>
    <t>606,100.0</t>
  </si>
  <si>
    <t>CÔNG TY TNHH TƯ VẤN THIẾT KẾ XÂY DỰNG NGUYÊN THỊNH PHÁT</t>
  </si>
  <si>
    <t>Số 89A Ngô Thì Nhậm, KP 4, Phường Trấn Biên, Tỉnh Đồng Nai, Việt Nam.</t>
  </si>
  <si>
    <t>4,382,667.0</t>
  </si>
  <si>
    <t>350,613.0</t>
  </si>
  <si>
    <t>4,733,280.0</t>
  </si>
  <si>
    <t>CÔNG TY TNHH MỘT THÀNH VIÊN TAMNEST</t>
  </si>
  <si>
    <t>866, Tổ 1, Khu 1, Phường Chánh Hiệp, Thành phố Hồ Chí Minh, Việt Nam.</t>
  </si>
  <si>
    <t>Đảo khoản 1C25TUV/00000510; tham chiếu gốc 1C24TUV/00000019</t>
  </si>
  <si>
    <t>2,436,000.0</t>
  </si>
  <si>
    <t>194,880.0</t>
  </si>
  <si>
    <t>2,630,880.0</t>
  </si>
  <si>
    <t>CÔNG TY TNHH THIẾT BỊ KHOA HỌC KỸ THUẬT ANATECH</t>
  </si>
  <si>
    <t>688/37/3 Quang Trung, Phường Thông Tây Hội, Thành phố Hồ Chí Minh, Việt Nam.</t>
  </si>
  <si>
    <t>2,494,157.0</t>
  </si>
  <si>
    <t>199,533.0</t>
  </si>
  <si>
    <t>2,693,690.0</t>
  </si>
  <si>
    <t>Giảm toàn bộ gốc: 1C24TUV/00000019</t>
  </si>
  <si>
    <t>CÔNG TY CỔ PHẦN THƯƠNG MẠI DỊCH VỤ KTL</t>
  </si>
  <si>
    <t>R4-90, Khu R23, Đường nội khu Hưng Gia 2, Phường Tân Hưng, Thành phố Hồ Chí Minh, Việt Nam.</t>
  </si>
  <si>
    <t>2,314,815.0</t>
  </si>
  <si>
    <t>CÔNG TY CỔ PHẦN TRUNG TÂM BÁC SĨ GIA ĐÌNH HÀ NỘI</t>
  </si>
  <si>
    <t>75 đường Hồ Mễ Trì, Phường Đại Mỗ, Thành phố Hà Nội, Việt Nam.</t>
  </si>
  <si>
    <t>CÔNG TY TNHH DỊCH VỤ TVT GIA KHÁNH</t>
  </si>
  <si>
    <t>Số 21 Ngõ 281 Trương Định, Tổ 9, Phường Tương Mai, Thành phố Hà Nội, Việt Nam.</t>
  </si>
  <si>
    <t>CÔNG TY CỔ PHẦN SAVISTA</t>
  </si>
  <si>
    <t>98B đường Nguyễn Văn Trỗi, Phường Phú Nhuận, Thành phố Hồ Chí Minh, Việt Nam.</t>
  </si>
  <si>
    <t>2,109,260.0</t>
  </si>
  <si>
    <t>168,741.0</t>
  </si>
  <si>
    <t>2,278,001.0</t>
  </si>
  <si>
    <t>Xóm 8, thôn Việt Yên, Xã Nam Phù, Thành phố Hà Nội</t>
  </si>
  <si>
    <t>-416,667.0</t>
  </si>
  <si>
    <t>-33,333.0</t>
  </si>
  <si>
    <t>-450,000.0</t>
  </si>
  <si>
    <t>CÔNG TY TNHH WE GOLF&amp;TOUR</t>
  </si>
  <si>
    <t>Xóm Chùa, thôn Vĩnh Ninh, Xã Đại Thanh, Thành phố Hà Nội, Việt Nam.</t>
  </si>
  <si>
    <t>00000822</t>
  </si>
  <si>
    <t>Đảo khoản 1C25TUV/00000822; tham chiếu gốc 1C24TUV/00000020</t>
  </si>
  <si>
    <t>Giảm toàn bộ gốc: 1C24TUV/00000020</t>
  </si>
  <si>
    <t>00000511</t>
  </si>
  <si>
    <t>Đảo khoản 1C25TUV/00000511; tham chiếu gốc 1C24TUV/00000024</t>
  </si>
  <si>
    <t>Giảm toàn bộ gốc: 1C24TUV/00000024</t>
  </si>
  <si>
    <t>00000788</t>
  </si>
  <si>
    <t>BẢNG KÊ CHI TIẾT HOÁ ĐƠN</t>
  </si>
  <si>
    <t>519.401.847</t>
  </si>
  <si>
    <t>Đảo khoản 1C25TUV/00000788; tham chiếu gốc 1C24TUV/00000025</t>
  </si>
  <si>
    <t>Giảm toàn bộ gốc: 1C24TUV/00000025</t>
  </si>
  <si>
    <t>Tên khách hàng</t>
  </si>
  <si>
    <t>Mã số thuế</t>
  </si>
  <si>
    <t>Tên hàng</t>
  </si>
  <si>
    <t>ĐVT</t>
  </si>
  <si>
    <t>Số lượng</t>
  </si>
  <si>
    <t>Đơn giá</t>
  </si>
  <si>
    <t>Thành tiền</t>
  </si>
  <si>
    <t>Thuế suất (%)</t>
  </si>
  <si>
    <t>Tiền thuế GTGT</t>
  </si>
  <si>
    <t>Tổng tiền TT</t>
  </si>
  <si>
    <t>Số hóa đơn KOV</t>
  </si>
  <si>
    <t>Máy Lọc Không Khí Diệt Khuẩn UVGREEN KA350 UVC Light 40m2 - Công Nghệ UVC LED Hiện Đại, Lõi HEPA H13 Lọc Sạch Bụi Mịn, Mùi Hôi, Khói, Lông Tóc - Bảo hành chính hãng lên đến 24 tháng</t>
  </si>
  <si>
    <t>Cái</t>
  </si>
  <si>
    <t>1,00</t>
  </si>
  <si>
    <t>1.464.200,00</t>
  </si>
  <si>
    <t>1.464.200</t>
  </si>
  <si>
    <t>1.581.336</t>
  </si>
  <si>
    <t>HDIP578297561583553468.01</t>
  </si>
  <si>
    <t>Máy Lọc Không Khí Diệt Khuẩn UVGREEN KA600 60m2 - UVC LED, Ion âm, HEPA H13 Lọc Sạch Bụi Mịn, Mùi, Khói, Bảo Hành 24T</t>
  </si>
  <si>
    <t>2.870.093,00</t>
  </si>
  <si>
    <t>2.870.093</t>
  </si>
  <si>
    <t>3.099.700</t>
  </si>
  <si>
    <t>Màng Lọc HEPA H13 Diệt Khuẩn Cho Máy Lọc Không Khí UVGREEN KA600 FT - Bộ Lọc 3 Lớp, Loại Bỏ 99,97% Bụi Mịn</t>
  </si>
  <si>
    <t>Combo Máy Lọc Không Khí Diệt Khuẩn UVGREEN KA350 UVC Light và Máy Lọc Không Khí Ô Tô UVGREEN KA100</t>
  </si>
  <si>
    <t>2.546.296,00</t>
  </si>
  <si>
    <t>2.546.296</t>
  </si>
  <si>
    <t>2.750.000</t>
  </si>
  <si>
    <t>Màng Lọc HEPA H13 Diệt Khuẩn Cho Máy Lọc Không Khí UVGREEN KA350 FT - Bộ Lọc 3 Lớp, Loại Bỏ 99,97% Bụi Mịn</t>
  </si>
  <si>
    <t>Combo 3 Màng Lọc (Lõi Lọc) Than Hoạt Tính UVGREEN KA100FT Dành Cho Máy Lọc Không Khí- Loại Bỏ Mùi, Bụi Bẩn</t>
  </si>
  <si>
    <t>Máy Lọc Không Khí Diệt Khuẩn UVGREEN KA350 UVC Light 40m2</t>
  </si>
  <si>
    <t>1.793.888,80</t>
  </si>
  <si>
    <t>1.793.889</t>
  </si>
  <si>
    <t>1.937.400</t>
  </si>
  <si>
    <t>Máy lọc không khí diệt khuẩn KA100</t>
  </si>
  <si>
    <t>2.129.630,00</t>
  </si>
  <si>
    <t>2.129.630</t>
  </si>
  <si>
    <t>2.300.000</t>
  </si>
  <si>
    <t>00000512</t>
  </si>
  <si>
    <t>KOV NOTE SAI : 2.460.000
trên hoá đơn thì đúng rồi</t>
  </si>
  <si>
    <t>Bộ lọc KA100FT</t>
  </si>
  <si>
    <t>2,00</t>
  </si>
  <si>
    <t>166.666,66</t>
  </si>
  <si>
    <t>00002316</t>
  </si>
  <si>
    <t>Máy lọc không khí diệt khuẩn UVGREEN KA350 UVC LIGHT cho phòng 20-40 m2</t>
  </si>
  <si>
    <t>1.574.074,000</t>
  </si>
  <si>
    <t>1.574.074</t>
  </si>
  <si>
    <t>1.700.000</t>
  </si>
  <si>
    <t>Đảo khoản 1C25TUV/00000512; tham chiếu gốc 1C24TUV/00000026</t>
  </si>
  <si>
    <t>Máy lọc không khí diệt khuẩn UVGREEN KA350 UVC PRO cho phòng 20-40 m2</t>
  </si>
  <si>
    <t>1.666.667,000</t>
  </si>
  <si>
    <t>1.666.667</t>
  </si>
  <si>
    <t>1.800.000</t>
  </si>
  <si>
    <t>Đảo khoản 1C25TUV/00002316; tham chiếu gốc 1C24TUV/00000026</t>
  </si>
  <si>
    <t>Máy Lọc Không Khí Diệt Khuẩn UVC LED UVGREEN KA600 60m2</t>
  </si>
  <si>
    <t>2.222.222,000</t>
  </si>
  <si>
    <t>2.222.222</t>
  </si>
  <si>
    <t>2.400.000</t>
  </si>
  <si>
    <t>Giảm toàn bộ gốc: 1C24TUV/00000026</t>
  </si>
  <si>
    <t>KA100 máy màu đen UVC70 - lọc không khí oto và phòng nhỏ</t>
  </si>
  <si>
    <t>925.925,900</t>
  </si>
  <si>
    <t>1.851.852</t>
  </si>
  <si>
    <t>2.000.000</t>
  </si>
  <si>
    <t>Máy lọc không khí diệt khuẩn UVGREEN KA350 - Light</t>
  </si>
  <si>
    <t>3,00</t>
  </si>
  <si>
    <t>1.481.481,480</t>
  </si>
  <si>
    <t>4.444.444</t>
  </si>
  <si>
    <t>4.800.000</t>
  </si>
  <si>
    <t>7,00</t>
  </si>
  <si>
    <t>10.370.370</t>
  </si>
  <si>
    <t>11.200.000</t>
  </si>
  <si>
    <t>Máy lọc không khí diệt khuẩn UVGREEN KA350-Light</t>
  </si>
  <si>
    <t>6,00</t>
  </si>
  <si>
    <t>8.888.889</t>
  </si>
  <si>
    <t>9.600.000</t>
  </si>
  <si>
    <t>Máy lọc không khí diệt khuẩn UVGREEN</t>
  </si>
  <si>
    <t>11,00</t>
  </si>
  <si>
    <t>16.296.296</t>
  </si>
  <si>
    <t>1.303.704</t>
  </si>
  <si>
    <t>17.600.000</t>
  </si>
  <si>
    <t>Máy lọc không khí diệt khuẩn UVGREEN KA600</t>
  </si>
  <si>
    <t>3.518.518,520</t>
  </si>
  <si>
    <t>10.555.556</t>
  </si>
  <si>
    <t>11.400.000</t>
  </si>
  <si>
    <t>1.795.370,370</t>
  </si>
  <si>
    <t>1.795.370</t>
  </si>
  <si>
    <t>1.939.000</t>
  </si>
  <si>
    <t>Máy lọc không khí UVGREEN KA150S</t>
  </si>
  <si>
    <t>776.852,000</t>
  </si>
  <si>
    <t>5.437.964</t>
  </si>
  <si>
    <t>5.873.001</t>
  </si>
  <si>
    <t>Máy lọc không khí UVGREEN KA350 UVC Light</t>
  </si>
  <si>
    <t>1.369.444,440</t>
  </si>
  <si>
    <t>4.108.333</t>
  </si>
  <si>
    <t>4.437.000</t>
  </si>
  <si>
    <t>Bộ lọc cho Máy lọc không khí UVGREEN KA150S</t>
  </si>
  <si>
    <t>333.333,330</t>
  </si>
  <si>
    <t>2.333.333</t>
  </si>
  <si>
    <t>2.520.000</t>
  </si>
  <si>
    <t>Bộ lọc cho Máy lọc không khí UVGREEN KA350 UVC Light</t>
  </si>
  <si>
    <t>1.000.000</t>
  </si>
  <si>
    <t>1.080.000</t>
  </si>
  <si>
    <t>Phí vận chuyển</t>
  </si>
  <si>
    <t>Chuyến</t>
  </si>
  <si>
    <t>550.925,950</t>
  </si>
  <si>
    <t>00000789</t>
  </si>
  <si>
    <t>50,00</t>
  </si>
  <si>
    <t>1.574.074,070</t>
  </si>
  <si>
    <t>78.703.704</t>
  </si>
  <si>
    <t>6.296.296</t>
  </si>
  <si>
    <t>85.000.000</t>
  </si>
  <si>
    <t>BÌNH NƯỚC GIỮ NHIỆT DIỆT KHUẨN UVGREEN 500ML- màu đen</t>
  </si>
  <si>
    <t>52,00</t>
  </si>
  <si>
    <t>562.962,375</t>
  </si>
  <si>
    <t>29.274.044</t>
  </si>
  <si>
    <t>2.341.924</t>
  </si>
  <si>
    <t>31.615.968</t>
  </si>
  <si>
    <t>Máy Lọc Không Khí Diệt Khuẩn UVGREEN KA600 UVC 60m2</t>
  </si>
  <si>
    <t>2.129.629,629</t>
  </si>
  <si>
    <t>4.259.259</t>
  </si>
  <si>
    <t>4.600.000</t>
  </si>
  <si>
    <t>KA350 Filter FULL và ĐÓNG GÓI</t>
  </si>
  <si>
    <t>324.074,074</t>
  </si>
  <si>
    <t>Đảo khoản 1C25TUV/00000789; tham chiếu gốc 1C24TUV/00000027</t>
  </si>
  <si>
    <t>KA600 Filter FULL và ĐÓNG GÓI</t>
  </si>
  <si>
    <t>8,00</t>
  </si>
  <si>
    <t>2.592.593</t>
  </si>
  <si>
    <t>2.800.000</t>
  </si>
  <si>
    <t>Máy lọc không khí diệt khuẩn UVGREEN- KA350 light</t>
  </si>
  <si>
    <t>4,00</t>
  </si>
  <si>
    <t>1.453.703,700</t>
  </si>
  <si>
    <t>5.814.815</t>
  </si>
  <si>
    <t>6.280.000</t>
  </si>
  <si>
    <t>HD006835.01</t>
  </si>
  <si>
    <t>Giảm toàn bộ gốc: 1C24TUV/00000027</t>
  </si>
  <si>
    <t>Máy lọc không khí diệt khuẩn UVGREEN- KA600 light</t>
  </si>
  <si>
    <t>2.638.888,880</t>
  </si>
  <si>
    <t>2.638.889</t>
  </si>
  <si>
    <t>2.850.000</t>
  </si>
  <si>
    <t>HD006836.01</t>
  </si>
  <si>
    <t>Máy lọc không khí diệt khuẩn UVGREEN KA350- Light</t>
  </si>
  <si>
    <t>1.453.703,703</t>
  </si>
  <si>
    <t>1.453.704</t>
  </si>
  <si>
    <t>1.570.000</t>
  </si>
  <si>
    <t>Gói</t>
  </si>
  <si>
    <t>22.222,222</t>
  </si>
  <si>
    <t>18,00</t>
  </si>
  <si>
    <t>26.166.667</t>
  </si>
  <si>
    <t>2.093.333</t>
  </si>
  <si>
    <t>28.260.000</t>
  </si>
  <si>
    <t>400.000,000</t>
  </si>
  <si>
    <t>Máy lọc không khí diệt khuẩn UVGREEN KA350- light</t>
  </si>
  <si>
    <t>21,00</t>
  </si>
  <si>
    <t>30.527.778</t>
  </si>
  <si>
    <t>2.442.222</t>
  </si>
  <si>
    <t>32.970.000</t>
  </si>
  <si>
    <t>466.666,000</t>
  </si>
  <si>
    <t>10,00</t>
  </si>
  <si>
    <t>14.537.037</t>
  </si>
  <si>
    <t>1.162.963</t>
  </si>
  <si>
    <t>15.700.000</t>
  </si>
  <si>
    <t>222.222,222</t>
  </si>
  <si>
    <t>Máy lọc không khí diệt khuẩn UVGREEN- KA350 Light</t>
  </si>
  <si>
    <t>4.361.111</t>
  </si>
  <si>
    <t>4.710.000</t>
  </si>
  <si>
    <t>Light</t>
  </si>
  <si>
    <t>49,00</t>
  </si>
  <si>
    <t>1.482.000,000</t>
  </si>
  <si>
    <t>72.618.000</t>
  </si>
  <si>
    <t>5.809.440</t>
  </si>
  <si>
    <t>78.427.440</t>
  </si>
  <si>
    <t>8.518.519</t>
  </si>
  <si>
    <t>9.200.001</t>
  </si>
  <si>
    <t>1.342.592,590</t>
  </si>
  <si>
    <t>1.342.593</t>
  </si>
  <si>
    <t>1.450.000</t>
  </si>
  <si>
    <t>00000517</t>
  </si>
  <si>
    <t>Máy Lọc Không Khí Diệt Khuẩn UVGREEN KA600 60m2</t>
  </si>
  <si>
    <t>2.490.740,750</t>
  </si>
  <si>
    <t>4.981.482</t>
  </si>
  <si>
    <t>5.380.001</t>
  </si>
  <si>
    <t>Màng Lọc HEPA H13 Diệt Khuẩn Cho Máy Lọc Không Khí UVGREEN KA600 FT</t>
  </si>
  <si>
    <t>509.259,250</t>
  </si>
  <si>
    <t>1.018.519</t>
  </si>
  <si>
    <t>1.100.001</t>
  </si>
  <si>
    <t>Máy Lọc Không Khí Diệt Khuẩn UVGREEN KA600</t>
  </si>
  <si>
    <t>2.314.814,810</t>
  </si>
  <si>
    <t>23.148.148</t>
  </si>
  <si>
    <t>25.000.000</t>
  </si>
  <si>
    <t>Máy Lọc Không Khí Diệt Khuẩn UVGREEN KA150S</t>
  </si>
  <si>
    <t>5,00</t>
  </si>
  <si>
    <t>879.629,620</t>
  </si>
  <si>
    <t>4.398.148</t>
  </si>
  <si>
    <t>4.750.000</t>
  </si>
  <si>
    <t>2.407.407,407</t>
  </si>
  <si>
    <t>14.444.444</t>
  </si>
  <si>
    <t>Đảo khoản 1C25TUV/00000517; tham chiếu gốc 1C24TUV/00000029</t>
  </si>
  <si>
    <t>1.155.556</t>
  </si>
  <si>
    <t>15.600.000</t>
  </si>
  <si>
    <t>Máy Lọc Không Khí Diệt Khuẩn UVGREEN KA800-XM 80m2</t>
  </si>
  <si>
    <t>3.869.444,400</t>
  </si>
  <si>
    <t>7.738.889</t>
  </si>
  <si>
    <t>8.358.000</t>
  </si>
  <si>
    <t>Giảm toàn bộ gốc: 1C24TUV/00000029</t>
  </si>
  <si>
    <t>Trường mầm non Kid's Smile - Đình bảng - Từ Sơn - Bắc Ninh</t>
  </si>
  <si>
    <t>Máy Lọc Không Khí Diệt Khuẩn UVGREEN KA350 Light</t>
  </si>
  <si>
    <t>1.527.777,700</t>
  </si>
  <si>
    <t>10.694.444</t>
  </si>
  <si>
    <t>11.550.000</t>
  </si>
  <si>
    <t>HD007313.03</t>
  </si>
  <si>
    <t>197/2 phương thành, kp 4. P bình san, tp hà tiên, t kiên giang</t>
  </si>
  <si>
    <t>2.573.148,000</t>
  </si>
  <si>
    <t>2.573.148</t>
  </si>
  <si>
    <t>2.779.000</t>
  </si>
  <si>
    <t>HD007319.01</t>
  </si>
  <si>
    <t>Máy Lọc Không Khí Diệt Khuẩn UVGREEN KA800</t>
  </si>
  <si>
    <t>4.054.629,600</t>
  </si>
  <si>
    <t>4.054.630</t>
  </si>
  <si>
    <t>4.379.000</t>
  </si>
  <si>
    <t>Màng Lọc HEPA H13 Diệt Khuẩn Cho Máy Lọc Không Khí UVGREEN KA800 FT</t>
  </si>
  <si>
    <t>Máy Lọc Không Khí Diệt Khuẩn UVGREEN KA350 40m2</t>
  </si>
  <si>
    <t>20,00</t>
  </si>
  <si>
    <t>1.277.777,777</t>
  </si>
  <si>
    <t>25.555.556</t>
  </si>
  <si>
    <t>2.044.444</t>
  </si>
  <si>
    <t>27.600.000</t>
  </si>
  <si>
    <t>KOV Note sàn Tiktok</t>
  </si>
  <si>
    <t>Cty KBF</t>
  </si>
  <si>
    <t>Bộ led diệt khuẩn</t>
  </si>
  <si>
    <t>Bộ</t>
  </si>
  <si>
    <t>462.962,960</t>
  </si>
  <si>
    <t>9.259.259</t>
  </si>
  <si>
    <t>10.000.000</t>
  </si>
  <si>
    <t>HD005210.01.01</t>
  </si>
  <si>
    <t>00000791</t>
  </si>
  <si>
    <t>Đảo khoản 1C25TUV/00000791; tham chiếu gốc 1C24TUV/00000030</t>
  </si>
  <si>
    <t>Giảm toàn bộ gốc: 1C24TUV/00000030</t>
  </si>
  <si>
    <t>00002607</t>
  </si>
  <si>
    <t>Đảo khoản 1C25TUV/00002607; tham chiếu gốc 1C24TUV/00000031</t>
  </si>
  <si>
    <t>Giảm toàn bộ gốc: 1C24TUV/00000031</t>
  </si>
  <si>
    <t>00000794</t>
  </si>
  <si>
    <t>Đảo khoản 1C25TUV/00000794; tham chiếu gốc 1C24TUV/00000032</t>
  </si>
  <si>
    <t>Giảm toàn bộ gốc: 1C24TUV/00000032</t>
  </si>
  <si>
    <t>00002559</t>
  </si>
  <si>
    <t>Đảo khoản 1C25TUV/00002559; tham chiếu gốc 1C24TUV/00000033</t>
  </si>
  <si>
    <t>Giảm toàn bộ gốc: 1C24TUV/00000033</t>
  </si>
  <si>
    <t>00002608</t>
  </si>
  <si>
    <t>00002643</t>
  </si>
  <si>
    <t>Đảo khoản 1C25TUV/00002608; tham chiếu gốc 1C24TUV/00000034</t>
  </si>
  <si>
    <t>Đảo khoản 1C25TUV/00002643; tham chiếu gốc 1C24TUV/00000034</t>
  </si>
  <si>
    <t>Giảm toàn bộ gốc: 1C24TUV/00000034</t>
  </si>
  <si>
    <t>00000795</t>
  </si>
  <si>
    <t>Đảo khoản 1C25TUV/00000795; tham chiếu gốc 1C24TUV/00000035</t>
  </si>
  <si>
    <t>Giảm toàn bộ gốc: 1C24TUV/00000035</t>
  </si>
  <si>
    <t>00001038</t>
  </si>
  <si>
    <t>Đảo khoản 1C25TUV/00001038; tham chiếu gốc 1C24TUV/00000036</t>
  </si>
  <si>
    <t>Giảm toàn bộ gốc: 1C24TUV/00000036</t>
  </si>
  <si>
    <t>00000796</t>
  </si>
  <si>
    <t>Đảo khoản 1C25TUV/00000796; tham chiếu gốc 1C24TUV/00000037</t>
  </si>
  <si>
    <t>Giảm toàn bộ gốc: 1C24TUV/00000037</t>
  </si>
  <si>
    <t>00000797</t>
  </si>
  <si>
    <t>Đảo khoản 1C25TUV/00000797; tham chiếu gốc 1C24TUV/00000038</t>
  </si>
  <si>
    <t>Giảm toàn bộ gốc: 1C24TUV/00000038</t>
  </si>
  <si>
    <t>00012764</t>
  </si>
  <si>
    <t>00001039</t>
  </si>
  <si>
    <t>Đảo khoản 1C25TUV/00001039; tham chiếu gốc 1C24TUV/00000039</t>
  </si>
  <si>
    <t>Giảm toàn bộ gốc: 1C24TUV/00000039</t>
  </si>
  <si>
    <t>00000798</t>
  </si>
  <si>
    <t>Đảo khoản 1C25TUV/00000798; tham chiếu gốc 1C24TUV/00000040</t>
  </si>
  <si>
    <t>Giảm toàn bộ gốc: 1C24TUV/00000040</t>
  </si>
  <si>
    <t>00001040</t>
  </si>
  <si>
    <t>Đảo khoản 1C25TUV/00001040; tham chiếu gốc 1C24TUV/00000041</t>
  </si>
  <si>
    <t>Giảm toàn bộ gốc: 1C24TUV/00000041</t>
  </si>
  <si>
    <t>00001041</t>
  </si>
  <si>
    <t>Đảo khoản 1C25TUV/00001041; tham chiếu gốc 1C24TUV/00000042</t>
  </si>
  <si>
    <t>Giảm toàn bộ gốc: 1C24TUV/00000042</t>
  </si>
  <si>
    <t>00000799</t>
  </si>
  <si>
    <t>Đảo khoản 1C25TUV/00000799; tham chiếu gốc 1C24TUV/00000043</t>
  </si>
  <si>
    <t>Giảm toàn bộ gốc: 1C24TUV/00000043</t>
  </si>
  <si>
    <t>00001042</t>
  </si>
  <si>
    <t>Đảo khoản 1C25TUV/00001042; tham chiếu gốc 1C24TUV/00000044</t>
  </si>
  <si>
    <t>Giảm toàn bộ gốc: 1C24TUV/00000044</t>
  </si>
  <si>
    <t>00001043</t>
  </si>
  <si>
    <t>Đảo khoản 1C25TUV/00001043; tham chiếu gốc 1C24TUV/00000045</t>
  </si>
  <si>
    <t>Giảm toàn bộ gốc: 1C24TUV/00000045</t>
  </si>
  <si>
    <t>00001044</t>
  </si>
  <si>
    <t>Đảo khoản 1C25TUV/00001044; tham chiếu gốc 1C24TUV/00000046</t>
  </si>
  <si>
    <t>Giảm toàn bộ gốc: 1C24TUV/00000046</t>
  </si>
  <si>
    <t>00000800</t>
  </si>
  <si>
    <t>Đảo khoản 1C25TUV/00000800; tham chiếu gốc 1C24TUV/00000047</t>
  </si>
  <si>
    <t>Giảm toàn bộ gốc: 1C24TUV/00000047</t>
  </si>
  <si>
    <t>00000801</t>
  </si>
  <si>
    <t>Đảo khoản 1C25TUV/00000801; tham chiếu gốc 1C24TUV/00000048</t>
  </si>
  <si>
    <t>Giảm toàn bộ gốc: 1C24TUV/00000048</t>
  </si>
  <si>
    <t>00001045</t>
  </si>
  <si>
    <t>Đảo khoản 1C25TUV/00001045; tham chiếu gốc 1C24TUV/00000049</t>
  </si>
  <si>
    <t>Giảm toàn bộ gốc: 1C24TUV/00000049</t>
  </si>
  <si>
    <t>00000802</t>
  </si>
  <si>
    <t>Đảo khoản 1C25TUV/00000802; tham chiếu gốc 1C24TUV/00000050</t>
  </si>
  <si>
    <t>Giảm toàn bộ gốc: 1C24TUV/00000050</t>
  </si>
  <si>
    <t>00001046</t>
  </si>
  <si>
    <t>Đảo khoản 1C25TUV/00001046; tham chiếu gốc 1C24TUV/00000051</t>
  </si>
  <si>
    <t>Giảm toàn bộ gốc: 1C24TUV/00000051</t>
  </si>
  <si>
    <t>00000803</t>
  </si>
  <si>
    <t>Đảo khoản 1C25TUV/00000803; tham chiếu gốc 1C24TUV/00000052</t>
  </si>
  <si>
    <t>Giảm toàn bộ gốc: 1C24TUV/00000052</t>
  </si>
  <si>
    <t>00001047</t>
  </si>
  <si>
    <t>Đảo khoản 1C25TUV/00001047; tham chiếu gốc 1C24TUV/00000053</t>
  </si>
  <si>
    <t>Giảm toàn bộ gốc: 1C24TUV/00000053</t>
  </si>
  <si>
    <t>00000804</t>
  </si>
  <si>
    <t>Đảo khoản 1C25TUV/00000804; tham chiếu gốc 1C24TUV/00000054</t>
  </si>
  <si>
    <t>Giảm toàn bộ gốc: 1C24TUV/00000054</t>
  </si>
  <si>
    <t>00001048</t>
  </si>
  <si>
    <t>Đảo khoản 1C25TUV/00001048; tham chiếu gốc 1C24TUV/00000055</t>
  </si>
  <si>
    <t>Giảm toàn bộ gốc: 1C24TUV/00000055</t>
  </si>
  <si>
    <t>00000805</t>
  </si>
  <si>
    <t>Đảo khoản 1C25TUV/00000805; tham chiếu gốc 1C24TUV/00000056</t>
  </si>
  <si>
    <t>Giảm toàn bộ gốc: 1C24TUV/00000056</t>
  </si>
  <si>
    <t>00000806</t>
  </si>
  <si>
    <t>Đảo khoản 1C25TUV/00000806; tham chiếu gốc 1C24TUV/00000057</t>
  </si>
  <si>
    <t>Giảm toàn bộ gốc: 1C24TUV/00000057</t>
  </si>
  <si>
    <t>00000807</t>
  </si>
  <si>
    <t>Đảo khoản 1C25TUV/00000807; tham chiếu gốc 1C24TUV/00000058</t>
  </si>
  <si>
    <t>Giảm toàn bộ gốc: 1C24TUV/00000058</t>
  </si>
  <si>
    <t>00002551</t>
  </si>
  <si>
    <t>Đảo khoản 1C25TUV/00002551; tham chiếu gốc 1C24TUV/00000059</t>
  </si>
  <si>
    <t>Giảm toàn bộ gốc: 1C24TUV/00000059</t>
  </si>
  <si>
    <t>00001049</t>
  </si>
  <si>
    <t>Đảo khoản 1C25TUV/00001049; tham chiếu gốc 1C24TUV/00000065</t>
  </si>
  <si>
    <t>Giảm toàn bộ gốc: 1C24TUV/00000065</t>
  </si>
  <si>
    <t>00001050</t>
  </si>
  <si>
    <t>Đảo khoản 1C25TUV/00001050; tham chiếu gốc 1C24TUV/00000066</t>
  </si>
  <si>
    <t>Giảm toàn bộ gốc: 1C24TUV/00000066</t>
  </si>
  <si>
    <t>00001051</t>
  </si>
  <si>
    <t>Đảo khoản 1C25TUV/00001051; tham chiếu gốc 1C24TUV/00000067</t>
  </si>
  <si>
    <t>Giảm toàn bộ gốc: 1C24TUV/00000067</t>
  </si>
  <si>
    <t>00000808</t>
  </si>
  <si>
    <t>Đảo khoản 1C25TUV/00000808; tham chiếu gốc 1C24TUV/00000068</t>
  </si>
  <si>
    <t>Giảm toàn bộ gốc: 1C24TUV/00000068</t>
  </si>
  <si>
    <t>00000809</t>
  </si>
  <si>
    <t>Đảo khoản 1C25TUV/00000809; tham chiếu gốc 1C24TUV/00000069</t>
  </si>
  <si>
    <t>Giảm toàn bộ gốc: 1C24TUV/00000069</t>
  </si>
  <si>
    <t>00001052</t>
  </si>
  <si>
    <t>Đảo khoản 1C25TUV/00001052; tham chiếu gốc 1C24TUV/00000070</t>
  </si>
  <si>
    <t>Giảm toàn bộ gốc: 1C24TUV/00000070</t>
  </si>
  <si>
    <t>00000810</t>
  </si>
  <si>
    <t>Đảo khoản 1C25TUV/00000810; tham chiếu gốc 1C24TUV/00000071</t>
  </si>
  <si>
    <t>Giảm toàn bộ gốc: 1C24TUV/00000071</t>
  </si>
  <si>
    <t>00001053</t>
  </si>
  <si>
    <t>Đảo khoản 1C25TUV/00001053; tham chiếu gốc 1C24TUV/00000072</t>
  </si>
  <si>
    <t>Giảm toàn bộ gốc: 1C24TUV/00000072</t>
  </si>
  <si>
    <t>00002317</t>
  </si>
  <si>
    <t>Đảo khoản 1C25TUV/00002317; tham chiếu gốc 1C24TUV/00000073</t>
  </si>
  <si>
    <t>Giảm toàn bộ gốc: 1C24TUV/00000073</t>
  </si>
  <si>
    <t>00000811</t>
  </si>
  <si>
    <t>Đảo khoản 1C25TUV/00000811; tham chiếu gốc 1C24TUV/00000074</t>
  </si>
  <si>
    <t>Giảm toàn bộ gốc: 1C24TUV/00000074</t>
  </si>
  <si>
    <t>00001054</t>
  </si>
  <si>
    <t>Đảo khoản 1C25TUV/00001054; tham chiếu gốc 1C24TUV/00000075</t>
  </si>
  <si>
    <t>Giảm toàn bộ gốc: 1C24TUV/00000075</t>
  </si>
  <si>
    <t>00001161</t>
  </si>
  <si>
    <t>Đảo khoản 1C25TUV/00001161; tham chiếu gốc 1C24TUV/00000076</t>
  </si>
  <si>
    <t>Giảm toàn bộ gốc: 1C24TUV/00000076</t>
  </si>
  <si>
    <t>00000186</t>
  </si>
  <si>
    <t>00002599</t>
  </si>
  <si>
    <t>Đảo khoản 1C24TUV/00000186; tham chiếu gốc 1C24TUV/00000077</t>
  </si>
  <si>
    <t>Đảo khoản 1C25TUV/00002599; tham chiếu gốc 1C24TUV/00000077</t>
  </si>
  <si>
    <t>Giảm toàn bộ gốc: 1C24TUV/00000077</t>
  </si>
  <si>
    <t>00001055</t>
  </si>
  <si>
    <t>Đảo khoản 1C25TUV/00001055; tham chiếu gốc 1C24TUV/00000079</t>
  </si>
  <si>
    <t>Giảm toàn bộ gốc: 1C24TUV/00000079</t>
  </si>
  <si>
    <t>00002318</t>
  </si>
  <si>
    <t>Đảo khoản 1C25TUV/00002318; tham chiếu gốc 1C24TUV/00000081</t>
  </si>
  <si>
    <t>Giảm toàn bộ gốc: 1C24TUV/00000081</t>
  </si>
  <si>
    <t>00001162</t>
  </si>
  <si>
    <t>Đảo khoản 1C25TUV/00001162; tham chiếu gốc 1C24TUV/00000082</t>
  </si>
  <si>
    <t>Giảm toàn bộ gốc: 1C24TUV/00000082</t>
  </si>
  <si>
    <t>00001163</t>
  </si>
  <si>
    <t>Đảo khoản 1C25TUV/00001163; tham chiếu gốc 1C24TUV/00000083</t>
  </si>
  <si>
    <t>Giảm toàn bộ gốc: 1C24TUV/00000083</t>
  </si>
  <si>
    <t>00001164</t>
  </si>
  <si>
    <t>Đảo khoản 1C25TUV/00001164; tham chiếu gốc 1C24TUV/00000084</t>
  </si>
  <si>
    <t>Giảm toàn bộ gốc: 1C24TUV/00000084</t>
  </si>
  <si>
    <t>00001165</t>
  </si>
  <si>
    <t>Đảo khoản 1C25TUV/00001165; tham chiếu gốc 1C24TUV/00000085</t>
  </si>
  <si>
    <t>Giảm toàn bộ gốc: 1C24TUV/00000085</t>
  </si>
  <si>
    <t>00001166</t>
  </si>
  <si>
    <t>Đảo khoản 1C25TUV/00001166; tham chiếu gốc 1C24TUV/00000086</t>
  </si>
  <si>
    <t>Giảm toàn bộ gốc: 1C24TUV/00000086</t>
  </si>
  <si>
    <t>00001056</t>
  </si>
  <si>
    <t>Đảo khoản 1C25TUV/00001056; tham chiếu gốc 1C24TUV/00000088</t>
  </si>
  <si>
    <t>Giảm toàn bộ gốc: 1C24TUV/00000088</t>
  </si>
  <si>
    <t>00001057</t>
  </si>
  <si>
    <t>Đảo khoản 1C25TUV/00001057; tham chiếu gốc 1C24TUV/00000090</t>
  </si>
  <si>
    <t>Giảm toàn bộ gốc: 1C24TUV/00000090</t>
  </si>
  <si>
    <t>00001147</t>
  </si>
  <si>
    <t>Đảo khoản 1C25TUV/00001147; tham chiếu gốc 1C24TUV/00000091</t>
  </si>
  <si>
    <t>Giảm toàn bộ gốc: 1C24TUV/00000091</t>
  </si>
  <si>
    <t>00001148</t>
  </si>
  <si>
    <t>Đảo khoản 1C25TUV/00001148; tham chiếu gốc 1C24TUV/00000092</t>
  </si>
  <si>
    <t>Giảm toàn bộ gốc: 1C24TUV/00000092</t>
  </si>
  <si>
    <t>00001167</t>
  </si>
  <si>
    <t>Đã chốt kế toán 11/10/2026. Đảo từng chỉ tiêu đúng số trên XML đã phát hành của mọi điều chỉnh cũ trong chuỗi, giữ nguyên độ lớn; đồng thời chuẩn bị giảm đủ chi tiết hóa đơn gốc. Số đảo giữ lệch tổng tiền đã phát hành; cần kiểm tra khả năng nhập trên phần mềm.</t>
  </si>
  <si>
    <t>Đảo điều chỉnh cũ: 1C25TUV/00001167 — STT import 1997</t>
  </si>
  <si>
    <t>Giảm hóa đơn gốc: 1C24TUV/00000093 — STT import 1998</t>
  </si>
  <si>
    <t>00001149</t>
  </si>
  <si>
    <t>Đảo khoản 1C25TUV/00001149; tham chiếu gốc 1C24TUV/00000094</t>
  </si>
  <si>
    <t>Giảm toàn bộ gốc: 1C24TUV/00000094</t>
  </si>
  <si>
    <t>00001150</t>
  </si>
  <si>
    <t>Đảo khoản 1C25TUV/00001150; tham chiếu gốc 1C24TUV/00000095</t>
  </si>
  <si>
    <t>Giảm toàn bộ gốc: 1C24TUV/00000095</t>
  </si>
  <si>
    <t>00002319</t>
  </si>
  <si>
    <t>Đảo khoản 1C25TUV/00002319; tham chiếu gốc 1C24TUV/00000096</t>
  </si>
  <si>
    <t>Giảm toàn bộ gốc: 1C24TUV/00000096</t>
  </si>
  <si>
    <t>00001168</t>
  </si>
  <si>
    <t>Đảo khoản 1C25TUV/00001168; tham chiếu gốc 1C24TUV/00000097</t>
  </si>
  <si>
    <t>Giảm toàn bộ gốc: 1C24TUV/00000097</t>
  </si>
  <si>
    <t>00001151</t>
  </si>
  <si>
    <t>Đảo khoản 1C25TUV/00001151; tham chiếu gốc 1C24TUV/00000098</t>
  </si>
  <si>
    <t>Giảm toàn bộ gốc: 1C24TUV/00000098</t>
  </si>
  <si>
    <t>00001152</t>
  </si>
  <si>
    <t>Đảo khoản 1C25TUV/00001152; tham chiếu gốc 1C24TUV/00000099</t>
  </si>
  <si>
    <t>Giảm toàn bộ gốc: 1C24TUV/00000099</t>
  </si>
  <si>
    <t>00002320</t>
  </si>
  <si>
    <t>Đảo khoản 1C25TUV/00002320; tham chiếu gốc 1C24TUV/00000100</t>
  </si>
  <si>
    <t>Giảm toàn bộ gốc: 1C24TUV/00000100</t>
  </si>
  <si>
    <t>00001153</t>
  </si>
  <si>
    <t>Đảo khoản 1C25TUV/00001153; tham chiếu gốc 1C24TUV/00000101</t>
  </si>
  <si>
    <t>Giảm toàn bộ gốc: 1C24TUV/00000101</t>
  </si>
  <si>
    <t>00001154</t>
  </si>
  <si>
    <t>Đảo khoản 1C25TUV/00001154; tham chiếu gốc 1C24TUV/00000102</t>
  </si>
  <si>
    <t>Giảm toàn bộ gốc: 1C24TUV/00000102</t>
  </si>
  <si>
    <t>00002321</t>
  </si>
  <si>
    <t>Đảo khoản 1C25TUV/00002321; tham chiếu gốc 1C24TUV/00000103</t>
  </si>
  <si>
    <t>Giảm toàn bộ gốc: 1C24TUV/00000103</t>
  </si>
  <si>
    <t>00001155</t>
  </si>
  <si>
    <t>Đảo khoản 1C25TUV/00001155; tham chiếu gốc 1C24TUV/00000105</t>
  </si>
  <si>
    <t>Giảm toàn bộ gốc: 1C24TUV/00000105</t>
  </si>
  <si>
    <t>00001156</t>
  </si>
  <si>
    <t>Đảo khoản 1C25TUV/00001156; tham chiếu gốc 1C24TUV/00000106</t>
  </si>
  <si>
    <t>Giảm toàn bộ gốc: 1C24TUV/00000106</t>
  </si>
  <si>
    <t>00001169</t>
  </si>
  <si>
    <t>Đảo khoản 1C25TUV/00001169; tham chiếu gốc 1C24TUV/00000107</t>
  </si>
  <si>
    <t>Giảm toàn bộ gốc: 1C24TUV/00000107</t>
  </si>
  <si>
    <t>00001170</t>
  </si>
  <si>
    <t>Đảo khoản 1C25TUV/00001170; tham chiếu gốc 1C24TUV/00000108</t>
  </si>
  <si>
    <t>Giảm toàn bộ gốc: 1C24TUV/00000108</t>
  </si>
  <si>
    <t>00001157</t>
  </si>
  <si>
    <t>Đảo khoản 1C25TUV/00001157; tham chiếu gốc 1C24TUV/00000109</t>
  </si>
  <si>
    <t>Giảm toàn bộ gốc: 1C24TUV/00000109</t>
  </si>
  <si>
    <t>00001171</t>
  </si>
  <si>
    <t>Đảo khoản 1C25TUV/00001171; tham chiếu gốc 1C24TUV/00000114</t>
  </si>
  <si>
    <t>Giảm toàn bộ gốc: 1C24TUV/00000114</t>
  </si>
  <si>
    <t>00001158</t>
  </si>
  <si>
    <t>Đảo khoản 1C25TUV/00001158; tham chiếu gốc 1C24TUV/00000115</t>
  </si>
  <si>
    <t>Giảm toàn bộ gốc: 1C24TUV/00000115</t>
  </si>
  <si>
    <t>00001172</t>
  </si>
  <si>
    <t>Đảo khoản 1C25TUV/00001172; tham chiếu gốc 1C24TUV/00000120</t>
  </si>
  <si>
    <t>Giảm toàn bộ gốc: 1C24TUV/00000120</t>
  </si>
  <si>
    <t>00001159</t>
  </si>
  <si>
    <t>Đảo khoản 1C25TUV/00001159; tham chiếu gốc 1C24TUV/00000121</t>
  </si>
  <si>
    <t>Giảm toàn bộ gốc: 1C24TUV/00000121</t>
  </si>
  <si>
    <t>00002552</t>
  </si>
  <si>
    <t>Đảo khoản 1C25TUV/00002552; tham chiếu gốc 1C24TUV/00000126</t>
  </si>
  <si>
    <t>Giảm toàn bộ gốc: 1C24TUV/00000126</t>
  </si>
  <si>
    <t>00001173</t>
  </si>
  <si>
    <t>Đảo khoản 1C25TUV/00001173; tham chiếu gốc 1C24TUV/00000128</t>
  </si>
  <si>
    <t>Giảm toàn bộ gốc: 1C24TUV/00000128</t>
  </si>
  <si>
    <t>00002612</t>
  </si>
  <si>
    <t>00002645</t>
  </si>
  <si>
    <t>Đảo khoản 1C25TUV/00002612; tham chiếu gốc 1C24TUV/00000129</t>
  </si>
  <si>
    <t>Đảo khoản 1C25TUV/00002645; tham chiếu gốc 1C24TUV/00000129</t>
  </si>
  <si>
    <t>Giảm toàn bộ gốc: 1C24TUV/00000129</t>
  </si>
  <si>
    <t>00001174</t>
  </si>
  <si>
    <t>Đảo khoản 1C25TUV/00001174; tham chiếu gốc 1C24TUV/00000130</t>
  </si>
  <si>
    <t>Giảm toàn bộ gốc: 1C24TUV/00000130</t>
  </si>
  <si>
    <t>00001175</t>
  </si>
  <si>
    <t>Đảo khoản 1C25TUV/00001175; tham chiếu gốc 1C24TUV/00000131</t>
  </si>
  <si>
    <t>Giảm toàn bộ gốc: 1C24TUV/00000131</t>
  </si>
  <si>
    <t>00001237</t>
  </si>
  <si>
    <t>Đảo khoản 1C25TUV/00001237; tham chiếu gốc 1C24TUV/00000133</t>
  </si>
  <si>
    <t>Giảm toàn bộ gốc: 1C24TUV/00000133</t>
  </si>
  <si>
    <t>00001238</t>
  </si>
  <si>
    <t>Đảo khoản 1C25TUV/00001238; tham chiếu gốc 1C24TUV/00000134</t>
  </si>
  <si>
    <t>Giảm toàn bộ gốc: 1C24TUV/00000134</t>
  </si>
  <si>
    <t>00001239</t>
  </si>
  <si>
    <t>Đảo khoản 1C25TUV/00001239; tham chiếu gốc 1C24TUV/00000136</t>
  </si>
  <si>
    <t>Giảm toàn bộ gốc: 1C24TUV/00000136</t>
  </si>
  <si>
    <t>00001240</t>
  </si>
  <si>
    <t>Đảo khoản 1C25TUV/00001240; tham chiếu gốc 1C24TUV/00000137</t>
  </si>
  <si>
    <t>Giảm toàn bộ gốc: 1C24TUV/00000137</t>
  </si>
  <si>
    <t>00001241</t>
  </si>
  <si>
    <t>Đảo khoản 1C25TUV/00001241; tham chiếu gốc 1C24TUV/00000138</t>
  </si>
  <si>
    <t>Giảm toàn bộ gốc: 1C24TUV/00000138</t>
  </si>
  <si>
    <t>00001242</t>
  </si>
  <si>
    <t>Đảo khoản 1C25TUV/00001242; tham chiếu gốc 1C24TUV/00000139</t>
  </si>
  <si>
    <t>Giảm toàn bộ gốc: 1C24TUV/00000139</t>
  </si>
  <si>
    <t>00001243</t>
  </si>
  <si>
    <t>Đảo khoản 1C25TUV/00001243; tham chiếu gốc 1C24TUV/00000140</t>
  </si>
  <si>
    <t>Giảm toàn bộ gốc: 1C24TUV/00000140</t>
  </si>
  <si>
    <t>00002613</t>
  </si>
  <si>
    <t>Đảo khoản 1C25TUV/00002613; tham chiếu gốc 1C24TUV/00000141</t>
  </si>
  <si>
    <t>Giảm toàn bộ gốc: 1C24TUV/00000141</t>
  </si>
  <si>
    <t>00001244</t>
  </si>
  <si>
    <t>Đảo khoản 1C25TUV/00001244; tham chiếu gốc 1C24TUV/00000142</t>
  </si>
  <si>
    <t>Giảm toàn bộ gốc: 1C24TUV/00000142</t>
  </si>
  <si>
    <t>00002614</t>
  </si>
  <si>
    <t>Đảo khoản 1C25TUV/00002614; tham chiếu gốc 1C24TUV/00000143</t>
  </si>
  <si>
    <t>Giảm toàn bộ gốc: 1C24TUV/00000143</t>
  </si>
  <si>
    <t>00001245</t>
  </si>
  <si>
    <t>Đảo khoản 1C25TUV/00001245; tham chiếu gốc 1C24TUV/00000144</t>
  </si>
  <si>
    <t>Giảm toàn bộ gốc: 1C24TUV/00000144</t>
  </si>
  <si>
    <t>00001246</t>
  </si>
  <si>
    <t>Đảo khoản 1C25TUV/00001246; tham chiếu gốc 1C24TUV/00000145</t>
  </si>
  <si>
    <t>Giảm toàn bộ gốc: 1C24TUV/00000145</t>
  </si>
  <si>
    <t>00001247</t>
  </si>
  <si>
    <t>Đảo khoản 1C25TUV/00001247; tham chiếu gốc 1C24TUV/00000146</t>
  </si>
  <si>
    <t>Giảm toàn bộ gốc: 1C24TUV/00000146</t>
  </si>
  <si>
    <t>00001248</t>
  </si>
  <si>
    <t>Đảo khoản 1C25TUV/00001248; tham chiếu gốc 1C24TUV/00000147</t>
  </si>
  <si>
    <t>Giảm toàn bộ gốc: 1C24TUV/00000147</t>
  </si>
  <si>
    <t>00001249</t>
  </si>
  <si>
    <t>Đảo khoản 1C25TUV/00001249; tham chiếu gốc 1C24TUV/00000148</t>
  </si>
  <si>
    <t>Giảm toàn bộ gốc: 1C24TUV/00000148</t>
  </si>
  <si>
    <t>00001250</t>
  </si>
  <si>
    <t>Đảo khoản 1C25TUV/00001250; tham chiếu gốc 1C24TUV/00000149</t>
  </si>
  <si>
    <t>Giảm toàn bộ gốc: 1C24TUV/00000149</t>
  </si>
  <si>
    <t>00001251</t>
  </si>
  <si>
    <t>Đảo khoản 1C25TUV/00001251; tham chiếu gốc 1C24TUV/00000150</t>
  </si>
  <si>
    <t>Giảm toàn bộ gốc: 1C24TUV/00000150</t>
  </si>
  <si>
    <t>00001252</t>
  </si>
  <si>
    <t>Đảo khoản 1C25TUV/00001252; tham chiếu gốc 1C24TUV/00000151</t>
  </si>
  <si>
    <t>Giảm toàn bộ gốc: 1C24TUV/00000151</t>
  </si>
  <si>
    <t>00001253</t>
  </si>
  <si>
    <t>Đảo khoản 1C25TUV/00001253; tham chiếu gốc 1C24TUV/00000152</t>
  </si>
  <si>
    <t>Giảm toàn bộ gốc: 1C24TUV/00000152</t>
  </si>
  <si>
    <t>00002322</t>
  </si>
  <si>
    <t>Đảo khoản 1C25TUV/00002322; tham chiếu gốc 1C24TUV/00000153</t>
  </si>
  <si>
    <t>Giảm toàn bộ gốc: 1C24TUV/00000153</t>
  </si>
  <si>
    <t>00001218</t>
  </si>
  <si>
    <t>Đảo khoản 1C25TUV/00001218; tham chiếu gốc 1C24TUV/00000154</t>
  </si>
  <si>
    <t>Giảm toàn bộ gốc: 1C24TUV/00000154</t>
  </si>
  <si>
    <t>00001219</t>
  </si>
  <si>
    <t>Đảo khoản 1C25TUV/00001219; tham chiếu gốc 1C24TUV/00000155</t>
  </si>
  <si>
    <t>Giảm toàn bộ gốc: 1C24TUV/00000155</t>
  </si>
  <si>
    <t>00001221</t>
  </si>
  <si>
    <t>Đảo khoản 1C25TUV/00001221; tham chiếu gốc 1C24TUV/00000156</t>
  </si>
  <si>
    <t>Giảm toàn bộ gốc: 1C24TUV/00000156</t>
  </si>
  <si>
    <t>00001222</t>
  </si>
  <si>
    <t>Đảo khoản 1C25TUV/00001222; tham chiếu gốc 1C24TUV/00000157</t>
  </si>
  <si>
    <t>Giảm toàn bộ gốc: 1C24TUV/00000157</t>
  </si>
  <si>
    <t>00002560</t>
  </si>
  <si>
    <t>Đảo khoản 1C25TUV/00002560; tham chiếu gốc 1C24TUV/00000158</t>
  </si>
  <si>
    <t>Giảm toàn bộ gốc: 1C24TUV/00000158</t>
  </si>
  <si>
    <t>00001254</t>
  </si>
  <si>
    <t>Đảo khoản 1C25TUV/00001254; tham chiếu gốc 1C24TUV/00000159</t>
  </si>
  <si>
    <t>Giảm toàn bộ gốc: 1C24TUV/00000159</t>
  </si>
  <si>
    <t>00001257</t>
  </si>
  <si>
    <t>Đảo khoản 1C25TUV/00001257; tham chiếu gốc 1C24TUV/00000160</t>
  </si>
  <si>
    <t>Giảm toàn bộ gốc: 1C24TUV/00000160</t>
  </si>
  <si>
    <t>00001359</t>
  </si>
  <si>
    <t>Đảo khoản 1C25TUV/00001359; tham chiếu gốc 1C24TUV/00000161</t>
  </si>
  <si>
    <t>Giảm toàn bộ gốc: 1C24TUV/00000161</t>
  </si>
  <si>
    <t>00001224</t>
  </si>
  <si>
    <t>Đảo khoản 1C25TUV/00001224; tham chiếu gốc 1C24TUV/00000165</t>
  </si>
  <si>
    <t>Giảm toàn bộ gốc: 1C24TUV/00000165</t>
  </si>
  <si>
    <t>00001225</t>
  </si>
  <si>
    <t>Đảo khoản 1C25TUV/00001225; tham chiếu gốc 1C24TUV/00000166</t>
  </si>
  <si>
    <t>Giảm toàn bộ gốc: 1C24TUV/00000166</t>
  </si>
  <si>
    <t>00002561</t>
  </si>
  <si>
    <t>Đảo khoản 1C25TUV/00002561; tham chiếu gốc 1C24TUV/00000167</t>
  </si>
  <si>
    <t>Giảm toàn bộ gốc: 1C24TUV/00000167</t>
  </si>
  <si>
    <t>00002553</t>
  </si>
  <si>
    <t>Đảo khoản 1C25TUV/00002553; tham chiếu gốc 1C24TUV/00000168</t>
  </si>
  <si>
    <t>Giảm toàn bộ gốc: 1C24TUV/00000168</t>
  </si>
  <si>
    <t>00002554</t>
  </si>
  <si>
    <t>Đảo khoản 1C25TUV/00002554; tham chiếu gốc 1C24TUV/00000171</t>
  </si>
  <si>
    <t>Giảm toàn bộ gốc: 1C24TUV/00000171</t>
  </si>
  <si>
    <t>00001360</t>
  </si>
  <si>
    <t>Đảo khoản 1C25TUV/00001360; tham chiếu gốc 1C24TUV/00000172</t>
  </si>
  <si>
    <t>Giảm toàn bộ gốc: 1C24TUV/00000172</t>
  </si>
  <si>
    <t>00001361</t>
  </si>
  <si>
    <t>Rà 237 chuỗi: F0–F3 đã cộng dồn 0. Gốc có 28 dòng chi tiết: 18 dòng thành tiền khác 0, 10 dòng bằng 0, 0 dòng thiếu thành tiền. Có chi tiết bán và dòng 0; chỉ dòng thành tiền gốc = 0 mới nhập 1 cột Hàng khuyến mãi. Cờ KM nguyên bản: 0/28 dòng có giá trị. Nguồn: Bang_ke_chi_tiet_HD_da_su_dung_2024.xls | dòng 30173–30200.; Rà điều chỉnh cũ: 1C25TUV/00001361: chỉ điều chỉnh khoản tổng, 1 dòng; SL/đơn giá đều 0 hoặc trống, không ghi lại từng hàng gốc; tiền chi tiết khác bảng tổng (Bang_ke_chi_tiet_HD_da_su_dung_2025.xls dòng 13819). Chuỗi bằng 0 ở bảng tổng không chứng minh đã giảm chi tiết hàng.</t>
  </si>
  <si>
    <t>Đảo khoản 1C25TUV/00001361; tham chiếu gốc 1C24TUV/00000173 (đã chốt theo XML)</t>
  </si>
  <si>
    <t>Giảm toàn bộ chi tiết gốc 1C24TUV/00000173 (đã chốt làm lại)</t>
  </si>
  <si>
    <t>00001226</t>
  </si>
  <si>
    <t>Đảo khoản 1C25TUV/00001226; tham chiếu gốc 1C24TUV/00000174</t>
  </si>
  <si>
    <t>Giảm toàn bộ gốc: 1C24TUV/00000174</t>
  </si>
  <si>
    <t>00001227</t>
  </si>
  <si>
    <t>Đảo khoản 1C25TUV/00001227; tham chiếu gốc 1C24TUV/00000176</t>
  </si>
  <si>
    <t>Giảm toàn bộ gốc: 1C24TUV/00000176</t>
  </si>
  <si>
    <t>00001228</t>
  </si>
  <si>
    <t>Đảo khoản 1C25TUV/00001228; tham chiếu gốc 1C24TUV/00000177</t>
  </si>
  <si>
    <t>Giảm toàn bộ gốc: 1C24TUV/00000177</t>
  </si>
  <si>
    <t>00001229</t>
  </si>
  <si>
    <t>Đảo khoản 1C25TUV/00001229; tham chiếu gốc 1C24TUV/00000178</t>
  </si>
  <si>
    <t>Giảm toàn bộ gốc: 1C24TUV/00000178</t>
  </si>
  <si>
    <t>00001230</t>
  </si>
  <si>
    <t>Đảo khoản 1C25TUV/00001230; tham chiếu gốc 1C24TUV/00000179</t>
  </si>
  <si>
    <t>Giảm toàn bộ gốc: 1C24TUV/00000179</t>
  </si>
  <si>
    <t>00001231</t>
  </si>
  <si>
    <t>Đảo khoản 1C25TUV/00001231; tham chiếu gốc 1C24TUV/00000180</t>
  </si>
  <si>
    <t>Giảm toàn bộ gốc: 1C24TUV/00000180</t>
  </si>
  <si>
    <t>00002323</t>
  </si>
  <si>
    <t>Đảo khoản 1C25TUV/00002323; tham chiếu gốc 1C24TUV/00000181</t>
  </si>
  <si>
    <t>Giảm toàn bộ gốc: 1C24TUV/00000181</t>
  </si>
  <si>
    <t>00001232</t>
  </si>
  <si>
    <t>Đảo khoản 1C25TUV/00001232; tham chiếu gốc 1C24TUV/00000182</t>
  </si>
  <si>
    <t>Giảm toàn bộ gốc: 1C24TUV/00000182</t>
  </si>
  <si>
    <t>00002600</t>
  </si>
  <si>
    <t>Đảo khoản 1C25TUV/00002600; tham chiếu gốc 1C24TUV/00000187</t>
  </si>
  <si>
    <t>Giảm toàn bộ gốc: 1C24TUV/00000187</t>
  </si>
  <si>
    <t>00002324</t>
  </si>
  <si>
    <t>Đảo khoản 1C25TUV/00002324; tham chiếu gốc 1C24TUV/00000193</t>
  </si>
  <si>
    <t>Giảm toàn bộ gốc: 1C24TUV/00000193</t>
  </si>
  <si>
    <t>00001233</t>
  </si>
  <si>
    <t>Đảo khoản 1C25TUV/00001233; tham chiếu gốc 1C24TUV/00000194</t>
  </si>
  <si>
    <t>Giảm toàn bộ gốc: 1C24TUV/00000194</t>
  </si>
  <si>
    <t>00002644</t>
  </si>
  <si>
    <t>Đảo khoản 1C25TUV/00002644; tham chiếu gốc 1C24TUV/00000195</t>
  </si>
  <si>
    <t>Giảm toàn bộ gốc: 1C24TUV/00000195</t>
  </si>
  <si>
    <t>00001362</t>
  </si>
  <si>
    <t>Đảo khoản 1C25TUV/00001362; tham chiếu gốc 1C24TUV/00000196</t>
  </si>
  <si>
    <t>Giảm toàn bộ gốc: 1C24TUV/00000196</t>
  </si>
  <si>
    <t>00001363</t>
  </si>
  <si>
    <t>Đảo khoản 1C25TUV/00001363; tham chiếu gốc 1C24TUV/00000197</t>
  </si>
  <si>
    <t>Giảm toàn bộ gốc: 1C24TUV/00000197</t>
  </si>
  <si>
    <t>00001364</t>
  </si>
  <si>
    <t>Đảo khoản 1C25TUV/00001364; tham chiếu gốc 1C24TUV/00000198</t>
  </si>
  <si>
    <t>Giảm toàn bộ gốc: 1C24TUV/00000198</t>
  </si>
  <si>
    <t>00001365</t>
  </si>
  <si>
    <t>Đảo khoản 1C25TUV/00001365; tham chiếu gốc 1C24TUV/00000199</t>
  </si>
  <si>
    <t>Giảm toàn bộ gốc: 1C24TUV/00000199</t>
  </si>
  <si>
    <t>00001366</t>
  </si>
  <si>
    <t>Đảo khoản 1C25TUV/00001366; tham chiếu gốc 1C24TUV/00000200</t>
  </si>
  <si>
    <t>Giảm toàn bộ gốc: 1C24TUV/00000200</t>
  </si>
  <si>
    <t>00001367</t>
  </si>
  <si>
    <t>Đảo khoản 1C25TUV/00001367; tham chiếu gốc 1C24TUV/00000201</t>
  </si>
  <si>
    <t>Giảm toàn bộ gốc: 1C24TUV/00000201</t>
  </si>
  <si>
    <t>00001368</t>
  </si>
  <si>
    <t>Đảo khoản 1C25TUV/00001368; tham chiếu gốc 1C24TUV/00000202</t>
  </si>
  <si>
    <t>Giảm toàn bộ gốc: 1C24TUV/00000202</t>
  </si>
  <si>
    <t>00001369</t>
  </si>
  <si>
    <t>Đảo khoản 1C25TUV/00001369; tham chiếu gốc 1C24TUV/00000203</t>
  </si>
  <si>
    <t>Giảm toàn bộ gốc: 1C24TUV/00000203</t>
  </si>
  <si>
    <t>00001533</t>
  </si>
  <si>
    <t>Đảo khoản 1C25TUV/00001533; tham chiếu gốc 1C24TUV/00000204</t>
  </si>
  <si>
    <t>Giảm toàn bộ gốc: 1C24TUV/00000204</t>
  </si>
  <si>
    <t>00001534</t>
  </si>
  <si>
    <t>Đảo khoản 1C25TUV/00001534; tham chiếu gốc 1C24TUV/00000205</t>
  </si>
  <si>
    <t>Giảm toàn bộ gốc: 1C24TUV/00000205</t>
  </si>
  <si>
    <t>00001535</t>
  </si>
  <si>
    <t>Đảo khoản 1C25TUV/00001535; tham chiếu gốc 1C24TUV/00000206</t>
  </si>
  <si>
    <t>Giảm toàn bộ gốc: 1C24TUV/00000206</t>
  </si>
  <si>
    <t>00001536</t>
  </si>
  <si>
    <t>Đảo khoản 1C25TUV/00001536; tham chiếu gốc 1C24TUV/00000207</t>
  </si>
  <si>
    <t>Giảm toàn bộ gốc: 1C24TUV/00000207</t>
  </si>
  <si>
    <t>00001537</t>
  </si>
  <si>
    <t>Đảo khoản 1C25TUV/00001537; tham chiếu gốc 1C24TUV/00000208</t>
  </si>
  <si>
    <t>Giảm toàn bộ gốc: 1C24TUV/00000208</t>
  </si>
  <si>
    <t>00001538</t>
  </si>
  <si>
    <t>Đảo khoản 1C25TUV/00001538; tham chiếu gốc 1C24TUV/00000209</t>
  </si>
  <si>
    <t>Giảm toàn bộ gốc: 1C24TUV/00000209</t>
  </si>
  <si>
    <t>00001539</t>
  </si>
  <si>
    <t>Đảo khoản 1C25TUV/00001539; tham chiếu gốc 1C24TUV/00000210</t>
  </si>
  <si>
    <t>Giảm toàn bộ gốc: 1C24TUV/00000210</t>
  </si>
  <si>
    <t>00001540</t>
  </si>
  <si>
    <t>Đảo khoản 1C25TUV/00001540; tham chiếu gốc 1C24TUV/00000211</t>
  </si>
  <si>
    <t>Giảm toàn bộ gốc: 1C24TUV/00000211</t>
  </si>
  <si>
    <t>00001234</t>
  </si>
  <si>
    <t>Đảo khoản 1C25TUV/00001234; tham chiếu gốc 1C24TUV/00000212</t>
  </si>
  <si>
    <t>Giảm toàn bộ gốc: 1C24TUV/00000212</t>
  </si>
  <si>
    <t>00001541</t>
  </si>
  <si>
    <t>Đảo khoản 1C25TUV/00001541; tham chiếu gốc 1C24TUV/00000213</t>
  </si>
  <si>
    <t>Giảm toàn bộ gốc: 1C24TUV/00000213</t>
  </si>
  <si>
    <t>00001235</t>
  </si>
  <si>
    <t>Đảo khoản 1C25TUV/00001235; tham chiếu gốc 1C24TUV/00000214</t>
  </si>
  <si>
    <t>Giảm toàn bộ gốc: 1C24TUV/00000214</t>
  </si>
  <si>
    <t>00001542</t>
  </si>
  <si>
    <t>Đảo khoản 1C25TUV/00001542; tham chiếu gốc 1C24TUV/00000215</t>
  </si>
  <si>
    <t>Giảm toàn bộ gốc: 1C24TUV/00000215</t>
  </si>
  <si>
    <t>00001236</t>
  </si>
  <si>
    <t>Đảo khoản 1C25TUV/00001236; tham chiếu gốc 1C24TUV/00000217</t>
  </si>
  <si>
    <t>Giảm toàn bộ gốc: 1C24TUV/00000217</t>
  </si>
  <si>
    <t>00002325</t>
  </si>
  <si>
    <t>Đảo khoản 1C25TUV/00002325; tham chiếu gốc 1C24TUV/00000221</t>
  </si>
  <si>
    <t>Giảm toàn bộ gốc: 1C24TUV/00000221</t>
  </si>
  <si>
    <t>00001545</t>
  </si>
  <si>
    <t>Đảo khoản 1C25TUV/00001545; tham chiếu gốc 1C24TUV/00000222</t>
  </si>
  <si>
    <t>Giảm toàn bộ gốc: 1C24TUV/00000222</t>
  </si>
  <si>
    <t>00002326</t>
  </si>
  <si>
    <t>Đảo khoản 1C25TUV/00002326; tham chiếu gốc 1C24TUV/00000223</t>
  </si>
  <si>
    <t>Giảm toàn bộ gốc: 1C24TUV/00000223</t>
  </si>
  <si>
    <t>00001546</t>
  </si>
  <si>
    <t>Đảo khoản 1C25TUV/00001546; tham chiếu gốc 1C24TUV/00000224</t>
  </si>
  <si>
    <t>Giảm toàn bộ gốc: 1C24TUV/00000224</t>
  </si>
  <si>
    <t>00002618</t>
  </si>
  <si>
    <t>Rà 237 chuỗi: F0–F3 đã cộng dồn 0. Gốc có 1 dòng chi tiết: 1 dòng thành tiền khác 0, 0 dòng bằng 0, 0 dòng thiếu thành tiền. Có chi tiết bán; không đánh dấu khuyến mãi theo quy tắc thành tiền = 0. Cờ KM nguyên bản: 0/1 dòng có giá trị. Nguồn: Bang_ke_chi_tiet_HD_da_su_dung_2024.xls | dòng 28546.; Rà điều chỉnh cũ: 1C25TUV/00002618: chỉ điều chỉnh khoản tổng, 1 dòng; SL/đơn giá đều 0 hoặc trống, không ghi lại từng hàng gốc; tiền chi tiết khác bảng tổng (Bang_ke_chi_tiet_HD_da_su_dung_2025.xls dòng 12042). Chuỗi bằng 0 ở bảng tổng không chứng minh đã giảm chi tiết hàng.</t>
  </si>
  <si>
    <t>Đảo khoản 1C25TUV/00002618; tham chiếu gốc 1C24TUV/00000225 (đã chốt theo XML)</t>
  </si>
  <si>
    <t>Giảm toàn bộ chi tiết gốc 1C24TUV/00000225 (đã chốt làm lại)</t>
  </si>
  <si>
    <t>00002327</t>
  </si>
  <si>
    <t>Đảo khoản 1C25TUV/00002327; tham chiếu gốc 1C24TUV/00000226</t>
  </si>
  <si>
    <t>Giảm toàn bộ gốc: 1C24TUV/00000226</t>
  </si>
  <si>
    <t>00001547</t>
  </si>
  <si>
    <t>Đảo khoản 1C25TUV/00001547; tham chiếu gốc 1C24TUV/00000227</t>
  </si>
  <si>
    <t>Giảm toàn bộ gốc: 1C24TUV/00000227</t>
  </si>
  <si>
    <t>00002619</t>
  </si>
  <si>
    <t>00002646</t>
  </si>
  <si>
    <t>Đảo điều chỉnh cũ: 1C25TUV/00002619 — STT import 2001</t>
  </si>
  <si>
    <t>Đảo điều chỉnh cũ: 1C25TUV/00002646 — STT import 2002</t>
  </si>
  <si>
    <t>Giảm hóa đơn gốc: 1C24TUV/00000228 — STT import 2003</t>
  </si>
  <si>
    <t>00002328</t>
  </si>
  <si>
    <t>Đảo khoản 1C25TUV/00002328; tham chiếu gốc 1C24TUV/00000229</t>
  </si>
  <si>
    <t>Giảm toàn bộ gốc: 1C24TUV/00000229</t>
  </si>
  <si>
    <t>00001548</t>
  </si>
  <si>
    <t>Đảo khoản 1C25TUV/00001548; tham chiếu gốc 1C24TUV/00000230</t>
  </si>
  <si>
    <t>Giảm toàn bộ gốc: 1C24TUV/00000230</t>
  </si>
  <si>
    <t>00001561</t>
  </si>
  <si>
    <t>Đảo khoản 1C25TUV/00001561; tham chiếu gốc 1C24TUV/00000231</t>
  </si>
  <si>
    <t>Giảm toàn bộ gốc: 1C24TUV/00000231</t>
  </si>
  <si>
    <t>00001549</t>
  </si>
  <si>
    <t>Đảo khoản 1C25TUV/00001549; tham chiếu gốc 1C24TUV/00000232</t>
  </si>
  <si>
    <t>Giảm toàn bộ gốc: 1C24TUV/00000232</t>
  </si>
  <si>
    <t>00001550</t>
  </si>
  <si>
    <t>Đảo khoản 1C25TUV/00001550; tham chiếu gốc 1C24TUV/00000233</t>
  </si>
  <si>
    <t>Giảm toàn bộ gốc: 1C24TUV/00000233</t>
  </si>
  <si>
    <t>00001552</t>
  </si>
  <si>
    <t>Đảo khoản 1C25TUV/00001552; tham chiếu gốc 1C24TUV/00000235</t>
  </si>
  <si>
    <t>Giảm toàn bộ gốc: 1C24TUV/00000235</t>
  </si>
  <si>
    <t>00001562</t>
  </si>
  <si>
    <t>Đảo khoản 1C25TUV/00001562; tham chiếu gốc 1C24TUV/00000236</t>
  </si>
  <si>
    <t>Giảm toàn bộ gốc: 1C24TUV/00000236</t>
  </si>
  <si>
    <t>00001553</t>
  </si>
  <si>
    <t>Đảo khoản 1C25TUV/00001553; tham chiếu gốc 1C24TUV/00000237</t>
  </si>
  <si>
    <t>Giảm toàn bộ gốc: 1C24TUV/00000237</t>
  </si>
  <si>
    <t>00001563</t>
  </si>
  <si>
    <t>Đảo khoản 1C25TUV/00001563; tham chiếu gốc 1C24TUV/00000238</t>
  </si>
  <si>
    <t>Giảm toàn bộ gốc: 1C24TUV/00000238</t>
  </si>
  <si>
    <t>00001554</t>
  </si>
  <si>
    <t>Đảo khoản 1C25TUV/00001554; tham chiếu gốc 1C24TUV/00000239</t>
  </si>
  <si>
    <t>Giảm toàn bộ gốc: 1C24TUV/00000239</t>
  </si>
  <si>
    <t>00001564</t>
  </si>
  <si>
    <t>Đảo khoản 1C25TUV/00001564; tham chiếu gốc 1C24TUV/00000240</t>
  </si>
  <si>
    <t>Giảm toàn bộ gốc: 1C24TUV/00000240</t>
  </si>
  <si>
    <t>00002329</t>
  </si>
  <si>
    <t>Đảo khoản 1C25TUV/00002329; tham chiếu gốc 1C24TUV/00000241</t>
  </si>
  <si>
    <t>Giảm toàn bộ gốc: 1C24TUV/00000241</t>
  </si>
  <si>
    <t>00001555</t>
  </si>
  <si>
    <t>Đảo khoản 1C25TUV/00001555; tham chiếu gốc 1C24TUV/00000246</t>
  </si>
  <si>
    <t>Giảm toàn bộ gốc: 1C24TUV/00000246</t>
  </si>
  <si>
    <t>00001565</t>
  </si>
  <si>
    <t>Đảo khoản 1C25TUV/00001565; tham chiếu gốc 1C24TUV/00000247</t>
  </si>
  <si>
    <t>Giảm toàn bộ gốc: 1C24TUV/00000247</t>
  </si>
  <si>
    <t>00001566</t>
  </si>
  <si>
    <t>Đảo khoản 1C25TUV/00001566; tham chiếu gốc 1C24TUV/00000248</t>
  </si>
  <si>
    <t>Giảm toàn bộ gốc: 1C24TUV/00000248</t>
  </si>
  <si>
    <t>00001567</t>
  </si>
  <si>
    <t>Đảo khoản 1C25TUV/00001567; tham chiếu gốc 1C24TUV/00000249</t>
  </si>
  <si>
    <t>Giảm toàn bộ gốc: 1C24TUV/00000249</t>
  </si>
  <si>
    <t>00001630</t>
  </si>
  <si>
    <t>Đảo khoản 1C25TUV/00001630; tham chiếu gốc 1C24TUV/00000250</t>
  </si>
  <si>
    <t>Giảm toàn bộ gốc: 1C24TUV/00000250</t>
  </si>
  <si>
    <t>00001631</t>
  </si>
  <si>
    <t>Đảo khoản 1C25TUV/00001631; tham chiếu gốc 1C24TUV/00000251</t>
  </si>
  <si>
    <t>Giảm toàn bộ gốc: 1C24TUV/00000251</t>
  </si>
  <si>
    <t>00001632</t>
  </si>
  <si>
    <t>Đảo khoản 1C25TUV/00001632; tham chiếu gốc 1C24TUV/00000252</t>
  </si>
  <si>
    <t>Giảm toàn bộ gốc: 1C24TUV/00000252</t>
  </si>
  <si>
    <t>00001633</t>
  </si>
  <si>
    <t>Đảo khoản 1C25TUV/00001633; tham chiếu gốc 1C24TUV/00000253</t>
  </si>
  <si>
    <t>Giảm toàn bộ gốc: 1C24TUV/00000253</t>
  </si>
  <si>
    <t>00001634</t>
  </si>
  <si>
    <t>Đảo khoản 1C25TUV/00001634; tham chiếu gốc 1C24TUV/00000254</t>
  </si>
  <si>
    <t>Giảm toàn bộ gốc: 1C24TUV/00000254</t>
  </si>
  <si>
    <t>00001717</t>
  </si>
  <si>
    <t>Đảo khoản 1C25TUV/00001717; tham chiếu gốc 1C24TUV/00000255</t>
  </si>
  <si>
    <t>Giảm toàn bộ gốc: 1C24TUV/00000255</t>
  </si>
  <si>
    <t>00001556</t>
  </si>
  <si>
    <t>Đảo khoản 1C25TUV/00001556; tham chiếu gốc 1C24TUV/00000256</t>
  </si>
  <si>
    <t>Giảm toàn bộ gốc: 1C24TUV/00000256</t>
  </si>
  <si>
    <t>00001557</t>
  </si>
  <si>
    <t>Đảo khoản 1C25TUV/00001557; tham chiếu gốc 1C24TUV/00000257</t>
  </si>
  <si>
    <t>Giảm toàn bộ gốc: 1C24TUV/00000257</t>
  </si>
  <si>
    <t>00002330</t>
  </si>
  <si>
    <t>Đảo khoản 1C25TUV/00002330; tham chiếu gốc 1C24TUV/00000258</t>
  </si>
  <si>
    <t>Giảm toàn bộ gốc: 1C24TUV/00000258</t>
  </si>
  <si>
    <t>00001718</t>
  </si>
  <si>
    <t>Đảo khoản 1C25TUV/00001718; tham chiếu gốc 1C24TUV/00000259</t>
  </si>
  <si>
    <t>Giảm toàn bộ gốc: 1C24TUV/00000259</t>
  </si>
  <si>
    <t>00001719</t>
  </si>
  <si>
    <t>Đảo khoản 1C25TUV/00001719; tham chiếu gốc 1C24TUV/00000260</t>
  </si>
  <si>
    <t>Giảm toàn bộ gốc: 1C24TUV/00000260</t>
  </si>
  <si>
    <t>00001558</t>
  </si>
  <si>
    <t>Đảo khoản 1C25TUV/00001558; tham chiếu gốc 1C24TUV/00000261</t>
  </si>
  <si>
    <t>Giảm toàn bộ gốc: 1C24TUV/00000261</t>
  </si>
  <si>
    <t>00001720</t>
  </si>
  <si>
    <t>Đảo khoản 1C25TUV/00001720; tham chiếu gốc 1C24TUV/00000262</t>
  </si>
  <si>
    <t>Giảm toàn bộ gốc: 1C24TUV/00000262</t>
  </si>
  <si>
    <t>00002555</t>
  </si>
  <si>
    <t>Đảo khoản 1C25TUV/00002555; tham chiếu gốc 1C24TUV/00000263</t>
  </si>
  <si>
    <t>Giảm toàn bộ gốc: 1C24TUV/00000263</t>
  </si>
  <si>
    <t>00001721</t>
  </si>
  <si>
    <t>Đảo khoản 1C25TUV/00001721; tham chiếu gốc 1C24TUV/00000264</t>
  </si>
  <si>
    <t>Giảm toàn bộ gốc: 1C24TUV/00000264</t>
  </si>
  <si>
    <t>00001559</t>
  </si>
  <si>
    <t>Đảo khoản 1C25TUV/00001559; tham chiếu gốc 1C24TUV/00000265</t>
  </si>
  <si>
    <t>Giảm toàn bộ gốc: 1C24TUV/00000265</t>
  </si>
  <si>
    <t>00001800</t>
  </si>
  <si>
    <t>Đảo khoản 1C25TUV/00001800; tham chiếu gốc 1C24TUV/00000269</t>
  </si>
  <si>
    <t>Giảm toàn bộ gốc: 1C24TUV/00000269</t>
  </si>
  <si>
    <t>00001810</t>
  </si>
  <si>
    <t>Rà 237 chuỗi: F0–F3 đã cộng dồn 0. Gốc có 2 dòng chi tiết: 2 dòng thành tiền khác 0, 0 dòng bằng 0, 0 dòng thiếu thành tiền. Có chi tiết bán; không đánh dấu khuyến mãi theo quy tắc thành tiền = 0. Cờ KM nguyên bản: 0/2 dòng có giá trị. Nguồn: Bang_ke_chi_tiet_HD_da_su_dung_2024.xls | dòng 27356–27357.; Rà điều chỉnh cũ: 1C25TUV/00001810: chỉ điều chỉnh khoản tổng, 1 dòng; SL/đơn giá đều 0 hoặc trống, không ghi lại từng hàng gốc; tiền chi tiết khác bảng tổng (Bang_ke_chi_tiet_HD_da_su_dung_2025.xls dòng 13175). Chuỗi bằng 0 ở bảng tổng không chứng minh đã giảm chi tiết hàng.</t>
  </si>
  <si>
    <t>Đảo khoản 1C25TUV/00001810; tham chiếu gốc 1C24TUV/00000270 (đã chốt theo XML)</t>
  </si>
  <si>
    <t>Giảm toàn bộ chi tiết gốc 1C24TUV/00000270 (đã chốt làm lại)</t>
  </si>
  <si>
    <t>00002563</t>
  </si>
  <si>
    <t>Đảo khoản 1C25TUV/00002563; tham chiếu gốc 1C24TUV/00000271</t>
  </si>
  <si>
    <t>Giảm toàn bộ gốc: 1C24TUV/00000271</t>
  </si>
  <si>
    <t>00002331</t>
  </si>
  <si>
    <t>Đảo khoản 1C25TUV/00002331; tham chiếu gốc 1C24TUV/00000272</t>
  </si>
  <si>
    <t>Giảm toàn bộ gốc: 1C24TUV/00000272</t>
  </si>
  <si>
    <t>00001801</t>
  </si>
  <si>
    <t>Đảo khoản 1C25TUV/00001801; tham chiếu gốc 1C24TUV/00000273</t>
  </si>
  <si>
    <t>Giảm toàn bộ gốc: 1C24TUV/00000273</t>
  </si>
  <si>
    <t>00002564</t>
  </si>
  <si>
    <t>Đảo khoản 1C25TUV/00002564; tham chiếu gốc 1C24TUV/00000274</t>
  </si>
  <si>
    <t>Giảm toàn bộ gốc: 1C24TUV/00000274</t>
  </si>
  <si>
    <t>00001811</t>
  </si>
  <si>
    <t>Đảo khoản 1C25TUV/00001811; tham chiếu gốc 1C24TUV/00000275</t>
  </si>
  <si>
    <t>Giảm toàn bộ gốc: 1C24TUV/00000275</t>
  </si>
  <si>
    <t>00001812</t>
  </si>
  <si>
    <t>Đảo khoản 1C25TUV/00001812; tham chiếu gốc 1C24TUV/00000276</t>
  </si>
  <si>
    <t>Giảm toàn bộ gốc: 1C24TUV/00000276</t>
  </si>
  <si>
    <t>00001813</t>
  </si>
  <si>
    <t>Đảo khoản 1C25TUV/00001813; tham chiếu gốc 1C24TUV/00000277</t>
  </si>
  <si>
    <t>Giảm toàn bộ gốc: 1C24TUV/00000277</t>
  </si>
  <si>
    <t>00001814</t>
  </si>
  <si>
    <t>Đảo khoản 1C25TUV/00001814; tham chiếu gốc 1C24TUV/00000278</t>
  </si>
  <si>
    <t>Giảm toàn bộ gốc: 1C24TUV/00000278</t>
  </si>
  <si>
    <t>00001815</t>
  </si>
  <si>
    <t>Đảo khoản 1C25TUV/00001815; tham chiếu gốc 1C24TUV/00000279</t>
  </si>
  <si>
    <t>Giảm toàn bộ gốc: 1C24TUV/00000279</t>
  </si>
  <si>
    <t>00001816</t>
  </si>
  <si>
    <t>Đảo khoản 1C25TUV/00001816; tham chiếu gốc 1C24TUV/00000280</t>
  </si>
  <si>
    <t>Giảm toàn bộ gốc: 1C24TUV/00000280</t>
  </si>
  <si>
    <t>00001817</t>
  </si>
  <si>
    <t>Đảo khoản 1C25TUV/00001817; tham chiếu gốc 1C24TUV/00000281</t>
  </si>
  <si>
    <t>Giảm toàn bộ gốc: 1C24TUV/00000281</t>
  </si>
  <si>
    <t>00001818</t>
  </si>
  <si>
    <t>Đảo khoản 1C25TUV/00001818; tham chiếu gốc 1C24TUV/00000282</t>
  </si>
  <si>
    <t>Giảm toàn bộ gốc: 1C24TUV/00000282</t>
  </si>
  <si>
    <t>00001819</t>
  </si>
  <si>
    <t>Đảo điều chỉnh cũ: 1C25TUV/00001819 — STT import 1995</t>
  </si>
  <si>
    <t>Giảm hóa đơn gốc: 1C24TUV/00000283 — STT import 1996</t>
  </si>
  <si>
    <t>00001820</t>
  </si>
  <si>
    <t>Đảo khoản 1C25TUV/00001820; tham chiếu gốc 1C24TUV/00000284</t>
  </si>
  <si>
    <t>Giảm toàn bộ gốc: 1C24TUV/00000284</t>
  </si>
  <si>
    <t>00001821</t>
  </si>
  <si>
    <t>Đảo điều chỉnh cũ: 1C25TUV/00001821 — STT import 2004</t>
  </si>
  <si>
    <t>Giảm hóa đơn gốc: 1C24TUV/00000285 — STT import 2005</t>
  </si>
  <si>
    <t>00001822</t>
  </si>
  <si>
    <t>Đảo khoản 1C25TUV/00001822; tham chiếu gốc 1C24TUV/00000286</t>
  </si>
  <si>
    <t>Giảm toàn bộ gốc: 1C24TUV/00000286</t>
  </si>
  <si>
    <t>00001823</t>
  </si>
  <si>
    <t>Đảo khoản 1C25TUV/00001823; tham chiếu gốc 1C24TUV/00000287</t>
  </si>
  <si>
    <t>Giảm toàn bộ gốc: 1C24TUV/00000287</t>
  </si>
  <si>
    <t>00001824</t>
  </si>
  <si>
    <t>Đảo khoản 1C25TUV/00001824; tham chiếu gốc 1C24TUV/00000288</t>
  </si>
  <si>
    <t>Giảm toàn bộ gốc: 1C24TUV/00000288</t>
  </si>
  <si>
    <t>00001825</t>
  </si>
  <si>
    <t>Đảo khoản 1C25TUV/00001825; tham chiếu gốc 1C24TUV/00000290</t>
  </si>
  <si>
    <t>Giảm toàn bộ gốc: 1C24TUV/00000290</t>
  </si>
  <si>
    <t>00001802</t>
  </si>
  <si>
    <t>Đảo khoản 1C25TUV/00001802; tham chiếu gốc 1C24TUV/00000291</t>
  </si>
  <si>
    <t>Giảm toàn bộ gốc: 1C24TUV/00000291</t>
  </si>
  <si>
    <t>00001826</t>
  </si>
  <si>
    <t>Đảo khoản 1C25TUV/00001826; tham chiếu gốc 1C24TUV/00000292</t>
  </si>
  <si>
    <t>Giảm toàn bộ gốc: 1C24TUV/00000292</t>
  </si>
  <si>
    <t>00001803</t>
  </si>
  <si>
    <t>Đảo khoản 1C25TUV/00001803; tham chiếu gốc 1C24TUV/00000293</t>
  </si>
  <si>
    <t>Giảm toàn bộ gốc: 1C24TUV/00000293</t>
  </si>
  <si>
    <t>00002332</t>
  </si>
  <si>
    <t>Đảo khoản 1C25TUV/00002332; tham chiếu gốc 1C24TUV/00000294</t>
  </si>
  <si>
    <t>Giảm toàn bộ gốc: 1C24TUV/00000294</t>
  </si>
  <si>
    <t>00001827</t>
  </si>
  <si>
    <t>Đảo khoản 1C25TUV/00001827; tham chiếu gốc 1C24TUV/00000295</t>
  </si>
  <si>
    <t>Giảm toàn bộ gốc: 1C24TUV/00000295</t>
  </si>
  <si>
    <t>00001804</t>
  </si>
  <si>
    <t>Đảo khoản 1C25TUV/00001804; tham chiếu gốc 1C24TUV/00000296</t>
  </si>
  <si>
    <t>Giảm toàn bộ gốc: 1C24TUV/00000296</t>
  </si>
  <si>
    <t>00001805</t>
  </si>
  <si>
    <t>Đảo khoản 1C25TUV/00001805; tham chiếu gốc 1C24TUV/00000297</t>
  </si>
  <si>
    <t>Giảm toàn bộ gốc: 1C24TUV/00000297</t>
  </si>
  <si>
    <t>00001828</t>
  </si>
  <si>
    <t>Đảo khoản 1C25TUV/00001828; tham chiếu gốc 1C24TUV/00000298</t>
  </si>
  <si>
    <t>Giảm toàn bộ gốc: 1C24TUV/00000298</t>
  </si>
  <si>
    <t>00001829</t>
  </si>
  <si>
    <t>Đảo khoản 1C25TUV/00001829; tham chiếu gốc 1C24TUV/00000299</t>
  </si>
  <si>
    <t>Giảm toàn bộ gốc: 1C24TUV/00000299</t>
  </si>
  <si>
    <t>00001830</t>
  </si>
  <si>
    <t>Đảo khoản 1C25TUV/00001830; tham chiếu gốc 1C24TUV/00000300</t>
  </si>
  <si>
    <t>Giảm toàn bộ gốc: 1C24TUV/00000300</t>
  </si>
  <si>
    <t>00001831</t>
  </si>
  <si>
    <t>Đảo khoản 1C25TUV/00001831; tham chiếu gốc 1C24TUV/00000301</t>
  </si>
  <si>
    <t>Giảm toàn bộ gốc: 1C24TUV/00000301</t>
  </si>
  <si>
    <t>00001832</t>
  </si>
  <si>
    <t>Đảo khoản 1C25TUV/00001832; tham chiếu gốc 1C24TUV/00000302</t>
  </si>
  <si>
    <t>Giảm toàn bộ gốc: 1C24TUV/00000302</t>
  </si>
  <si>
    <t>00001833</t>
  </si>
  <si>
    <t>Đảo khoản 1C25TUV/00001833; tham chiếu gốc 1C24TUV/00000303</t>
  </si>
  <si>
    <t>Giảm toàn bộ gốc: 1C24TUV/00000303</t>
  </si>
  <si>
    <t>00001834</t>
  </si>
  <si>
    <t>Đảo khoản 1C25TUV/00001834; tham chiếu gốc 1C24TUV/00000304</t>
  </si>
  <si>
    <t>Giảm toàn bộ gốc: 1C24TUV/00000304</t>
  </si>
  <si>
    <t>00001835</t>
  </si>
  <si>
    <t>Đảo khoản 1C25TUV/00001835; tham chiếu gốc 1C24TUV/00000305</t>
  </si>
  <si>
    <t>Giảm toàn bộ gốc: 1C24TUV/00000305</t>
  </si>
  <si>
    <t>00001836</t>
  </si>
  <si>
    <t>Đảo khoản 1C25TUV/00001836; tham chiếu gốc 1C24TUV/00000306</t>
  </si>
  <si>
    <t>Giảm toàn bộ gốc: 1C24TUV/00000306</t>
  </si>
  <si>
    <t>00001837</t>
  </si>
  <si>
    <t>Đảo khoản 1C25TUV/00001837; tham chiếu gốc 1C24TUV/00000307</t>
  </si>
  <si>
    <t>Giảm toàn bộ gốc: 1C24TUV/00000307</t>
  </si>
  <si>
    <t>00001806</t>
  </si>
  <si>
    <t>Đảo khoản 1C25TUV/00001806; tham chiếu gốc 1C24TUV/00000308</t>
  </si>
  <si>
    <t>Giảm toàn bộ gốc: 1C24TUV/00000308</t>
  </si>
  <si>
    <t>00001838</t>
  </si>
  <si>
    <t>Đảo khoản 1C25TUV/00001838; tham chiếu gốc 1C24TUV/00000309</t>
  </si>
  <si>
    <t>Giảm toàn bộ gốc: 1C24TUV/00000309</t>
  </si>
  <si>
    <t>00001839</t>
  </si>
  <si>
    <t>Đảo khoản 1C25TUV/00001839; tham chiếu gốc 1C24TUV/00000310</t>
  </si>
  <si>
    <t>Giảm toàn bộ gốc: 1C24TUV/00000310</t>
  </si>
  <si>
    <t>00001840</t>
  </si>
  <si>
    <t>Đảo khoản 1C25TUV/00001840; tham chiếu gốc 1C24TUV/00000312</t>
  </si>
  <si>
    <t>Giảm toàn bộ gốc: 1C24TUV/00000312</t>
  </si>
  <si>
    <t>00001841</t>
  </si>
  <si>
    <t>Đảo khoản 1C25TUV/00001841; tham chiếu gốc 1C24TUV/00000313</t>
  </si>
  <si>
    <t>Giảm toàn bộ gốc: 1C24TUV/00000313</t>
  </si>
  <si>
    <t>00001842</t>
  </si>
  <si>
    <t>Đảo khoản 1C25TUV/00001842; tham chiếu gốc 1C24TUV/00000314</t>
  </si>
  <si>
    <t>Giảm toàn bộ gốc: 1C24TUV/00000314</t>
  </si>
  <si>
    <t>00001843</t>
  </si>
  <si>
    <t>Đảo khoản 1C25TUV/00001843; tham chiếu gốc 1C24TUV/00000315</t>
  </si>
  <si>
    <t>Giảm toàn bộ gốc: 1C24TUV/00000315</t>
  </si>
  <si>
    <t>00001844</t>
  </si>
  <si>
    <t>Đảo khoản 1C25TUV/00001844; tham chiếu gốc 1C24TUV/00000316</t>
  </si>
  <si>
    <t>Giảm toàn bộ gốc: 1C24TUV/00000316</t>
  </si>
  <si>
    <t>00001845</t>
  </si>
  <si>
    <t>Đảo khoản 1C25TUV/00001845; tham chiếu gốc 1C24TUV/00000317</t>
  </si>
  <si>
    <t>Giảm toàn bộ gốc: 1C24TUV/00000317</t>
  </si>
  <si>
    <t>00001807</t>
  </si>
  <si>
    <t>Đảo khoản 1C25TUV/00001807; tham chiếu gốc 1C24TUV/00000318</t>
  </si>
  <si>
    <t>Giảm toàn bộ gốc: 1C24TUV/00000318</t>
  </si>
  <si>
    <t>00001846</t>
  </si>
  <si>
    <t>Đảo khoản 1C25TUV/00001846; tham chiếu gốc 1C24TUV/00000319</t>
  </si>
  <si>
    <t>Giảm toàn bộ gốc: 1C24TUV/00000319</t>
  </si>
  <si>
    <t>00001847</t>
  </si>
  <si>
    <t>Đảo khoản 1C25TUV/00001847; tham chiếu gốc 1C24TUV/00000320</t>
  </si>
  <si>
    <t>Giảm toàn bộ gốc: 1C24TUV/00000320</t>
  </si>
  <si>
    <t>00001848</t>
  </si>
  <si>
    <t>Đảo khoản 1C25TUV/00001848; tham chiếu gốc 1C24TUV/00000321</t>
  </si>
  <si>
    <t>Giảm toàn bộ gốc: 1C24TUV/00000321</t>
  </si>
  <si>
    <t>00001849</t>
  </si>
  <si>
    <t>Đảo khoản 1C25TUV/00001849; tham chiếu gốc 1C24TUV/00000322</t>
  </si>
  <si>
    <t>Giảm toàn bộ gốc: 1C24TUV/00000322</t>
  </si>
  <si>
    <t>00001850</t>
  </si>
  <si>
    <t>Đảo khoản 1C25TUV/00001850; tham chiếu gốc 1C24TUV/00000323</t>
  </si>
  <si>
    <t>Giảm toàn bộ gốc: 1C24TUV/00000323</t>
  </si>
  <si>
    <t>00001851</t>
  </si>
  <si>
    <t>Đảo khoản 1C25TUV/00001851; tham chiếu gốc 1C24TUV/00000324</t>
  </si>
  <si>
    <t>Giảm toàn bộ gốc: 1C24TUV/00000324</t>
  </si>
  <si>
    <t>00001852</t>
  </si>
  <si>
    <t>Đảo khoản 1C25TUV/00001852; tham chiếu gốc 1C24TUV/00000325</t>
  </si>
  <si>
    <t>Giảm toàn bộ gốc: 1C24TUV/00000325</t>
  </si>
  <si>
    <t>00001808</t>
  </si>
  <si>
    <t>Đảo khoản 1C25TUV/00001808; tham chiếu gốc 1C24TUV/00000326</t>
  </si>
  <si>
    <t>Giảm toàn bộ gốc: 1C24TUV/00000326</t>
  </si>
  <si>
    <t>00001853</t>
  </si>
  <si>
    <t>Đảo khoản 1C25TUV/00001853; tham chiếu gốc 1C24TUV/00000327</t>
  </si>
  <si>
    <t>Giảm toàn bộ gốc: 1C24TUV/00000327</t>
  </si>
  <si>
    <t>00002567</t>
  </si>
  <si>
    <t>Đảo khoản 1C25TUV/00002567; tham chiếu gốc 1C24TUV/00000328</t>
  </si>
  <si>
    <t>Giảm toàn bộ gốc: 1C24TUV/00000328</t>
  </si>
  <si>
    <t>00001854</t>
  </si>
  <si>
    <t>Đảo khoản 1C25TUV/00001854; tham chiếu gốc 1C24TUV/00000330</t>
  </si>
  <si>
    <t>Giảm toàn bộ gốc: 1C24TUV/00000330</t>
  </si>
  <si>
    <t>00001855</t>
  </si>
  <si>
    <t>Đảo khoản 1C25TUV/00001855; tham chiếu gốc 1C24TUV/00000331</t>
  </si>
  <si>
    <t>Giảm toàn bộ gốc: 1C24TUV/00000331</t>
  </si>
  <si>
    <t>00001856</t>
  </si>
  <si>
    <t>Đảo khoản 1C25TUV/00001856; tham chiếu gốc 1C24TUV/00000332</t>
  </si>
  <si>
    <t>Giảm toàn bộ gốc: 1C24TUV/00000332</t>
  </si>
  <si>
    <t>00001857</t>
  </si>
  <si>
    <t>Đảo khoản 1C25TUV/00001857; tham chiếu gốc 1C24TUV/00000333</t>
  </si>
  <si>
    <t>Giảm toàn bộ gốc: 1C24TUV/00000333</t>
  </si>
  <si>
    <t>00001858</t>
  </si>
  <si>
    <t>Đảo khoản 1C25TUV/00001858; tham chiếu gốc 1C24TUV/00000334</t>
  </si>
  <si>
    <t>Giảm toàn bộ gốc: 1C24TUV/00000334</t>
  </si>
  <si>
    <t>00001859</t>
  </si>
  <si>
    <t>Đảo khoản 1C25TUV/00001859; tham chiếu gốc 1C24TUV/00000335</t>
  </si>
  <si>
    <t>Giảm toàn bộ gốc: 1C24TUV/00000335</t>
  </si>
  <si>
    <t>00001809</t>
  </si>
  <si>
    <t>Đảo khoản 1C25TUV/00001809; tham chiếu gốc 1C24TUV/00000336</t>
  </si>
  <si>
    <t>Giảm toàn bộ gốc: 1C24TUV/00000336</t>
  </si>
  <si>
    <t>00002333</t>
  </si>
  <si>
    <t>Đảo khoản 1C25TUV/00002333; tham chiếu gốc 1C24TUV/00000337</t>
  </si>
  <si>
    <t>Giảm toàn bộ gốc: 1C24TUV/00000337</t>
  </si>
  <si>
    <t>00002034</t>
  </si>
  <si>
    <t>Đảo khoản 1C25TUV/00002034; tham chiếu gốc 1C24TUV/00000338</t>
  </si>
  <si>
    <t>Giảm toàn bộ gốc: 1C24TUV/00000338</t>
  </si>
  <si>
    <t>00002035</t>
  </si>
  <si>
    <t>Đảo khoản 1C25TUV/00002035; tham chiếu gốc 1C24TUV/00000339</t>
  </si>
  <si>
    <t>Giảm toàn bộ gốc: 1C24TUV/00000339</t>
  </si>
  <si>
    <t>00002029</t>
  </si>
  <si>
    <t>Đảo khoản 1C25TUV/00002029; tham chiếu gốc 1C24TUV/00000340</t>
  </si>
  <si>
    <t>Giảm toàn bộ gốc: 1C24TUV/00000340</t>
  </si>
  <si>
    <t>00002334</t>
  </si>
  <si>
    <t>Đảo khoản 1C25TUV/00002334; tham chiếu gốc 1C24TUV/00000341</t>
  </si>
  <si>
    <t>Giảm toàn bộ gốc: 1C24TUV/00000341</t>
  </si>
  <si>
    <t>00002036</t>
  </si>
  <si>
    <t>Đảo khoản 1C25TUV/00002036; tham chiếu gốc 1C24TUV/00000343</t>
  </si>
  <si>
    <t>Giảm toàn bộ gốc: 1C24TUV/00000343</t>
  </si>
  <si>
    <t>00002037</t>
  </si>
  <si>
    <t>Đảo khoản 1C25TUV/00002037; tham chiếu gốc 1C24TUV/00000350</t>
  </si>
  <si>
    <t>Giảm toàn bộ gốc: 1C24TUV/00000350</t>
  </si>
  <si>
    <t>00002030</t>
  </si>
  <si>
    <t>Đảo khoản 1C25TUV/00002030; tham chiếu gốc 1C24TUV/00000351</t>
  </si>
  <si>
    <t>Giảm toàn bộ gốc: 1C24TUV/00000351</t>
  </si>
  <si>
    <t>00002335</t>
  </si>
  <si>
    <t>Đảo khoản 1C25TUV/00002335; tham chiếu gốc 1C24TUV/00000352</t>
  </si>
  <si>
    <t>Giảm toàn bộ gốc: 1C24TUV/00000352</t>
  </si>
  <si>
    <t>00002031</t>
  </si>
  <si>
    <t>00002569</t>
  </si>
  <si>
    <t>Đảo khoản 1C25TUV/00002031; tham chiếu gốc 1C24TUV/00000353</t>
  </si>
  <si>
    <t>Đảo khoản 1C25TUV/00002569; tham chiếu gốc 1C24TUV/00000353</t>
  </si>
  <si>
    <t>Giảm toàn bộ gốc: 1C24TUV/00000353</t>
  </si>
  <si>
    <t>00002038</t>
  </si>
  <si>
    <t>Đảo khoản 1C25TUV/00002038; tham chiếu gốc 1C24TUV/00000354</t>
  </si>
  <si>
    <t>Giảm toàn bộ gốc: 1C24TUV/00000354</t>
  </si>
  <si>
    <t>00002039</t>
  </si>
  <si>
    <t>Đảo khoản 1C25TUV/00002039; tham chiếu gốc 1C24TUV/00000355</t>
  </si>
  <si>
    <t>Giảm toàn bộ gốc: 1C24TUV/00000355</t>
  </si>
  <si>
    <t>00002032</t>
  </si>
  <si>
    <t>Đảo khoản 1C25TUV/00002032; tham chiếu gốc 1C24TUV/00000356</t>
  </si>
  <si>
    <t>Giảm toàn bộ gốc: 1C24TUV/00000356</t>
  </si>
  <si>
    <t>00002033</t>
  </si>
  <si>
    <t>Đảo khoản 1C25TUV/00002033; tham chiếu gốc 1C24TUV/00000357</t>
  </si>
  <si>
    <t>Giảm toàn bộ gốc: 1C24TUV/00000357</t>
  </si>
  <si>
    <t>00002336</t>
  </si>
  <si>
    <t>Đảo khoản 1C25TUV/00002336; tham chiếu gốc 1C24TUV/00000358</t>
  </si>
  <si>
    <t>Giảm toàn bộ gốc: 1C24TUV/00000358</t>
  </si>
  <si>
    <t>00002040</t>
  </si>
  <si>
    <t>Đảo khoản 1C25TUV/00002040; tham chiếu gốc 1C24TUV/00000361</t>
  </si>
  <si>
    <t>Giảm toàn bộ gốc: 1C24TUV/00000361</t>
  </si>
  <si>
    <t>00002041</t>
  </si>
  <si>
    <t>Đảo khoản 1C25TUV/00002041; tham chiếu gốc 1C24TUV/00000362</t>
  </si>
  <si>
    <t>Giảm toàn bộ gốc: 1C24TUV/00000362</t>
  </si>
  <si>
    <t>00002042</t>
  </si>
  <si>
    <t>Đảo khoản 1C25TUV/00002042; tham chiếu gốc 1C24TUV/00000363</t>
  </si>
  <si>
    <t>Giảm toàn bộ gốc: 1C24TUV/00000363</t>
  </si>
  <si>
    <t>00002043</t>
  </si>
  <si>
    <t>Đảo khoản 1C25TUV/00002043; tham chiếu gốc 1C24TUV/00000364</t>
  </si>
  <si>
    <t>Giảm toàn bộ gốc: 1C24TUV/00000364</t>
  </si>
  <si>
    <t>00002044</t>
  </si>
  <si>
    <t>Đảo khoản 1C25TUV/00002044; tham chiếu gốc 1C24TUV/00000365</t>
  </si>
  <si>
    <t>Giảm toàn bộ gốc: 1C24TUV/00000365</t>
  </si>
  <si>
    <t>00002060</t>
  </si>
  <si>
    <t>Đảo khoản 1C25TUV/00002060; tham chiếu gốc 1C24TUV/00000366</t>
  </si>
  <si>
    <t>Giảm toàn bộ gốc: 1C24TUV/00000366</t>
  </si>
  <si>
    <t>00002061</t>
  </si>
  <si>
    <t>Đảo khoản 1C25TUV/00002061; tham chiếu gốc 1C24TUV/00000367</t>
  </si>
  <si>
    <t>Giảm toàn bộ gốc: 1C24TUV/00000367</t>
  </si>
  <si>
    <t>00002062</t>
  </si>
  <si>
    <t>Đảo khoản 1C25TUV/00002062; tham chiếu gốc 1C24TUV/00000368</t>
  </si>
  <si>
    <t>Giảm toàn bộ gốc: 1C24TUV/00000368</t>
  </si>
  <si>
    <t>00002045</t>
  </si>
  <si>
    <t>Đảo khoản 1C25TUV/00002045; tham chiếu gốc 1C24TUV/00000369</t>
  </si>
  <si>
    <t>Giảm toàn bộ gốc: 1C24TUV/00000369</t>
  </si>
  <si>
    <t>00002063</t>
  </si>
  <si>
    <t>Rà 237 chuỗi: F0–F3 đã cộng dồn 0. Gốc có 5 dòng chi tiết: 3 dòng thành tiền khác 0, 2 dòng bằng 0, 0 dòng thiếu thành tiền. Có chi tiết bán và dòng 0; chỉ dòng thành tiền gốc = 0 mới nhập 1 cột Hàng khuyến mãi. Cờ KM nguyên bản: 0/5 dòng có giá trị. Nguồn: Bang_ke_chi_tiet_HD_da_su_dung_2024.xls | dòng 22288–22292.; Rà điều chỉnh cũ: 1C25TUV/00002063: chỉ điều chỉnh khoản tổng, 1 dòng; SL/đơn giá đều 0 hoặc trống, không ghi lại từng hàng gốc; tiền chi tiết khác bảng tổng (Bang_ke_chi_tiet_HD_da_su_dung_2025.xls dòng 12844). Chuỗi bằng 0 ở bảng tổng không chứng minh đã giảm chi tiết hàng.</t>
  </si>
  <si>
    <t>Đảo khoản 1C25TUV/00002063; tham chiếu gốc 1C24TUV/00000370 (đã chốt theo XML)</t>
  </si>
  <si>
    <t>Giảm toàn bộ chi tiết gốc 1C24TUV/00000370 (đã chốt làm lại)</t>
  </si>
  <si>
    <t>00002337</t>
  </si>
  <si>
    <t>Đảo khoản 1C25TUV/00002337; tham chiếu gốc 1C24TUV/00000371</t>
  </si>
  <si>
    <t>Giảm toàn bộ gốc: 1C24TUV/00000371</t>
  </si>
  <si>
    <t>00002046</t>
  </si>
  <si>
    <t>Đảo khoản 1C25TUV/00002046; tham chiếu gốc 1C24TUV/00000372</t>
  </si>
  <si>
    <t>Giảm toàn bộ gốc: 1C24TUV/00000372</t>
  </si>
  <si>
    <t>00002064</t>
  </si>
  <si>
    <t>Đảo khoản 1C25TUV/00002064; tham chiếu gốc 1C24TUV/00000373</t>
  </si>
  <si>
    <t>Giảm toàn bộ gốc: 1C24TUV/00000373</t>
  </si>
  <si>
    <t>00002047</t>
  </si>
  <si>
    <t>Đảo khoản 1C25TUV/00002047; tham chiếu gốc 1C24TUV/00000374</t>
  </si>
  <si>
    <t>Giảm toàn bộ gốc: 1C24TUV/00000374</t>
  </si>
  <si>
    <t>00002048</t>
  </si>
  <si>
    <t>Đảo khoản 1C25TUV/00002048; tham chiếu gốc 1C24TUV/00000375</t>
  </si>
  <si>
    <t>Giảm toàn bộ gốc: 1C24TUV/00000375</t>
  </si>
  <si>
    <t>00002338</t>
  </si>
  <si>
    <t>Đảo khoản 1C25TUV/00002338; tham chiếu gốc 1C24TUV/00000376</t>
  </si>
  <si>
    <t>Giảm toàn bộ gốc: 1C24TUV/00000376</t>
  </si>
  <si>
    <t>00002049</t>
  </si>
  <si>
    <t>Đảo khoản 1C25TUV/00002049; tham chiếu gốc 1C24TUV/00000377</t>
  </si>
  <si>
    <t>Giảm toàn bộ gốc: 1C24TUV/00000377</t>
  </si>
  <si>
    <t>00002050</t>
  </si>
  <si>
    <t>Đảo khoản 1C25TUV/00002050; tham chiếu gốc 1C24TUV/00000381</t>
  </si>
  <si>
    <t>Giảm toàn bộ gốc: 1C24TUV/00000381</t>
  </si>
  <si>
    <t>00002051</t>
  </si>
  <si>
    <t>Đảo khoản 1C25TUV/00002051; tham chiếu gốc 1C24TUV/00000382</t>
  </si>
  <si>
    <t>Giảm toàn bộ gốc: 1C24TUV/00000382</t>
  </si>
  <si>
    <t>00002052</t>
  </si>
  <si>
    <t>Đảo khoản 1C25TUV/00002052; tham chiếu gốc 1C24TUV/00000383</t>
  </si>
  <si>
    <t>Giảm toàn bộ gốc: 1C24TUV/00000383</t>
  </si>
  <si>
    <t>00002339</t>
  </si>
  <si>
    <t>Đảo khoản 1C25TUV/00002339; tham chiếu gốc 1C24TUV/00000384</t>
  </si>
  <si>
    <t>Giảm toàn bộ gốc: 1C24TUV/00000384</t>
  </si>
  <si>
    <t>00002053</t>
  </si>
  <si>
    <t>Đảo khoản 1C25TUV/00002053; tham chiếu gốc 1C24TUV/00000385</t>
  </si>
  <si>
    <t>Giảm toàn bộ gốc: 1C24TUV/00000385</t>
  </si>
  <si>
    <t>00002065</t>
  </si>
  <si>
    <t>Đảo khoản 1C25TUV/00002065; tham chiếu gốc 1C24TUV/00000388</t>
  </si>
  <si>
    <t>Giảm toàn bộ gốc: 1C24TUV/00000388</t>
  </si>
  <si>
    <t>00002054</t>
  </si>
  <si>
    <t>Đảo khoản 1C25TUV/00002054; tham chiếu gốc 1C24TUV/00000389</t>
  </si>
  <si>
    <t>Giảm toàn bộ gốc: 1C24TUV/00000389</t>
  </si>
  <si>
    <t>00002055</t>
  </si>
  <si>
    <t>Đảo khoản 1C25TUV/00002055; tham chiếu gốc 1C24TUV/00000390</t>
  </si>
  <si>
    <t>Giảm toàn bộ gốc: 1C24TUV/00000390</t>
  </si>
  <si>
    <t>00002340</t>
  </si>
  <si>
    <t>Đảo khoản 1C25TUV/00002340; tham chiếu gốc 1C24TUV/00000391</t>
  </si>
  <si>
    <t>Giảm toàn bộ gốc: 1C24TUV/00000391</t>
  </si>
  <si>
    <t>00002066</t>
  </si>
  <si>
    <t>Đảo khoản 1C25TUV/00002066; tham chiếu gốc 1C24TUV/00000396</t>
  </si>
  <si>
    <t>Giảm toàn bộ gốc: 1C24TUV/00000396</t>
  </si>
  <si>
    <t>00002056</t>
  </si>
  <si>
    <t>Đảo khoản 1C25TUV/00002056; tham chiếu gốc 1C24TUV/00000397</t>
  </si>
  <si>
    <t>Giảm toàn bộ gốc: 1C24TUV/00000397</t>
  </si>
  <si>
    <t>00002067</t>
  </si>
  <si>
    <t>Đảo khoản 1C25TUV/00002067; tham chiếu gốc 1C24TUV/00000398</t>
  </si>
  <si>
    <t>Giảm toàn bộ gốc: 1C24TUV/00000398</t>
  </si>
  <si>
    <t>00002068</t>
  </si>
  <si>
    <t>Đảo khoản 1C25TUV/00002068; tham chiếu gốc 1C24TUV/00000399</t>
  </si>
  <si>
    <t>Giảm toàn bộ gốc: 1C24TUV/00000399</t>
  </si>
  <si>
    <t>00002069</t>
  </si>
  <si>
    <t>Đảo khoản 1C25TUV/00002069; tham chiếu gốc 1C24TUV/00000400</t>
  </si>
  <si>
    <t>Giảm toàn bộ gốc: 1C24TUV/00000400</t>
  </si>
  <si>
    <t>00002070</t>
  </si>
  <si>
    <t>Đảo khoản 1C25TUV/00002070; tham chiếu gốc 1C24TUV/00000401</t>
  </si>
  <si>
    <t>Giảm toàn bộ gốc: 1C24TUV/00000401</t>
  </si>
  <si>
    <t>00002071</t>
  </si>
  <si>
    <t>Đảo khoản 1C25TUV/00002071; tham chiếu gốc 1C24TUV/00000402</t>
  </si>
  <si>
    <t>Giảm toàn bộ gốc: 1C24TUV/00000402</t>
  </si>
  <si>
    <t>00002072</t>
  </si>
  <si>
    <t>Đảo khoản 1C25TUV/00002072; tham chiếu gốc 1C24TUV/00000403</t>
  </si>
  <si>
    <t>Giảm toàn bộ gốc: 1C24TUV/00000403</t>
  </si>
  <si>
    <t>00002073</t>
  </si>
  <si>
    <t>Đảo khoản 1C25TUV/00002073; tham chiếu gốc 1C24TUV/00000404</t>
  </si>
  <si>
    <t>Giảm toàn bộ gốc: 1C24TUV/00000404</t>
  </si>
  <si>
    <t>00002074</t>
  </si>
  <si>
    <t>Đảo khoản 1C25TUV/00002074; tham chiếu gốc 1C24TUV/00000405</t>
  </si>
  <si>
    <t>Giảm toàn bộ gốc: 1C24TUV/00000405</t>
  </si>
  <si>
    <t>00002057</t>
  </si>
  <si>
    <t>Đảo khoản 1C25TUV/00002057; tham chiếu gốc 1C24TUV/00000406</t>
  </si>
  <si>
    <t>Giảm toàn bộ gốc: 1C24TUV/00000406</t>
  </si>
  <si>
    <t>00002075</t>
  </si>
  <si>
    <t>Đảo khoản 1C25TUV/00002075; tham chiếu gốc 1C24TUV/00000407</t>
  </si>
  <si>
    <t>Giảm toàn bộ gốc: 1C24TUV/00000407</t>
  </si>
  <si>
    <t>00002076</t>
  </si>
  <si>
    <t>Đảo khoản 1C25TUV/00002076; tham chiếu gốc 1C24TUV/00000408</t>
  </si>
  <si>
    <t>Giảm toàn bộ gốc: 1C24TUV/00000408</t>
  </si>
  <si>
    <t>00002077</t>
  </si>
  <si>
    <t>Đảo khoản 1C25TUV/00002077; tham chiếu gốc 1C24TUV/00000409</t>
  </si>
  <si>
    <t>Giảm toàn bộ gốc: 1C24TUV/00000409</t>
  </si>
  <si>
    <t>00002078</t>
  </si>
  <si>
    <t>Đảo khoản 1C25TUV/00002078; tham chiếu gốc 1C24TUV/00000410</t>
  </si>
  <si>
    <t>Giảm toàn bộ gốc: 1C24TUV/00000410</t>
  </si>
  <si>
    <t>00002079</t>
  </si>
  <si>
    <t>Đảo khoản 1C25TUV/00002079; tham chiếu gốc 1C24TUV/00000411</t>
  </si>
  <si>
    <t>Giảm toàn bộ gốc: 1C24TUV/00000411</t>
  </si>
  <si>
    <t>00002080</t>
  </si>
  <si>
    <t>Đảo khoản 1C25TUV/00002080; tham chiếu gốc 1C24TUV/00000412</t>
  </si>
  <si>
    <t>Giảm toàn bộ gốc: 1C24TUV/00000412</t>
  </si>
  <si>
    <t>00002081</t>
  </si>
  <si>
    <t>Đảo khoản 1C25TUV/00002081; tham chiếu gốc 1C24TUV/00000413</t>
  </si>
  <si>
    <t>Giảm toàn bộ gốc: 1C24TUV/00000413</t>
  </si>
  <si>
    <t>00002082</t>
  </si>
  <si>
    <t>Đảo khoản 1C25TUV/00002082; tham chiếu gốc 1C24TUV/00000414</t>
  </si>
  <si>
    <t>Giảm toàn bộ gốc: 1C24TUV/00000414</t>
  </si>
  <si>
    <t>00002083</t>
  </si>
  <si>
    <t>Đảo khoản 1C25TUV/00002083; tham chiếu gốc 1C24TUV/00000415</t>
  </si>
  <si>
    <t>Giảm toàn bộ gốc: 1C24TUV/00000415</t>
  </si>
  <si>
    <t>00002084</t>
  </si>
  <si>
    <t>Đảo khoản 1C25TUV/00002084; tham chiếu gốc 1C24TUV/00000416</t>
  </si>
  <si>
    <t>Giảm toàn bộ gốc: 1C24TUV/00000416</t>
  </si>
  <si>
    <t>00002085</t>
  </si>
  <si>
    <t>Đảo khoản 1C25TUV/00002085; tham chiếu gốc 1C24TUV/00000417</t>
  </si>
  <si>
    <t>Giảm toàn bộ gốc: 1C24TUV/00000417</t>
  </si>
  <si>
    <t>00002086</t>
  </si>
  <si>
    <t>Đảo khoản 1C25TUV/00002086; tham chiếu gốc 1C24TUV/00000418</t>
  </si>
  <si>
    <t>Giảm toàn bộ gốc: 1C24TUV/00000418</t>
  </si>
  <si>
    <t>00002087</t>
  </si>
  <si>
    <t>Đảo khoản 1C25TUV/00002087; tham chiếu gốc 1C24TUV/00000419</t>
  </si>
  <si>
    <t>Giảm toàn bộ gốc: 1C24TUV/00000419</t>
  </si>
  <si>
    <t>00002088</t>
  </si>
  <si>
    <t>Đảo khoản 1C25TUV/00002088; tham chiếu gốc 1C24TUV/00000420</t>
  </si>
  <si>
    <t>Giảm toàn bộ gốc: 1C24TUV/00000420</t>
  </si>
  <si>
    <t>00002089</t>
  </si>
  <si>
    <t>Đảo khoản 1C25TUV/00002089; tham chiếu gốc 1C24TUV/00000421</t>
  </si>
  <si>
    <t>Giảm toàn bộ gốc: 1C24TUV/00000421</t>
  </si>
  <si>
    <t>00002058</t>
  </si>
  <si>
    <t>Đảo khoản 1C25TUV/00002058; tham chiếu gốc 1C24TUV/00000422</t>
  </si>
  <si>
    <t>Giảm toàn bộ gốc: 1C24TUV/00000422</t>
  </si>
  <si>
    <t>00002090</t>
  </si>
  <si>
    <t>Đảo khoản 1C25TUV/00002090; tham chiếu gốc 1C24TUV/00000423</t>
  </si>
  <si>
    <t>Giảm toàn bộ gốc: 1C24TUV/00000423</t>
  </si>
  <si>
    <t>00002091</t>
  </si>
  <si>
    <t>Đảo khoản 1C25TUV/00002091; tham chiếu gốc 1C24TUV/00000424</t>
  </si>
  <si>
    <t>Giảm toàn bộ gốc: 1C24TUV/00000424</t>
  </si>
  <si>
    <t>00002092</t>
  </si>
  <si>
    <t>Đảo khoản 1C25TUV/00002092; tham chiếu gốc 1C24TUV/00000425</t>
  </si>
  <si>
    <t>Giảm toàn bộ gốc: 1C24TUV/00000425</t>
  </si>
  <si>
    <t>00002093</t>
  </si>
  <si>
    <t>Đảo khoản 1C25TUV/00002093; tham chiếu gốc 1C24TUV/00000426</t>
  </si>
  <si>
    <t>Giảm toàn bộ gốc: 1C24TUV/00000426</t>
  </si>
  <si>
    <t>00002094</t>
  </si>
  <si>
    <t>Đảo khoản 1C25TUV/00002094; tham chiếu gốc 1C24TUV/00000427</t>
  </si>
  <si>
    <t>Giảm toàn bộ gốc: 1C24TUV/00000427</t>
  </si>
  <si>
    <t>00002095</t>
  </si>
  <si>
    <t>Đảo khoản 1C25TUV/00002095; tham chiếu gốc 1C24TUV/00000428</t>
  </si>
  <si>
    <t>Giảm toàn bộ gốc: 1C24TUV/00000428</t>
  </si>
  <si>
    <t>00002059</t>
  </si>
  <si>
    <t>Đảo khoản 1C25TUV/00002059; tham chiếu gốc 1C24TUV/00000429</t>
  </si>
  <si>
    <t>Giảm toàn bộ gốc: 1C24TUV/00000429</t>
  </si>
  <si>
    <t>00002341</t>
  </si>
  <si>
    <t>Đảo khoản 1C25TUV/00002341; tham chiếu gốc 1C24TUV/00000430</t>
  </si>
  <si>
    <t>Giảm toàn bộ gốc: 1C24TUV/00000430</t>
  </si>
  <si>
    <t>00002096</t>
  </si>
  <si>
    <t>Đảo khoản 1C25TUV/00002096; tham chiếu gốc 1C24TUV/00000432</t>
  </si>
  <si>
    <t>Giảm toàn bộ gốc: 1C24TUV/00000432</t>
  </si>
  <si>
    <t>00002097</t>
  </si>
  <si>
    <t>Đảo khoản 1C25TUV/00002097; tham chiếu gốc 1C24TUV/00000433</t>
  </si>
  <si>
    <t>Giảm toàn bộ gốc: 1C24TUV/00000433</t>
  </si>
  <si>
    <t>00002098</t>
  </si>
  <si>
    <t>Đảo khoản 1C25TUV/00002098; tham chiếu gốc 1C24TUV/00000434</t>
  </si>
  <si>
    <t>Giảm toàn bộ gốc: 1C24TUV/00000434</t>
  </si>
  <si>
    <t>00002099</t>
  </si>
  <si>
    <t>Đảo khoản 1C25TUV/00002099; tham chiếu gốc 1C24TUV/00000435</t>
  </si>
  <si>
    <t>Giảm toàn bộ gốc: 1C24TUV/00000435</t>
  </si>
  <si>
    <t>00002100</t>
  </si>
  <si>
    <t>Đảo khoản 1C25TUV/00002100; tham chiếu gốc 1C24TUV/00000436</t>
  </si>
  <si>
    <t>Giảm toàn bộ gốc: 1C24TUV/00000436</t>
  </si>
  <si>
    <t>00002101</t>
  </si>
  <si>
    <t>Đảo khoản 1C25TUV/00002101; tham chiếu gốc 1C24TUV/00000437</t>
  </si>
  <si>
    <t>Giảm toàn bộ gốc: 1C24TUV/00000437</t>
  </si>
  <si>
    <t>00002113</t>
  </si>
  <si>
    <t>Đảo khoản 1C25TUV/00002113; tham chiếu gốc 1C24TUV/00000438</t>
  </si>
  <si>
    <t>Giảm toàn bộ gốc: 1C24TUV/00000438</t>
  </si>
  <si>
    <t>00002114</t>
  </si>
  <si>
    <t>Đảo khoản 1C25TUV/00002114; tham chiếu gốc 1C24TUV/00000439</t>
  </si>
  <si>
    <t>Giảm toàn bộ gốc: 1C24TUV/00000439</t>
  </si>
  <si>
    <t>00002115</t>
  </si>
  <si>
    <t>Đảo khoản 1C25TUV/00002115; tham chiếu gốc 1C24TUV/00000440</t>
  </si>
  <si>
    <t>Giảm toàn bộ gốc: 1C24TUV/00000440</t>
  </si>
  <si>
    <t>00002116</t>
  </si>
  <si>
    <t>Đảo khoản 1C25TUV/00002116; tham chiếu gốc 1C24TUV/00000441</t>
  </si>
  <si>
    <t>Giảm toàn bộ gốc: 1C24TUV/00000441</t>
  </si>
  <si>
    <t>00002624</t>
  </si>
  <si>
    <t>Đảo khoản 1C25TUV/00002624; tham chiếu gốc 1C24TUV/00000442</t>
  </si>
  <si>
    <t>Giảm toàn bộ gốc: 1C24TUV/00000442</t>
  </si>
  <si>
    <t>00002102</t>
  </si>
  <si>
    <t>Đảo khoản 1C25TUV/00002102; tham chiếu gốc 1C24TUV/00000443</t>
  </si>
  <si>
    <t>Giảm toàn bộ gốc: 1C24TUV/00000443</t>
  </si>
  <si>
    <t>00002342</t>
  </si>
  <si>
    <t>Đảo khoản 1C25TUV/00002342; tham chiếu gốc 1C24TUV/00000444</t>
  </si>
  <si>
    <t>Giảm toàn bộ gốc: 1C24TUV/00000444</t>
  </si>
  <si>
    <t>00002117</t>
  </si>
  <si>
    <t>Đảo khoản 1C25TUV/00002117; tham chiếu gốc 1C24TUV/00000445</t>
  </si>
  <si>
    <t>Giảm toàn bộ gốc: 1C24TUV/00000445</t>
  </si>
  <si>
    <t>00002118</t>
  </si>
  <si>
    <t>Đảo khoản 1C25TUV/00002118; tham chiếu gốc 1C24TUV/00000446</t>
  </si>
  <si>
    <t>Giảm toàn bộ gốc: 1C24TUV/00000446</t>
  </si>
  <si>
    <t>00002119</t>
  </si>
  <si>
    <t>Đảo khoản 1C25TUV/00002119; tham chiếu gốc 1C24TUV/00000447</t>
  </si>
  <si>
    <t>Giảm toàn bộ gốc: 1C24TUV/00000447</t>
  </si>
  <si>
    <t>00002103</t>
  </si>
  <si>
    <t>Đảo khoản 1C25TUV/00002103; tham chiếu gốc 1C24TUV/00000448</t>
  </si>
  <si>
    <t>Giảm toàn bộ gốc: 1C24TUV/00000448</t>
  </si>
  <si>
    <t>00002104</t>
  </si>
  <si>
    <t>Đảo khoản 1C25TUV/00002104; tham chiếu gốc 1C24TUV/00000449</t>
  </si>
  <si>
    <t>Giảm toàn bộ gốc: 1C24TUV/00000449</t>
  </si>
  <si>
    <t>00002105</t>
  </si>
  <si>
    <t>Đảo khoản 1C25TUV/00002105; tham chiếu gốc 1C24TUV/00000455</t>
  </si>
  <si>
    <t>Giảm toàn bộ gốc: 1C24TUV/00000455</t>
  </si>
  <si>
    <t>00002343</t>
  </si>
  <si>
    <t>Đảo khoản 1C25TUV/00002343; tham chiếu gốc 1C24TUV/00000456</t>
  </si>
  <si>
    <t>Giảm toàn bộ gốc: 1C24TUV/00000456</t>
  </si>
  <si>
    <t>00002106</t>
  </si>
  <si>
    <t>Đảo khoản 1C25TUV/00002106; tham chiếu gốc 1C24TUV/00000462</t>
  </si>
  <si>
    <t>Giảm toàn bộ gốc: 1C24TUV/00000462</t>
  </si>
  <si>
    <t>00002107</t>
  </si>
  <si>
    <t>Đảo khoản 1C25TUV/00002107; tham chiếu gốc 1C24TUV/00000465</t>
  </si>
  <si>
    <t>Giảm toàn bộ gốc: 1C24TUV/00000465</t>
  </si>
  <si>
    <t>00002344</t>
  </si>
  <si>
    <t>Đảo khoản 1C25TUV/00002344; tham chiếu gốc 1C24TUV/00000466</t>
  </si>
  <si>
    <t>Giảm toàn bộ gốc: 1C24TUV/00000466</t>
  </si>
  <si>
    <t>00002120</t>
  </si>
  <si>
    <t>Rà 237 chuỗi: F0–F3 đã cộng dồn 0. Gốc có 10 dòng chi tiết: 8 dòng thành tiền khác 0, 2 dòng bằng 0, 0 dòng thiếu thành tiền. Có chi tiết bán và dòng 0; chỉ dòng thành tiền gốc = 0 mới nhập 1 cột Hàng khuyến mãi. Cờ KM nguyên bản: 0/10 dòng có giá trị. Nguồn: Bang_ke_chi_tiet_HD_da_su_dung_2024.xls | dòng 17290–17299.; Rà điều chỉnh cũ: 1C25TUV/00002120: chỉ điều chỉnh khoản tổng, 1 dòng; SL/đơn giá đều 0 hoặc trống, không ghi lại từng hàng gốc; tiền chi tiết khác bảng tổng (Bang_ke_chi_tiet_HD_da_su_dung_2025.xls dòng 12787). Chuỗi bằng 0 ở bảng tổng không chứng minh đã giảm chi tiết hàng.</t>
  </si>
  <si>
    <t>Đảo khoản 1C25TUV/00002120; tham chiếu gốc 1C24TUV/00000467 (đã chốt theo XML)</t>
  </si>
  <si>
    <t>Giảm toàn bộ chi tiết gốc 1C24TUV/00000467 (đã chốt làm lại)</t>
  </si>
  <si>
    <t>00002108</t>
  </si>
  <si>
    <t>Đảo khoản 1C25TUV/00002108; tham chiếu gốc 1C24TUV/00000468</t>
  </si>
  <si>
    <t>Giảm toàn bộ gốc: 1C24TUV/00000468</t>
  </si>
  <si>
    <t>00002121</t>
  </si>
  <si>
    <t>Đảo khoản 1C25TUV/00002121; tham chiếu gốc 1C24TUV/00000472</t>
  </si>
  <si>
    <t>Giảm toàn bộ gốc: 1C24TUV/00000472</t>
  </si>
  <si>
    <t>00002122</t>
  </si>
  <si>
    <t>Đảo khoản 1C25TUV/00002122; tham chiếu gốc 1C24TUV/00000473</t>
  </si>
  <si>
    <t>Giảm toàn bộ gốc: 1C24TUV/00000473</t>
  </si>
  <si>
    <t>00002109</t>
  </si>
  <si>
    <t>Đảo khoản 1C25TUV/00002109; tham chiếu gốc 1C24TUV/00000474</t>
  </si>
  <si>
    <t>Giảm toàn bộ gốc: 1C24TUV/00000474</t>
  </si>
  <si>
    <t>00002110</t>
  </si>
  <si>
    <t>Đảo khoản 1C25TUV/00002110; tham chiếu gốc 1C24TUV/00000475</t>
  </si>
  <si>
    <t>Giảm toàn bộ gốc: 1C24TUV/00000475</t>
  </si>
  <si>
    <t>00002111</t>
  </si>
  <si>
    <t>Đảo khoản 1C25TUV/00002111; tham chiếu gốc 1C24TUV/00000476</t>
  </si>
  <si>
    <t>Giảm toàn bộ gốc: 1C24TUV/00000476</t>
  </si>
  <si>
    <t>00002345</t>
  </si>
  <si>
    <t>Đảo khoản 1C25TUV/00002345; tham chiếu gốc 1C24TUV/00000477</t>
  </si>
  <si>
    <t>Giảm toàn bộ gốc: 1C24TUV/00000477</t>
  </si>
  <si>
    <t>00002123</t>
  </si>
  <si>
    <t>Đảo khoản 1C25TUV/00002123; tham chiếu gốc 1C24TUV/00000480</t>
  </si>
  <si>
    <t>Giảm toàn bộ gốc: 1C24TUV/00000480</t>
  </si>
  <si>
    <t>00002124</t>
  </si>
  <si>
    <t>Đảo khoản 1C25TUV/00002124; tham chiếu gốc 1C24TUV/00000481</t>
  </si>
  <si>
    <t>Giảm toàn bộ gốc: 1C24TUV/00000481</t>
  </si>
  <si>
    <t>00002125</t>
  </si>
  <si>
    <t>Đảo khoản 1C25TUV/00002125; tham chiếu gốc 1C24TUV/00000482</t>
  </si>
  <si>
    <t>Giảm toàn bộ gốc: 1C24TUV/00000482</t>
  </si>
  <si>
    <t>00002126</t>
  </si>
  <si>
    <t>Đảo khoản 1C25TUV/00002126; tham chiếu gốc 1C24TUV/00000483</t>
  </si>
  <si>
    <t>Giảm toàn bộ gốc: 1C24TUV/00000483</t>
  </si>
  <si>
    <t>00002127</t>
  </si>
  <si>
    <t>Đảo khoản 1C25TUV/00002127; tham chiếu gốc 1C24TUV/00000484</t>
  </si>
  <si>
    <t>Giảm toàn bộ gốc: 1C24TUV/00000484</t>
  </si>
  <si>
    <t>00002128</t>
  </si>
  <si>
    <t>Đảo khoản 1C25TUV/00002128; tham chiếu gốc 1C24TUV/00000485</t>
  </si>
  <si>
    <t>Giảm toàn bộ gốc: 1C24TUV/00000485</t>
  </si>
  <si>
    <t>00002129</t>
  </si>
  <si>
    <t>Đảo khoản 1C25TUV/00002129; tham chiếu gốc 1C24TUV/00000486</t>
  </si>
  <si>
    <t>Giảm toàn bộ gốc: 1C24TUV/00000486</t>
  </si>
  <si>
    <t>00002130</t>
  </si>
  <si>
    <t>Đảo khoản 1C25TUV/00002130; tham chiếu gốc 1C24TUV/00000487</t>
  </si>
  <si>
    <t>Giảm toàn bộ gốc: 1C24TUV/00000487</t>
  </si>
  <si>
    <t>00002131</t>
  </si>
  <si>
    <t>Đảo khoản 1C25TUV/00002131; tham chiếu gốc 1C24TUV/00000488</t>
  </si>
  <si>
    <t>Giảm toàn bộ gốc: 1C24TUV/00000488</t>
  </si>
  <si>
    <t>00002132</t>
  </si>
  <si>
    <t>Đảo khoản 1C25TUV/00002132; tham chiếu gốc 1C24TUV/00000489</t>
  </si>
  <si>
    <t>Giảm toàn bộ gốc: 1C24TUV/00000489</t>
  </si>
  <si>
    <t>00002133</t>
  </si>
  <si>
    <t>Đảo khoản 1C25TUV/00002133; tham chiếu gốc 1C24TUV/00000490</t>
  </si>
  <si>
    <t>Giảm toàn bộ gốc: 1C24TUV/00000490</t>
  </si>
  <si>
    <t>00002134</t>
  </si>
  <si>
    <t>Đảo khoản 1C25TUV/00002134; tham chiếu gốc 1C24TUV/00000491</t>
  </si>
  <si>
    <t>Giảm toàn bộ gốc: 1C24TUV/00000491</t>
  </si>
  <si>
    <t>00002135</t>
  </si>
  <si>
    <t>Đảo khoản 1C25TUV/00002135; tham chiếu gốc 1C24TUV/00000492</t>
  </si>
  <si>
    <t>Giảm toàn bộ gốc: 1C24TUV/00000492</t>
  </si>
  <si>
    <t>00002136</t>
  </si>
  <si>
    <t>Đảo khoản 1C25TUV/00002136; tham chiếu gốc 1C24TUV/00000493</t>
  </si>
  <si>
    <t>Giảm toàn bộ gốc: 1C24TUV/00000493</t>
  </si>
  <si>
    <t>00002137</t>
  </si>
  <si>
    <t>Đảo khoản 1C25TUV/00002137; tham chiếu gốc 1C24TUV/00000494</t>
  </si>
  <si>
    <t>Giảm toàn bộ gốc: 1C24TUV/00000494</t>
  </si>
  <si>
    <t>00002138</t>
  </si>
  <si>
    <t>Đảo khoản 1C25TUV/00002138; tham chiếu gốc 1C24TUV/00000495</t>
  </si>
  <si>
    <t>Giảm toàn bộ gốc: 1C24TUV/00000495</t>
  </si>
  <si>
    <t>00002112</t>
  </si>
  <si>
    <t>Đảo khoản 1C25TUV/00002112; tham chiếu gốc 1C24TUV/00000496</t>
  </si>
  <si>
    <t>Giảm toàn bộ gốc: 1C24TUV/00000496</t>
  </si>
  <si>
    <t>00002139</t>
  </si>
  <si>
    <t>Đảo khoản 1C25TUV/00002139; tham chiếu gốc 1C24TUV/00000497</t>
  </si>
  <si>
    <t>Giảm toàn bộ gốc: 1C24TUV/00000497</t>
  </si>
  <si>
    <t>00002140</t>
  </si>
  <si>
    <t>Đã bổ sung theo chốt 19/10/2026; Giảm số lượng gốc, giữ đơn giá dương: 1C24TUV/00000498, STT 2035; Đảo khoản điều chỉnh cũ; chỉ đảo thành tiền, nguồn không có số lượng/đơn giá: 1C25TUV/00002140, STT 2036.</t>
  </si>
  <si>
    <t>Giảm số lượng gốc, giữ đơn giá dương: 1C24TUV/00000498 — STT import 2035</t>
  </si>
  <si>
    <t>Đảo khoản điều chỉnh cũ; chỉ đảo thành tiền, nguồn không có số lượng/đơn giá: 1C25TUV/00002140 — STT import 2036</t>
  </si>
  <si>
    <t>00002346</t>
  </si>
  <si>
    <t>Đảo khoản 1C25TUV/00002346; tham chiếu gốc 1C24TUV/00000499</t>
  </si>
  <si>
    <t>Giảm toàn bộ gốc: 1C24TUV/00000499</t>
  </si>
  <si>
    <t>00002151</t>
  </si>
  <si>
    <t>Đảo khoản 1C25TUV/00002151; tham chiếu gốc 1C24TUV/00000500</t>
  </si>
  <si>
    <t>Giảm toàn bộ gốc: 1C24TUV/00000500</t>
  </si>
  <si>
    <t>00002152</t>
  </si>
  <si>
    <t>Đảo khoản 1C25TUV/00002152; tham chiếu gốc 1C24TUV/00000502</t>
  </si>
  <si>
    <t>Giảm toàn bộ gốc: 1C24TUV/00000502</t>
  </si>
  <si>
    <t>00002141</t>
  </si>
  <si>
    <t>Đảo khoản 1C25TUV/00002141; tham chiếu gốc 1C24TUV/00000503</t>
  </si>
  <si>
    <t>Giảm toàn bộ gốc: 1C24TUV/00000503</t>
  </si>
  <si>
    <t>00002153</t>
  </si>
  <si>
    <t>Đảo khoản 1C25TUV/00002153; tham chiếu gốc 1C24TUV/00000504</t>
  </si>
  <si>
    <t>Giảm toàn bộ gốc: 1C24TUV/00000504</t>
  </si>
  <si>
    <t>00002154</t>
  </si>
  <si>
    <t>Đảo khoản 1C25TUV/00002154; tham chiếu gốc 1C24TUV/00000505</t>
  </si>
  <si>
    <t>Giảm toàn bộ gốc: 1C24TUV/00000505</t>
  </si>
  <si>
    <t>00002155</t>
  </si>
  <si>
    <t>Đảo khoản 1C25TUV/00002155; tham chiếu gốc 1C24TUV/00000506</t>
  </si>
  <si>
    <t>Giảm toàn bộ gốc: 1C24TUV/00000506</t>
  </si>
  <si>
    <t>00002156</t>
  </si>
  <si>
    <t>Đảo khoản 1C25TUV/00002156; tham chiếu gốc 1C24TUV/00000507</t>
  </si>
  <si>
    <t>Giảm toàn bộ gốc: 1C24TUV/00000507</t>
  </si>
  <si>
    <t>00002142</t>
  </si>
  <si>
    <t>Đảo khoản 1C25TUV/00002142; tham chiếu gốc 1C24TUV/00000508</t>
  </si>
  <si>
    <t>Giảm toàn bộ gốc: 1C24TUV/00000508</t>
  </si>
  <si>
    <t>00002157</t>
  </si>
  <si>
    <t>Rà 237 chuỗi: F0–F3 đã cộng dồn 0. Gốc có 1 dòng chi tiết: 1 dòng thành tiền khác 0, 0 dòng bằng 0, 0 dòng thiếu thành tiền. Có chi tiết bán; không đánh dấu khuyến mãi theo quy tắc thành tiền = 0. Cờ KM nguyên bản: 0/1 dòng có giá trị. Nguồn: Bang_ke_chi_tiet_HD_da_su_dung_2024.xls | dòng 13335.; Rà điều chỉnh cũ: 1C25TUV/00002157: chỉ điều chỉnh khoản tổng, 1 dòng; SL/đơn giá đều 0 hoặc trống, không ghi lại từng hàng gốc; tiền chi tiết khác bảng tổng (Bang_ke_chi_tiet_HD_da_su_dung_2025.xls dòng 12750). Chuỗi bằng 0 ở bảng tổng không chứng minh đã giảm chi tiết hàng.</t>
  </si>
  <si>
    <t>Đảo khoản 1C25TUV/00002157; tham chiếu gốc 1C24TUV/00000512 (đã chốt theo XML)</t>
  </si>
  <si>
    <t>Giảm toàn bộ chi tiết gốc 1C24TUV/00000512 (đã chốt làm lại)</t>
  </si>
  <si>
    <t>00002143</t>
  </si>
  <si>
    <t>Đảo khoản 1C25TUV/00002143; tham chiếu gốc 1C24TUV/00000513</t>
  </si>
  <si>
    <t>Giảm toàn bộ gốc: 1C24TUV/00000513</t>
  </si>
  <si>
    <t>00002585</t>
  </si>
  <si>
    <t>Đảo khoản 1C25TUV/00002585; tham chiếu gốc 1C24TUV/00000519</t>
  </si>
  <si>
    <t>Giảm toàn bộ gốc: 1C24TUV/00000519</t>
  </si>
  <si>
    <t>00002144</t>
  </si>
  <si>
    <t>Đảo khoản 1C25TUV/00002144; tham chiếu gốc 1C24TUV/00000520</t>
  </si>
  <si>
    <t>Giảm toàn bộ gốc: 1C24TUV/00000520</t>
  </si>
  <si>
    <t>00002158</t>
  </si>
  <si>
    <t>Rà 237 chuỗi: F0–F3 đã cộng dồn 0. Gốc có 2 dòng chi tiết: 2 dòng thành tiền khác 0, 0 dòng bằng 0, 0 dòng thiếu thành tiền. Có chi tiết bán; không đánh dấu khuyến mãi theo quy tắc thành tiền = 0. Cờ KM nguyên bản: 0/2 dòng có giá trị. Nguồn: Bang_ke_chi_tiet_HD_da_su_dung_2024.xls | dòng 12962–12963.; Rà điều chỉnh cũ: 1C25TUV/00002158: chỉ điều chỉnh khoản tổng, 1 dòng; SL/đơn giá đều 0 hoặc trống, không ghi lại từng hàng gốc; tiền chi tiết khác bảng tổng (Bang_ke_chi_tiet_HD_da_su_dung_2025.xls dòng 12749). Chuỗi bằng 0 ở bảng tổng không chứng minh đã giảm chi tiết hàng.</t>
  </si>
  <si>
    <t>Đảo khoản 1C25TUV/00002158; tham chiếu gốc 1C24TUV/00000521 (đã chốt theo XML)</t>
  </si>
  <si>
    <t>Giảm toàn bộ chi tiết gốc 1C24TUV/00000521 (đã chốt làm lại)</t>
  </si>
  <si>
    <t>00002557</t>
  </si>
  <si>
    <t>Đảo khoản 1C25TUV/00002557; tham chiếu gốc 1C24TUV/00000522</t>
  </si>
  <si>
    <t>Giảm toàn bộ gốc: 1C24TUV/00000522</t>
  </si>
  <si>
    <t>00002159</t>
  </si>
  <si>
    <t>Đảo khoản 1C25TUV/00002159; tham chiếu gốc 1C24TUV/00000525</t>
  </si>
  <si>
    <t>Giảm toàn bộ gốc: 1C24TUV/00000525</t>
  </si>
  <si>
    <t>00002160</t>
  </si>
  <si>
    <t>Đảo khoản 1C25TUV/00002160; tham chiếu gốc 1C24TUV/00000532</t>
  </si>
  <si>
    <t>Giảm toàn bộ gốc: 1C24TUV/00000532</t>
  </si>
  <si>
    <t>00002347</t>
  </si>
  <si>
    <t>Đảo khoản 1C25TUV/00002347; tham chiếu gốc 1C24TUV/00000533</t>
  </si>
  <si>
    <t>Giảm toàn bộ gốc: 1C24TUV/00000533</t>
  </si>
  <si>
    <t>00002145</t>
  </si>
  <si>
    <t>Đảo điều chỉnh cũ: 1C25TUV/00002145 — STT import 1999</t>
  </si>
  <si>
    <t>Giảm hóa đơn gốc: 1C24TUV/00000535 — STT import 2000</t>
  </si>
  <si>
    <t>00002146</t>
  </si>
  <si>
    <t>Đảo khoản 1C25TUV/00002146; tham chiếu gốc 1C24TUV/00000536</t>
  </si>
  <si>
    <t>Giảm toàn bộ gốc: 1C24TUV/00000536</t>
  </si>
  <si>
    <t>00002147</t>
  </si>
  <si>
    <t>Đảo khoản 1C25TUV/00002147; tham chiếu gốc 1C24TUV/00000537</t>
  </si>
  <si>
    <t>Giảm toàn bộ gốc: 1C24TUV/00000537</t>
  </si>
  <si>
    <t>00002161</t>
  </si>
  <si>
    <t>Đảo khoản 1C25TUV/00002161; tham chiếu gốc 1C24TUV/00000543</t>
  </si>
  <si>
    <t>Giảm toàn bộ gốc: 1C24TUV/00000543</t>
  </si>
  <si>
    <t>00002162</t>
  </si>
  <si>
    <t>00002163</t>
  </si>
  <si>
    <t>Đảo khoản 1C25TUV/00002162; tham chiếu gốc 1C24TUV/00000544</t>
  </si>
  <si>
    <t>Đảo khoản 1C25TUV/00002163; tham chiếu gốc 1C24TUV/00000544</t>
  </si>
  <si>
    <t>Giảm toàn bộ gốc: 1C24TUV/00000544</t>
  </si>
  <si>
    <t>00002164</t>
  </si>
  <si>
    <t>Đảo khoản 1C25TUV/00002164; tham chiếu gốc 1C24TUV/00000545</t>
  </si>
  <si>
    <t>Giảm toàn bộ gốc: 1C24TUV/00000545</t>
  </si>
  <si>
    <t>00002148</t>
  </si>
  <si>
    <t>Đảo khoản 1C25TUV/00002148; tham chiếu gốc 1C24TUV/00000546</t>
  </si>
  <si>
    <t>Giảm toàn bộ gốc: 1C24TUV/00000546</t>
  </si>
  <si>
    <t>00002165</t>
  </si>
  <si>
    <t>Đảo khoản 1C25TUV/00002165; tham chiếu gốc 1C24TUV/00000547</t>
  </si>
  <si>
    <t>Giảm toàn bộ gốc: 1C24TUV/00000547</t>
  </si>
  <si>
    <t>00002166</t>
  </si>
  <si>
    <t>Đảo khoản 1C25TUV/00002166; tham chiếu gốc 1C24TUV/00000548</t>
  </si>
  <si>
    <t>Giảm toàn bộ gốc: 1C24TUV/00000548</t>
  </si>
  <si>
    <t>00002167</t>
  </si>
  <si>
    <t>Đảo khoản 1C25TUV/00002167; tham chiếu gốc 1C24TUV/00000549</t>
  </si>
  <si>
    <t>Giảm toàn bộ gốc: 1C24TUV/00000549</t>
  </si>
  <si>
    <t>00002149</t>
  </si>
  <si>
    <t>Đảo khoản 1C25TUV/00002149; tham chiếu gốc 1C24TUV/00000550</t>
  </si>
  <si>
    <t>Giảm toàn bộ gốc: 1C24TUV/00000550</t>
  </si>
  <si>
    <t>00002150</t>
  </si>
  <si>
    <t>Đảo khoản 1C25TUV/00002150; tham chiếu gốc 1C24TUV/00000551</t>
  </si>
  <si>
    <t>Giảm toàn bộ gốc: 1C24TUV/00000551</t>
  </si>
  <si>
    <t>00002348</t>
  </si>
  <si>
    <t>Đảo khoản 1C25TUV/00002348; tham chiếu gốc 1C24TUV/00000552</t>
  </si>
  <si>
    <t>Giảm toàn bộ gốc: 1C24TUV/00000552</t>
  </si>
  <si>
    <t>00002632</t>
  </si>
  <si>
    <t>Đã chốt kế toán 11/10/2026. Gốc 1C24TUV/00000555: dòng 6 giữ số lượng và đơn giá trống, chỉ đảo thành tiền -46.296. Các dòng còn lại giảm theo chi tiết gốc. Đảo riêng điều chỉnh 00002632.</t>
  </si>
  <si>
    <t>Đảo điều chỉnh cũ: 1C25TUV/00002632 — STT import 2008</t>
  </si>
  <si>
    <t>Giảm hóa đơn gốc: 1C24TUV/00000555 — STT import 2009</t>
  </si>
  <si>
    <t>00002168</t>
  </si>
  <si>
    <t>Đảo khoản 1C25TUV/00002168; tham chiếu gốc 1C24TUV/00000556</t>
  </si>
  <si>
    <t>Giảm toàn bộ gốc: 1C24TUV/00000556</t>
  </si>
  <si>
    <t>00002349</t>
  </si>
  <si>
    <t>Đảo khoản 1C25TUV/00002349; tham chiếu gốc 1C24TUV/00000557</t>
  </si>
  <si>
    <t>Giảm toàn bộ gốc: 1C24TUV/00000557</t>
  </si>
  <si>
    <t>00002184</t>
  </si>
  <si>
    <t>Đảo khoản 1C25TUV/00002184; tham chiếu gốc 1C24TUV/00000558</t>
  </si>
  <si>
    <t>Giảm toàn bộ gốc: 1C24TUV/00000558</t>
  </si>
  <si>
    <t>00002185</t>
  </si>
  <si>
    <t>Đảo khoản 1C25TUV/00002185; tham chiếu gốc 1C24TUV/00000559</t>
  </si>
  <si>
    <t>Giảm toàn bộ gốc: 1C24TUV/00000559</t>
  </si>
  <si>
    <t>00002186</t>
  </si>
  <si>
    <t>Đảo khoản 1C25TUV/00002186; tham chiếu gốc 1C24TUV/00000560</t>
  </si>
  <si>
    <t>Giảm toàn bộ gốc: 1C24TUV/00000560</t>
  </si>
  <si>
    <t>00002187</t>
  </si>
  <si>
    <t>Đảo khoản 1C25TUV/00002187; tham chiếu gốc 1C24TUV/00000561</t>
  </si>
  <si>
    <t>Giảm toàn bộ gốc: 1C24TUV/00000561</t>
  </si>
  <si>
    <t>00002170</t>
  </si>
  <si>
    <t>Đảo khoản 1C25TUV/00002170; tham chiếu gốc 1C24TUV/00000562</t>
  </si>
  <si>
    <t>Giảm toàn bộ gốc: 1C24TUV/00000562</t>
  </si>
  <si>
    <t>00002173</t>
  </si>
  <si>
    <t>Đảo khoản 1C25TUV/00002173; tham chiếu gốc 1C24TUV/00000565</t>
  </si>
  <si>
    <t>Giảm toàn bộ gốc: 1C24TUV/00000565</t>
  </si>
  <si>
    <t>00002637</t>
  </si>
  <si>
    <t>Đảo khoản 1C25TUV/00002637; tham chiếu gốc 1C24TUV/00000571</t>
  </si>
  <si>
    <t>Giảm toàn bộ gốc: 1C24TUV/00000571</t>
  </si>
  <si>
    <t>00002188</t>
  </si>
  <si>
    <t>Đảo khoản 1C25TUV/00002188; tham chiếu gốc 1C24TUV/00000573</t>
  </si>
  <si>
    <t>Giảm toàn bộ gốc: 1C24TUV/00000573</t>
  </si>
  <si>
    <t>00002189</t>
  </si>
  <si>
    <t>Đã bổ sung theo chốt 19/10/2026; Chỉ giảm số lượng gốc; nguồn không có đơn giá/thành tiền: 1C24TUV/00000574, STT 2037; Đảo khoản điều chỉnh cũ; chỉ đảo thành tiền, nguồn không có số lượng/đơn giá: 1C25TUV/00002189, STT 2038. Thanh toán gốc dùng quy ước 0 đã chốt; nguồn vẫn để trống.</t>
  </si>
  <si>
    <t>Chỉ giảm số lượng gốc; nguồn không có đơn giá/thành tiền: 1C24TUV/00000574 — STT import 2037</t>
  </si>
  <si>
    <t>Đảo khoản điều chỉnh cũ; chỉ đảo thành tiền, nguồn không có số lượng/đơn giá: 1C25TUV/00002189 — STT import 2038</t>
  </si>
  <si>
    <t>00002190</t>
  </si>
  <si>
    <t>Rà 237 chuỗi: F0–F3 đã cộng dồn 0. Gốc có 2 dòng chi tiết: 2 dòng thành tiền khác 0, 0 dòng bằng 0, 0 dòng thiếu thành tiền. Có chi tiết bán; không đánh dấu khuyến mãi theo quy tắc thành tiền = 0. Cờ KM nguyên bản: 0/2 dòng có giá trị. Nguồn: Bang_ke_chi_tiet_HD_da_su_dung_2024.xls | dòng 10571–10572.; Rà điều chỉnh cũ: 1C25TUV/00002190: chỉ điều chỉnh khoản tổng, 1 dòng; SL/đơn giá đều 0 hoặc trống, không ghi lại từng hàng gốc; tiền chi tiết khác bảng tổng (Bang_ke_chi_tiet_HD_da_su_dung_2025.xls dòng 12715). Chuỗi bằng 0 ở bảng tổng không chứng minh đã giảm chi tiết hàng.</t>
  </si>
  <si>
    <t>Đảo khoản 1C25TUV/00002190; tham chiếu gốc 1C24TUV/00000575 (đã chốt theo XML)</t>
  </si>
  <si>
    <t>Giảm toàn bộ chi tiết gốc 1C24TUV/00000575 (đã chốt làm lại)</t>
  </si>
  <si>
    <t>00002175</t>
  </si>
  <si>
    <t>Đảo khoản 1C25TUV/00002175; tham chiếu gốc 1C24TUV/00000576</t>
  </si>
  <si>
    <t>Giảm toàn bộ gốc: 1C24TUV/00000576</t>
  </si>
  <si>
    <t>00002350</t>
  </si>
  <si>
    <t>Đảo khoản 1C25TUV/00002350; tham chiếu gốc 1C24TUV/00000577</t>
  </si>
  <si>
    <t>Giảm toàn bộ gốc: 1C24TUV/00000577</t>
  </si>
  <si>
    <t>00002176</t>
  </si>
  <si>
    <t>Đảo khoản 1C25TUV/00002176; tham chiếu gốc 1C24TUV/00000578</t>
  </si>
  <si>
    <t>Giảm toàn bộ gốc: 1C24TUV/00000578</t>
  </si>
  <si>
    <t>00002177</t>
  </si>
  <si>
    <t>Đảo khoản 1C25TUV/00002177; tham chiếu gốc 1C24TUV/00000580</t>
  </si>
  <si>
    <t>Giảm toàn bộ gốc: 1C24TUV/00000580</t>
  </si>
  <si>
    <t>00002191</t>
  </si>
  <si>
    <t>Đảo khoản 1C25TUV/00002191; tham chiếu gốc 1C24TUV/00000581</t>
  </si>
  <si>
    <t>Giảm toàn bộ gốc: 1C24TUV/00000581</t>
  </si>
  <si>
    <t>00002351</t>
  </si>
  <si>
    <t>Đảo khoản 1C25TUV/00002351; tham chiếu gốc 1C24TUV/00000582</t>
  </si>
  <si>
    <t>Giảm toàn bộ gốc: 1C24TUV/00000582</t>
  </si>
  <si>
    <t>00002590</t>
  </si>
  <si>
    <t>Đảo khoản 1C25TUV/00002590; tham chiếu gốc 1C24TUV/00000583</t>
  </si>
  <si>
    <t>Giảm toàn bộ gốc: 1C24TUV/00000583</t>
  </si>
  <si>
    <t>00002178</t>
  </si>
  <si>
    <t>Đảo khoản 1C25TUV/00002178; tham chiếu gốc 1C24TUV/00000584</t>
  </si>
  <si>
    <t>Giảm toàn bộ gốc: 1C24TUV/00000584</t>
  </si>
  <si>
    <t>00002192</t>
  </si>
  <si>
    <t>Đảo khoản 1C25TUV/00002192; tham chiếu gốc 1C24TUV/00000587</t>
  </si>
  <si>
    <t>Giảm toàn bộ gốc: 1C24TUV/00000587</t>
  </si>
  <si>
    <t>00002193</t>
  </si>
  <si>
    <t>Đảo khoản 1C25TUV/00002193; tham chiếu gốc 1C24TUV/00000588</t>
  </si>
  <si>
    <t>Giảm toàn bộ gốc: 1C24TUV/00000588</t>
  </si>
  <si>
    <t>00002194</t>
  </si>
  <si>
    <t>Đảo khoản 1C25TUV/00002194; tham chiếu gốc 1C24TUV/00000596</t>
  </si>
  <si>
    <t>Giảm toàn bộ gốc: 1C24TUV/00000596</t>
  </si>
  <si>
    <t>00002195</t>
  </si>
  <si>
    <t>Đảo khoản 1C25TUV/00002195; tham chiếu gốc 1C24TUV/00000597</t>
  </si>
  <si>
    <t>Giảm toàn bộ gốc: 1C24TUV/00000597</t>
  </si>
  <si>
    <t>00002197</t>
  </si>
  <si>
    <t>Đảo khoản 1C25TUV/00002197; tham chiếu gốc 1C24TUV/00000600</t>
  </si>
  <si>
    <t>Giảm toàn bộ gốc: 1C24TUV/00000600</t>
  </si>
  <si>
    <t>00002198</t>
  </si>
  <si>
    <t>Đảo khoản 1C25TUV/00002198; tham chiếu gốc 1C24TUV/00000601</t>
  </si>
  <si>
    <t>Giảm toàn bộ gốc: 1C24TUV/00000601</t>
  </si>
  <si>
    <t>00002199</t>
  </si>
  <si>
    <t>Đảo khoản 1C25TUV/00002199; tham chiếu gốc 1C24TUV/00000602</t>
  </si>
  <si>
    <t>Giảm toàn bộ gốc: 1C24TUV/00000602</t>
  </si>
  <si>
    <t>00002180</t>
  </si>
  <si>
    <t>Đảo khoản 1C25TUV/00002180; tham chiếu gốc 1C24TUV/00000604</t>
  </si>
  <si>
    <t>Giảm toàn bộ gốc: 1C24TUV/00000604</t>
  </si>
  <si>
    <t>00002181</t>
  </si>
  <si>
    <t>Đảo khoản 1C25TUV/00002181; tham chiếu gốc 1C24TUV/00000605</t>
  </si>
  <si>
    <t>Giảm toàn bộ gốc: 1C24TUV/00000605</t>
  </si>
  <si>
    <t>00002352</t>
  </si>
  <si>
    <t>Đảo khoản 1C25TUV/00002352; tham chiếu gốc 1C24TUV/00000606</t>
  </si>
  <si>
    <t>Giảm toàn bộ gốc: 1C24TUV/00000606</t>
  </si>
  <si>
    <t>00002182</t>
  </si>
  <si>
    <t>Đảo khoản 1C25TUV/00002182; tham chiếu gốc 1C24TUV/00000607</t>
  </si>
  <si>
    <t>Giảm toàn bộ gốc: 1C24TUV/00000607</t>
  </si>
  <si>
    <t>00002200</t>
  </si>
  <si>
    <t>Rà 237 chuỗi: F0–F3 đã cộng dồn 0. Gốc có 4 dòng chi tiết: 3 dòng thành tiền khác 0, 1 dòng bằng 0, 0 dòng thiếu thành tiền. Có chi tiết bán và dòng 0; chỉ dòng thành tiền gốc = 0 mới nhập 1 cột Hàng khuyến mãi. Cờ KM nguyên bản: 0/4 dòng có giá trị. Nguồn: Bang_ke_chi_tiet_HD_da_su_dung_2024.xls | dòng 9372–9375.; Rà điều chỉnh cũ: 1C25TUV/00002200: chỉ điều chỉnh khoản tổng, 1 dòng; SL/đơn giá đều 0 hoặc trống, không ghi lại từng hàng gốc; tiền chi tiết khác bảng tổng (Bang_ke_chi_tiet_HD_da_su_dung_2025.xls dòng 12705). Chuỗi bằng 0 ở bảng tổng không chứng minh đã giảm chi tiết hàng.</t>
  </si>
  <si>
    <t>Đảo khoản 1C25TUV/00002200; tham chiếu gốc 1C24TUV/00000608 (đã chốt theo XML)</t>
  </si>
  <si>
    <t>Giảm toàn bộ chi tiết gốc 1C24TUV/00000608 (đã chốt làm lại)</t>
  </si>
  <si>
    <t>00002201</t>
  </si>
  <si>
    <t>Đảo khoản 1C25TUV/00002201; tham chiếu gốc 1C24TUV/00000615</t>
  </si>
  <si>
    <t>Giảm toàn bộ gốc: 1C24TUV/00000615</t>
  </si>
  <si>
    <t>00002202</t>
  </si>
  <si>
    <t>Đảo khoản 1C25TUV/00002202; tham chiếu gốc 1C24TUV/00000616</t>
  </si>
  <si>
    <t>Giảm toàn bộ gốc: 1C24TUV/00000616</t>
  </si>
  <si>
    <t>00002203</t>
  </si>
  <si>
    <t>Đảo khoản 1C25TUV/00002203; tham chiếu gốc 1C24TUV/00000617</t>
  </si>
  <si>
    <t>Giảm toàn bộ gốc: 1C24TUV/00000617</t>
  </si>
  <si>
    <t>00002353</t>
  </si>
  <si>
    <t>Đảo khoản 1C25TUV/00002353; tham chiếu gốc 1C24TUV/00000618</t>
  </si>
  <si>
    <t>Giảm toàn bộ gốc: 1C24TUV/00000618</t>
  </si>
  <si>
    <t>00002204</t>
  </si>
  <si>
    <t>Đảo khoản 1C25TUV/00002204; tham chiếu gốc 1C24TUV/00000619</t>
  </si>
  <si>
    <t>Giảm toàn bộ gốc: 1C24TUV/00000619</t>
  </si>
  <si>
    <t>00002205</t>
  </si>
  <si>
    <t>Đảo khoản 1C25TUV/00002205; tham chiếu gốc 1C24TUV/00000620</t>
  </si>
  <si>
    <t>Giảm toàn bộ gốc: 1C24TUV/00000620</t>
  </si>
  <si>
    <t>00002206</t>
  </si>
  <si>
    <t>Đảo khoản 1C25TUV/00002206; tham chiếu gốc 1C24TUV/00000621</t>
  </si>
  <si>
    <t>Giảm toàn bộ gốc: 1C24TUV/00000621</t>
  </si>
  <si>
    <t>00002207</t>
  </si>
  <si>
    <t>Đảo khoản 1C25TUV/00002207; tham chiếu gốc 1C24TUV/00000622</t>
  </si>
  <si>
    <t>Giảm toàn bộ gốc: 1C24TUV/00000622</t>
  </si>
  <si>
    <t>00002208</t>
  </si>
  <si>
    <t>Đảo khoản 1C25TUV/00002208; tham chiếu gốc 1C24TUV/00000623</t>
  </si>
  <si>
    <t>Giảm toàn bộ gốc: 1C24TUV/00000623</t>
  </si>
  <si>
    <t>00002209</t>
  </si>
  <si>
    <t>Đảo khoản 1C25TUV/00002209; tham chiếu gốc 1C24TUV/00000624</t>
  </si>
  <si>
    <t>Giảm toàn bộ gốc: 1C24TUV/00000624</t>
  </si>
  <si>
    <t>00002210</t>
  </si>
  <si>
    <t>Đảo khoản 1C25TUV/00002210; tham chiếu gốc 1C24TUV/00000625</t>
  </si>
  <si>
    <t>Giảm toàn bộ gốc: 1C24TUV/00000625</t>
  </si>
  <si>
    <t>00002211</t>
  </si>
  <si>
    <t>Đảo khoản 1C25TUV/00002211; tham chiếu gốc 1C24TUV/00000626</t>
  </si>
  <si>
    <t>Giảm toàn bộ gốc: 1C24TUV/00000626</t>
  </si>
  <si>
    <t>00002212</t>
  </si>
  <si>
    <t>Đảo khoản 1C25TUV/00002212; tham chiếu gốc 1C24TUV/00000627</t>
  </si>
  <si>
    <t>Giảm toàn bộ gốc: 1C24TUV/00000627</t>
  </si>
  <si>
    <t>00002183</t>
  </si>
  <si>
    <t>Đảo khoản 1C25TUV/00002183; tham chiếu gốc 1C24TUV/00000628</t>
  </si>
  <si>
    <t>Giảm toàn bộ gốc: 1C24TUV/00000628</t>
  </si>
  <si>
    <t>00002213</t>
  </si>
  <si>
    <t>Đảo khoản 1C25TUV/00002213; tham chiếu gốc 1C24TUV/00000629</t>
  </si>
  <si>
    <t>Giảm toàn bộ gốc: 1C24TUV/00000629</t>
  </si>
  <si>
    <t>00002214</t>
  </si>
  <si>
    <t>Đảo khoản 1C25TUV/00002214; tham chiếu gốc 1C24TUV/00000630</t>
  </si>
  <si>
    <t>Giảm toàn bộ gốc: 1C24TUV/00000630</t>
  </si>
  <si>
    <t>00002215</t>
  </si>
  <si>
    <t>Đảo khoản 1C25TUV/00002215; tham chiếu gốc 1C24TUV/00000631</t>
  </si>
  <si>
    <t>Giảm toàn bộ gốc: 1C24TUV/00000631</t>
  </si>
  <si>
    <t>00002216</t>
  </si>
  <si>
    <t>Đảo khoản 1C25TUV/00002216; tham chiếu gốc 1C24TUV/00000632</t>
  </si>
  <si>
    <t>Giảm toàn bộ gốc: 1C24TUV/00000632</t>
  </si>
  <si>
    <t>00002217</t>
  </si>
  <si>
    <t>Đảo khoản 1C25TUV/00002217; tham chiếu gốc 1C24TUV/00000633</t>
  </si>
  <si>
    <t>Giảm toàn bộ gốc: 1C24TUV/00000633</t>
  </si>
  <si>
    <t>00002236</t>
  </si>
  <si>
    <t>Đảo khoản 1C25TUV/00002236; tham chiếu gốc 1C24TUV/00000635</t>
  </si>
  <si>
    <t>Giảm toàn bộ gốc: 1C24TUV/00000635</t>
  </si>
  <si>
    <t>00002237</t>
  </si>
  <si>
    <t>Đảo khoản 1C25TUV/00002237; tham chiếu gốc 1C24TUV/00000636</t>
  </si>
  <si>
    <t>Giảm toàn bộ gốc: 1C24TUV/00000636</t>
  </si>
  <si>
    <t>00002238</t>
  </si>
  <si>
    <t>Đảo khoản 1C25TUV/00002238; tham chiếu gốc 1C24TUV/00000637</t>
  </si>
  <si>
    <t>Giảm toàn bộ gốc: 1C24TUV/00000637</t>
  </si>
  <si>
    <t>00002239</t>
  </si>
  <si>
    <t>Đảo khoản 1C25TUV/00002239; tham chiếu gốc 1C24TUV/00000638</t>
  </si>
  <si>
    <t>Giảm toàn bộ gốc: 1C24TUV/00000638</t>
  </si>
  <si>
    <t>00002218</t>
  </si>
  <si>
    <t>Đảo khoản 1C25TUV/00002218; tham chiếu gốc 1C24TUV/00000639</t>
  </si>
  <si>
    <t>Giảm toàn bộ gốc: 1C24TUV/00000639</t>
  </si>
  <si>
    <t>00002240</t>
  </si>
  <si>
    <t>Đảo khoản 1C25TUV/00002240; tham chiếu gốc 1C24TUV/00000640</t>
  </si>
  <si>
    <t>Giảm toàn bộ gốc: 1C24TUV/00000640</t>
  </si>
  <si>
    <t>00002354</t>
  </si>
  <si>
    <t>Đảo khoản 1C25TUV/00002354; tham chiếu gốc 1C24TUV/00000641</t>
  </si>
  <si>
    <t>Giảm toàn bộ gốc: 1C24TUV/00000641</t>
  </si>
  <si>
    <t>00002593</t>
  </si>
  <si>
    <t>Đảo khoản 1C25TUV/00002593; tham chiếu gốc 1C24TUV/00000643</t>
  </si>
  <si>
    <t>Giảm toàn bộ gốc: 1C24TUV/00000643</t>
  </si>
  <si>
    <t>00002241</t>
  </si>
  <si>
    <t>Đảo khoản 1C25TUV/00002241; tham chiếu gốc 1C24TUV/00000648</t>
  </si>
  <si>
    <t>Giảm toàn bộ gốc: 1C24TUV/00000648</t>
  </si>
  <si>
    <t>00002355</t>
  </si>
  <si>
    <t>Đảo khoản 1C25TUV/00002355; tham chiếu gốc 1C24TUV/00000652</t>
  </si>
  <si>
    <t>Giảm toàn bộ gốc: 1C24TUV/00000652</t>
  </si>
  <si>
    <t>00002242</t>
  </si>
  <si>
    <t>Rà 237 chuỗi: F0–F3 đã cộng dồn 0. Gốc có 1 dòng chi tiết: 1 dòng thành tiền khác 0, 0 dòng bằng 0, 0 dòng thiếu thành tiền. Có chi tiết bán; không đánh dấu khuyến mãi theo quy tắc thành tiền = 0. Cờ KM nguyên bản: 0/1 dòng có giá trị. Nguồn: Bang_ke_chi_tiet_HD_da_su_dung_2024.xls | dòng 6562.; Rà điều chỉnh cũ: 1C25TUV/00002242: chỉ điều chỉnh khoản tổng, 1 dòng; SL/đơn giá đều 0 hoặc trống, không ghi lại từng hàng gốc; tiền chi tiết khác bảng tổng (Bang_ke_chi_tiet_HD_da_su_dung_2025.xls dòng 12663). Chuỗi bằng 0 ở bảng tổng không chứng minh đã giảm chi tiết hàng.</t>
  </si>
  <si>
    <t>Đảo khoản 1C25TUV/00002242; tham chiếu gốc 1C24TUV/00000653 (đã chốt theo XML)</t>
  </si>
  <si>
    <t>Giảm toàn bộ chi tiết gốc 1C24TUV/00000653 (đã chốt làm lại)</t>
  </si>
  <si>
    <t>00002594</t>
  </si>
  <si>
    <t>Đảo khoản 1C25TUV/00002594; tham chiếu gốc 1C24TUV/00000654</t>
  </si>
  <si>
    <t>Giảm toàn bộ gốc: 1C24TUV/00000654</t>
  </si>
  <si>
    <t>00002356</t>
  </si>
  <si>
    <t>Đảo khoản 1C25TUV/00002356; tham chiếu gốc 1C24TUV/00000655</t>
  </si>
  <si>
    <t>Giảm toàn bộ gốc: 1C24TUV/00000655</t>
  </si>
  <si>
    <t>00002243</t>
  </si>
  <si>
    <t>Đảo khoản 1C25TUV/00002243; tham chiếu gốc 1C24TUV/00000656</t>
  </si>
  <si>
    <t>Giảm toàn bộ gốc: 1C24TUV/00000656</t>
  </si>
  <si>
    <t>00002221</t>
  </si>
  <si>
    <t>Đảo khoản 1C25TUV/00002221; tham chiếu gốc 1C24TUV/00000662</t>
  </si>
  <si>
    <t>Giảm toàn bộ gốc: 1C24TUV/00000662</t>
  </si>
  <si>
    <t>00002222</t>
  </si>
  <si>
    <t>Đảo khoản 1C25TUV/00002222; tham chiếu gốc 1C24TUV/00000663</t>
  </si>
  <si>
    <t>Giảm toàn bộ gốc: 1C24TUV/00000663</t>
  </si>
  <si>
    <t>00002223</t>
  </si>
  <si>
    <t>Đảo khoản 1C25TUV/00002223; tham chiếu gốc 1C24TUV/00000664</t>
  </si>
  <si>
    <t>Giảm toàn bộ gốc: 1C24TUV/00000664</t>
  </si>
  <si>
    <t>00002224</t>
  </si>
  <si>
    <t>Đảo khoản 1C25TUV/00002224; tham chiếu gốc 1C24TUV/00000665</t>
  </si>
  <si>
    <t>Giảm toàn bộ gốc: 1C24TUV/00000665</t>
  </si>
  <si>
    <t>00002225</t>
  </si>
  <si>
    <t>Đảo khoản 1C25TUV/00002225; tham chiếu gốc 1C24TUV/00000666</t>
  </si>
  <si>
    <t>Giảm toàn bộ gốc: 1C24TUV/00000666</t>
  </si>
  <si>
    <t>00002226</t>
  </si>
  <si>
    <t>Đảo khoản 1C25TUV/00002226; tham chiếu gốc 1C24TUV/00000667</t>
  </si>
  <si>
    <t>Giảm toàn bộ gốc: 1C24TUV/00000667</t>
  </si>
  <si>
    <t>00002244</t>
  </si>
  <si>
    <t>Rà 237 chuỗi: F0–F3 đã cộng dồn 0. Gốc có 2 dòng chi tiết: 1 dòng thành tiền khác 0, 1 dòng bằng 0, 0 dòng thiếu thành tiền. Có chi tiết bán và dòng 0; chỉ dòng thành tiền gốc = 0 mới nhập 1 cột Hàng khuyến mãi. Cờ KM nguyên bản: 0/2 dòng có giá trị. Nguồn: Bang_ke_chi_tiet_HD_da_su_dung_2024.xls | dòng 6238–6239.; Rà điều chỉnh cũ: 1C25TUV/00002244: chỉ điều chỉnh khoản tổng, 1 dòng; SL/đơn giá đều 0 hoặc trống, không ghi lại từng hàng gốc; tiền chi tiết khác bảng tổng (Bang_ke_chi_tiet_HD_da_su_dung_2025.xls dòng 12661). Chuỗi bằng 0 ở bảng tổng không chứng minh đã giảm chi tiết hàng.</t>
  </si>
  <si>
    <t>Đảo khoản 1C25TUV/00002244; tham chiếu gốc 1C24TUV/00000669 (đã chốt theo XML)</t>
  </si>
  <si>
    <t>Giảm toàn bộ chi tiết gốc 1C24TUV/00000669 (đã chốt làm lại)</t>
  </si>
  <si>
    <t>00002357</t>
  </si>
  <si>
    <t>Đảo khoản 1C25TUV/00002357; tham chiếu gốc 1C24TUV/00000670</t>
  </si>
  <si>
    <t>Giảm toàn bộ gốc: 1C24TUV/00000670</t>
  </si>
  <si>
    <t>00002245</t>
  </si>
  <si>
    <t>Đảo khoản 1C25TUV/00002245; tham chiếu gốc 1C24TUV/00000672</t>
  </si>
  <si>
    <t>Giảm toàn bộ gốc: 1C24TUV/00000672</t>
  </si>
  <si>
    <t>00002246</t>
  </si>
  <si>
    <t>Đảo khoản 1C25TUV/00002246; tham chiếu gốc 1C24TUV/00000673</t>
  </si>
  <si>
    <t>Giảm toàn bộ gốc: 1C24TUV/00000673</t>
  </si>
  <si>
    <t>00002227</t>
  </si>
  <si>
    <t>Đảo khoản 1C25TUV/00002227; tham chiếu gốc 1C24TUV/00000683</t>
  </si>
  <si>
    <t>Giảm toàn bộ gốc: 1C24TUV/00000683</t>
  </si>
  <si>
    <t>00002558</t>
  </si>
  <si>
    <t>Đảo khoản 1C25TUV/00002558; tham chiếu gốc 1C24TUV/00000685</t>
  </si>
  <si>
    <t>Giảm toàn bộ gốc: 1C24TUV/00000685</t>
  </si>
  <si>
    <t>00002247</t>
  </si>
  <si>
    <t>Đảo khoản 1C25TUV/00002247; tham chiếu gốc 1C24TUV/00000687</t>
  </si>
  <si>
    <t>Giảm toàn bộ gốc: 1C24TUV/00000687</t>
  </si>
  <si>
    <t>00002248</t>
  </si>
  <si>
    <t>Đảo khoản 1C25TUV/00002248; tham chiếu gốc 1C24TUV/00000688</t>
  </si>
  <si>
    <t>Giảm toàn bộ gốc: 1C24TUV/00000688</t>
  </si>
  <si>
    <t>00002249</t>
  </si>
  <si>
    <t>Đảo khoản 1C25TUV/00002249; tham chiếu gốc 1C24TUV/00000689</t>
  </si>
  <si>
    <t>Giảm toàn bộ gốc: 1C24TUV/00000689</t>
  </si>
  <si>
    <t>00002250</t>
  </si>
  <si>
    <t>Đảo khoản 1C25TUV/00002250; tham chiếu gốc 1C24TUV/00000690</t>
  </si>
  <si>
    <t>Giảm toàn bộ gốc: 1C24TUV/00000690</t>
  </si>
  <si>
    <t>00002251</t>
  </si>
  <si>
    <t>Đảo khoản 1C25TUV/00002251; tham chiếu gốc 1C24TUV/00000691</t>
  </si>
  <si>
    <t>Giảm toàn bộ gốc: 1C24TUV/00000691</t>
  </si>
  <si>
    <t>00002252</t>
  </si>
  <si>
    <t>Đảo khoản 1C25TUV/00002252; tham chiếu gốc 1C24TUV/00000692</t>
  </si>
  <si>
    <t>Giảm toàn bộ gốc: 1C24TUV/00000692</t>
  </si>
  <si>
    <t>00002253</t>
  </si>
  <si>
    <t>Đảo khoản 1C25TUV/00002253; tham chiếu gốc 1C24TUV/00000693</t>
  </si>
  <si>
    <t>Giảm toàn bộ gốc: 1C24TUV/00000693</t>
  </si>
  <si>
    <t>00002254</t>
  </si>
  <si>
    <t>Đảo khoản 1C25TUV/00002254; tham chiếu gốc 1C24TUV/00000694</t>
  </si>
  <si>
    <t>Giảm toàn bộ gốc: 1C24TUV/00000694</t>
  </si>
  <si>
    <t>00002255</t>
  </si>
  <si>
    <t>Đảo khoản 1C25TUV/00002255; tham chiếu gốc 1C24TUV/00000695</t>
  </si>
  <si>
    <t>Giảm toàn bộ gốc: 1C24TUV/00000695</t>
  </si>
  <si>
    <t>00002256</t>
  </si>
  <si>
    <t>Đảo khoản 1C25TUV/00002256; tham chiếu gốc 1C24TUV/00000697</t>
  </si>
  <si>
    <t>Giảm toàn bộ gốc: 1C24TUV/00000697</t>
  </si>
  <si>
    <t>00002257</t>
  </si>
  <si>
    <t>Đảo khoản 1C25TUV/00002257; tham chiếu gốc 1C24TUV/00000699</t>
  </si>
  <si>
    <t>Giảm toàn bộ gốc: 1C24TUV/00000699</t>
  </si>
  <si>
    <t>00002258</t>
  </si>
  <si>
    <t>Đảo khoản 1C25TUV/00002258; tham chiếu gốc 1C24TUV/00000700</t>
  </si>
  <si>
    <t>Giảm toàn bộ gốc: 1C24TUV/00000700</t>
  </si>
  <si>
    <t>00002259</t>
  </si>
  <si>
    <t>Đảo khoản 1C25TUV/00002259; tham chiếu gốc 1C24TUV/00000701</t>
  </si>
  <si>
    <t>Giảm toàn bộ gốc: 1C24TUV/00000701</t>
  </si>
  <si>
    <t>00002228</t>
  </si>
  <si>
    <t>Đảo khoản 1C25TUV/00002228; tham chiếu gốc 1C24TUV/00000702</t>
  </si>
  <si>
    <t>Giảm toàn bộ gốc: 1C24TUV/00000702</t>
  </si>
  <si>
    <t>00002260</t>
  </si>
  <si>
    <t>Đảo khoản 1C25TUV/00002260; tham chiếu gốc 1C24TUV/00000703</t>
  </si>
  <si>
    <t>Giảm toàn bộ gốc: 1C24TUV/00000703</t>
  </si>
  <si>
    <t>00002261</t>
  </si>
  <si>
    <t>Đảo khoản 1C25TUV/00002261; tham chiếu gốc 1C24TUV/00000704</t>
  </si>
  <si>
    <t>Giảm toàn bộ gốc: 1C24TUV/00000704</t>
  </si>
  <si>
    <t>00002262</t>
  </si>
  <si>
    <t>Đảo khoản 1C25TUV/00002262; tham chiếu gốc 1C24TUV/00000705</t>
  </si>
  <si>
    <t>Giảm toàn bộ gốc: 1C24TUV/00000705</t>
  </si>
  <si>
    <t>00002263</t>
  </si>
  <si>
    <t>Đảo khoản 1C25TUV/00002263; tham chiếu gốc 1C24TUV/00000706</t>
  </si>
  <si>
    <t>Giảm toàn bộ gốc: 1C24TUV/00000706</t>
  </si>
  <si>
    <t>00002264</t>
  </si>
  <si>
    <t>Đảo khoản 1C25TUV/00002264; tham chiếu gốc 1C24TUV/00000707</t>
  </si>
  <si>
    <t>Giảm toàn bộ gốc: 1C24TUV/00000707</t>
  </si>
  <si>
    <t>00002265</t>
  </si>
  <si>
    <t>Đảo khoản 1C25TUV/00002265; tham chiếu gốc 1C24TUV/00000708</t>
  </si>
  <si>
    <t>Giảm toàn bộ gốc: 1C24TUV/00000708</t>
  </si>
  <si>
    <t>00002266</t>
  </si>
  <si>
    <t>Đảo khoản 1C25TUV/00002266; tham chiếu gốc 1C24TUV/00000709</t>
  </si>
  <si>
    <t>Giảm toàn bộ gốc: 1C24TUV/00000709</t>
  </si>
  <si>
    <t>00002267</t>
  </si>
  <si>
    <t>Đảo khoản 1C25TUV/00002267; tham chiếu gốc 1C24TUV/00000710</t>
  </si>
  <si>
    <t>Giảm toàn bộ gốc: 1C24TUV/00000710</t>
  </si>
  <si>
    <t>00002268</t>
  </si>
  <si>
    <t>Đảo khoản 1C25TUV/00002268; tham chiếu gốc 1C24TUV/00000711</t>
  </si>
  <si>
    <t>Giảm toàn bộ gốc: 1C24TUV/00000711</t>
  </si>
  <si>
    <t>00002269</t>
  </si>
  <si>
    <t>Đảo khoản 1C25TUV/00002269; tham chiếu gốc 1C24TUV/00000712</t>
  </si>
  <si>
    <t>Giảm toàn bộ gốc: 1C24TUV/00000712</t>
  </si>
  <si>
    <t>00002270</t>
  </si>
  <si>
    <t>Đảo khoản 1C25TUV/00002270; tham chiếu gốc 1C24TUV/00000713</t>
  </si>
  <si>
    <t>Giảm toàn bộ gốc: 1C24TUV/00000713</t>
  </si>
  <si>
    <t>00002271</t>
  </si>
  <si>
    <t>Đảo khoản 1C25TUV/00002271; tham chiếu gốc 1C24TUV/00000714</t>
  </si>
  <si>
    <t>Giảm toàn bộ gốc: 1C24TUV/00000714</t>
  </si>
  <si>
    <t>00002272</t>
  </si>
  <si>
    <t>Đảo khoản 1C25TUV/00002272; tham chiếu gốc 1C24TUV/00000715</t>
  </si>
  <si>
    <t>Giảm toàn bộ gốc: 1C24TUV/00000715</t>
  </si>
  <si>
    <t>00002273</t>
  </si>
  <si>
    <t>Đảo khoản 1C25TUV/00002273; tham chiếu gốc 1C24TUV/00000716</t>
  </si>
  <si>
    <t>Giảm toàn bộ gốc: 1C24TUV/00000716</t>
  </si>
  <si>
    <t>00002274</t>
  </si>
  <si>
    <t>Đảo khoản 1C25TUV/00002274; tham chiếu gốc 1C24TUV/00000717</t>
  </si>
  <si>
    <t>Giảm toàn bộ gốc: 1C24TUV/00000717</t>
  </si>
  <si>
    <t>00002276</t>
  </si>
  <si>
    <t>Đảo khoản 1C25TUV/00002276; tham chiếu gốc 1C24TUV/00000720</t>
  </si>
  <si>
    <t>Giảm toàn bộ gốc: 1C24TUV/00000720</t>
  </si>
  <si>
    <t>00002277</t>
  </si>
  <si>
    <t>Đảo khoản 1C25TUV/00002277; tham chiếu gốc 1C24TUV/00000721</t>
  </si>
  <si>
    <t>Giảm toàn bộ gốc: 1C24TUV/00000721</t>
  </si>
  <si>
    <t>00002278</t>
  </si>
  <si>
    <t>Đảo khoản 1C25TUV/00002278; tham chiếu gốc 1C24TUV/00000722</t>
  </si>
  <si>
    <t>Giảm toàn bộ gốc: 1C24TUV/00000722</t>
  </si>
  <si>
    <t>00002279</t>
  </si>
  <si>
    <t>Đảo khoản 1C25TUV/00002279; tham chiếu gốc 1C24TUV/00000723</t>
  </si>
  <si>
    <t>Giảm toàn bộ gốc: 1C24TUV/00000723</t>
  </si>
  <si>
    <t>00002280</t>
  </si>
  <si>
    <t>Đảo khoản 1C25TUV/00002280; tham chiếu gốc 1C24TUV/00000724</t>
  </si>
  <si>
    <t>Giảm toàn bộ gốc: 1C24TUV/00000724</t>
  </si>
  <si>
    <t>00002640</t>
  </si>
  <si>
    <t>Đảo khoản 1C25TUV/00002640; tham chiếu gốc 1C24TUV/00000725</t>
  </si>
  <si>
    <t>Giảm toàn bộ gốc: 1C24TUV/00000725</t>
  </si>
  <si>
    <t>00002281</t>
  </si>
  <si>
    <t>Đảo khoản 1C25TUV/00002281; tham chiếu gốc 1C24TUV/00000726</t>
  </si>
  <si>
    <t>Giảm toàn bộ gốc: 1C24TUV/00000726</t>
  </si>
  <si>
    <t>00002282</t>
  </si>
  <si>
    <t>Đảo khoản 1C25TUV/00002282; tham chiếu gốc 1C24TUV/00000727</t>
  </si>
  <si>
    <t>Giảm toàn bộ gốc: 1C24TUV/00000727</t>
  </si>
  <si>
    <t>00002283</t>
  </si>
  <si>
    <t>Đảo khoản 1C25TUV/00002283; tham chiếu gốc 1C24TUV/00000728</t>
  </si>
  <si>
    <t>Giảm toàn bộ gốc: 1C24TUV/00000728</t>
  </si>
  <si>
    <t>00002284</t>
  </si>
  <si>
    <t>Đảo khoản 1C25TUV/00002284; tham chiếu gốc 1C24TUV/00000729</t>
  </si>
  <si>
    <t>Giảm toàn bộ gốc: 1C24TUV/00000729</t>
  </si>
  <si>
    <t>00002285</t>
  </si>
  <si>
    <t>Đảo khoản 1C25TUV/00002285; tham chiếu gốc 1C24TUV/00000730</t>
  </si>
  <si>
    <t>Giảm toàn bộ gốc: 1C24TUV/00000730</t>
  </si>
  <si>
    <t>00002229</t>
  </si>
  <si>
    <t>Đảo khoản 1C25TUV/00002229; tham chiếu gốc 1C24TUV/00000731</t>
  </si>
  <si>
    <t>Giảm toàn bộ gốc: 1C24TUV/00000731</t>
  </si>
  <si>
    <t>00002230</t>
  </si>
  <si>
    <t>Đảo khoản 1C25TUV/00002230; tham chiếu gốc 1C24TUV/00000732</t>
  </si>
  <si>
    <t>Giảm toàn bộ gốc: 1C24TUV/00000732</t>
  </si>
  <si>
    <t>00002286</t>
  </si>
  <si>
    <t>Rà 237 chuỗi: F0–F3 đã cộng dồn 0. Gốc có 1 dòng chi tiết: 1 dòng thành tiền khác 0, 0 dòng bằng 0, 0 dòng thiếu thành tiền. Có chi tiết bán; không đánh dấu khuyến mãi theo quy tắc thành tiền = 0. Cờ KM nguyên bản: 0/1 dòng có giá trị. Nguồn: Bang_ke_chi_tiet_HD_da_su_dung_2024.xls | dòng 2045.; Rà điều chỉnh cũ: 1C25TUV/00002286: chỉ điều chỉnh khoản tổng, 1 dòng; SL/đơn giá đều 0 hoặc trống, không ghi lại từng hàng gốc; tiền chi tiết khác bảng tổng (Bang_ke_chi_tiet_HD_da_su_dung_2025.xls dòng 12619). Chuỗi bằng 0 ở bảng tổng không chứng minh đã giảm chi tiết hàng.</t>
  </si>
  <si>
    <t>Đảo khoản 1C25TUV/00002286; tham chiếu gốc 1C24TUV/00000733 (đã chốt theo XML)</t>
  </si>
  <si>
    <t>Giảm toàn bộ chi tiết gốc 1C24TUV/00000733 (đã chốt làm lại)</t>
  </si>
  <si>
    <t>00002288</t>
  </si>
  <si>
    <t>Đảo khoản 1C25TUV/00002288; tham chiếu gốc 1C24TUV/00000734</t>
  </si>
  <si>
    <t>Giảm toàn bộ gốc: 1C24TUV/00000734</t>
  </si>
  <si>
    <t>00002289</t>
  </si>
  <si>
    <t>Đảo khoản 1C25TUV/00002289; tham chiếu gốc 1C24TUV/00000735</t>
  </si>
  <si>
    <t>Giảm toàn bộ gốc: 1C24TUV/00000735</t>
  </si>
  <si>
    <t>00002290</t>
  </si>
  <si>
    <t>Đảo khoản 1C25TUV/00002290; tham chiếu gốc 1C24TUV/00000736</t>
  </si>
  <si>
    <t>Giảm toàn bộ gốc: 1C24TUV/00000736</t>
  </si>
  <si>
    <t>00002291</t>
  </si>
  <si>
    <t>Đảo khoản 1C25TUV/00002291; tham chiếu gốc 1C24TUV/00000737</t>
  </si>
  <si>
    <t>Giảm toàn bộ gốc: 1C24TUV/00000737</t>
  </si>
  <si>
    <t>00002292</t>
  </si>
  <si>
    <t>Đảo khoản 1C25TUV/00002292; tham chiếu gốc 1C24TUV/00000738</t>
  </si>
  <si>
    <t>Giảm toàn bộ gốc: 1C24TUV/00000738</t>
  </si>
  <si>
    <t>00002293</t>
  </si>
  <si>
    <t>Đảo khoản 1C25TUV/00002293; tham chiếu gốc 1C24TUV/00000739</t>
  </si>
  <si>
    <t>Giảm toàn bộ gốc: 1C24TUV/00000739</t>
  </si>
  <si>
    <t>00002231</t>
  </si>
  <si>
    <t>Đảo khoản 1C25TUV/00002231; tham chiếu gốc 1C24TUV/00000740</t>
  </si>
  <si>
    <t>Giảm toàn bộ gốc: 1C24TUV/00000740</t>
  </si>
  <si>
    <t>00002358</t>
  </si>
  <si>
    <t>Đảo khoản 1C25TUV/00002358; tham chiếu gốc 1C24TUV/00000741</t>
  </si>
  <si>
    <t>Giảm toàn bộ gốc: 1C24TUV/00000741</t>
  </si>
  <si>
    <t>00002294</t>
  </si>
  <si>
    <t>Đảo khoản 1C25TUV/00002294; tham chiếu gốc 1C24TUV/00000745</t>
  </si>
  <si>
    <t>Giảm toàn bộ gốc: 1C24TUV/00000745</t>
  </si>
  <si>
    <t>00002295</t>
  </si>
  <si>
    <t>Đảo khoản 1C25TUV/00002295; tham chiếu gốc 1C24TUV/00000746</t>
  </si>
  <si>
    <t>Giảm toàn bộ gốc: 1C24TUV/00000746</t>
  </si>
  <si>
    <t>00002296</t>
  </si>
  <si>
    <t>Đảo khoản 1C25TUV/00002296; tham chiếu gốc 1C24TUV/00000747</t>
  </si>
  <si>
    <t>Giảm toàn bộ gốc: 1C24TUV/00000747</t>
  </si>
  <si>
    <t>00002297</t>
  </si>
  <si>
    <t>Đảo khoản 1C25TUV/00002297; tham chiếu gốc 1C24TUV/00000748</t>
  </si>
  <si>
    <t>Giảm toàn bộ gốc: 1C24TUV/00000748</t>
  </si>
  <si>
    <t>00002298</t>
  </si>
  <si>
    <t>Đảo khoản 1C25TUV/00002298; tham chiếu gốc 1C24TUV/00000749</t>
  </si>
  <si>
    <t>Giảm toàn bộ gốc: 1C24TUV/00000749</t>
  </si>
  <si>
    <t>00002299</t>
  </si>
  <si>
    <t>Đảo khoản 1C25TUV/00002299; tham chiếu gốc 1C24TUV/00000750</t>
  </si>
  <si>
    <t>Giảm toàn bộ gốc: 1C24TUV/00000750</t>
  </si>
  <si>
    <t>00002300</t>
  </si>
  <si>
    <t>Đảo khoản 1C25TUV/00002300; tham chiếu gốc 1C24TUV/00000751</t>
  </si>
  <si>
    <t>Giảm toàn bộ gốc: 1C24TUV/00000751</t>
  </si>
  <si>
    <t>00002301</t>
  </si>
  <si>
    <t>Đảo khoản 1C25TUV/00002301; tham chiếu gốc 1C24TUV/00000752</t>
  </si>
  <si>
    <t>Giảm toàn bộ gốc: 1C24TUV/00000752</t>
  </si>
  <si>
    <t>00002302</t>
  </si>
  <si>
    <t>Đảo khoản 1C25TUV/00002302; tham chiếu gốc 1C24TUV/00000753</t>
  </si>
  <si>
    <t>Giảm toàn bộ gốc: 1C24TUV/00000753</t>
  </si>
  <si>
    <t>00002303</t>
  </si>
  <si>
    <t>Đảo khoản 1C25TUV/00002303; tham chiếu gốc 1C24TUV/00000754</t>
  </si>
  <si>
    <t>Giảm toàn bộ gốc: 1C24TUV/00000754</t>
  </si>
  <si>
    <t>00002304</t>
  </si>
  <si>
    <t>Đảo khoản 1C25TUV/00002304; tham chiếu gốc 1C24TUV/00000755</t>
  </si>
  <si>
    <t>Giảm toàn bộ gốc: 1C24TUV/00000755</t>
  </si>
  <si>
    <t>00002305</t>
  </si>
  <si>
    <t>Đảo khoản 1C25TUV/00002305; tham chiếu gốc 1C24TUV/00000756</t>
  </si>
  <si>
    <t>Giảm toàn bộ gốc: 1C24TUV/00000756</t>
  </si>
  <si>
    <t>00002306</t>
  </si>
  <si>
    <t>Đảo khoản 1C25TUV/00002306; tham chiếu gốc 1C24TUV/00000757</t>
  </si>
  <si>
    <t>Giảm toàn bộ gốc: 1C24TUV/00000757</t>
  </si>
  <si>
    <t>00002307</t>
  </si>
  <si>
    <t>Đảo khoản 1C25TUV/00002307; tham chiếu gốc 1C24TUV/00000758</t>
  </si>
  <si>
    <t>Giảm toàn bộ gốc: 1C24TUV/00000758</t>
  </si>
  <si>
    <t>00002308</t>
  </si>
  <si>
    <t>Đảo khoản 1C25TUV/00002308; tham chiếu gốc 1C24TUV/00000759</t>
  </si>
  <si>
    <t>Giảm toàn bộ gốc: 1C24TUV/00000759</t>
  </si>
  <si>
    <t>00002309</t>
  </si>
  <si>
    <t>Rà 237 chuỗi: F0–F3 đã cộng dồn 0. Gốc có 3 dòng chi tiết: 3 dòng thành tiền khác 0, 0 dòng bằng 0, 0 dòng thiếu thành tiền. Có chi tiết bán; không đánh dấu khuyến mãi theo quy tắc thành tiền = 0. Cờ KM nguyên bản: 0/3 dòng có giá trị. Nguồn: Bang_ke_chi_tiet_HD_da_su_dung_2024.xls | dòng 639–641.; Rà điều chỉnh cũ: 1C25TUV/00002309: chỉ điều chỉnh khoản tổng, 1 dòng; SL/đơn giá đều 0 hoặc trống, không ghi lại từng hàng gốc; tiền chi tiết khác bảng tổng (Bang_ke_chi_tiet_HD_da_su_dung_2025.xls dòng 12593). Chuỗi bằng 0 ở bảng tổng không chứng minh đã giảm chi tiết hàng.</t>
  </si>
  <si>
    <t>Đảo khoản 1C25TUV/00002309; tham chiếu gốc 1C24TUV/00000760 (đã chốt theo XML)</t>
  </si>
  <si>
    <t>Giảm toàn bộ chi tiết gốc 1C24TUV/00000760 (đã chốt làm lại)</t>
  </si>
  <si>
    <t>00002232</t>
  </si>
  <si>
    <t>Đảo khoản 1C25TUV/00002232; tham chiếu gốc 1C24TUV/00000761</t>
  </si>
  <si>
    <t>Giảm toàn bộ gốc: 1C24TUV/00000761</t>
  </si>
  <si>
    <t>00002233</t>
  </si>
  <si>
    <t>Đảo khoản 1C25TUV/00002233; tham chiếu gốc 1C24TUV/00000762</t>
  </si>
  <si>
    <t>Giảm toàn bộ gốc: 1C24TUV/00000762</t>
  </si>
  <si>
    <t>00002359</t>
  </si>
  <si>
    <t>Đảo khoản 1C25TUV/00002359; tham chiếu gốc 1C24TUV/00000763</t>
  </si>
  <si>
    <t>Giảm toàn bộ gốc: 1C24TUV/00000763</t>
  </si>
  <si>
    <t>00002234</t>
  </si>
  <si>
    <t>Đảo khoản 1C25TUV/00002234; tham chiếu gốc 1C24TUV/00000764</t>
  </si>
  <si>
    <t>Giảm toàn bộ gốc: 1C24TUV/00000764</t>
  </si>
  <si>
    <t>00002310</t>
  </si>
  <si>
    <t>Đảo khoản 1C25TUV/00002310; tham chiếu gốc 1C24TUV/00000765</t>
  </si>
  <si>
    <t>Giảm toàn bộ gốc: 1C24TUV/00000765</t>
  </si>
  <si>
    <t>00002311</t>
  </si>
  <si>
    <t>Đảo khoản 1C25TUV/00002311; tham chiếu gốc 1C24TUV/00000766</t>
  </si>
  <si>
    <t>Giảm toàn bộ gốc: 1C24TUV/00000766</t>
  </si>
  <si>
    <t>00002312</t>
  </si>
  <si>
    <t>Đảo khoản 1C25TUV/00002312; tham chiếu gốc 1C24TUV/00000767</t>
  </si>
  <si>
    <t>Giảm toàn bộ gốc: 1C24TUV/00000767</t>
  </si>
  <si>
    <t>00002313</t>
  </si>
  <si>
    <t>Đảo khoản 1C25TUV/00002313; tham chiếu gốc 1C24TUV/00000768</t>
  </si>
  <si>
    <t>Giảm toàn bộ gốc: 1C24TUV/00000768</t>
  </si>
  <si>
    <t>00002360</t>
  </si>
  <si>
    <t>Đảo khoản 1C25TUV/00002360; tham chiếu gốc 1C24TUV/00000769</t>
  </si>
  <si>
    <t>Giảm toàn bộ gốc: 1C24TUV/00000769</t>
  </si>
  <si>
    <t>00002598</t>
  </si>
  <si>
    <t>Đảo khoản 1C25TUV/00002598; tham chiếu gốc 1C24TUV/00000770</t>
  </si>
  <si>
    <t>Giảm toàn bộ gốc: 1C24TUV/00000770</t>
  </si>
  <si>
    <t>00002314</t>
  </si>
  <si>
    <t>Đảo khoản 1C25TUV/00002314; tham chiếu gốc 1C24TUV/00000771</t>
  </si>
  <si>
    <t>Giảm toàn bộ gốc: 1C24TUV/00000771</t>
  </si>
  <si>
    <t>00002641</t>
  </si>
  <si>
    <t>Đảo khoản 1C25TUV/00002641; tham chiếu gốc 1C24TUV/00000772</t>
  </si>
  <si>
    <t>Giảm toàn bộ gốc: 1C24TUV/00000772</t>
  </si>
  <si>
    <t>00002235</t>
  </si>
  <si>
    <t>Đảo khoản 1C25TUV/00002235; tham chiếu gốc 1C24TUV/00000773</t>
  </si>
  <si>
    <t>Giảm toàn bộ gốc: 1C24TUV/00000773</t>
  </si>
  <si>
    <t>00002315</t>
  </si>
  <si>
    <t>Đảo khoản 1C25TUV/00002315; tham chiếu gốc 1C24TUV/00000778</t>
  </si>
  <si>
    <t>Giảm toàn bộ gốc: 1C24TUV/00000778</t>
  </si>
  <si>
    <t>00002578</t>
  </si>
  <si>
    <t>Đã bổ sung theo chốt 19/10/2026; Giảm số lượng gốc, giữ đơn giá dương: 1C24TUV/00000478, STT 2042; Đảo khoản điều chỉnh cũ; chỉ đảo thành tiền, nguồn không có số lượng/đơn giá: 1C25TUV/00002578, STT 2043.</t>
  </si>
  <si>
    <t>Giảm số lượng gốc, giữ đơn giá dương: 1C24TUV/00000478 — STT import 2042</t>
  </si>
  <si>
    <t>Đảo khoản điều chỉnh cũ; chỉ đảo thành tiền, nguồn không có số lượng/đơn giá: 1C25TUV/00002578 — STT import 2043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</si>
</sst>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#.0#####;\-#,###.0#####;0"/>
    <numFmt numFmtId="165" formatCode="_(* #,##0_);_(* \(#,##0\);_(* &quot;-&quot;??_);_(@_)"/>
    <numFmt numFmtId="166" formatCode="_(* #,##0_);_(* \(#,##0\);_(* &quot;-&quot;??????_);_(@_)"/>
    <numFmt numFmtId="167" formatCode="d/m/yyyy"/>
    <numFmt numFmtId="168" formatCode="#,##0;[Red]\(#,##0\);0"/>
    <numFmt numFmtId="169" formatCode="00000000"/>
  </numFmts>
  <fonts count="12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1.0"/>
      <color rgb="FF000000"/>
      <name val="Calibri"/>
    </font>
    <font>
      <b/>
      <sz val="10.0"/>
      <color rgb="FFFFFFFF"/>
      <name val="Arial"/>
    </font>
    <font/>
    <font>
      <sz val="11.0"/>
      <color theme="1"/>
      <name val="Times New Roman"/>
    </font>
    <font>
      <sz val="11.0"/>
      <color theme="1"/>
      <name val="Carlito"/>
    </font>
    <font>
      <sz val="11.0"/>
      <color rgb="FF000000"/>
      <name val="Calibri"/>
    </font>
    <font>
      <sz val="10.0"/>
      <color theme="1"/>
      <name val="Arial"/>
    </font>
    <font>
      <sz val="11.0"/>
      <color theme="1"/>
      <name val="Calibri"/>
    </font>
    <font>
      <b/>
      <sz val="16.0"/>
      <color theme="1"/>
      <name val="Times New Roman"/>
    </font>
    <font>
      <sz val="11.0"/>
      <color rgb="FFFF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1C232"/>
        <bgColor rgb="FFF1C232"/>
      </patternFill>
    </fill>
    <fill>
      <patternFill patternType="solid">
        <fgColor rgb="FF9CC2E5"/>
        <bgColor rgb="FF9CC2E5"/>
      </patternFill>
    </fill>
    <fill>
      <patternFill patternType="solid">
        <fgColor rgb="FFFFCC00"/>
        <bgColor rgb="FFFFCC00"/>
      </patternFill>
    </fill>
    <fill>
      <patternFill patternType="solid">
        <fgColor rgb="FF243746"/>
        <bgColor rgb="FF243746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D5A6BD"/>
        <bgColor rgb="FFD5A6BD"/>
      </patternFill>
    </fill>
    <fill>
      <patternFill patternType="solid">
        <fgColor rgb="FF315F77"/>
        <bgColor rgb="FF315F77"/>
      </patternFill>
    </fill>
    <fill>
      <patternFill patternType="solid">
        <fgColor rgb="FF526579"/>
        <bgColor rgb="FF526579"/>
      </patternFill>
    </fill>
    <fill>
      <patternFill patternType="solid">
        <fgColor rgb="FF546C54"/>
        <bgColor rgb="FF546C54"/>
      </patternFill>
    </fill>
    <fill>
      <patternFill patternType="solid">
        <fgColor rgb="FF657F65"/>
        <bgColor rgb="FF657F65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165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horizontal="center"/>
    </xf>
    <xf borderId="1" fillId="2" fontId="2" numFmtId="165" xfId="0" applyAlignment="1" applyBorder="1" applyFill="1" applyFont="1" applyNumberFormat="1">
      <alignment vertical="center"/>
    </xf>
    <xf borderId="1" fillId="2" fontId="2" numFmtId="165" xfId="0" applyAlignment="1" applyBorder="1" applyFill="1" applyFont="1" applyNumberForma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1" fillId="7" fontId="2" numFmtId="165" xfId="0" applyAlignment="1" applyBorder="1" applyFill="1" applyFont="1" applyNumberFormat="1">
      <alignment horizontal="center" vertical="center"/>
    </xf>
    <xf borderId="3" fillId="0" fontId="4" numFmtId="0" xfId="0" applyBorder="1" applyFont="1"/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2" fillId="10" fontId="3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49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 shrinkToFit="0" wrapText="1"/>
    </xf>
    <xf borderId="2" fillId="11" fontId="3" numFmtId="0" xfId="0" applyAlignment="1" applyBorder="1" applyFill="1" applyFont="1">
      <alignment horizontal="center" vertical="center"/>
    </xf>
    <xf borderId="1" fillId="0" fontId="5" numFmtId="49" xfId="0" applyAlignment="1" applyBorder="1" applyFont="1" applyNumberFormat="1">
      <alignment horizontal="center" shrinkToFit="0" wrapText="1"/>
    </xf>
    <xf borderId="1" fillId="0" fontId="5" numFmtId="14" xfId="0" applyAlignment="1" applyBorder="1" applyFont="1" applyNumberFormat="1">
      <alignment horizontal="center"/>
    </xf>
    <xf borderId="0" fillId="0" fontId="6" numFmtId="0" xfId="0" applyFont="1"/>
    <xf borderId="1" fillId="0" fontId="5" numFmtId="164" xfId="0" applyAlignment="1" applyBorder="1" applyFont="1" applyNumberFormat="1">
      <alignment horizontal="center"/>
    </xf>
    <xf borderId="1" fillId="3" fontId="7" numFmtId="0" xfId="0" applyBorder="1" applyFill="1" applyFont="1"/>
    <xf borderId="1" fillId="0" fontId="7" numFmtId="0" xfId="0" applyBorder="1" applyFont="1"/>
    <xf borderId="1" fillId="4" fontId="7" numFmtId="0" xfId="0" applyBorder="1" applyFill="1" applyFont="1"/>
    <xf borderId="1" fillId="4" fontId="7" numFmtId="165" xfId="0" applyBorder="1" applyFill="1" applyFont="1" applyNumberFormat="1"/>
    <xf borderId="1" fillId="2" fontId="7" numFmtId="0" xfId="0" applyBorder="1" applyFill="1" applyFont="1"/>
    <xf borderId="1" fillId="2" fontId="7" numFmtId="165" xfId="0" applyBorder="1" applyFill="1" applyFont="1" applyNumberFormat="1"/>
    <xf borderId="5" fillId="6" fontId="3" numFmtId="0" xfId="0" applyAlignment="1" applyBorder="1" applyFill="1" applyFont="1">
      <alignment horizontal="center" readingOrder="0" shrinkToFit="0" vertical="center" wrapText="1"/>
    </xf>
    <xf borderId="2" fillId="12" fontId="3" numFmtId="0" xfId="0" applyAlignment="1" applyBorder="1" applyFill="1" applyFont="1">
      <alignment horizontal="center" shrinkToFit="0" vertical="center" wrapText="1"/>
    </xf>
    <xf borderId="2" fillId="13" fontId="3" numFmtId="0" xfId="0" applyAlignment="1" applyBorder="1" applyFill="1" applyFont="1">
      <alignment horizontal="center" shrinkToFit="0" vertical="center" wrapText="1"/>
    </xf>
    <xf borderId="1" fillId="7" fontId="7" numFmtId="165" xfId="0" applyBorder="1" applyFill="1" applyFont="1" applyNumberFormat="1"/>
    <xf borderId="5" fillId="10" fontId="3" numFmtId="0" xfId="0" applyAlignment="1" applyBorder="1" applyFill="1" applyFont="1">
      <alignment horizontal="center" readingOrder="0" shrinkToFit="0" vertical="center" wrapText="1"/>
    </xf>
    <xf borderId="1" fillId="8" fontId="7" numFmtId="166" xfId="0" applyBorder="1" applyFill="1" applyFont="1" applyNumberFormat="1"/>
    <xf borderId="2" fillId="6" fontId="3" numFmtId="0" xfId="0" applyAlignment="1" applyBorder="1" applyFill="1" applyFont="1">
      <alignment horizontal="center" shrinkToFit="0" vertical="center" wrapText="1"/>
    </xf>
    <xf borderId="1" fillId="9" fontId="7" numFmtId="0" xfId="0" applyBorder="1" applyFill="1" applyFont="1"/>
    <xf borderId="0" fillId="0" fontId="7" numFmtId="0" xfId="0" applyFont="1"/>
    <xf borderId="5" fillId="11" fontId="3" numFmtId="0" xfId="0" applyAlignment="1" applyBorder="1" applyFill="1" applyFont="1">
      <alignment horizontal="center" readingOrder="0" shrinkToFit="0" vertical="center" wrapText="1"/>
    </xf>
    <xf borderId="1" fillId="4" fontId="7" numFmtId="1" xfId="0" applyBorder="1" applyFill="1" applyFont="1" applyNumberFormat="1"/>
    <xf borderId="1" fillId="7" fontId="7" numFmtId="0" xfId="0" applyBorder="1" applyFill="1" applyFont="1"/>
    <xf borderId="1" fillId="0" fontId="5" numFmtId="167" xfId="0" applyAlignment="1" applyBorder="1" applyFont="1" applyNumberFormat="1">
      <alignment horizontal="center"/>
    </xf>
    <xf borderId="0" fillId="0" fontId="8" numFmtId="0" xfId="0" applyAlignment="1" applyFont="1">
      <alignment shrinkToFit="0" vertical="center" wrapText="1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4" xfId="0" applyAlignment="1" applyFont="1" applyNumberFormat="1">
      <alignment shrinkToFit="0" vertical="center" wrapText="0"/>
    </xf>
    <xf borderId="0" fillId="0" fontId="8" numFmtId="168" xfId="0" applyAlignment="1" applyFont="1" applyNumberFormat="1">
      <alignment horizontal="right" shrinkToFit="0" vertical="center" wrapText="0"/>
    </xf>
    <xf borderId="0" fillId="0" fontId="8" numFmtId="169" xfId="0" applyAlignment="1" applyFont="1" applyNumberFormat="1">
      <alignment shrinkToFit="0" vertical="center" wrapText="0"/>
    </xf>
    <xf borderId="5" fillId="12" fontId="3" numFmtId="0" xfId="0" applyAlignment="1" applyBorder="1" applyFill="1" applyFont="1">
      <alignment horizontal="center" readingOrder="0" shrinkToFit="0" vertical="center" wrapText="1"/>
    </xf>
    <xf borderId="5" fillId="13" fontId="3" numFmtId="0" xfId="0" applyAlignment="1" applyBorder="1" applyFill="1" applyFont="1">
      <alignment horizontal="center" readingOrder="0" shrinkToFit="0" vertical="center" wrapText="1"/>
    </xf>
    <xf borderId="1" fillId="9" fontId="7" numFmtId="0" xfId="0" applyAlignment="1" applyBorder="1" applyFill="1" applyFont="1">
      <alignment readingOrder="0" shrinkToFit="0" wrapText="1"/>
    </xf>
    <xf borderId="6" fillId="9" fontId="7" numFmtId="0" xfId="0" applyAlignment="1" applyBorder="1" applyFill="1" applyFont="1">
      <alignment vertical="center"/>
    </xf>
    <xf borderId="1" fillId="4" fontId="7" numFmtId="0" xfId="0" applyAlignment="1" applyBorder="1" applyFill="1" applyFont="1">
      <alignment readingOrder="0"/>
    </xf>
    <xf borderId="7" fillId="0" fontId="4" numFmtId="0" xfId="0" applyBorder="1" applyFont="1"/>
    <xf borderId="8" fillId="0" fontId="4" numFmtId="0" xfId="0" applyBorder="1" applyFont="1"/>
    <xf borderId="1" fillId="14" fontId="5" numFmtId="49" xfId="0" applyAlignment="1" applyBorder="1" applyFill="1" applyFont="1" applyNumberFormat="1">
      <alignment horizontal="left" shrinkToFit="0" wrapText="1"/>
    </xf>
    <xf borderId="1" fillId="14" fontId="5" numFmtId="0" xfId="0" applyAlignment="1" applyBorder="1" applyFill="1" applyFont="1">
      <alignment horizontal="center" shrinkToFit="0" wrapText="1"/>
    </xf>
    <xf borderId="1" fillId="14" fontId="5" numFmtId="49" xfId="0" applyAlignment="1" applyBorder="1" applyFill="1" applyFont="1" applyNumberFormat="1">
      <alignment horizontal="center" shrinkToFit="0" wrapText="1"/>
    </xf>
    <xf borderId="1" fillId="14" fontId="5" numFmtId="164" xfId="0" applyAlignment="1" applyBorder="1" applyFill="1" applyFont="1" applyNumberFormat="1">
      <alignment horizontal="center"/>
    </xf>
    <xf quotePrefix="1" borderId="1" fillId="3" fontId="7" numFmtId="0" xfId="0" applyBorder="1" applyFill="1" applyFont="1"/>
    <xf borderId="0" fillId="0" fontId="9" numFmtId="0" xfId="0" applyAlignment="1" applyFont="1">
      <alignment shrinkToFit="0" wrapText="1"/>
    </xf>
    <xf borderId="0" fillId="0" fontId="9" numFmtId="165" xfId="0" applyFont="1" applyNumberFormat="1"/>
    <xf borderId="9" fillId="0" fontId="9" numFmtId="0" xfId="0" applyAlignment="1" applyBorder="1" applyFont="1">
      <alignment shrinkToFit="0" wrapText="1"/>
    </xf>
    <xf borderId="10" fillId="0" fontId="4" numFmtId="0" xfId="0" applyBorder="1" applyFont="1"/>
    <xf borderId="11" fillId="0" fontId="4" numFmtId="0" xfId="0" applyBorder="1" applyFont="1"/>
    <xf borderId="12" fillId="0" fontId="9" numFmtId="0" xfId="0" applyAlignment="1" applyBorder="1" applyFont="1">
      <alignment shrinkToFit="0" wrapText="1"/>
    </xf>
    <xf borderId="9" fillId="0" fontId="10" numFmtId="0" xfId="0" applyAlignment="1" applyBorder="1" applyFont="1">
      <alignment horizontal="center" shrinkToFit="0" wrapText="1"/>
    </xf>
    <xf borderId="13" fillId="0" fontId="9" numFmtId="0" xfId="0" applyAlignment="1" applyBorder="1" applyFont="1">
      <alignment shrinkToFit="0" wrapText="1"/>
    </xf>
    <xf borderId="13" fillId="0" fontId="9" numFmtId="0" xfId="0" applyAlignment="1" applyBorder="1" applyFont="1">
      <alignment horizontal="right" shrinkToFit="0" wrapText="1"/>
    </xf>
    <xf borderId="14" fillId="15" fontId="1" numFmtId="0" xfId="0" applyAlignment="1" applyBorder="1" applyFill="1" applyFont="1">
      <alignment horizontal="center" shrinkToFit="0" wrapText="1"/>
    </xf>
    <xf borderId="15" fillId="15" fontId="1" numFmtId="0" xfId="0" applyAlignment="1" applyBorder="1" applyFill="1" applyFont="1">
      <alignment horizontal="center" shrinkToFit="0" wrapText="1"/>
    </xf>
    <xf borderId="14" fillId="0" fontId="5" numFmtId="0" xfId="0" applyAlignment="1" applyBorder="1" applyFont="1">
      <alignment horizontal="center" shrinkToFit="0" wrapText="1"/>
    </xf>
    <xf borderId="15" fillId="0" fontId="5" numFmtId="0" xfId="0" applyAlignment="1" applyBorder="1" applyFont="1">
      <alignment shrinkToFit="0" wrapText="1"/>
    </xf>
    <xf borderId="15" fillId="0" fontId="5" numFmtId="14" xfId="0" applyAlignment="1" applyBorder="1" applyFont="1" applyNumberFormat="1">
      <alignment shrinkToFit="0" wrapText="1"/>
    </xf>
    <xf borderId="15" fillId="0" fontId="5" numFmtId="0" xfId="0" applyAlignment="1" applyBorder="1" applyFont="1">
      <alignment horizontal="right" shrinkToFit="0" wrapText="1"/>
    </xf>
    <xf borderId="15" fillId="0" fontId="5" numFmtId="9" xfId="0" applyAlignment="1" applyBorder="1" applyFont="1" applyNumberFormat="1">
      <alignment horizontal="right" shrinkToFit="0" wrapText="1"/>
    </xf>
    <xf borderId="15" fillId="0" fontId="9" numFmtId="0" xfId="0" applyAlignment="1" applyBorder="1" applyFont="1">
      <alignment shrinkToFit="0" wrapText="1"/>
    </xf>
    <xf borderId="15" fillId="0" fontId="11" numFmtId="0" xfId="0" applyAlignment="1" applyBorder="1" applyFont="1">
      <alignment shrinkToFit="0" wrapText="1"/>
    </xf>
    <xf borderId="14" fillId="16" fontId="5" numFmtId="0" xfId="0" applyAlignment="1" applyBorder="1" applyFill="1" applyFont="1">
      <alignment horizontal="center" shrinkToFit="0" wrapText="1"/>
    </xf>
    <xf borderId="15" fillId="16" fontId="5" numFmtId="0" xfId="0" applyAlignment="1" applyBorder="1" applyFill="1" applyFont="1">
      <alignment shrinkToFit="0" wrapText="1"/>
    </xf>
    <xf borderId="15" fillId="16" fontId="5" numFmtId="14" xfId="0" applyAlignment="1" applyBorder="1" applyFill="1" applyFont="1" applyNumberFormat="1">
      <alignment shrinkToFit="0" wrapText="1"/>
    </xf>
    <xf borderId="15" fillId="16" fontId="5" numFmtId="0" xfId="0" applyAlignment="1" applyBorder="1" applyFill="1" applyFont="1">
      <alignment horizontal="right" shrinkToFit="0" wrapText="1"/>
    </xf>
    <xf borderId="15" fillId="16" fontId="5" numFmtId="9" xfId="0" applyAlignment="1" applyBorder="1" applyFill="1" applyFont="1" applyNumberFormat="1">
      <alignment horizontal="right" shrinkToFit="0" wrapText="1"/>
    </xf>
    <xf borderId="15" fillId="16" fontId="9" numFmtId="0" xfId="0" applyAlignment="1" applyBorder="1" applyFill="1" applyFont="1">
      <alignment shrinkToFit="0" wrapText="1"/>
    </xf>
    <xf borderId="12" fillId="16" fontId="9" numFmtId="0" xfId="0" applyAlignment="1" applyBorder="1" applyFill="1" applyFont="1">
      <alignment shrinkToFit="0" wrapText="1"/>
    </xf>
    <xf borderId="13" fillId="16" fontId="9" numFmtId="0" xfId="0" applyAlignment="1" applyBorder="1" applyFill="1" applyFont="1">
      <alignment vertical="center"/>
    </xf>
    <xf borderId="13" fillId="0" fontId="9" numFmtId="0" xfId="0" applyAlignment="1" applyBorder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Ngoai 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0, F1, F2, ..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Kiem_tra_ton_kho_import_2024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iktok"/>
      <sheetName val="Shopee"/>
      <sheetName val="Lazada"/>
      <sheetName val="NgoaiSan"/>
      <sheetName val="Ton_kho_RAW"/>
      <sheetName val="Tong_hop_ton_kho"/>
      <sheetName val="ChanDoan_DuLieu"/>
      <sheetName val="TomTat_TheoMa"/>
      <sheetName val="ChiTiet_DienBie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ref="A2:BD594" displayName="DieuChinhChuoi" name="DieuChinhChuoi" id="2">
  <tableColumns count="56">
    <tableColumn name="Ký hiệu" id="1"/>
    <tableColumn name="Năm" id="2"/>
    <tableColumn name="Số hóa đơn" id="3"/>
    <tableColumn name="Ngày" id="4"/>
    <tableColumn name="Tiền hàng" id="5"/>
    <tableColumn name="Thuế" id="6"/>
    <tableColumn name="Thanh toán" id="7"/>
    <tableColumn name="Ký hiệu 1" id="8"/>
    <tableColumn name="Số hóa đơn 1" id="9"/>
    <tableColumn name="Ngày 1" id="10"/>
    <tableColumn name="Tiền hàng 1" id="11"/>
    <tableColumn name="Thuế 1" id="12"/>
    <tableColumn name="Thanh toán 1" id="13"/>
    <tableColumn name="Ký hiệu 2" id="14"/>
    <tableColumn name="Số hóa đơn 2" id="15"/>
    <tableColumn name="Ngày 2" id="16"/>
    <tableColumn name="Tiền hàng 2" id="17"/>
    <tableColumn name="Thuế 2" id="18"/>
    <tableColumn name="Thanh toán 2" id="19"/>
    <tableColumn name="Ký hiệu 3" id="20"/>
    <tableColumn name="Số hóa đơn 3" id="21"/>
    <tableColumn name="Ngày 3" id="22"/>
    <tableColumn name="Tiền hàng 3" id="23"/>
    <tableColumn name="Thuế 3" id="24"/>
    <tableColumn name="Thanh toán 3" id="25"/>
    <tableColumn name="Cộng dồn tiền hàng" id="26"/>
    <tableColumn name="Cộng dồn thuế" id="27"/>
    <tableColumn name="Cộng dồn thanh toán" id="28"/>
    <tableColumn name="Cần kiểm tra" id="29"/>
    <tableColumn name="Nội dung F4 / HĐ tham chiếu" id="30"/>
    <tableColumn name="Số HĐ mới F4" id="31"/>
    <tableColumn name="Ngày HĐ mới F4" id="32"/>
    <tableColumn name="Tiền hàng F4" id="33"/>
    <tableColumn name="Thuế F4" id="34"/>
    <tableColumn name="Thanh toán F4" id="35"/>
    <tableColumn name="Nội dung F5 / HĐ tham chiếu" id="36"/>
    <tableColumn name="Số HĐ mới F5" id="37"/>
    <tableColumn name="Ngày HĐ mới F5" id="38"/>
    <tableColumn name="Tiền hàng F5" id="39"/>
    <tableColumn name="Thuế F5" id="40"/>
    <tableColumn name="Thanh toán F5" id="41"/>
    <tableColumn name="Nội dung F6 / HĐ tham chiếu" id="42"/>
    <tableColumn name="Số HĐ mới F6" id="43"/>
    <tableColumn name="Ngày HĐ mới F6" id="44"/>
    <tableColumn name="Tiền hàng F6" id="45"/>
    <tableColumn name="Thuế F6" id="46"/>
    <tableColumn name="Thanh toán F6" id="47"/>
    <tableColumn name="Nội dung F7 / HĐ tham chiếu" id="48"/>
    <tableColumn name="Số HĐ mới F7" id="49"/>
    <tableColumn name="Ngày HĐ mới F7" id="50"/>
    <tableColumn name="Tiền hàng F7" id="51"/>
    <tableColumn name="Thuế F7" id="52"/>
    <tableColumn name="Thanh toán F7" id="53"/>
    <tableColumn name="Cộng dồn tiền hàng sau dự kiến" id="54"/>
    <tableColumn name="Cộng dồn thuế sau dự kiến" id="55"/>
    <tableColumn name="Cộng dồn thanh toán sau dự kiến" id="56"/>
  </tableColumns>
  <tableStyleInfo name="F0, F1, F2, ...-style" showColumnStripes="0" showFirstColumn="1" showLastColumn="1" showRowStripes="1"/>
</table>
</file>

<file path=xl/tables/table2.xml><?xml version="1.0" encoding="utf-8"?>
<table xmlns="http://schemas.openxmlformats.org/spreadsheetml/2006/main" ref="A2:X119" displayName="NgoaiLeChuoi" name="NgoaiLeChuoi" id="1">
  <tableColumns count="24">
    <tableColumn name="Tên người mua" id="1"/>
    <tableColumn name="MST/CCCD chủ hộ nguyên bản" id="2"/>
    <tableColumn name="Ký hiệu" id="3"/>
    <tableColumn name="Số hóa đơn" id="4"/>
    <tableColumn name="Ngày" id="5"/>
    <tableColumn name="Tiền hàng" id="6"/>
    <tableColumn name="Thuế" id="7"/>
    <tableColumn name="Thanh toán" id="8"/>
    <tableColumn name="Ký hiệu sửa 1" id="9"/>
    <tableColumn name="Số hóa đơn sửa 1" id="10"/>
    <tableColumn name="Ngày sửa 1" id="11"/>
    <tableColumn name="Tiền hàng sửa 1" id="12"/>
    <tableColumn name="Thuế sửa 1" id="13"/>
    <tableColumn name="Thanh toán sửa 1" id="14"/>
    <tableColumn name="Ký hiệu sửa 2" id="15"/>
    <tableColumn name="Số hóa đơn sửa 2" id="16"/>
    <tableColumn name="Ngày sửa 2" id="17"/>
    <tableColumn name="Tiền hàng sửa 2" id="18"/>
    <tableColumn name="Thuế sửa 2" id="19"/>
    <tableColumn name="Thanh toán sửa 2" id="20"/>
    <tableColumn name="Cộng dồn tiền hàng" id="21"/>
    <tableColumn name="Cộng dồn thuế" id="22"/>
    <tableColumn name="Cộng dồn thanh toán" id="23"/>
    <tableColumn name="Cần kiểm tra" id="24"/>
  </tableColumns>
  <tableStyleInfo name="Ngoai 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12.14"/>
    <col customWidth="1" min="2" max="2" width="6.86"/>
    <col customWidth="1" min="3" max="3" width="9.86"/>
    <col customWidth="1" min="4" max="4" width="14.57"/>
    <col customWidth="1" min="5" max="5" width="17.71"/>
    <col customWidth="1" hidden="1" min="6" max="6" width="57.43"/>
    <col customWidth="1" min="7" max="7" width="11.29"/>
    <col customWidth="1" min="8" max="8" width="10.29"/>
    <col customWidth="1" min="9" max="9" width="11.29"/>
    <col customWidth="1" min="10" max="10" width="21.14"/>
    <col customWidth="1" min="11" max="11" width="19.14"/>
    <col customWidth="1" min="12" max="12" width="12.14"/>
    <col customWidth="1" min="13" max="13" width="18.43"/>
    <col customWidth="1" min="14" max="15" width="12.14"/>
    <col customWidth="1" min="16" max="16" width="11.43"/>
    <col customWidth="1" min="17" max="18" width="10.57"/>
    <col customWidth="1" min="19" max="19" width="10.14"/>
    <col customWidth="1" min="20" max="20" width="27.14"/>
    <col customWidth="1" min="21" max="21" width="22.29"/>
    <col customWidth="1" min="22" max="23" width="18.14"/>
    <col customWidth="1" min="24" max="24" width="36.57"/>
    <col customWidth="1" min="25" max="26" width="57.4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4" t="s">
        <v>11</v>
      </c>
      <c r="M1" s="5" t="s">
        <v>13</v>
      </c>
      <c r="N1" s="5" t="s">
        <v>14</v>
      </c>
      <c r="O1" s="6" t="s">
        <v>6</v>
      </c>
      <c r="P1" s="6" t="s">
        <v>7</v>
      </c>
      <c r="Q1" s="7" t="s">
        <v>15</v>
      </c>
      <c r="R1" s="9" t="s">
        <v>6</v>
      </c>
      <c r="S1" s="10" t="s">
        <v>7</v>
      </c>
      <c r="T1" s="12" t="s">
        <v>21</v>
      </c>
      <c r="U1" s="12" t="s">
        <v>25</v>
      </c>
      <c r="V1" s="14" t="s">
        <v>28</v>
      </c>
      <c r="W1" s="14" t="s">
        <v>32</v>
      </c>
      <c r="X1" s="15" t="s">
        <v>35</v>
      </c>
      <c r="Y1" s="16"/>
      <c r="Z1" s="18"/>
    </row>
    <row r="2" ht="14.25" customHeight="1">
      <c r="A2" s="20" t="s">
        <v>40</v>
      </c>
      <c r="B2" s="22">
        <v>634.0</v>
      </c>
      <c r="C2" s="24" t="s">
        <v>44</v>
      </c>
      <c r="D2" s="24" t="s">
        <v>47</v>
      </c>
      <c r="E2" s="20" t="s">
        <v>49</v>
      </c>
      <c r="F2" s="20" t="s">
        <v>50</v>
      </c>
      <c r="G2" s="27">
        <v>1517593.0</v>
      </c>
      <c r="H2" s="27">
        <v>121407.0</v>
      </c>
      <c r="I2" s="27">
        <v>1639000.0</v>
      </c>
      <c r="J2" s="20" t="s">
        <v>56</v>
      </c>
      <c r="K2" s="28" t="s">
        <v>60</v>
      </c>
      <c r="L2" s="29" t="s">
        <v>62</v>
      </c>
      <c r="M2" s="30" t="s">
        <v>66</v>
      </c>
      <c r="N2" s="30"/>
      <c r="O2" s="31">
        <v>1702778.0</v>
      </c>
      <c r="P2" s="31">
        <v>136222.0</v>
      </c>
      <c r="Q2" s="32" t="s">
        <v>69</v>
      </c>
      <c r="R2" s="33">
        <v>185185.0</v>
      </c>
      <c r="S2" s="33">
        <v>14815.0</v>
      </c>
      <c r="T2" s="37">
        <f t="shared" ref="T2:U2" si="1">G2+R2</f>
        <v>1702778</v>
      </c>
      <c r="U2" s="37">
        <f t="shared" si="1"/>
        <v>136222</v>
      </c>
      <c r="V2" s="39">
        <f t="shared" ref="V2:W2" si="2">O2-G2-R2</f>
        <v>0</v>
      </c>
      <c r="W2" s="39">
        <f t="shared" si="2"/>
        <v>0</v>
      </c>
      <c r="X2" s="41"/>
      <c r="Y2" s="42"/>
      <c r="Z2" s="42"/>
    </row>
    <row r="3" ht="14.25" customHeight="1">
      <c r="A3" s="20" t="s">
        <v>40</v>
      </c>
      <c r="B3" s="22">
        <v>642.0</v>
      </c>
      <c r="C3" s="24" t="s">
        <v>118</v>
      </c>
      <c r="D3" s="24" t="s">
        <v>119</v>
      </c>
      <c r="E3" s="20" t="s">
        <v>121</v>
      </c>
      <c r="F3" s="20" t="s">
        <v>123</v>
      </c>
      <c r="G3" s="27">
        <v>2480556.0</v>
      </c>
      <c r="H3" s="27">
        <v>198444.0</v>
      </c>
      <c r="I3" s="27">
        <v>2679000.0</v>
      </c>
      <c r="J3" s="20" t="s">
        <v>56</v>
      </c>
      <c r="K3" s="28" t="s">
        <v>127</v>
      </c>
      <c r="L3" s="29" t="s">
        <v>62</v>
      </c>
      <c r="M3" s="30" t="s">
        <v>128</v>
      </c>
      <c r="N3" s="30"/>
      <c r="O3" s="31">
        <v>2573148.0</v>
      </c>
      <c r="P3" s="31">
        <v>205852.0</v>
      </c>
      <c r="Q3" s="32" t="s">
        <v>131</v>
      </c>
      <c r="R3" s="33">
        <v>92592.0</v>
      </c>
      <c r="S3" s="33">
        <v>7407.0</v>
      </c>
      <c r="T3" s="37">
        <f t="shared" ref="T3:U3" si="3">G3+R3</f>
        <v>2573148</v>
      </c>
      <c r="U3" s="37">
        <f t="shared" si="3"/>
        <v>205851</v>
      </c>
      <c r="V3" s="39">
        <f t="shared" ref="V3:W3" si="4">O3-G3-R3</f>
        <v>0</v>
      </c>
      <c r="W3" s="39">
        <f t="shared" si="4"/>
        <v>1</v>
      </c>
      <c r="X3" s="41"/>
      <c r="Y3" s="42"/>
      <c r="Z3" s="42"/>
    </row>
    <row r="4" ht="14.25" customHeight="1">
      <c r="A4" s="20" t="s">
        <v>40</v>
      </c>
      <c r="B4" s="22">
        <v>650.0</v>
      </c>
      <c r="C4" s="24" t="s">
        <v>146</v>
      </c>
      <c r="D4" s="24" t="s">
        <v>148</v>
      </c>
      <c r="E4" s="20" t="s">
        <v>149</v>
      </c>
      <c r="F4" s="20" t="s">
        <v>151</v>
      </c>
      <c r="G4" s="27">
        <v>2.5555556E7</v>
      </c>
      <c r="H4" s="27">
        <v>2044444.0</v>
      </c>
      <c r="I4" s="27">
        <v>2.76E7</v>
      </c>
      <c r="J4" s="20" t="s">
        <v>57</v>
      </c>
      <c r="K4" s="28" t="s">
        <v>156</v>
      </c>
      <c r="L4" s="29" t="s">
        <v>157</v>
      </c>
      <c r="M4" s="30" t="s">
        <v>158</v>
      </c>
      <c r="N4" s="30"/>
      <c r="O4" s="44">
        <v>2.5555556E7</v>
      </c>
      <c r="P4" s="44">
        <v>2044444.0</v>
      </c>
      <c r="Q4" s="32"/>
      <c r="R4" s="32"/>
      <c r="S4" s="32"/>
      <c r="T4" s="45"/>
      <c r="U4" s="45"/>
      <c r="V4" s="39">
        <f t="shared" ref="V4:W4" si="5">O4-G4-R4</f>
        <v>0</v>
      </c>
      <c r="W4" s="39">
        <f t="shared" si="5"/>
        <v>0</v>
      </c>
      <c r="X4" s="41"/>
      <c r="Y4" s="42"/>
      <c r="Z4" s="42"/>
    </row>
    <row r="5" ht="14.25" customHeight="1">
      <c r="A5" s="20" t="s">
        <v>40</v>
      </c>
      <c r="B5" s="22">
        <v>651.0</v>
      </c>
      <c r="C5" s="24" t="s">
        <v>176</v>
      </c>
      <c r="D5" s="24" t="s">
        <v>177</v>
      </c>
      <c r="E5" s="20" t="s">
        <v>179</v>
      </c>
      <c r="F5" s="20" t="s">
        <v>180</v>
      </c>
      <c r="G5" s="27">
        <v>2573148.0</v>
      </c>
      <c r="H5" s="27">
        <v>205852.0</v>
      </c>
      <c r="I5" s="27">
        <v>2779000.0</v>
      </c>
      <c r="J5" s="20" t="s">
        <v>57</v>
      </c>
      <c r="K5" s="28" t="s">
        <v>183</v>
      </c>
      <c r="L5" s="29" t="s">
        <v>62</v>
      </c>
      <c r="M5" s="30" t="s">
        <v>184</v>
      </c>
      <c r="N5" s="30"/>
      <c r="O5" s="44">
        <v>2573148.0</v>
      </c>
      <c r="P5" s="44">
        <v>205852.0</v>
      </c>
      <c r="Q5" s="32"/>
      <c r="R5" s="32"/>
      <c r="S5" s="32"/>
      <c r="T5" s="45"/>
      <c r="U5" s="45"/>
      <c r="V5" s="39">
        <f t="shared" ref="V5:W5" si="6">O5-G5-R5</f>
        <v>0</v>
      </c>
      <c r="W5" s="39">
        <f t="shared" si="6"/>
        <v>0</v>
      </c>
      <c r="X5" s="41"/>
      <c r="Y5" s="42"/>
      <c r="Z5" s="42"/>
    </row>
    <row r="6" ht="14.25" customHeight="1">
      <c r="A6" s="20" t="s">
        <v>40</v>
      </c>
      <c r="B6" s="22">
        <v>659.0</v>
      </c>
      <c r="C6" s="24" t="s">
        <v>191</v>
      </c>
      <c r="D6" s="24" t="s">
        <v>192</v>
      </c>
      <c r="E6" s="20" t="s">
        <v>194</v>
      </c>
      <c r="F6" s="20" t="s">
        <v>195</v>
      </c>
      <c r="G6" s="27">
        <v>2397221.0</v>
      </c>
      <c r="H6" s="27">
        <v>191778.0</v>
      </c>
      <c r="I6" s="27">
        <v>2588999.0</v>
      </c>
      <c r="J6" s="20" t="s">
        <v>56</v>
      </c>
      <c r="K6" s="28" t="s">
        <v>196</v>
      </c>
      <c r="L6" s="29" t="s">
        <v>198</v>
      </c>
      <c r="M6" s="30" t="s">
        <v>200</v>
      </c>
      <c r="N6" s="30"/>
      <c r="O6" s="31">
        <v>2813888.0</v>
      </c>
      <c r="P6" s="31">
        <v>225111.0</v>
      </c>
      <c r="Q6" s="32" t="s">
        <v>202</v>
      </c>
      <c r="R6" s="33">
        <v>416667.0</v>
      </c>
      <c r="S6" s="33">
        <v>33333.0</v>
      </c>
      <c r="T6" s="37">
        <f t="shared" ref="T6:U6" si="7">G6+R6</f>
        <v>2813888</v>
      </c>
      <c r="U6" s="37">
        <f t="shared" si="7"/>
        <v>225111</v>
      </c>
      <c r="V6" s="39">
        <f t="shared" ref="V6:W6" si="8">O6-G6-R6</f>
        <v>0</v>
      </c>
      <c r="W6" s="39">
        <f t="shared" si="8"/>
        <v>0</v>
      </c>
      <c r="X6" s="41"/>
      <c r="Y6" s="42"/>
      <c r="Z6" s="42"/>
    </row>
    <row r="7" ht="14.25" customHeight="1">
      <c r="A7" s="20" t="s">
        <v>40</v>
      </c>
      <c r="B7" s="22">
        <v>660.0</v>
      </c>
      <c r="C7" s="24" t="s">
        <v>215</v>
      </c>
      <c r="D7" s="24" t="s">
        <v>217</v>
      </c>
      <c r="E7" s="20" t="s">
        <v>218</v>
      </c>
      <c r="F7" s="20" t="s">
        <v>220</v>
      </c>
      <c r="G7" s="27">
        <v>2276870.0</v>
      </c>
      <c r="H7" s="27">
        <v>182150.0</v>
      </c>
      <c r="I7" s="27">
        <v>2459020.0</v>
      </c>
      <c r="J7" s="20" t="s">
        <v>56</v>
      </c>
      <c r="K7" s="28" t="s">
        <v>221</v>
      </c>
      <c r="L7" s="29" t="s">
        <v>62</v>
      </c>
      <c r="M7" s="30" t="s">
        <v>223</v>
      </c>
      <c r="N7" s="30"/>
      <c r="O7" s="31">
        <v>2573148.0</v>
      </c>
      <c r="P7" s="31">
        <v>205852.0</v>
      </c>
      <c r="Q7" s="32" t="s">
        <v>225</v>
      </c>
      <c r="R7" s="33">
        <v>296278.0</v>
      </c>
      <c r="S7" s="33">
        <v>23702.0</v>
      </c>
      <c r="T7" s="37">
        <f t="shared" ref="T7:U7" si="9">G7+R7</f>
        <v>2573148</v>
      </c>
      <c r="U7" s="37">
        <f t="shared" si="9"/>
        <v>205852</v>
      </c>
      <c r="V7" s="39">
        <f t="shared" ref="V7:W7" si="10">O7-G7-R7</f>
        <v>0</v>
      </c>
      <c r="W7" s="39">
        <f t="shared" si="10"/>
        <v>0</v>
      </c>
      <c r="X7" s="41"/>
      <c r="Y7" s="42"/>
      <c r="Z7" s="42"/>
    </row>
    <row r="8" ht="14.25" customHeight="1">
      <c r="A8" s="20" t="s">
        <v>40</v>
      </c>
      <c r="B8" s="22">
        <v>661.0</v>
      </c>
      <c r="C8" s="24" t="s">
        <v>236</v>
      </c>
      <c r="D8" s="24" t="s">
        <v>237</v>
      </c>
      <c r="E8" s="20" t="s">
        <v>238</v>
      </c>
      <c r="F8" s="20" t="s">
        <v>240</v>
      </c>
      <c r="G8" s="27">
        <v>2315833.0</v>
      </c>
      <c r="H8" s="27">
        <v>185267.0</v>
      </c>
      <c r="I8" s="27">
        <v>2501100.0</v>
      </c>
      <c r="J8" s="20" t="s">
        <v>56</v>
      </c>
      <c r="K8" s="28" t="s">
        <v>244</v>
      </c>
      <c r="L8" s="29" t="s">
        <v>62</v>
      </c>
      <c r="M8" s="30" t="s">
        <v>246</v>
      </c>
      <c r="N8" s="30"/>
      <c r="O8" s="31">
        <v>2573148.0</v>
      </c>
      <c r="P8" s="31">
        <v>205852.0</v>
      </c>
      <c r="Q8" s="32" t="s">
        <v>248</v>
      </c>
      <c r="R8" s="33">
        <v>257315.0</v>
      </c>
      <c r="S8" s="33">
        <v>20585.0</v>
      </c>
      <c r="T8" s="37">
        <f t="shared" ref="T8:U8" si="11">G8+R8</f>
        <v>2573148</v>
      </c>
      <c r="U8" s="37">
        <f t="shared" si="11"/>
        <v>205852</v>
      </c>
      <c r="V8" s="39">
        <f t="shared" ref="V8:W8" si="12">O8-G8-R8</f>
        <v>0</v>
      </c>
      <c r="W8" s="39">
        <f t="shared" si="12"/>
        <v>0</v>
      </c>
      <c r="X8" s="41"/>
      <c r="Y8" s="42"/>
      <c r="Z8" s="42"/>
    </row>
    <row r="9" ht="14.25" customHeight="1">
      <c r="A9" s="20" t="s">
        <v>40</v>
      </c>
      <c r="B9" s="22">
        <v>668.0</v>
      </c>
      <c r="C9" s="24" t="s">
        <v>260</v>
      </c>
      <c r="D9" s="24" t="s">
        <v>262</v>
      </c>
      <c r="E9" s="20" t="s">
        <v>265</v>
      </c>
      <c r="F9" s="20" t="s">
        <v>266</v>
      </c>
      <c r="G9" s="27">
        <v>846593.0</v>
      </c>
      <c r="H9" s="27">
        <v>67727.0</v>
      </c>
      <c r="I9" s="27">
        <v>914320.0</v>
      </c>
      <c r="J9" s="20" t="s">
        <v>56</v>
      </c>
      <c r="K9" s="28" t="s">
        <v>267</v>
      </c>
      <c r="L9" s="29" t="s">
        <v>62</v>
      </c>
      <c r="M9" s="30" t="s">
        <v>268</v>
      </c>
      <c r="N9" s="30"/>
      <c r="O9" s="31">
        <v>962037.0</v>
      </c>
      <c r="P9" s="31">
        <v>76963.0</v>
      </c>
      <c r="Q9" s="32" t="s">
        <v>269</v>
      </c>
      <c r="R9" s="33">
        <v>115444.0</v>
      </c>
      <c r="S9" s="33">
        <v>9236.0</v>
      </c>
      <c r="T9" s="37">
        <f t="shared" ref="T9:U9" si="13">G9+R9</f>
        <v>962037</v>
      </c>
      <c r="U9" s="37">
        <f t="shared" si="13"/>
        <v>76963</v>
      </c>
      <c r="V9" s="39">
        <f t="shared" ref="V9:W9" si="14">O9-G9-R9</f>
        <v>0</v>
      </c>
      <c r="W9" s="39">
        <f t="shared" si="14"/>
        <v>0</v>
      </c>
      <c r="X9" s="41"/>
      <c r="Y9" s="42"/>
      <c r="Z9" s="42"/>
    </row>
    <row r="10" ht="14.25" customHeight="1">
      <c r="A10" s="20" t="s">
        <v>40</v>
      </c>
      <c r="B10" s="22">
        <v>696.0</v>
      </c>
      <c r="C10" s="24" t="s">
        <v>281</v>
      </c>
      <c r="D10" s="24" t="s">
        <v>282</v>
      </c>
      <c r="E10" s="20" t="s">
        <v>283</v>
      </c>
      <c r="F10" s="20" t="s">
        <v>284</v>
      </c>
      <c r="G10" s="27">
        <v>1149167.0</v>
      </c>
      <c r="H10" s="27">
        <v>91933.0</v>
      </c>
      <c r="I10" s="27">
        <v>1241100.0</v>
      </c>
      <c r="J10" s="20" t="s">
        <v>57</v>
      </c>
      <c r="K10" s="28" t="s">
        <v>286</v>
      </c>
      <c r="L10" s="29" t="s">
        <v>62</v>
      </c>
      <c r="M10" s="30" t="s">
        <v>288</v>
      </c>
      <c r="N10" s="30"/>
      <c r="O10" s="44">
        <v>1276852.0</v>
      </c>
      <c r="P10" s="44">
        <v>102148.0</v>
      </c>
      <c r="Q10" s="32"/>
      <c r="R10" s="32"/>
      <c r="S10" s="32"/>
      <c r="T10" s="45"/>
      <c r="U10" s="45"/>
      <c r="V10" s="39">
        <f t="shared" ref="V10:W10" si="15">O10-G10-R10</f>
        <v>127685</v>
      </c>
      <c r="W10" s="39">
        <f t="shared" si="15"/>
        <v>10215</v>
      </c>
      <c r="X10" s="41"/>
      <c r="Y10" s="42"/>
      <c r="Z10" s="42"/>
    </row>
    <row r="11" ht="14.25" customHeight="1">
      <c r="A11" s="20" t="s">
        <v>40</v>
      </c>
      <c r="B11" s="22">
        <v>698.0</v>
      </c>
      <c r="C11" s="24" t="s">
        <v>281</v>
      </c>
      <c r="D11" s="24" t="s">
        <v>297</v>
      </c>
      <c r="E11" s="20" t="s">
        <v>299</v>
      </c>
      <c r="F11" s="20" t="s">
        <v>300</v>
      </c>
      <c r="G11" s="27">
        <v>865574.0</v>
      </c>
      <c r="H11" s="27">
        <v>69246.0</v>
      </c>
      <c r="I11" s="27">
        <v>934820.0</v>
      </c>
      <c r="J11" s="20" t="s">
        <v>56</v>
      </c>
      <c r="K11" s="28" t="s">
        <v>303</v>
      </c>
      <c r="L11" s="29" t="s">
        <v>62</v>
      </c>
      <c r="M11" s="30" t="s">
        <v>306</v>
      </c>
      <c r="N11" s="30"/>
      <c r="O11" s="31">
        <v>962037.0</v>
      </c>
      <c r="P11" s="31">
        <v>76963.0</v>
      </c>
      <c r="Q11" s="32" t="s">
        <v>309</v>
      </c>
      <c r="R11" s="33">
        <v>96463.0</v>
      </c>
      <c r="S11" s="33">
        <v>7717.0</v>
      </c>
      <c r="T11" s="37">
        <f t="shared" ref="T11:U11" si="16">G11+R11</f>
        <v>962037</v>
      </c>
      <c r="U11" s="37">
        <f t="shared" si="16"/>
        <v>76963</v>
      </c>
      <c r="V11" s="39">
        <f t="shared" ref="V11:W11" si="17">O11-G11-R11</f>
        <v>0</v>
      </c>
      <c r="W11" s="39">
        <f t="shared" si="17"/>
        <v>0</v>
      </c>
      <c r="X11" s="41"/>
      <c r="Y11" s="42"/>
      <c r="Z11" s="42"/>
    </row>
    <row r="12" ht="14.25" customHeight="1">
      <c r="A12" s="20" t="s">
        <v>40</v>
      </c>
      <c r="B12" s="22">
        <v>718.0</v>
      </c>
      <c r="C12" s="24" t="s">
        <v>326</v>
      </c>
      <c r="D12" s="24" t="s">
        <v>328</v>
      </c>
      <c r="E12" s="20" t="s">
        <v>329</v>
      </c>
      <c r="F12" s="20" t="s">
        <v>330</v>
      </c>
      <c r="G12" s="27">
        <v>865833.0</v>
      </c>
      <c r="H12" s="27">
        <v>69267.0</v>
      </c>
      <c r="I12" s="27">
        <v>935100.0</v>
      </c>
      <c r="J12" s="20" t="s">
        <v>56</v>
      </c>
      <c r="K12" s="28" t="s">
        <v>332</v>
      </c>
      <c r="L12" s="29" t="s">
        <v>62</v>
      </c>
      <c r="M12" s="30" t="s">
        <v>333</v>
      </c>
      <c r="N12" s="30"/>
      <c r="O12" s="31">
        <v>962037.0</v>
      </c>
      <c r="P12" s="31">
        <v>76963.0</v>
      </c>
      <c r="Q12" s="32" t="s">
        <v>335</v>
      </c>
      <c r="R12" s="33">
        <v>96204.0</v>
      </c>
      <c r="S12" s="33">
        <v>7696.0</v>
      </c>
      <c r="T12" s="37">
        <f t="shared" ref="T12:U12" si="18">G12+R12</f>
        <v>962037</v>
      </c>
      <c r="U12" s="37">
        <f t="shared" si="18"/>
        <v>76963</v>
      </c>
      <c r="V12" s="39">
        <f t="shared" ref="V12:W12" si="19">O12-G12-R12</f>
        <v>0</v>
      </c>
      <c r="W12" s="39">
        <f t="shared" si="19"/>
        <v>0</v>
      </c>
      <c r="X12" s="41"/>
      <c r="Y12" s="42"/>
      <c r="Z12" s="42"/>
    </row>
    <row r="13" ht="14.25" customHeight="1">
      <c r="A13" s="20" t="s">
        <v>40</v>
      </c>
      <c r="B13" s="22">
        <v>719.0</v>
      </c>
      <c r="C13" s="24" t="s">
        <v>326</v>
      </c>
      <c r="D13" s="24" t="s">
        <v>344</v>
      </c>
      <c r="E13" s="20" t="s">
        <v>345</v>
      </c>
      <c r="F13" s="20" t="s">
        <v>346</v>
      </c>
      <c r="G13" s="27">
        <v>6793611.0</v>
      </c>
      <c r="H13" s="27">
        <v>543489.0</v>
      </c>
      <c r="I13" s="27">
        <v>7337100.0</v>
      </c>
      <c r="J13" s="20" t="s">
        <v>56</v>
      </c>
      <c r="K13" s="28" t="s">
        <v>347</v>
      </c>
      <c r="L13" s="29" t="s">
        <v>198</v>
      </c>
      <c r="M13" s="30" t="s">
        <v>348</v>
      </c>
      <c r="N13" s="30"/>
      <c r="O13" s="31">
        <v>7095370.0</v>
      </c>
      <c r="P13" s="31">
        <v>567630.0</v>
      </c>
      <c r="Q13" s="32" t="s">
        <v>349</v>
      </c>
      <c r="R13" s="33">
        <v>301759.0</v>
      </c>
      <c r="S13" s="33">
        <v>24141.0</v>
      </c>
      <c r="T13" s="37">
        <f t="shared" ref="T13:U13" si="20">G13+R13</f>
        <v>7095370</v>
      </c>
      <c r="U13" s="37">
        <f t="shared" si="20"/>
        <v>567630</v>
      </c>
      <c r="V13" s="39">
        <f t="shared" ref="V13:W13" si="21">O13-G13-R13</f>
        <v>0</v>
      </c>
      <c r="W13" s="39">
        <f t="shared" si="21"/>
        <v>0</v>
      </c>
      <c r="X13" s="41"/>
      <c r="Y13" s="42"/>
      <c r="Z13" s="42"/>
    </row>
    <row r="14" ht="14.25" customHeight="1">
      <c r="A14" s="20" t="s">
        <v>40</v>
      </c>
      <c r="B14" s="22">
        <v>563.0</v>
      </c>
      <c r="C14" s="24" t="s">
        <v>357</v>
      </c>
      <c r="D14" s="24" t="s">
        <v>359</v>
      </c>
      <c r="E14" s="20" t="s">
        <v>360</v>
      </c>
      <c r="F14" s="20" t="s">
        <v>362</v>
      </c>
      <c r="G14" s="27">
        <v>5008037.0</v>
      </c>
      <c r="H14" s="27">
        <v>400643.0</v>
      </c>
      <c r="I14" s="27">
        <v>5408680.0</v>
      </c>
      <c r="J14" s="20" t="s">
        <v>56</v>
      </c>
      <c r="K14" s="28" t="s">
        <v>363</v>
      </c>
      <c r="L14" s="29" t="s">
        <v>62</v>
      </c>
      <c r="M14" s="30" t="s">
        <v>364</v>
      </c>
      <c r="N14" s="30"/>
      <c r="O14" s="31">
        <v>5443519.0</v>
      </c>
      <c r="P14" s="31">
        <v>435481.0</v>
      </c>
      <c r="Q14" s="32" t="s">
        <v>365</v>
      </c>
      <c r="R14" s="33">
        <v>435482.0</v>
      </c>
      <c r="S14" s="33">
        <v>34839.0</v>
      </c>
      <c r="T14" s="37">
        <f t="shared" ref="T14:U14" si="22">G14+R14</f>
        <v>5443519</v>
      </c>
      <c r="U14" s="37">
        <f t="shared" si="22"/>
        <v>435482</v>
      </c>
      <c r="V14" s="39">
        <f t="shared" ref="V14:W14" si="23">O14-G14-R14</f>
        <v>0</v>
      </c>
      <c r="W14" s="39">
        <f t="shared" si="23"/>
        <v>-1</v>
      </c>
      <c r="X14" s="41"/>
      <c r="Y14" s="42"/>
      <c r="Z14" s="42"/>
    </row>
    <row r="15" ht="14.25" customHeight="1">
      <c r="A15" s="20" t="s">
        <v>40</v>
      </c>
      <c r="B15" s="22">
        <v>564.0</v>
      </c>
      <c r="C15" s="24" t="s">
        <v>357</v>
      </c>
      <c r="D15" s="24" t="s">
        <v>375</v>
      </c>
      <c r="E15" s="20" t="s">
        <v>376</v>
      </c>
      <c r="F15" s="20" t="s">
        <v>378</v>
      </c>
      <c r="G15" s="27">
        <v>3823148.0</v>
      </c>
      <c r="H15" s="27">
        <v>305852.0</v>
      </c>
      <c r="I15" s="27">
        <v>4129000.0</v>
      </c>
      <c r="J15" s="20" t="s">
        <v>56</v>
      </c>
      <c r="K15" s="28" t="s">
        <v>381</v>
      </c>
      <c r="L15" s="29" t="s">
        <v>62</v>
      </c>
      <c r="M15" s="30" t="s">
        <v>384</v>
      </c>
      <c r="N15" s="30"/>
      <c r="O15" s="31">
        <v>4054630.0</v>
      </c>
      <c r="P15" s="31">
        <v>324370.0</v>
      </c>
      <c r="Q15" s="32" t="s">
        <v>385</v>
      </c>
      <c r="R15" s="33">
        <v>231482.0</v>
      </c>
      <c r="S15" s="33">
        <v>18519.0</v>
      </c>
      <c r="T15" s="37">
        <f t="shared" ref="T15:U15" si="24">G15+R15</f>
        <v>4054630</v>
      </c>
      <c r="U15" s="37">
        <f t="shared" si="24"/>
        <v>324371</v>
      </c>
      <c r="V15" s="39">
        <f t="shared" ref="V15:W15" si="25">O15-G15-R15</f>
        <v>0</v>
      </c>
      <c r="W15" s="39">
        <f t="shared" si="25"/>
        <v>-1</v>
      </c>
      <c r="X15" s="41"/>
      <c r="Y15" s="42"/>
      <c r="Z15" s="42"/>
    </row>
    <row r="16" ht="14.25" customHeight="1">
      <c r="A16" s="20" t="s">
        <v>40</v>
      </c>
      <c r="B16" s="22">
        <v>566.0</v>
      </c>
      <c r="C16" s="24" t="s">
        <v>389</v>
      </c>
      <c r="D16" s="24" t="s">
        <v>375</v>
      </c>
      <c r="E16" s="20" t="s">
        <v>376</v>
      </c>
      <c r="F16" s="20" t="s">
        <v>378</v>
      </c>
      <c r="G16" s="27">
        <v>3482500.0</v>
      </c>
      <c r="H16" s="27">
        <v>278600.0</v>
      </c>
      <c r="I16" s="27">
        <v>3761100.0</v>
      </c>
      <c r="J16" s="20" t="s">
        <v>56</v>
      </c>
      <c r="K16" s="28" t="s">
        <v>394</v>
      </c>
      <c r="L16" s="29" t="s">
        <v>62</v>
      </c>
      <c r="M16" s="30" t="s">
        <v>395</v>
      </c>
      <c r="N16" s="30"/>
      <c r="O16" s="31">
        <v>3869444.0</v>
      </c>
      <c r="P16" s="31">
        <v>309556.0</v>
      </c>
      <c r="Q16" s="32" t="s">
        <v>396</v>
      </c>
      <c r="R16" s="33">
        <v>386944.0</v>
      </c>
      <c r="S16" s="33">
        <v>30956.0</v>
      </c>
      <c r="T16" s="37">
        <f t="shared" ref="T16:U16" si="26">G16+R16</f>
        <v>3869444</v>
      </c>
      <c r="U16" s="37">
        <f t="shared" si="26"/>
        <v>309556</v>
      </c>
      <c r="V16" s="39">
        <f t="shared" ref="V16:W16" si="27">O16-G16-R16</f>
        <v>0</v>
      </c>
      <c r="W16" s="39">
        <f t="shared" si="27"/>
        <v>0</v>
      </c>
      <c r="X16" s="41"/>
      <c r="Y16" s="42"/>
      <c r="Z16" s="42"/>
    </row>
    <row r="17" ht="14.25" customHeight="1">
      <c r="A17" s="20" t="s">
        <v>40</v>
      </c>
      <c r="B17" s="22">
        <v>567.0</v>
      </c>
      <c r="C17" s="24" t="s">
        <v>389</v>
      </c>
      <c r="D17" s="24" t="s">
        <v>406</v>
      </c>
      <c r="E17" s="20" t="s">
        <v>407</v>
      </c>
      <c r="F17" s="20" t="s">
        <v>408</v>
      </c>
      <c r="G17" s="27">
        <v>813889.0</v>
      </c>
      <c r="H17" s="27">
        <v>65111.0</v>
      </c>
      <c r="I17" s="27">
        <v>879000.0</v>
      </c>
      <c r="J17" s="20" t="s">
        <v>56</v>
      </c>
      <c r="K17" s="28" t="s">
        <v>409</v>
      </c>
      <c r="L17" s="29" t="s">
        <v>198</v>
      </c>
      <c r="M17" s="30" t="s">
        <v>410</v>
      </c>
      <c r="N17" s="30"/>
      <c r="O17" s="31">
        <v>962037.0</v>
      </c>
      <c r="P17" s="31">
        <v>76963.0</v>
      </c>
      <c r="Q17" s="32" t="s">
        <v>413</v>
      </c>
      <c r="R17" s="33">
        <v>148148.0</v>
      </c>
      <c r="S17" s="33">
        <v>11852.0</v>
      </c>
      <c r="T17" s="37">
        <f t="shared" ref="T17:U17" si="28">G17+R17</f>
        <v>962037</v>
      </c>
      <c r="U17" s="37">
        <f t="shared" si="28"/>
        <v>76963</v>
      </c>
      <c r="V17" s="39">
        <f t="shared" ref="V17:W17" si="29">O17-G17-R17</f>
        <v>0</v>
      </c>
      <c r="W17" s="39">
        <f t="shared" si="29"/>
        <v>0</v>
      </c>
      <c r="X17" s="41"/>
      <c r="Y17" s="42"/>
      <c r="Z17" s="42"/>
    </row>
    <row r="18" ht="14.25" customHeight="1">
      <c r="A18" s="20" t="s">
        <v>40</v>
      </c>
      <c r="B18" s="22">
        <v>568.0</v>
      </c>
      <c r="C18" s="24" t="s">
        <v>421</v>
      </c>
      <c r="D18" s="24" t="s">
        <v>422</v>
      </c>
      <c r="E18" s="20" t="s">
        <v>424</v>
      </c>
      <c r="F18" s="20" t="s">
        <v>425</v>
      </c>
      <c r="G18" s="27">
        <v>1726852.0</v>
      </c>
      <c r="H18" s="27">
        <v>138148.0</v>
      </c>
      <c r="I18" s="27">
        <v>1865000.0</v>
      </c>
      <c r="J18" s="20" t="s">
        <v>56</v>
      </c>
      <c r="K18" s="28" t="s">
        <v>428</v>
      </c>
      <c r="L18" s="29" t="s">
        <v>198</v>
      </c>
      <c r="M18" s="30" t="s">
        <v>429</v>
      </c>
      <c r="N18" s="30"/>
      <c r="O18" s="31">
        <v>1884630.0</v>
      </c>
      <c r="P18" s="31">
        <v>150770.0</v>
      </c>
      <c r="Q18" s="32" t="s">
        <v>431</v>
      </c>
      <c r="R18" s="33">
        <v>157778.0</v>
      </c>
      <c r="S18" s="33">
        <v>12622.0</v>
      </c>
      <c r="T18" s="37">
        <f t="shared" ref="T18:U18" si="30">G18+R18</f>
        <v>1884630</v>
      </c>
      <c r="U18" s="37">
        <f t="shared" si="30"/>
        <v>150770</v>
      </c>
      <c r="V18" s="39">
        <f t="shared" ref="V18:W18" si="31">O18-G18-R18</f>
        <v>0</v>
      </c>
      <c r="W18" s="39">
        <f t="shared" si="31"/>
        <v>0</v>
      </c>
      <c r="X18" s="41"/>
      <c r="Y18" s="42"/>
      <c r="Z18" s="42"/>
    </row>
    <row r="19" ht="14.25" customHeight="1">
      <c r="A19" s="20" t="s">
        <v>40</v>
      </c>
      <c r="B19" s="22">
        <v>579.0</v>
      </c>
      <c r="C19" s="24" t="s">
        <v>438</v>
      </c>
      <c r="D19" s="24" t="s">
        <v>439</v>
      </c>
      <c r="E19" s="20" t="s">
        <v>440</v>
      </c>
      <c r="F19" s="20" t="s">
        <v>441</v>
      </c>
      <c r="G19" s="27">
        <v>1982500.0</v>
      </c>
      <c r="H19" s="27">
        <v>158600.0</v>
      </c>
      <c r="I19" s="27">
        <v>2141100.0</v>
      </c>
      <c r="J19" s="20" t="s">
        <v>56</v>
      </c>
      <c r="K19" s="28" t="s">
        <v>442</v>
      </c>
      <c r="L19" s="29" t="s">
        <v>62</v>
      </c>
      <c r="M19" s="30" t="s">
        <v>443</v>
      </c>
      <c r="N19" s="30"/>
      <c r="O19" s="31">
        <v>2387963.0</v>
      </c>
      <c r="P19" s="31">
        <v>191037.0</v>
      </c>
      <c r="Q19" s="32" t="s">
        <v>444</v>
      </c>
      <c r="R19" s="33">
        <v>405463.0</v>
      </c>
      <c r="S19" s="33">
        <v>32437.0</v>
      </c>
      <c r="T19" s="37">
        <f t="shared" ref="T19:U19" si="32">G19+R19</f>
        <v>2387963</v>
      </c>
      <c r="U19" s="37">
        <f t="shared" si="32"/>
        <v>191037</v>
      </c>
      <c r="V19" s="39">
        <f t="shared" ref="V19:W19" si="33">O19-G19-R19</f>
        <v>0</v>
      </c>
      <c r="W19" s="39">
        <f t="shared" si="33"/>
        <v>0</v>
      </c>
      <c r="X19" s="41"/>
      <c r="Y19" s="42"/>
      <c r="Z19" s="42"/>
    </row>
    <row r="20" ht="14.25" customHeight="1">
      <c r="A20" s="20" t="s">
        <v>40</v>
      </c>
      <c r="B20" s="22">
        <v>599.0</v>
      </c>
      <c r="C20" s="24" t="s">
        <v>453</v>
      </c>
      <c r="D20" s="24" t="s">
        <v>454</v>
      </c>
      <c r="E20" s="20" t="s">
        <v>456</v>
      </c>
      <c r="F20" s="20" t="s">
        <v>458</v>
      </c>
      <c r="G20" s="27">
        <v>1047019.0</v>
      </c>
      <c r="H20" s="27">
        <v>83762.0</v>
      </c>
      <c r="I20" s="27">
        <v>1130781.0</v>
      </c>
      <c r="J20" s="20" t="s">
        <v>56</v>
      </c>
      <c r="K20" s="28" t="s">
        <v>461</v>
      </c>
      <c r="L20" s="29" t="s">
        <v>198</v>
      </c>
      <c r="M20" s="30" t="s">
        <v>463</v>
      </c>
      <c r="N20" s="30"/>
      <c r="O20" s="31">
        <v>1276852.0</v>
      </c>
      <c r="P20" s="31">
        <v>102148.0</v>
      </c>
      <c r="Q20" s="32" t="s">
        <v>464</v>
      </c>
      <c r="R20" s="33">
        <v>229833.0</v>
      </c>
      <c r="S20" s="33">
        <v>18387.0</v>
      </c>
      <c r="T20" s="37">
        <f t="shared" ref="T20:U20" si="34">G20+R20</f>
        <v>1276852</v>
      </c>
      <c r="U20" s="37">
        <f t="shared" si="34"/>
        <v>102149</v>
      </c>
      <c r="V20" s="39">
        <f t="shared" ref="V20:W20" si="35">O20-G20-R20</f>
        <v>0</v>
      </c>
      <c r="W20" s="39">
        <f t="shared" si="35"/>
        <v>-1</v>
      </c>
      <c r="X20" s="41"/>
      <c r="Y20" s="42"/>
      <c r="Z20" s="42"/>
    </row>
    <row r="21" ht="14.25" customHeight="1">
      <c r="A21" s="20" t="s">
        <v>40</v>
      </c>
      <c r="B21" s="22">
        <v>603.0</v>
      </c>
      <c r="C21" s="24" t="s">
        <v>472</v>
      </c>
      <c r="D21" s="24" t="s">
        <v>474</v>
      </c>
      <c r="E21" s="20" t="s">
        <v>475</v>
      </c>
      <c r="F21" s="20" t="s">
        <v>476</v>
      </c>
      <c r="G21" s="27">
        <v>3446435.0</v>
      </c>
      <c r="H21" s="27">
        <v>275715.0</v>
      </c>
      <c r="I21" s="27">
        <v>3722150.0</v>
      </c>
      <c r="J21" s="20" t="s">
        <v>56</v>
      </c>
      <c r="K21" s="28" t="s">
        <v>478</v>
      </c>
      <c r="L21" s="29" t="s">
        <v>62</v>
      </c>
      <c r="M21" s="30" t="s">
        <v>480</v>
      </c>
      <c r="N21" s="30"/>
      <c r="O21" s="31">
        <v>4054630.0</v>
      </c>
      <c r="P21" s="31">
        <v>324370.0</v>
      </c>
      <c r="Q21" s="32" t="s">
        <v>481</v>
      </c>
      <c r="R21" s="33">
        <v>608195.0</v>
      </c>
      <c r="S21" s="33">
        <v>48656.0</v>
      </c>
      <c r="T21" s="37">
        <f t="shared" ref="T21:U21" si="36">G21+R21</f>
        <v>4054630</v>
      </c>
      <c r="U21" s="37">
        <f t="shared" si="36"/>
        <v>324371</v>
      </c>
      <c r="V21" s="39">
        <f t="shared" ref="V21:W21" si="37">O21-G21-R21</f>
        <v>0</v>
      </c>
      <c r="W21" s="39">
        <f t="shared" si="37"/>
        <v>-1</v>
      </c>
      <c r="X21" s="41"/>
      <c r="Y21" s="42"/>
      <c r="Z21" s="42"/>
    </row>
    <row r="22" ht="14.25" customHeight="1">
      <c r="A22" s="20" t="s">
        <v>40</v>
      </c>
      <c r="B22" s="22">
        <v>609.0</v>
      </c>
      <c r="C22" s="24" t="s">
        <v>496</v>
      </c>
      <c r="D22" s="24" t="s">
        <v>497</v>
      </c>
      <c r="E22" s="20" t="s">
        <v>498</v>
      </c>
      <c r="F22" s="20" t="s">
        <v>499</v>
      </c>
      <c r="G22" s="27">
        <v>2341667.0</v>
      </c>
      <c r="H22" s="27">
        <v>187333.0</v>
      </c>
      <c r="I22" s="27">
        <v>2529000.0</v>
      </c>
      <c r="J22" s="20" t="s">
        <v>56</v>
      </c>
      <c r="K22" s="28" t="s">
        <v>500</v>
      </c>
      <c r="L22" s="29" t="s">
        <v>198</v>
      </c>
      <c r="M22" s="30" t="s">
        <v>503</v>
      </c>
      <c r="N22" s="30"/>
      <c r="O22" s="31">
        <v>2526852.0</v>
      </c>
      <c r="P22" s="31">
        <v>202148.0</v>
      </c>
      <c r="Q22" s="32" t="s">
        <v>505</v>
      </c>
      <c r="R22" s="33">
        <v>185185.0</v>
      </c>
      <c r="S22" s="33">
        <v>14815.0</v>
      </c>
      <c r="T22" s="37">
        <f t="shared" ref="T22:U22" si="38">G22+R22</f>
        <v>2526852</v>
      </c>
      <c r="U22" s="37">
        <f t="shared" si="38"/>
        <v>202148</v>
      </c>
      <c r="V22" s="39">
        <f t="shared" ref="V22:W22" si="39">O22-G22-R22</f>
        <v>0</v>
      </c>
      <c r="W22" s="39">
        <f t="shared" si="39"/>
        <v>0</v>
      </c>
      <c r="X22" s="41"/>
      <c r="Y22" s="42"/>
      <c r="Z22" s="42"/>
    </row>
    <row r="23" ht="14.25" customHeight="1">
      <c r="A23" s="20" t="s">
        <v>40</v>
      </c>
      <c r="B23" s="22">
        <v>501.0</v>
      </c>
      <c r="C23" s="24" t="s">
        <v>513</v>
      </c>
      <c r="D23" s="24" t="s">
        <v>514</v>
      </c>
      <c r="E23" s="20" t="s">
        <v>515</v>
      </c>
      <c r="F23" s="20" t="s">
        <v>516</v>
      </c>
      <c r="G23" s="27">
        <v>147407.0</v>
      </c>
      <c r="H23" s="27">
        <v>11793.0</v>
      </c>
      <c r="I23" s="27">
        <v>159200.0</v>
      </c>
      <c r="J23" s="20" t="s">
        <v>56</v>
      </c>
      <c r="K23" s="28" t="s">
        <v>517</v>
      </c>
      <c r="L23" s="29" t="s">
        <v>62</v>
      </c>
      <c r="M23" s="30" t="s">
        <v>518</v>
      </c>
      <c r="N23" s="30"/>
      <c r="O23" s="31">
        <v>184259.0</v>
      </c>
      <c r="P23" s="31">
        <v>14741.0</v>
      </c>
      <c r="Q23" s="32" t="s">
        <v>519</v>
      </c>
      <c r="R23" s="33">
        <v>36852.0</v>
      </c>
      <c r="S23" s="33">
        <v>2948.0</v>
      </c>
      <c r="T23" s="37">
        <f t="shared" ref="T23:U23" si="40">G23+R23</f>
        <v>184259</v>
      </c>
      <c r="U23" s="37">
        <f t="shared" si="40"/>
        <v>14741</v>
      </c>
      <c r="V23" s="39">
        <f t="shared" ref="V23:W23" si="41">O23-G23-R23</f>
        <v>0</v>
      </c>
      <c r="W23" s="39">
        <f t="shared" si="41"/>
        <v>0</v>
      </c>
      <c r="X23" s="41"/>
      <c r="Y23" s="42"/>
      <c r="Z23" s="42"/>
    </row>
    <row r="24" ht="14.25" customHeight="1">
      <c r="A24" s="20" t="s">
        <v>40</v>
      </c>
      <c r="B24" s="22">
        <v>509.0</v>
      </c>
      <c r="C24" s="24" t="s">
        <v>527</v>
      </c>
      <c r="D24" s="24" t="s">
        <v>528</v>
      </c>
      <c r="E24" s="20" t="s">
        <v>529</v>
      </c>
      <c r="F24" s="20" t="s">
        <v>530</v>
      </c>
      <c r="G24" s="27">
        <v>340000.0</v>
      </c>
      <c r="H24" s="27">
        <v>27200.0</v>
      </c>
      <c r="I24" s="27">
        <v>367200.0</v>
      </c>
      <c r="J24" s="20" t="s">
        <v>56</v>
      </c>
      <c r="K24" s="28" t="s">
        <v>532</v>
      </c>
      <c r="L24" s="29" t="s">
        <v>62</v>
      </c>
      <c r="M24" s="30" t="s">
        <v>534</v>
      </c>
      <c r="N24" s="30"/>
      <c r="O24" s="31">
        <v>425000.0</v>
      </c>
      <c r="P24" s="31">
        <v>34000.0</v>
      </c>
      <c r="Q24" s="32" t="s">
        <v>535</v>
      </c>
      <c r="R24" s="33">
        <v>85000.0</v>
      </c>
      <c r="S24" s="33">
        <v>6800.0</v>
      </c>
      <c r="T24" s="37">
        <f t="shared" ref="T24:U24" si="42">G24+R24</f>
        <v>425000</v>
      </c>
      <c r="U24" s="37">
        <f t="shared" si="42"/>
        <v>34000</v>
      </c>
      <c r="V24" s="39">
        <f t="shared" ref="V24:W24" si="43">O24-G24-R24</f>
        <v>0</v>
      </c>
      <c r="W24" s="39">
        <f t="shared" si="43"/>
        <v>0</v>
      </c>
      <c r="X24" s="41"/>
      <c r="Y24" s="42"/>
      <c r="Z24" s="42"/>
    </row>
    <row r="25" ht="14.25" customHeight="1">
      <c r="A25" s="20" t="s">
        <v>40</v>
      </c>
      <c r="B25" s="22">
        <v>510.0</v>
      </c>
      <c r="C25" s="24" t="s">
        <v>527</v>
      </c>
      <c r="D25" s="24" t="s">
        <v>543</v>
      </c>
      <c r="E25" s="20" t="s">
        <v>544</v>
      </c>
      <c r="F25" s="20" t="s">
        <v>545</v>
      </c>
      <c r="G25" s="27">
        <v>2367296.0</v>
      </c>
      <c r="H25" s="27">
        <v>189384.0</v>
      </c>
      <c r="I25" s="27">
        <v>2556680.0</v>
      </c>
      <c r="J25" s="20" t="s">
        <v>56</v>
      </c>
      <c r="K25" s="28" t="s">
        <v>549</v>
      </c>
      <c r="L25" s="29" t="s">
        <v>62</v>
      </c>
      <c r="M25" s="30" t="s">
        <v>551</v>
      </c>
      <c r="N25" s="30"/>
      <c r="O25" s="31">
        <v>2573148.0</v>
      </c>
      <c r="P25" s="31">
        <v>205852.0</v>
      </c>
      <c r="Q25" s="32" t="s">
        <v>553</v>
      </c>
      <c r="R25" s="33">
        <v>205852.0</v>
      </c>
      <c r="S25" s="33">
        <v>16468.0</v>
      </c>
      <c r="T25" s="37">
        <f t="shared" ref="T25:U25" si="44">G25+R25</f>
        <v>2573148</v>
      </c>
      <c r="U25" s="37">
        <f t="shared" si="44"/>
        <v>205852</v>
      </c>
      <c r="V25" s="39">
        <f t="shared" ref="V25:W25" si="45">O25-G25-R25</f>
        <v>0</v>
      </c>
      <c r="W25" s="39">
        <f t="shared" si="45"/>
        <v>0</v>
      </c>
      <c r="X25" s="41"/>
      <c r="Y25" s="42"/>
      <c r="Z25" s="42"/>
    </row>
    <row r="26" ht="14.25" customHeight="1">
      <c r="A26" s="20" t="s">
        <v>40</v>
      </c>
      <c r="B26" s="22">
        <v>511.0</v>
      </c>
      <c r="C26" s="24" t="s">
        <v>560</v>
      </c>
      <c r="D26" s="24" t="s">
        <v>562</v>
      </c>
      <c r="E26" s="20" t="s">
        <v>563</v>
      </c>
      <c r="F26" s="20" t="s">
        <v>565</v>
      </c>
      <c r="G26" s="27">
        <v>1.4444444E7</v>
      </c>
      <c r="H26" s="27">
        <v>1155556.0</v>
      </c>
      <c r="I26" s="27">
        <v>1.56E7</v>
      </c>
      <c r="J26" s="20" t="s">
        <v>57</v>
      </c>
      <c r="K26" s="28" t="s">
        <v>566</v>
      </c>
      <c r="L26" s="29" t="s">
        <v>157</v>
      </c>
      <c r="M26" s="30" t="s">
        <v>567</v>
      </c>
      <c r="N26" s="30"/>
      <c r="O26" s="44">
        <v>1.4444444E7</v>
      </c>
      <c r="P26" s="44">
        <v>1155556.0</v>
      </c>
      <c r="Q26" s="32"/>
      <c r="R26" s="32"/>
      <c r="S26" s="32"/>
      <c r="T26" s="45"/>
      <c r="U26" s="45"/>
      <c r="V26" s="39">
        <f t="shared" ref="V26:W26" si="46">O26-G26-R26</f>
        <v>0</v>
      </c>
      <c r="W26" s="39">
        <f t="shared" si="46"/>
        <v>0</v>
      </c>
      <c r="X26" s="41"/>
      <c r="Y26" s="42"/>
      <c r="Z26" s="42"/>
    </row>
    <row r="27" ht="14.25" customHeight="1">
      <c r="A27" s="20" t="s">
        <v>40</v>
      </c>
      <c r="B27" s="22">
        <v>514.0</v>
      </c>
      <c r="C27" s="24" t="s">
        <v>570</v>
      </c>
      <c r="D27" s="24" t="s">
        <v>571</v>
      </c>
      <c r="E27" s="20" t="s">
        <v>573</v>
      </c>
      <c r="F27" s="20" t="s">
        <v>575</v>
      </c>
      <c r="G27" s="27">
        <v>7738889.0</v>
      </c>
      <c r="H27" s="27">
        <v>619111.0</v>
      </c>
      <c r="I27" s="27">
        <v>8358000.0</v>
      </c>
      <c r="J27" s="20" t="s">
        <v>57</v>
      </c>
      <c r="K27" s="28" t="s">
        <v>577</v>
      </c>
      <c r="L27" s="29" t="s">
        <v>157</v>
      </c>
      <c r="M27" s="30" t="s">
        <v>578</v>
      </c>
      <c r="N27" s="30"/>
      <c r="O27" s="44">
        <v>7738889.0</v>
      </c>
      <c r="P27" s="44">
        <v>619111.0</v>
      </c>
      <c r="Q27" s="32"/>
      <c r="R27" s="32"/>
      <c r="S27" s="32"/>
      <c r="T27" s="45"/>
      <c r="U27" s="45"/>
      <c r="V27" s="39">
        <f t="shared" ref="V27:W27" si="47">O27-G27-R27</f>
        <v>0</v>
      </c>
      <c r="W27" s="39">
        <f t="shared" si="47"/>
        <v>0</v>
      </c>
      <c r="X27" s="41"/>
      <c r="Y27" s="42"/>
      <c r="Z27" s="42"/>
    </row>
    <row r="28" ht="14.25" customHeight="1">
      <c r="A28" s="20" t="s">
        <v>40</v>
      </c>
      <c r="B28" s="22">
        <v>515.0</v>
      </c>
      <c r="C28" s="24" t="s">
        <v>570</v>
      </c>
      <c r="D28" s="24" t="s">
        <v>583</v>
      </c>
      <c r="E28" s="20" t="s">
        <v>584</v>
      </c>
      <c r="F28" s="20" t="s">
        <v>585</v>
      </c>
      <c r="G28" s="27">
        <v>2399167.0</v>
      </c>
      <c r="H28" s="27">
        <v>191933.0</v>
      </c>
      <c r="I28" s="27">
        <v>2591100.0</v>
      </c>
      <c r="J28" s="20" t="s">
        <v>56</v>
      </c>
      <c r="K28" s="28" t="s">
        <v>586</v>
      </c>
      <c r="L28" s="29" t="s">
        <v>62</v>
      </c>
      <c r="M28" s="30" t="s">
        <v>588</v>
      </c>
      <c r="N28" s="30"/>
      <c r="O28" s="31">
        <v>2665741.0</v>
      </c>
      <c r="P28" s="31">
        <v>213259.0</v>
      </c>
      <c r="Q28" s="32" t="s">
        <v>591</v>
      </c>
      <c r="R28" s="33">
        <v>266574.0</v>
      </c>
      <c r="S28" s="33">
        <v>21326.0</v>
      </c>
      <c r="T28" s="37">
        <f t="shared" ref="T28:U28" si="48">G28+R28</f>
        <v>2665741</v>
      </c>
      <c r="U28" s="37">
        <f t="shared" si="48"/>
        <v>213259</v>
      </c>
      <c r="V28" s="39">
        <f t="shared" ref="V28:W28" si="49">O28-G28-R28</f>
        <v>0</v>
      </c>
      <c r="W28" s="39">
        <f t="shared" si="49"/>
        <v>0</v>
      </c>
      <c r="X28" s="41"/>
      <c r="Y28" s="42"/>
      <c r="Z28" s="42"/>
    </row>
    <row r="29" ht="14.25" customHeight="1">
      <c r="A29" s="20" t="s">
        <v>40</v>
      </c>
      <c r="B29" s="22">
        <v>516.0</v>
      </c>
      <c r="C29" s="24" t="s">
        <v>594</v>
      </c>
      <c r="D29" s="24" t="s">
        <v>595</v>
      </c>
      <c r="E29" s="20" t="s">
        <v>596</v>
      </c>
      <c r="F29" s="20" t="s">
        <v>597</v>
      </c>
      <c r="G29" s="27">
        <v>2202778.0</v>
      </c>
      <c r="H29" s="27">
        <v>176222.0</v>
      </c>
      <c r="I29" s="27">
        <v>2379000.0</v>
      </c>
      <c r="J29" s="20" t="s">
        <v>56</v>
      </c>
      <c r="K29" s="28" t="s">
        <v>598</v>
      </c>
      <c r="L29" s="29" t="s">
        <v>198</v>
      </c>
      <c r="M29" s="30" t="s">
        <v>599</v>
      </c>
      <c r="N29" s="30"/>
      <c r="O29" s="31">
        <v>2573148.0</v>
      </c>
      <c r="P29" s="31">
        <v>205852.0</v>
      </c>
      <c r="Q29" s="32" t="s">
        <v>600</v>
      </c>
      <c r="R29" s="33">
        <v>370370.0</v>
      </c>
      <c r="S29" s="33">
        <v>29630.0</v>
      </c>
      <c r="T29" s="37">
        <f t="shared" ref="T29:U29" si="50">G29+R29</f>
        <v>2573148</v>
      </c>
      <c r="U29" s="37">
        <f t="shared" si="50"/>
        <v>205852</v>
      </c>
      <c r="V29" s="39">
        <f t="shared" ref="V29:W29" si="51">O29-G29-R29</f>
        <v>0</v>
      </c>
      <c r="W29" s="39">
        <f t="shared" si="51"/>
        <v>0</v>
      </c>
      <c r="X29" s="41"/>
      <c r="Y29" s="42"/>
      <c r="Z29" s="42"/>
    </row>
    <row r="30" ht="14.25" customHeight="1">
      <c r="A30" s="20" t="s">
        <v>40</v>
      </c>
      <c r="B30" s="22">
        <v>517.0</v>
      </c>
      <c r="C30" s="24" t="s">
        <v>594</v>
      </c>
      <c r="D30" s="24" t="s">
        <v>604</v>
      </c>
      <c r="E30" s="20" t="s">
        <v>606</v>
      </c>
      <c r="F30" s="20" t="s">
        <v>608</v>
      </c>
      <c r="G30" s="27">
        <v>1702778.0</v>
      </c>
      <c r="H30" s="27">
        <v>136222.0</v>
      </c>
      <c r="I30" s="27">
        <v>1839000.0</v>
      </c>
      <c r="J30" s="20" t="s">
        <v>57</v>
      </c>
      <c r="K30" s="28" t="s">
        <v>610</v>
      </c>
      <c r="L30" s="29" t="s">
        <v>62</v>
      </c>
      <c r="M30" s="30" t="s">
        <v>611</v>
      </c>
      <c r="N30" s="30"/>
      <c r="O30" s="44">
        <v>1702778.0</v>
      </c>
      <c r="P30" s="44">
        <v>136222.0</v>
      </c>
      <c r="Q30" s="32"/>
      <c r="R30" s="32"/>
      <c r="S30" s="32"/>
      <c r="T30" s="45"/>
      <c r="U30" s="45"/>
      <c r="V30" s="39">
        <f t="shared" ref="V30:W30" si="52">O30-G30-R30</f>
        <v>0</v>
      </c>
      <c r="W30" s="39">
        <f t="shared" si="52"/>
        <v>0</v>
      </c>
      <c r="X30" s="41"/>
      <c r="Y30" s="42"/>
      <c r="Z30" s="42"/>
    </row>
    <row r="31" ht="14.25" customHeight="1">
      <c r="A31" s="20" t="s">
        <v>40</v>
      </c>
      <c r="B31" s="22">
        <v>518.0</v>
      </c>
      <c r="C31" s="24" t="s">
        <v>594</v>
      </c>
      <c r="D31" s="24" t="s">
        <v>618</v>
      </c>
      <c r="E31" s="20" t="s">
        <v>619</v>
      </c>
      <c r="F31" s="20" t="s">
        <v>621</v>
      </c>
      <c r="G31" s="27">
        <v>846593.0</v>
      </c>
      <c r="H31" s="27">
        <v>67727.0</v>
      </c>
      <c r="I31" s="27">
        <v>914320.0</v>
      </c>
      <c r="J31" s="20" t="s">
        <v>56</v>
      </c>
      <c r="K31" s="28" t="s">
        <v>624</v>
      </c>
      <c r="L31" s="29" t="s">
        <v>62</v>
      </c>
      <c r="M31" s="30" t="s">
        <v>626</v>
      </c>
      <c r="N31" s="30"/>
      <c r="O31" s="31">
        <v>962037.0</v>
      </c>
      <c r="P31" s="31">
        <v>76963.0</v>
      </c>
      <c r="Q31" s="32" t="s">
        <v>628</v>
      </c>
      <c r="R31" s="33">
        <v>115444.0</v>
      </c>
      <c r="S31" s="33">
        <v>9236.0</v>
      </c>
      <c r="T31" s="37">
        <f t="shared" ref="T31:U31" si="53">G31+R31</f>
        <v>962037</v>
      </c>
      <c r="U31" s="37">
        <f t="shared" si="53"/>
        <v>76963</v>
      </c>
      <c r="V31" s="39">
        <f t="shared" ref="V31:W31" si="54">O31-G31-R31</f>
        <v>0</v>
      </c>
      <c r="W31" s="39">
        <f t="shared" si="54"/>
        <v>0</v>
      </c>
      <c r="X31" s="41"/>
      <c r="Y31" s="42"/>
      <c r="Z31" s="42"/>
    </row>
    <row r="32" ht="14.25" customHeight="1">
      <c r="A32" s="20" t="s">
        <v>40</v>
      </c>
      <c r="B32" s="22">
        <v>523.0</v>
      </c>
      <c r="C32" s="24" t="s">
        <v>636</v>
      </c>
      <c r="D32" s="24" t="s">
        <v>637</v>
      </c>
      <c r="E32" s="20" t="s">
        <v>638</v>
      </c>
      <c r="F32" s="20" t="s">
        <v>639</v>
      </c>
      <c r="G32" s="27">
        <v>1532500.0</v>
      </c>
      <c r="H32" s="27">
        <v>122600.0</v>
      </c>
      <c r="I32" s="27">
        <v>1655100.0</v>
      </c>
      <c r="J32" s="20" t="s">
        <v>56</v>
      </c>
      <c r="K32" s="28" t="s">
        <v>640</v>
      </c>
      <c r="L32" s="29" t="s">
        <v>62</v>
      </c>
      <c r="M32" s="30" t="s">
        <v>641</v>
      </c>
      <c r="N32" s="30"/>
      <c r="O32" s="31">
        <v>1702778.0</v>
      </c>
      <c r="P32" s="31">
        <v>136222.0</v>
      </c>
      <c r="Q32" s="32" t="s">
        <v>642</v>
      </c>
      <c r="R32" s="33">
        <v>170278.0</v>
      </c>
      <c r="S32" s="33">
        <v>13622.0</v>
      </c>
      <c r="T32" s="37">
        <f t="shared" ref="T32:U32" si="55">G32+R32</f>
        <v>1702778</v>
      </c>
      <c r="U32" s="37">
        <f t="shared" si="55"/>
        <v>136222</v>
      </c>
      <c r="V32" s="39">
        <f t="shared" ref="V32:W32" si="56">O32-G32-R32</f>
        <v>0</v>
      </c>
      <c r="W32" s="39">
        <f t="shared" si="56"/>
        <v>0</v>
      </c>
      <c r="X32" s="41"/>
      <c r="Y32" s="42"/>
      <c r="Z32" s="42"/>
    </row>
    <row r="33" ht="14.25" customHeight="1">
      <c r="A33" s="20" t="s">
        <v>40</v>
      </c>
      <c r="B33" s="22">
        <v>524.0</v>
      </c>
      <c r="C33" s="24" t="s">
        <v>636</v>
      </c>
      <c r="D33" s="24" t="s">
        <v>653</v>
      </c>
      <c r="E33" s="20" t="s">
        <v>655</v>
      </c>
      <c r="F33" s="20" t="s">
        <v>656</v>
      </c>
      <c r="G33" s="27">
        <v>2283333.0</v>
      </c>
      <c r="H33" s="27">
        <v>182667.0</v>
      </c>
      <c r="I33" s="27">
        <v>2466000.0</v>
      </c>
      <c r="J33" s="20" t="s">
        <v>56</v>
      </c>
      <c r="K33" s="28" t="s">
        <v>657</v>
      </c>
      <c r="L33" s="29" t="s">
        <v>198</v>
      </c>
      <c r="M33" s="30" t="s">
        <v>658</v>
      </c>
      <c r="N33" s="30"/>
      <c r="O33" s="31">
        <v>2515185.0</v>
      </c>
      <c r="P33" s="31">
        <v>201215.0</v>
      </c>
      <c r="Q33" s="32" t="s">
        <v>659</v>
      </c>
      <c r="R33" s="33">
        <v>231852.0</v>
      </c>
      <c r="S33" s="33">
        <v>18548.0</v>
      </c>
      <c r="T33" s="37">
        <f t="shared" ref="T33:U33" si="57">G33+R33</f>
        <v>2515185</v>
      </c>
      <c r="U33" s="37">
        <f t="shared" si="57"/>
        <v>201215</v>
      </c>
      <c r="V33" s="39">
        <f t="shared" ref="V33:W33" si="58">O33-G33-R33</f>
        <v>0</v>
      </c>
      <c r="W33" s="39">
        <f t="shared" si="58"/>
        <v>0</v>
      </c>
      <c r="X33" s="41"/>
      <c r="Y33" s="42"/>
      <c r="Z33" s="42"/>
    </row>
    <row r="34" ht="14.25" customHeight="1">
      <c r="A34" s="20" t="s">
        <v>40</v>
      </c>
      <c r="B34" s="22">
        <v>526.0</v>
      </c>
      <c r="C34" s="24" t="s">
        <v>666</v>
      </c>
      <c r="D34" s="24" t="s">
        <v>667</v>
      </c>
      <c r="E34" s="20" t="s">
        <v>668</v>
      </c>
      <c r="F34" s="20" t="s">
        <v>669</v>
      </c>
      <c r="G34" s="27">
        <v>1532500.0</v>
      </c>
      <c r="H34" s="27">
        <v>122600.0</v>
      </c>
      <c r="I34" s="27">
        <v>1655100.0</v>
      </c>
      <c r="J34" s="20" t="s">
        <v>56</v>
      </c>
      <c r="K34" s="28" t="s">
        <v>671</v>
      </c>
      <c r="L34" s="29" t="s">
        <v>198</v>
      </c>
      <c r="M34" s="30" t="s">
        <v>673</v>
      </c>
      <c r="N34" s="30"/>
      <c r="O34" s="31">
        <v>1702778.0</v>
      </c>
      <c r="P34" s="31">
        <v>136222.0</v>
      </c>
      <c r="Q34" s="32" t="s">
        <v>675</v>
      </c>
      <c r="R34" s="33">
        <v>170278.0</v>
      </c>
      <c r="S34" s="33">
        <v>13622.0</v>
      </c>
      <c r="T34" s="37">
        <f t="shared" ref="T34:U34" si="59">G34+R34</f>
        <v>1702778</v>
      </c>
      <c r="U34" s="37">
        <f t="shared" si="59"/>
        <v>136222</v>
      </c>
      <c r="V34" s="39">
        <f t="shared" ref="V34:W34" si="60">O34-G34-R34</f>
        <v>0</v>
      </c>
      <c r="W34" s="39">
        <f t="shared" si="60"/>
        <v>0</v>
      </c>
      <c r="X34" s="41"/>
      <c r="Y34" s="42"/>
      <c r="Z34" s="42"/>
    </row>
    <row r="35" ht="14.25" customHeight="1">
      <c r="A35" s="20" t="s">
        <v>40</v>
      </c>
      <c r="B35" s="22">
        <v>530.0</v>
      </c>
      <c r="C35" s="24" t="s">
        <v>677</v>
      </c>
      <c r="D35" s="24" t="s">
        <v>678</v>
      </c>
      <c r="E35" s="20" t="s">
        <v>679</v>
      </c>
      <c r="F35" s="20" t="s">
        <v>680</v>
      </c>
      <c r="G35" s="27">
        <v>846593.0</v>
      </c>
      <c r="H35" s="27">
        <v>67727.0</v>
      </c>
      <c r="I35" s="27">
        <v>914320.0</v>
      </c>
      <c r="J35" s="20" t="s">
        <v>56</v>
      </c>
      <c r="K35" s="28" t="s">
        <v>681</v>
      </c>
      <c r="L35" s="29" t="s">
        <v>198</v>
      </c>
      <c r="M35" s="30" t="s">
        <v>682</v>
      </c>
      <c r="N35" s="30"/>
      <c r="O35" s="31">
        <v>962037.0</v>
      </c>
      <c r="P35" s="31">
        <v>76963.0</v>
      </c>
      <c r="Q35" s="32" t="s">
        <v>683</v>
      </c>
      <c r="R35" s="33">
        <v>115444.0</v>
      </c>
      <c r="S35" s="33">
        <v>9236.0</v>
      </c>
      <c r="T35" s="37">
        <f t="shared" ref="T35:U35" si="61">G35+R35</f>
        <v>962037</v>
      </c>
      <c r="U35" s="37">
        <f t="shared" si="61"/>
        <v>76963</v>
      </c>
      <c r="V35" s="39">
        <f t="shared" ref="V35:W35" si="62">O35-G35-R35</f>
        <v>0</v>
      </c>
      <c r="W35" s="39">
        <f t="shared" si="62"/>
        <v>0</v>
      </c>
      <c r="X35" s="41"/>
      <c r="Y35" s="42"/>
      <c r="Z35" s="42"/>
    </row>
    <row r="36" ht="14.25" customHeight="1">
      <c r="A36" s="20" t="s">
        <v>40</v>
      </c>
      <c r="B36" s="22">
        <v>531.0</v>
      </c>
      <c r="C36" s="24" t="s">
        <v>677</v>
      </c>
      <c r="D36" s="24" t="s">
        <v>637</v>
      </c>
      <c r="E36" s="20" t="s">
        <v>638</v>
      </c>
      <c r="F36" s="20" t="s">
        <v>639</v>
      </c>
      <c r="G36" s="27">
        <v>1517593.0</v>
      </c>
      <c r="H36" s="27">
        <v>121407.0</v>
      </c>
      <c r="I36" s="27">
        <v>1639000.0</v>
      </c>
      <c r="J36" s="20" t="s">
        <v>56</v>
      </c>
      <c r="K36" s="28" t="s">
        <v>688</v>
      </c>
      <c r="L36" s="29" t="s">
        <v>62</v>
      </c>
      <c r="M36" s="30" t="s">
        <v>689</v>
      </c>
      <c r="N36" s="30"/>
      <c r="O36" s="31">
        <v>1702778.0</v>
      </c>
      <c r="P36" s="31">
        <v>136222.0</v>
      </c>
      <c r="Q36" s="32" t="s">
        <v>690</v>
      </c>
      <c r="R36" s="33">
        <v>185185.0</v>
      </c>
      <c r="S36" s="33">
        <v>14815.0</v>
      </c>
      <c r="T36" s="37">
        <f t="shared" ref="T36:U36" si="63">G36+R36</f>
        <v>1702778</v>
      </c>
      <c r="U36" s="37">
        <f t="shared" si="63"/>
        <v>136222</v>
      </c>
      <c r="V36" s="39">
        <f t="shared" ref="V36:W36" si="64">O36-G36-R36</f>
        <v>0</v>
      </c>
      <c r="W36" s="39">
        <f t="shared" si="64"/>
        <v>0</v>
      </c>
      <c r="X36" s="41"/>
      <c r="Y36" s="42"/>
      <c r="Z36" s="42"/>
    </row>
    <row r="37" ht="14.25" customHeight="1">
      <c r="A37" s="20" t="s">
        <v>40</v>
      </c>
      <c r="B37" s="22">
        <v>534.0</v>
      </c>
      <c r="C37" s="24" t="s">
        <v>699</v>
      </c>
      <c r="D37" s="24" t="s">
        <v>700</v>
      </c>
      <c r="E37" s="20" t="s">
        <v>701</v>
      </c>
      <c r="F37" s="20" t="s">
        <v>703</v>
      </c>
      <c r="G37" s="27">
        <v>2026556.0</v>
      </c>
      <c r="H37" s="27">
        <v>162124.0</v>
      </c>
      <c r="I37" s="27">
        <v>2188680.0</v>
      </c>
      <c r="J37" s="20" t="s">
        <v>56</v>
      </c>
      <c r="K37" s="28" t="s">
        <v>706</v>
      </c>
      <c r="L37" s="29" t="s">
        <v>198</v>
      </c>
      <c r="M37" s="30" t="s">
        <v>707</v>
      </c>
      <c r="N37" s="30"/>
      <c r="O37" s="31">
        <v>2202778.0</v>
      </c>
      <c r="P37" s="31">
        <v>176222.0</v>
      </c>
      <c r="Q37" s="32" t="s">
        <v>710</v>
      </c>
      <c r="R37" s="33">
        <v>176222.0</v>
      </c>
      <c r="S37" s="33">
        <v>14098.0</v>
      </c>
      <c r="T37" s="37">
        <f t="shared" ref="T37:U37" si="65">G37+R37</f>
        <v>2202778</v>
      </c>
      <c r="U37" s="37">
        <f t="shared" si="65"/>
        <v>176222</v>
      </c>
      <c r="V37" s="39">
        <f t="shared" ref="V37:W37" si="66">O37-G37-R37</f>
        <v>0</v>
      </c>
      <c r="W37" s="39">
        <f t="shared" si="66"/>
        <v>0</v>
      </c>
      <c r="X37" s="41"/>
      <c r="Y37" s="42"/>
      <c r="Z37" s="42"/>
    </row>
    <row r="38" ht="14.25" customHeight="1">
      <c r="A38" s="20" t="s">
        <v>40</v>
      </c>
      <c r="B38" s="22">
        <v>538.0</v>
      </c>
      <c r="C38" s="24" t="s">
        <v>718</v>
      </c>
      <c r="D38" s="24" t="s">
        <v>719</v>
      </c>
      <c r="E38" s="20" t="s">
        <v>721</v>
      </c>
      <c r="F38" s="20" t="s">
        <v>723</v>
      </c>
      <c r="G38" s="27">
        <v>1531037.0</v>
      </c>
      <c r="H38" s="27">
        <v>122483.0</v>
      </c>
      <c r="I38" s="27">
        <v>1653520.0</v>
      </c>
      <c r="J38" s="20" t="s">
        <v>56</v>
      </c>
      <c r="K38" s="28" t="s">
        <v>725</v>
      </c>
      <c r="L38" s="29" t="s">
        <v>62</v>
      </c>
      <c r="M38" s="30" t="s">
        <v>726</v>
      </c>
      <c r="N38" s="30"/>
      <c r="O38" s="31">
        <v>1739815.0</v>
      </c>
      <c r="P38" s="31">
        <v>139185.0</v>
      </c>
      <c r="Q38" s="32" t="s">
        <v>727</v>
      </c>
      <c r="R38" s="33">
        <v>208778.0</v>
      </c>
      <c r="S38" s="33">
        <v>16702.0</v>
      </c>
      <c r="T38" s="37">
        <f t="shared" ref="T38:U38" si="67">G38+R38</f>
        <v>1739815</v>
      </c>
      <c r="U38" s="37">
        <f t="shared" si="67"/>
        <v>139185</v>
      </c>
      <c r="V38" s="39">
        <f t="shared" ref="V38:W38" si="68">O38-G38-R38</f>
        <v>0</v>
      </c>
      <c r="W38" s="39">
        <f t="shared" si="68"/>
        <v>0</v>
      </c>
      <c r="X38" s="41"/>
      <c r="Y38" s="42"/>
      <c r="Z38" s="42"/>
    </row>
    <row r="39" ht="14.25" customHeight="1">
      <c r="A39" s="20" t="s">
        <v>40</v>
      </c>
      <c r="B39" s="22">
        <v>539.0</v>
      </c>
      <c r="C39" s="24" t="s">
        <v>735</v>
      </c>
      <c r="D39" s="24" t="s">
        <v>736</v>
      </c>
      <c r="E39" s="20" t="s">
        <v>737</v>
      </c>
      <c r="F39" s="20" t="s">
        <v>738</v>
      </c>
      <c r="G39" s="27">
        <v>2187176.0</v>
      </c>
      <c r="H39" s="27">
        <v>174974.0</v>
      </c>
      <c r="I39" s="27">
        <v>2362150.0</v>
      </c>
      <c r="J39" s="20" t="s">
        <v>56</v>
      </c>
      <c r="K39" s="28" t="s">
        <v>739</v>
      </c>
      <c r="L39" s="29" t="s">
        <v>198</v>
      </c>
      <c r="M39" s="30" t="s">
        <v>740</v>
      </c>
      <c r="N39" s="30"/>
      <c r="O39" s="31">
        <v>2573148.0</v>
      </c>
      <c r="P39" s="31">
        <v>205852.0</v>
      </c>
      <c r="Q39" s="32" t="s">
        <v>742</v>
      </c>
      <c r="R39" s="33">
        <v>385972.0</v>
      </c>
      <c r="S39" s="33">
        <v>30878.0</v>
      </c>
      <c r="T39" s="37">
        <f t="shared" ref="T39:U39" si="69">G39+R39</f>
        <v>2573148</v>
      </c>
      <c r="U39" s="37">
        <f t="shared" si="69"/>
        <v>205852</v>
      </c>
      <c r="V39" s="39">
        <f t="shared" ref="V39:W39" si="70">O39-G39-R39</f>
        <v>0</v>
      </c>
      <c r="W39" s="39">
        <f t="shared" si="70"/>
        <v>0</v>
      </c>
      <c r="X39" s="41"/>
      <c r="Y39" s="42"/>
      <c r="Z39" s="42"/>
    </row>
    <row r="40" ht="14.25" customHeight="1">
      <c r="A40" s="20" t="s">
        <v>40</v>
      </c>
      <c r="B40" s="22">
        <v>540.0</v>
      </c>
      <c r="C40" s="24" t="s">
        <v>735</v>
      </c>
      <c r="D40" s="24" t="s">
        <v>750</v>
      </c>
      <c r="E40" s="20" t="s">
        <v>751</v>
      </c>
      <c r="F40" s="20" t="s">
        <v>753</v>
      </c>
      <c r="G40" s="27">
        <v>443519.0</v>
      </c>
      <c r="H40" s="27">
        <v>35482.0</v>
      </c>
      <c r="I40" s="27">
        <v>479001.0</v>
      </c>
      <c r="J40" s="20" t="s">
        <v>57</v>
      </c>
      <c r="K40" s="28" t="s">
        <v>755</v>
      </c>
      <c r="L40" s="29" t="s">
        <v>62</v>
      </c>
      <c r="M40" s="30" t="s">
        <v>756</v>
      </c>
      <c r="N40" s="30"/>
      <c r="O40" s="44">
        <v>443519.0</v>
      </c>
      <c r="P40" s="44">
        <v>35481.0</v>
      </c>
      <c r="Q40" s="32"/>
      <c r="R40" s="32"/>
      <c r="S40" s="32"/>
      <c r="T40" s="45"/>
      <c r="U40" s="45"/>
      <c r="V40" s="39">
        <f t="shared" ref="V40:W40" si="71">O40-G40-R40</f>
        <v>0</v>
      </c>
      <c r="W40" s="39">
        <f t="shared" si="71"/>
        <v>-1</v>
      </c>
      <c r="X40" s="41"/>
      <c r="Y40" s="42"/>
      <c r="Z40" s="42"/>
    </row>
    <row r="41" ht="14.25" customHeight="1">
      <c r="A41" s="20" t="s">
        <v>40</v>
      </c>
      <c r="B41" s="22">
        <v>541.0</v>
      </c>
      <c r="C41" s="24" t="s">
        <v>735</v>
      </c>
      <c r="D41" s="24" t="s">
        <v>762</v>
      </c>
      <c r="E41" s="20" t="s">
        <v>763</v>
      </c>
      <c r="F41" s="20" t="s">
        <v>764</v>
      </c>
      <c r="G41" s="27">
        <v>834907.0</v>
      </c>
      <c r="H41" s="27">
        <v>66793.0</v>
      </c>
      <c r="I41" s="27">
        <v>901700.0</v>
      </c>
      <c r="J41" s="20" t="s">
        <v>56</v>
      </c>
      <c r="K41" s="28" t="s">
        <v>765</v>
      </c>
      <c r="L41" s="29" t="s">
        <v>198</v>
      </c>
      <c r="M41" s="30" t="s">
        <v>766</v>
      </c>
      <c r="N41" s="30"/>
      <c r="O41" s="31">
        <v>803704.0</v>
      </c>
      <c r="P41" s="31">
        <v>64296.0</v>
      </c>
      <c r="Q41" s="32" t="s">
        <v>773</v>
      </c>
      <c r="R41" s="33">
        <v>-31203.0</v>
      </c>
      <c r="S41" s="33">
        <v>-2496.0</v>
      </c>
      <c r="T41" s="37">
        <f t="shared" ref="T41:U41" si="72">G41+R41</f>
        <v>803704</v>
      </c>
      <c r="U41" s="37">
        <f t="shared" si="72"/>
        <v>64297</v>
      </c>
      <c r="V41" s="39">
        <f t="shared" ref="V41:W41" si="73">O41-G41-R41</f>
        <v>0</v>
      </c>
      <c r="W41" s="39">
        <f t="shared" si="73"/>
        <v>-1</v>
      </c>
      <c r="X41" s="41"/>
      <c r="Y41" s="42"/>
      <c r="Z41" s="42"/>
    </row>
    <row r="42" ht="14.25" customHeight="1">
      <c r="A42" s="20" t="s">
        <v>40</v>
      </c>
      <c r="B42" s="22">
        <v>542.0</v>
      </c>
      <c r="C42" s="24" t="s">
        <v>735</v>
      </c>
      <c r="D42" s="24" t="s">
        <v>784</v>
      </c>
      <c r="E42" s="20" t="s">
        <v>785</v>
      </c>
      <c r="F42" s="20" t="s">
        <v>786</v>
      </c>
      <c r="G42" s="27">
        <v>4035185.0</v>
      </c>
      <c r="H42" s="27">
        <v>322815.0</v>
      </c>
      <c r="I42" s="27">
        <v>4358000.0</v>
      </c>
      <c r="J42" s="20" t="s">
        <v>57</v>
      </c>
      <c r="K42" s="28" t="s">
        <v>787</v>
      </c>
      <c r="L42" s="29" t="s">
        <v>198</v>
      </c>
      <c r="M42" s="30" t="s">
        <v>788</v>
      </c>
      <c r="N42" s="30"/>
      <c r="O42" s="44">
        <v>4035185.0</v>
      </c>
      <c r="P42" s="44">
        <v>322815.0</v>
      </c>
      <c r="Q42" s="32"/>
      <c r="R42" s="32"/>
      <c r="S42" s="32"/>
      <c r="T42" s="45"/>
      <c r="U42" s="45"/>
      <c r="V42" s="39">
        <f t="shared" ref="V42:W42" si="74">O42-G42-R42</f>
        <v>0</v>
      </c>
      <c r="W42" s="39">
        <f t="shared" si="74"/>
        <v>0</v>
      </c>
      <c r="X42" s="41"/>
      <c r="Y42" s="42"/>
      <c r="Z42" s="42"/>
    </row>
    <row r="43" ht="14.25" customHeight="1">
      <c r="A43" s="20" t="s">
        <v>40</v>
      </c>
      <c r="B43" s="22">
        <v>450.0</v>
      </c>
      <c r="C43" s="24" t="s">
        <v>794</v>
      </c>
      <c r="D43" s="24" t="s">
        <v>795</v>
      </c>
      <c r="E43" s="20" t="s">
        <v>796</v>
      </c>
      <c r="F43" s="20" t="s">
        <v>797</v>
      </c>
      <c r="G43" s="27">
        <v>673426.0</v>
      </c>
      <c r="H43" s="27">
        <v>53874.0</v>
      </c>
      <c r="I43" s="27">
        <v>727300.0</v>
      </c>
      <c r="J43" s="20" t="s">
        <v>56</v>
      </c>
      <c r="K43" s="28" t="s">
        <v>798</v>
      </c>
      <c r="L43" s="29" t="s">
        <v>62</v>
      </c>
      <c r="M43" s="30" t="s">
        <v>799</v>
      </c>
      <c r="N43" s="30"/>
      <c r="O43" s="31">
        <v>962037.0</v>
      </c>
      <c r="P43" s="31">
        <v>76963.0</v>
      </c>
      <c r="Q43" s="32" t="s">
        <v>801</v>
      </c>
      <c r="R43" s="33">
        <v>288611.0</v>
      </c>
      <c r="S43" s="33">
        <v>23089.0</v>
      </c>
      <c r="T43" s="37">
        <f t="shared" ref="T43:U43" si="75">G43+R43</f>
        <v>962037</v>
      </c>
      <c r="U43" s="37">
        <f t="shared" si="75"/>
        <v>76963</v>
      </c>
      <c r="V43" s="39">
        <f t="shared" ref="V43:W43" si="76">O43-G43-R43</f>
        <v>0</v>
      </c>
      <c r="W43" s="39">
        <f t="shared" si="76"/>
        <v>0</v>
      </c>
      <c r="X43" s="41"/>
      <c r="Y43" s="42"/>
      <c r="Z43" s="42"/>
    </row>
    <row r="44" ht="14.25" customHeight="1">
      <c r="A44" s="20" t="s">
        <v>40</v>
      </c>
      <c r="B44" s="22">
        <v>451.0</v>
      </c>
      <c r="C44" s="24" t="s">
        <v>794</v>
      </c>
      <c r="D44" s="24" t="s">
        <v>809</v>
      </c>
      <c r="E44" s="20" t="s">
        <v>810</v>
      </c>
      <c r="F44" s="20" t="s">
        <v>812</v>
      </c>
      <c r="G44" s="27">
        <v>2026852.0</v>
      </c>
      <c r="H44" s="27">
        <v>162148.0</v>
      </c>
      <c r="I44" s="27">
        <v>2189000.0</v>
      </c>
      <c r="J44" s="20" t="s">
        <v>56</v>
      </c>
      <c r="K44" s="28" t="s">
        <v>813</v>
      </c>
      <c r="L44" s="29" t="s">
        <v>62</v>
      </c>
      <c r="M44" s="30" t="s">
        <v>814</v>
      </c>
      <c r="N44" s="30"/>
      <c r="O44" s="31">
        <v>2258333.0</v>
      </c>
      <c r="P44" s="31">
        <v>180667.0</v>
      </c>
      <c r="Q44" s="32" t="s">
        <v>815</v>
      </c>
      <c r="R44" s="33">
        <v>231481.0</v>
      </c>
      <c r="S44" s="33">
        <v>18518.0</v>
      </c>
      <c r="T44" s="37">
        <f t="shared" ref="T44:U44" si="77">G44+R44</f>
        <v>2258333</v>
      </c>
      <c r="U44" s="37">
        <f t="shared" si="77"/>
        <v>180666</v>
      </c>
      <c r="V44" s="39">
        <f t="shared" ref="V44:W44" si="78">O44-G44-R44</f>
        <v>0</v>
      </c>
      <c r="W44" s="39">
        <f t="shared" si="78"/>
        <v>1</v>
      </c>
      <c r="X44" s="41"/>
      <c r="Y44" s="42"/>
      <c r="Z44" s="42"/>
    </row>
    <row r="45" ht="14.25" customHeight="1">
      <c r="A45" s="20" t="s">
        <v>40</v>
      </c>
      <c r="B45" s="22">
        <v>452.0</v>
      </c>
      <c r="C45" s="24" t="s">
        <v>821</v>
      </c>
      <c r="D45" s="24" t="s">
        <v>822</v>
      </c>
      <c r="E45" s="20" t="s">
        <v>823</v>
      </c>
      <c r="F45" s="20" t="s">
        <v>824</v>
      </c>
      <c r="G45" s="27">
        <v>521111.0</v>
      </c>
      <c r="H45" s="27">
        <v>41689.0</v>
      </c>
      <c r="I45" s="27">
        <v>562800.0</v>
      </c>
      <c r="J45" s="20" t="s">
        <v>57</v>
      </c>
      <c r="K45" s="28" t="s">
        <v>825</v>
      </c>
      <c r="L45" s="29" t="s">
        <v>62</v>
      </c>
      <c r="M45" s="30" t="s">
        <v>826</v>
      </c>
      <c r="N45" s="30"/>
      <c r="O45" s="44">
        <v>509259.0</v>
      </c>
      <c r="P45" s="44">
        <v>40741.0</v>
      </c>
      <c r="Q45" s="32"/>
      <c r="R45" s="32"/>
      <c r="S45" s="32"/>
      <c r="T45" s="45"/>
      <c r="U45" s="45"/>
      <c r="V45" s="39">
        <f t="shared" ref="V45:W45" si="79">O45-G45-R45</f>
        <v>-11852</v>
      </c>
      <c r="W45" s="39">
        <f t="shared" si="79"/>
        <v>-948</v>
      </c>
      <c r="X45" s="41"/>
      <c r="Y45" s="42"/>
      <c r="Z45" s="42"/>
    </row>
    <row r="46" ht="14.25" customHeight="1">
      <c r="A46" s="20" t="s">
        <v>40</v>
      </c>
      <c r="B46" s="22">
        <v>453.0</v>
      </c>
      <c r="C46" s="24" t="s">
        <v>821</v>
      </c>
      <c r="D46" s="24" t="s">
        <v>830</v>
      </c>
      <c r="E46" s="20" t="s">
        <v>832</v>
      </c>
      <c r="F46" s="20" t="s">
        <v>834</v>
      </c>
      <c r="G46" s="27">
        <v>1018519.0</v>
      </c>
      <c r="H46" s="27">
        <v>81482.0</v>
      </c>
      <c r="I46" s="27">
        <v>1100001.0</v>
      </c>
      <c r="J46" s="20" t="s">
        <v>57</v>
      </c>
      <c r="K46" s="28" t="s">
        <v>837</v>
      </c>
      <c r="L46" s="29" t="s">
        <v>157</v>
      </c>
      <c r="M46" s="30" t="s">
        <v>839</v>
      </c>
      <c r="N46" s="30"/>
      <c r="O46" s="44">
        <v>1018519.0</v>
      </c>
      <c r="P46" s="44">
        <v>81481.0</v>
      </c>
      <c r="Q46" s="32"/>
      <c r="R46" s="32"/>
      <c r="S46" s="32"/>
      <c r="T46" s="45"/>
      <c r="U46" s="45"/>
      <c r="V46" s="39">
        <f t="shared" ref="V46:W46" si="80">O46-G46-R46</f>
        <v>0</v>
      </c>
      <c r="W46" s="39">
        <f t="shared" si="80"/>
        <v>-1</v>
      </c>
      <c r="X46" s="41"/>
      <c r="Y46" s="42"/>
      <c r="Z46" s="42"/>
    </row>
    <row r="47" ht="14.25" customHeight="1">
      <c r="A47" s="20" t="s">
        <v>40</v>
      </c>
      <c r="B47" s="22">
        <v>457.0</v>
      </c>
      <c r="C47" s="24" t="s">
        <v>842</v>
      </c>
      <c r="D47" s="24" t="s">
        <v>843</v>
      </c>
      <c r="E47" s="20" t="s">
        <v>844</v>
      </c>
      <c r="F47" s="20" t="s">
        <v>845</v>
      </c>
      <c r="G47" s="27">
        <v>1967650.0</v>
      </c>
      <c r="H47" s="27">
        <v>157412.0</v>
      </c>
      <c r="I47" s="27">
        <v>2125062.0</v>
      </c>
      <c r="J47" s="20" t="s">
        <v>56</v>
      </c>
      <c r="K47" s="28">
        <v>4.90365980467499E14</v>
      </c>
      <c r="L47" s="29" t="s">
        <v>846</v>
      </c>
      <c r="M47" s="30" t="s">
        <v>847</v>
      </c>
      <c r="N47" s="30"/>
      <c r="O47" s="31">
        <v>2338056.0</v>
      </c>
      <c r="P47" s="31">
        <v>187044.0</v>
      </c>
      <c r="Q47" s="32" t="s">
        <v>848</v>
      </c>
      <c r="R47" s="33">
        <v>79757.0</v>
      </c>
      <c r="S47" s="33">
        <v>6381.0</v>
      </c>
      <c r="T47" s="37">
        <f t="shared" ref="T47:U47" si="81">G47+R47</f>
        <v>2047407</v>
      </c>
      <c r="U47" s="37">
        <f t="shared" si="81"/>
        <v>163793</v>
      </c>
      <c r="V47" s="39">
        <f t="shared" ref="V47:W47" si="82">O47-G47-R47</f>
        <v>290649</v>
      </c>
      <c r="W47" s="39">
        <f t="shared" si="82"/>
        <v>23251</v>
      </c>
      <c r="X47" s="41"/>
      <c r="Y47" s="42"/>
      <c r="Z47" s="42"/>
    </row>
    <row r="48" ht="14.25" customHeight="1">
      <c r="A48" s="20" t="s">
        <v>40</v>
      </c>
      <c r="B48" s="22">
        <v>458.0</v>
      </c>
      <c r="C48" s="24" t="s">
        <v>857</v>
      </c>
      <c r="D48" s="24" t="s">
        <v>858</v>
      </c>
      <c r="E48" s="20" t="s">
        <v>620</v>
      </c>
      <c r="F48" s="20" t="s">
        <v>859</v>
      </c>
      <c r="G48" s="27">
        <v>2.7546296E7</v>
      </c>
      <c r="H48" s="27">
        <v>2203704.0</v>
      </c>
      <c r="I48" s="27">
        <v>2.975E7</v>
      </c>
      <c r="J48" s="20" t="s">
        <v>57</v>
      </c>
      <c r="K48" s="28" t="s">
        <v>860</v>
      </c>
      <c r="L48" s="29" t="s">
        <v>157</v>
      </c>
      <c r="M48" s="30" t="s">
        <v>862</v>
      </c>
      <c r="N48" s="30"/>
      <c r="O48" s="44">
        <v>2.7546296E7</v>
      </c>
      <c r="P48" s="44">
        <v>2203704.0</v>
      </c>
      <c r="Q48" s="32"/>
      <c r="R48" s="32"/>
      <c r="S48" s="32"/>
      <c r="T48" s="45"/>
      <c r="U48" s="45"/>
      <c r="V48" s="39">
        <f t="shared" ref="V48:W48" si="83">O48-G48-R48</f>
        <v>0</v>
      </c>
      <c r="W48" s="39">
        <f t="shared" si="83"/>
        <v>0</v>
      </c>
      <c r="X48" s="41"/>
      <c r="Y48" s="42"/>
      <c r="Z48" s="42"/>
    </row>
    <row r="49" ht="14.25" customHeight="1">
      <c r="A49" s="20" t="s">
        <v>40</v>
      </c>
      <c r="B49" s="22">
        <v>459.0</v>
      </c>
      <c r="C49" s="24" t="s">
        <v>869</v>
      </c>
      <c r="D49" s="24" t="s">
        <v>871</v>
      </c>
      <c r="E49" s="20" t="s">
        <v>872</v>
      </c>
      <c r="F49" s="20" t="s">
        <v>873</v>
      </c>
      <c r="G49" s="27">
        <v>867870.0</v>
      </c>
      <c r="H49" s="27">
        <v>69430.0</v>
      </c>
      <c r="I49" s="27">
        <v>937300.0</v>
      </c>
      <c r="J49" s="20" t="s">
        <v>56</v>
      </c>
      <c r="K49" s="28" t="s">
        <v>874</v>
      </c>
      <c r="L49" s="29" t="s">
        <v>62</v>
      </c>
      <c r="M49" s="30" t="s">
        <v>875</v>
      </c>
      <c r="N49" s="30"/>
      <c r="O49" s="31">
        <v>1239815.0</v>
      </c>
      <c r="P49" s="31">
        <v>99185.0</v>
      </c>
      <c r="Q49" s="32" t="s">
        <v>877</v>
      </c>
      <c r="R49" s="33">
        <v>371945.0</v>
      </c>
      <c r="S49" s="33">
        <v>29756.0</v>
      </c>
      <c r="T49" s="37">
        <f t="shared" ref="T49:U49" si="84">G49+R49</f>
        <v>1239815</v>
      </c>
      <c r="U49" s="37">
        <f t="shared" si="84"/>
        <v>99186</v>
      </c>
      <c r="V49" s="39">
        <f t="shared" ref="V49:W49" si="85">O49-G49-R49</f>
        <v>0</v>
      </c>
      <c r="W49" s="39">
        <f t="shared" si="85"/>
        <v>-1</v>
      </c>
      <c r="X49" s="41"/>
      <c r="Y49" s="42"/>
      <c r="Z49" s="42"/>
    </row>
    <row r="50" ht="14.25" customHeight="1">
      <c r="A50" s="20" t="s">
        <v>40</v>
      </c>
      <c r="B50" s="22">
        <v>460.0</v>
      </c>
      <c r="C50" s="24" t="s">
        <v>888</v>
      </c>
      <c r="D50" s="24" t="s">
        <v>890</v>
      </c>
      <c r="E50" s="20" t="s">
        <v>892</v>
      </c>
      <c r="F50" s="20" t="s">
        <v>893</v>
      </c>
      <c r="G50" s="27">
        <v>1447361.0</v>
      </c>
      <c r="H50" s="27">
        <v>115789.0</v>
      </c>
      <c r="I50" s="27">
        <v>1563150.0</v>
      </c>
      <c r="J50" s="20" t="s">
        <v>56</v>
      </c>
      <c r="K50" s="28" t="s">
        <v>895</v>
      </c>
      <c r="L50" s="29" t="s">
        <v>198</v>
      </c>
      <c r="M50" s="30" t="s">
        <v>896</v>
      </c>
      <c r="N50" s="30"/>
      <c r="O50" s="31">
        <v>1702778.0</v>
      </c>
      <c r="P50" s="31">
        <v>136222.0</v>
      </c>
      <c r="Q50" s="32" t="s">
        <v>897</v>
      </c>
      <c r="R50" s="33">
        <v>255417.0</v>
      </c>
      <c r="S50" s="33">
        <v>20433.0</v>
      </c>
      <c r="T50" s="37">
        <f t="shared" ref="T50:U50" si="86">G50+R50</f>
        <v>1702778</v>
      </c>
      <c r="U50" s="37">
        <f t="shared" si="86"/>
        <v>136222</v>
      </c>
      <c r="V50" s="39">
        <f t="shared" ref="V50:W50" si="87">O50-G50-R50</f>
        <v>0</v>
      </c>
      <c r="W50" s="39">
        <f t="shared" si="87"/>
        <v>0</v>
      </c>
      <c r="X50" s="41"/>
      <c r="Y50" s="42"/>
      <c r="Z50" s="42"/>
    </row>
    <row r="51" ht="14.25" customHeight="1">
      <c r="A51" s="20" t="s">
        <v>40</v>
      </c>
      <c r="B51" s="22">
        <v>461.0</v>
      </c>
      <c r="C51" s="24" t="s">
        <v>908</v>
      </c>
      <c r="D51" s="24" t="s">
        <v>909</v>
      </c>
      <c r="E51" s="20" t="s">
        <v>910</v>
      </c>
      <c r="F51" s="20" t="s">
        <v>911</v>
      </c>
      <c r="G51" s="27">
        <v>795370.0</v>
      </c>
      <c r="H51" s="27">
        <v>63630.0</v>
      </c>
      <c r="I51" s="27">
        <v>859000.0</v>
      </c>
      <c r="J51" s="20" t="s">
        <v>56</v>
      </c>
      <c r="K51" s="28" t="s">
        <v>915</v>
      </c>
      <c r="L51" s="29" t="s">
        <v>198</v>
      </c>
      <c r="M51" s="30" t="s">
        <v>917</v>
      </c>
      <c r="N51" s="30"/>
      <c r="O51" s="31">
        <v>962037.0</v>
      </c>
      <c r="P51" s="31">
        <v>76963.0</v>
      </c>
      <c r="Q51" s="32" t="s">
        <v>918</v>
      </c>
      <c r="R51" s="33">
        <v>166667.0</v>
      </c>
      <c r="S51" s="33">
        <v>13333.0</v>
      </c>
      <c r="T51" s="37">
        <f t="shared" ref="T51:U51" si="88">G51+R51</f>
        <v>962037</v>
      </c>
      <c r="U51" s="37">
        <f t="shared" si="88"/>
        <v>76963</v>
      </c>
      <c r="V51" s="39">
        <f t="shared" ref="V51:W51" si="89">O51-G51-R51</f>
        <v>0</v>
      </c>
      <c r="W51" s="39">
        <f t="shared" si="89"/>
        <v>0</v>
      </c>
      <c r="X51" s="41"/>
      <c r="Y51" s="42"/>
      <c r="Z51" s="42"/>
    </row>
    <row r="52" ht="14.25" customHeight="1">
      <c r="A52" s="20" t="s">
        <v>40</v>
      </c>
      <c r="B52" s="22">
        <v>463.0</v>
      </c>
      <c r="C52" s="24" t="s">
        <v>929</v>
      </c>
      <c r="D52" s="24" t="s">
        <v>930</v>
      </c>
      <c r="E52" s="20" t="s">
        <v>932</v>
      </c>
      <c r="F52" s="20" t="s">
        <v>933</v>
      </c>
      <c r="G52" s="27">
        <v>2315833.0</v>
      </c>
      <c r="H52" s="27">
        <v>185267.0</v>
      </c>
      <c r="I52" s="27">
        <v>2501100.0</v>
      </c>
      <c r="J52" s="20" t="s">
        <v>56</v>
      </c>
      <c r="K52" s="28" t="s">
        <v>934</v>
      </c>
      <c r="L52" s="29" t="s">
        <v>62</v>
      </c>
      <c r="M52" s="30" t="s">
        <v>935</v>
      </c>
      <c r="N52" s="30"/>
      <c r="O52" s="31">
        <v>2573148.0</v>
      </c>
      <c r="P52" s="31">
        <v>205852.0</v>
      </c>
      <c r="Q52" s="32" t="s">
        <v>937</v>
      </c>
      <c r="R52" s="33">
        <v>257315.0</v>
      </c>
      <c r="S52" s="33">
        <v>20585.0</v>
      </c>
      <c r="T52" s="37">
        <f t="shared" ref="T52:U52" si="90">G52+R52</f>
        <v>2573148</v>
      </c>
      <c r="U52" s="37">
        <f t="shared" si="90"/>
        <v>205852</v>
      </c>
      <c r="V52" s="39">
        <f t="shared" ref="V52:W52" si="91">O52-G52-R52</f>
        <v>0</v>
      </c>
      <c r="W52" s="39">
        <f t="shared" si="91"/>
        <v>0</v>
      </c>
      <c r="X52" s="41"/>
      <c r="Y52" s="42"/>
      <c r="Z52" s="42"/>
    </row>
    <row r="53" ht="14.25" customHeight="1">
      <c r="A53" s="20" t="s">
        <v>40</v>
      </c>
      <c r="B53" s="22">
        <v>464.0</v>
      </c>
      <c r="C53" s="24" t="s">
        <v>929</v>
      </c>
      <c r="D53" s="24" t="s">
        <v>949</v>
      </c>
      <c r="E53" s="20" t="s">
        <v>951</v>
      </c>
      <c r="F53" s="20" t="s">
        <v>953</v>
      </c>
      <c r="G53" s="27">
        <v>1801204.0</v>
      </c>
      <c r="H53" s="27">
        <v>144096.0</v>
      </c>
      <c r="I53" s="27">
        <v>1945300.0</v>
      </c>
      <c r="J53" s="20" t="s">
        <v>56</v>
      </c>
      <c r="K53" s="28" t="s">
        <v>956</v>
      </c>
      <c r="L53" s="29" t="s">
        <v>62</v>
      </c>
      <c r="M53" s="30" t="s">
        <v>957</v>
      </c>
      <c r="N53" s="30"/>
      <c r="O53" s="31">
        <v>2573148.0</v>
      </c>
      <c r="P53" s="31">
        <v>205852.0</v>
      </c>
      <c r="Q53" s="32" t="s">
        <v>958</v>
      </c>
      <c r="R53" s="33">
        <v>771944.0</v>
      </c>
      <c r="S53" s="33">
        <v>61756.0</v>
      </c>
      <c r="T53" s="37">
        <f t="shared" ref="T53:U53" si="92">G53+R53</f>
        <v>2573148</v>
      </c>
      <c r="U53" s="37">
        <f t="shared" si="92"/>
        <v>205852</v>
      </c>
      <c r="V53" s="39">
        <f t="shared" ref="V53:W53" si="93">O53-G53-R53</f>
        <v>0</v>
      </c>
      <c r="W53" s="39">
        <f t="shared" si="93"/>
        <v>0</v>
      </c>
      <c r="X53" s="41"/>
      <c r="Y53" s="42"/>
      <c r="Z53" s="42"/>
    </row>
    <row r="54" ht="14.25" customHeight="1">
      <c r="A54" s="20" t="s">
        <v>40</v>
      </c>
      <c r="B54" s="22">
        <v>469.0</v>
      </c>
      <c r="C54" s="24" t="s">
        <v>966</v>
      </c>
      <c r="D54" s="24" t="s">
        <v>967</v>
      </c>
      <c r="E54" s="20" t="s">
        <v>969</v>
      </c>
      <c r="F54" s="20" t="s">
        <v>971</v>
      </c>
      <c r="G54" s="27">
        <v>284537.0</v>
      </c>
      <c r="H54" s="27">
        <v>22763.0</v>
      </c>
      <c r="I54" s="27">
        <v>307300.0</v>
      </c>
      <c r="J54" s="20" t="s">
        <v>56</v>
      </c>
      <c r="K54" s="28" t="s">
        <v>973</v>
      </c>
      <c r="L54" s="29" t="s">
        <v>62</v>
      </c>
      <c r="M54" s="30" t="s">
        <v>974</v>
      </c>
      <c r="N54" s="30"/>
      <c r="O54" s="31">
        <v>406481.0</v>
      </c>
      <c r="P54" s="31">
        <v>32519.0</v>
      </c>
      <c r="Q54" s="32" t="s">
        <v>975</v>
      </c>
      <c r="R54" s="33">
        <v>121944.0</v>
      </c>
      <c r="S54" s="33">
        <v>9756.0</v>
      </c>
      <c r="T54" s="37">
        <f t="shared" ref="T54:U54" si="94">G54+R54</f>
        <v>406481</v>
      </c>
      <c r="U54" s="37">
        <f t="shared" si="94"/>
        <v>32519</v>
      </c>
      <c r="V54" s="39">
        <f t="shared" ref="V54:W54" si="95">O54-G54-R54</f>
        <v>0</v>
      </c>
      <c r="W54" s="39">
        <f t="shared" si="95"/>
        <v>0</v>
      </c>
      <c r="X54" s="41"/>
      <c r="Y54" s="42"/>
      <c r="Z54" s="42"/>
    </row>
    <row r="55" ht="14.25" customHeight="1">
      <c r="A55" s="20" t="s">
        <v>40</v>
      </c>
      <c r="B55" s="22">
        <v>470.0</v>
      </c>
      <c r="C55" s="24" t="s">
        <v>981</v>
      </c>
      <c r="D55" s="24" t="s">
        <v>982</v>
      </c>
      <c r="E55" s="20" t="s">
        <v>983</v>
      </c>
      <c r="F55" s="20" t="s">
        <v>984</v>
      </c>
      <c r="G55" s="27">
        <v>1148074.0</v>
      </c>
      <c r="H55" s="27">
        <v>91846.0</v>
      </c>
      <c r="I55" s="27">
        <v>1239920.0</v>
      </c>
      <c r="J55" s="20" t="s">
        <v>57</v>
      </c>
      <c r="K55" s="28" t="s">
        <v>985</v>
      </c>
      <c r="L55" s="29" t="s">
        <v>62</v>
      </c>
      <c r="M55" s="30" t="s">
        <v>986</v>
      </c>
      <c r="N55" s="30"/>
      <c r="O55" s="44">
        <v>1304630.0</v>
      </c>
      <c r="P55" s="44">
        <v>104370.0</v>
      </c>
      <c r="Q55" s="32"/>
      <c r="R55" s="32"/>
      <c r="S55" s="32"/>
      <c r="T55" s="45"/>
      <c r="U55" s="45"/>
      <c r="V55" s="39">
        <f t="shared" ref="V55:W55" si="96">O55-G55-R55</f>
        <v>156556</v>
      </c>
      <c r="W55" s="39">
        <f t="shared" si="96"/>
        <v>12524</v>
      </c>
      <c r="X55" s="41"/>
      <c r="Y55" s="42"/>
      <c r="Z55" s="42"/>
    </row>
    <row r="56" ht="14.25" customHeight="1">
      <c r="A56" s="20" t="s">
        <v>40</v>
      </c>
      <c r="B56" s="22">
        <v>471.0</v>
      </c>
      <c r="C56" s="24" t="s">
        <v>981</v>
      </c>
      <c r="D56" s="24" t="s">
        <v>993</v>
      </c>
      <c r="E56" s="20" t="s">
        <v>994</v>
      </c>
      <c r="F56" s="20" t="s">
        <v>995</v>
      </c>
      <c r="G56" s="27">
        <v>786111.0</v>
      </c>
      <c r="H56" s="27">
        <v>62889.0</v>
      </c>
      <c r="I56" s="27">
        <v>849000.0</v>
      </c>
      <c r="J56" s="20" t="s">
        <v>56</v>
      </c>
      <c r="K56" s="28" t="s">
        <v>998</v>
      </c>
      <c r="L56" s="29" t="s">
        <v>198</v>
      </c>
      <c r="M56" s="30" t="s">
        <v>1001</v>
      </c>
      <c r="N56" s="30"/>
      <c r="O56" s="31">
        <v>925000.0</v>
      </c>
      <c r="P56" s="31">
        <v>74000.0</v>
      </c>
      <c r="Q56" s="32" t="s">
        <v>1003</v>
      </c>
      <c r="R56" s="33">
        <v>138889.0</v>
      </c>
      <c r="S56" s="33">
        <v>11111.0</v>
      </c>
      <c r="T56" s="37">
        <f t="shared" ref="T56:U56" si="97">G56+R56</f>
        <v>925000</v>
      </c>
      <c r="U56" s="37">
        <f t="shared" si="97"/>
        <v>74000</v>
      </c>
      <c r="V56" s="39">
        <f t="shared" ref="V56:W56" si="98">O56-G56-R56</f>
        <v>0</v>
      </c>
      <c r="W56" s="39">
        <f t="shared" si="98"/>
        <v>0</v>
      </c>
      <c r="X56" s="41"/>
      <c r="Y56" s="42"/>
      <c r="Z56" s="42"/>
    </row>
    <row r="57" ht="14.25" customHeight="1">
      <c r="A57" s="20" t="s">
        <v>40</v>
      </c>
      <c r="B57" s="22">
        <v>479.0</v>
      </c>
      <c r="C57" s="24" t="s">
        <v>1012</v>
      </c>
      <c r="D57" s="24" t="s">
        <v>1014</v>
      </c>
      <c r="E57" s="20" t="s">
        <v>1015</v>
      </c>
      <c r="F57" s="20" t="s">
        <v>1017</v>
      </c>
      <c r="G57" s="27">
        <v>3405111.0</v>
      </c>
      <c r="H57" s="27">
        <v>272409.0</v>
      </c>
      <c r="I57" s="27">
        <v>3677520.0</v>
      </c>
      <c r="J57" s="20" t="s">
        <v>56</v>
      </c>
      <c r="K57" s="28" t="s">
        <v>1018</v>
      </c>
      <c r="L57" s="29" t="s">
        <v>62</v>
      </c>
      <c r="M57" s="30" t="s">
        <v>1019</v>
      </c>
      <c r="N57" s="30"/>
      <c r="O57" s="31">
        <v>3869444.0</v>
      </c>
      <c r="P57" s="31">
        <v>309556.0</v>
      </c>
      <c r="Q57" s="32" t="s">
        <v>1020</v>
      </c>
      <c r="R57" s="33">
        <v>464333.0</v>
      </c>
      <c r="S57" s="33">
        <v>37147.0</v>
      </c>
      <c r="T57" s="37">
        <f t="shared" ref="T57:U57" si="99">G57+R57</f>
        <v>3869444</v>
      </c>
      <c r="U57" s="37">
        <f t="shared" si="99"/>
        <v>309556</v>
      </c>
      <c r="V57" s="39">
        <f t="shared" ref="V57:W57" si="100">O57-G57-R57</f>
        <v>0</v>
      </c>
      <c r="W57" s="39">
        <f t="shared" si="100"/>
        <v>0</v>
      </c>
      <c r="X57" s="41"/>
      <c r="Y57" s="42"/>
      <c r="Z57" s="42"/>
    </row>
    <row r="58" ht="14.25" customHeight="1">
      <c r="A58" s="20" t="s">
        <v>40</v>
      </c>
      <c r="B58" s="22">
        <v>378.0</v>
      </c>
      <c r="C58" s="24" t="s">
        <v>1030</v>
      </c>
      <c r="D58" s="24" t="s">
        <v>1031</v>
      </c>
      <c r="E58" s="20" t="s">
        <v>1032</v>
      </c>
      <c r="F58" s="20" t="s">
        <v>1033</v>
      </c>
      <c r="G58" s="27">
        <v>2295370.0</v>
      </c>
      <c r="H58" s="27">
        <v>183630.0</v>
      </c>
      <c r="I58" s="27">
        <v>2479000.0</v>
      </c>
      <c r="J58" s="20" t="s">
        <v>57</v>
      </c>
      <c r="K58" s="28" t="s">
        <v>1034</v>
      </c>
      <c r="L58" s="29" t="s">
        <v>198</v>
      </c>
      <c r="M58" s="30" t="s">
        <v>1035</v>
      </c>
      <c r="N58" s="30"/>
      <c r="O58" s="44">
        <v>2295370.0</v>
      </c>
      <c r="P58" s="44">
        <v>183630.0</v>
      </c>
      <c r="Q58" s="32"/>
      <c r="R58" s="32"/>
      <c r="S58" s="32"/>
      <c r="T58" s="45"/>
      <c r="U58" s="45"/>
      <c r="V58" s="39">
        <f t="shared" ref="V58:W58" si="101">O58-G58-R58</f>
        <v>0</v>
      </c>
      <c r="W58" s="39">
        <f t="shared" si="101"/>
        <v>0</v>
      </c>
      <c r="X58" s="41"/>
      <c r="Y58" s="42"/>
      <c r="Z58" s="42"/>
    </row>
    <row r="59" ht="14.25" customHeight="1">
      <c r="A59" s="20" t="s">
        <v>40</v>
      </c>
      <c r="B59" s="22">
        <v>379.0</v>
      </c>
      <c r="C59" s="24" t="s">
        <v>1043</v>
      </c>
      <c r="D59" s="24" t="s">
        <v>1044</v>
      </c>
      <c r="E59" s="20" t="s">
        <v>1046</v>
      </c>
      <c r="F59" s="20" t="s">
        <v>1047</v>
      </c>
      <c r="G59" s="27">
        <v>1447361.0</v>
      </c>
      <c r="H59" s="27">
        <v>115789.0</v>
      </c>
      <c r="I59" s="27">
        <v>1563150.0</v>
      </c>
      <c r="J59" s="20" t="s">
        <v>56</v>
      </c>
      <c r="K59" s="28" t="s">
        <v>1048</v>
      </c>
      <c r="L59" s="29" t="s">
        <v>62</v>
      </c>
      <c r="M59" s="30" t="s">
        <v>1049</v>
      </c>
      <c r="N59" s="30"/>
      <c r="O59" s="31">
        <v>1702778.0</v>
      </c>
      <c r="P59" s="31">
        <v>136222.0</v>
      </c>
      <c r="Q59" s="32" t="s">
        <v>1050</v>
      </c>
      <c r="R59" s="33">
        <v>255417.0</v>
      </c>
      <c r="S59" s="33">
        <v>20433.0</v>
      </c>
      <c r="T59" s="37">
        <f t="shared" ref="T59:U59" si="102">G59+R59</f>
        <v>1702778</v>
      </c>
      <c r="U59" s="37">
        <f t="shared" si="102"/>
        <v>136222</v>
      </c>
      <c r="V59" s="39">
        <f t="shared" ref="V59:W59" si="103">O59-G59-R59</f>
        <v>0</v>
      </c>
      <c r="W59" s="39">
        <f t="shared" si="103"/>
        <v>0</v>
      </c>
      <c r="X59" s="41"/>
      <c r="Y59" s="42"/>
      <c r="Z59" s="42"/>
    </row>
    <row r="60" ht="14.25" customHeight="1">
      <c r="A60" s="20" t="s">
        <v>40</v>
      </c>
      <c r="B60" s="22">
        <v>380.0</v>
      </c>
      <c r="C60" s="24" t="s">
        <v>1043</v>
      </c>
      <c r="D60" s="24" t="s">
        <v>1060</v>
      </c>
      <c r="E60" s="20" t="s">
        <v>1062</v>
      </c>
      <c r="F60" s="20" t="s">
        <v>1064</v>
      </c>
      <c r="G60" s="27">
        <v>1505556.0</v>
      </c>
      <c r="H60" s="27">
        <v>120444.0</v>
      </c>
      <c r="I60" s="27">
        <v>1626000.0</v>
      </c>
      <c r="J60" s="20" t="s">
        <v>56</v>
      </c>
      <c r="K60" s="28" t="s">
        <v>1065</v>
      </c>
      <c r="L60" s="29" t="s">
        <v>198</v>
      </c>
      <c r="M60" s="30" t="s">
        <v>1066</v>
      </c>
      <c r="N60" s="30"/>
      <c r="O60" s="31">
        <v>1663333.0</v>
      </c>
      <c r="P60" s="31">
        <v>133067.0</v>
      </c>
      <c r="Q60" s="32" t="s">
        <v>1067</v>
      </c>
      <c r="R60" s="33">
        <v>157777.0</v>
      </c>
      <c r="S60" s="33">
        <v>12622.0</v>
      </c>
      <c r="T60" s="37">
        <f t="shared" ref="T60:U60" si="104">G60+R60</f>
        <v>1663333</v>
      </c>
      <c r="U60" s="37">
        <f t="shared" si="104"/>
        <v>133066</v>
      </c>
      <c r="V60" s="39">
        <f t="shared" ref="V60:W60" si="105">O60-G60-R60</f>
        <v>0</v>
      </c>
      <c r="W60" s="39">
        <f t="shared" si="105"/>
        <v>1</v>
      </c>
      <c r="X60" s="41"/>
      <c r="Y60" s="42"/>
      <c r="Z60" s="42"/>
    </row>
    <row r="61" ht="14.25" customHeight="1">
      <c r="A61" s="20" t="s">
        <v>40</v>
      </c>
      <c r="B61" s="22">
        <v>386.0</v>
      </c>
      <c r="C61" s="24" t="s">
        <v>1073</v>
      </c>
      <c r="D61" s="24" t="s">
        <v>1074</v>
      </c>
      <c r="E61" s="20" t="s">
        <v>1075</v>
      </c>
      <c r="F61" s="20" t="s">
        <v>1076</v>
      </c>
      <c r="G61" s="27">
        <v>3032500.0</v>
      </c>
      <c r="H61" s="27">
        <v>242600.0</v>
      </c>
      <c r="I61" s="27">
        <v>3275100.0</v>
      </c>
      <c r="J61" s="20" t="s">
        <v>56</v>
      </c>
      <c r="K61" s="28" t="s">
        <v>1077</v>
      </c>
      <c r="L61" s="29" t="s">
        <v>198</v>
      </c>
      <c r="M61" s="30" t="s">
        <v>1078</v>
      </c>
      <c r="N61" s="30"/>
      <c r="O61" s="31">
        <v>3406481.0</v>
      </c>
      <c r="P61" s="31">
        <v>272519.0</v>
      </c>
      <c r="Q61" s="32" t="s">
        <v>1079</v>
      </c>
      <c r="R61" s="33">
        <v>373981.0</v>
      </c>
      <c r="S61" s="33">
        <v>29918.0</v>
      </c>
      <c r="T61" s="37">
        <f t="shared" ref="T61:U61" si="106">G61+R61</f>
        <v>3406481</v>
      </c>
      <c r="U61" s="37">
        <f t="shared" si="106"/>
        <v>272518</v>
      </c>
      <c r="V61" s="39">
        <f t="shared" ref="V61:W61" si="107">O61-G61-R61</f>
        <v>0</v>
      </c>
      <c r="W61" s="39">
        <f t="shared" si="107"/>
        <v>1</v>
      </c>
      <c r="X61" s="41"/>
      <c r="Y61" s="42"/>
      <c r="Z61" s="42"/>
    </row>
    <row r="62" ht="14.25" customHeight="1">
      <c r="A62" s="20" t="s">
        <v>40</v>
      </c>
      <c r="B62" s="22">
        <v>387.0</v>
      </c>
      <c r="C62" s="24" t="s">
        <v>1081</v>
      </c>
      <c r="D62" s="24" t="s">
        <v>1082</v>
      </c>
      <c r="E62" s="20" t="s">
        <v>1084</v>
      </c>
      <c r="F62" s="20" t="s">
        <v>1086</v>
      </c>
      <c r="G62" s="27">
        <v>7.2618E7</v>
      </c>
      <c r="H62" s="27">
        <v>5809440.0</v>
      </c>
      <c r="I62" s="27">
        <v>7.842744E7</v>
      </c>
      <c r="J62" s="20" t="s">
        <v>57</v>
      </c>
      <c r="K62" s="28" t="s">
        <v>1089</v>
      </c>
      <c r="L62" s="29" t="s">
        <v>157</v>
      </c>
      <c r="M62" s="30" t="s">
        <v>1090</v>
      </c>
      <c r="N62" s="30"/>
      <c r="O62" s="44">
        <v>7.2618E7</v>
      </c>
      <c r="P62" s="44">
        <v>5809440.0</v>
      </c>
      <c r="Q62" s="32"/>
      <c r="R62" s="32"/>
      <c r="S62" s="32"/>
      <c r="T62" s="45"/>
      <c r="U62" s="45"/>
      <c r="V62" s="39">
        <f t="shared" ref="V62:W62" si="108">O62-G62-R62</f>
        <v>0</v>
      </c>
      <c r="W62" s="39">
        <f t="shared" si="108"/>
        <v>0</v>
      </c>
      <c r="X62" s="41"/>
      <c r="Y62" s="42"/>
      <c r="Z62" s="42"/>
    </row>
    <row r="63" ht="14.25" customHeight="1">
      <c r="A63" s="20" t="s">
        <v>40</v>
      </c>
      <c r="B63" s="22">
        <v>392.0</v>
      </c>
      <c r="C63" s="24" t="s">
        <v>1094</v>
      </c>
      <c r="D63" s="24" t="s">
        <v>1095</v>
      </c>
      <c r="E63" s="20" t="s">
        <v>1096</v>
      </c>
      <c r="F63" s="20" t="s">
        <v>1098</v>
      </c>
      <c r="G63" s="27">
        <v>670185.0</v>
      </c>
      <c r="H63" s="27">
        <v>53615.0</v>
      </c>
      <c r="I63" s="27">
        <v>723800.0</v>
      </c>
      <c r="J63" s="20" t="s">
        <v>57</v>
      </c>
      <c r="K63" s="28" t="s">
        <v>1100</v>
      </c>
      <c r="L63" s="29" t="s">
        <v>62</v>
      </c>
      <c r="M63" s="30" t="s">
        <v>1101</v>
      </c>
      <c r="N63" s="30"/>
      <c r="O63" s="44">
        <v>957407.0</v>
      </c>
      <c r="P63" s="44">
        <v>76593.0</v>
      </c>
      <c r="Q63" s="32"/>
      <c r="R63" s="32"/>
      <c r="S63" s="32"/>
      <c r="T63" s="45"/>
      <c r="U63" s="45"/>
      <c r="V63" s="39">
        <f t="shared" ref="V63:W63" si="109">O63-G63-R63</f>
        <v>287222</v>
      </c>
      <c r="W63" s="39">
        <f t="shared" si="109"/>
        <v>22978</v>
      </c>
      <c r="X63" s="41"/>
      <c r="Y63" s="42"/>
      <c r="Z63" s="42"/>
    </row>
    <row r="64" ht="14.25" customHeight="1">
      <c r="A64" s="20" t="s">
        <v>40</v>
      </c>
      <c r="B64" s="22">
        <v>393.0</v>
      </c>
      <c r="C64" s="24" t="s">
        <v>1094</v>
      </c>
      <c r="D64" s="24" t="s">
        <v>684</v>
      </c>
      <c r="E64" s="20" t="s">
        <v>76</v>
      </c>
      <c r="F64" s="20" t="s">
        <v>1104</v>
      </c>
      <c r="G64" s="27">
        <v>8518519.0</v>
      </c>
      <c r="H64" s="27">
        <v>681482.0</v>
      </c>
      <c r="I64" s="27">
        <v>9200001.0</v>
      </c>
      <c r="J64" s="20" t="s">
        <v>57</v>
      </c>
      <c r="K64" s="28" t="s">
        <v>1107</v>
      </c>
      <c r="L64" s="29" t="s">
        <v>157</v>
      </c>
      <c r="M64" s="30" t="s">
        <v>1108</v>
      </c>
      <c r="N64" s="30"/>
      <c r="O64" s="44">
        <v>8518519.0</v>
      </c>
      <c r="P64" s="44">
        <v>681481.0</v>
      </c>
      <c r="Q64" s="32"/>
      <c r="R64" s="32"/>
      <c r="S64" s="32"/>
      <c r="T64" s="45"/>
      <c r="U64" s="45"/>
      <c r="V64" s="39">
        <f t="shared" ref="V64:W64" si="110">O64-G64-R64</f>
        <v>0</v>
      </c>
      <c r="W64" s="39">
        <f t="shared" si="110"/>
        <v>-1</v>
      </c>
      <c r="X64" s="41"/>
      <c r="Y64" s="42"/>
      <c r="Z64" s="42"/>
    </row>
    <row r="65" ht="14.25" customHeight="1">
      <c r="A65" s="20" t="s">
        <v>40</v>
      </c>
      <c r="B65" s="22">
        <v>394.0</v>
      </c>
      <c r="C65" s="24" t="s">
        <v>1094</v>
      </c>
      <c r="D65" s="24" t="s">
        <v>684</v>
      </c>
      <c r="E65" s="20" t="s">
        <v>76</v>
      </c>
      <c r="F65" s="20" t="s">
        <v>1104</v>
      </c>
      <c r="G65" s="27">
        <v>1342593.0</v>
      </c>
      <c r="H65" s="27">
        <v>107407.0</v>
      </c>
      <c r="I65" s="27">
        <v>1450000.0</v>
      </c>
      <c r="J65" s="20" t="s">
        <v>57</v>
      </c>
      <c r="K65" s="28" t="s">
        <v>1118</v>
      </c>
      <c r="L65" s="29" t="s">
        <v>157</v>
      </c>
      <c r="M65" s="30" t="s">
        <v>1120</v>
      </c>
      <c r="N65" s="30"/>
      <c r="O65" s="44">
        <v>1342593.0</v>
      </c>
      <c r="P65" s="44">
        <v>107407.0</v>
      </c>
      <c r="Q65" s="32"/>
      <c r="R65" s="32"/>
      <c r="S65" s="32"/>
      <c r="T65" s="45"/>
      <c r="U65" s="45"/>
      <c r="V65" s="39">
        <f t="shared" ref="V65:W65" si="111">O65-G65-R65</f>
        <v>0</v>
      </c>
      <c r="W65" s="39">
        <f t="shared" si="111"/>
        <v>0</v>
      </c>
      <c r="X65" s="41"/>
      <c r="Y65" s="42"/>
      <c r="Z65" s="42"/>
    </row>
    <row r="66" ht="14.25" customHeight="1">
      <c r="A66" s="20" t="s">
        <v>40</v>
      </c>
      <c r="B66" s="22">
        <v>395.0</v>
      </c>
      <c r="C66" s="24" t="s">
        <v>1094</v>
      </c>
      <c r="D66" s="24" t="s">
        <v>562</v>
      </c>
      <c r="E66" s="20" t="s">
        <v>563</v>
      </c>
      <c r="F66" s="20" t="s">
        <v>565</v>
      </c>
      <c r="G66" s="27">
        <v>4981482.0</v>
      </c>
      <c r="H66" s="27">
        <v>398519.0</v>
      </c>
      <c r="I66" s="27">
        <v>5380001.0</v>
      </c>
      <c r="J66" s="20" t="s">
        <v>57</v>
      </c>
      <c r="K66" s="28" t="s">
        <v>1129</v>
      </c>
      <c r="L66" s="29" t="s">
        <v>157</v>
      </c>
      <c r="M66" s="30" t="s">
        <v>1130</v>
      </c>
      <c r="N66" s="30"/>
      <c r="O66" s="44">
        <v>4981481.0</v>
      </c>
      <c r="P66" s="44">
        <v>398519.0</v>
      </c>
      <c r="Q66" s="32"/>
      <c r="R66" s="32"/>
      <c r="S66" s="32"/>
      <c r="T66" s="45"/>
      <c r="U66" s="45"/>
      <c r="V66" s="39">
        <f t="shared" ref="V66:W66" si="112">O66-G66-R66</f>
        <v>-1</v>
      </c>
      <c r="W66" s="39">
        <f t="shared" si="112"/>
        <v>0</v>
      </c>
      <c r="X66" s="41"/>
      <c r="Y66" s="42"/>
      <c r="Z66" s="42"/>
    </row>
    <row r="67" ht="14.25" customHeight="1">
      <c r="A67" s="20" t="s">
        <v>40</v>
      </c>
      <c r="B67" s="22">
        <v>431.0</v>
      </c>
      <c r="C67" s="24" t="s">
        <v>1133</v>
      </c>
      <c r="D67" s="24" t="s">
        <v>1134</v>
      </c>
      <c r="E67" s="20" t="s">
        <v>1136</v>
      </c>
      <c r="F67" s="20" t="s">
        <v>1138</v>
      </c>
      <c r="G67" s="27">
        <v>2264370.0</v>
      </c>
      <c r="H67" s="27">
        <v>181150.0</v>
      </c>
      <c r="I67" s="27">
        <v>2445520.0</v>
      </c>
      <c r="J67" s="20" t="s">
        <v>56</v>
      </c>
      <c r="K67" s="28" t="s">
        <v>1140</v>
      </c>
      <c r="L67" s="29" t="s">
        <v>62</v>
      </c>
      <c r="M67" s="30" t="s">
        <v>1141</v>
      </c>
      <c r="N67" s="30"/>
      <c r="O67" s="31">
        <v>2573148.0</v>
      </c>
      <c r="P67" s="31">
        <v>205852.0</v>
      </c>
      <c r="Q67" s="32" t="s">
        <v>1142</v>
      </c>
      <c r="R67" s="33">
        <v>308778.0</v>
      </c>
      <c r="S67" s="33">
        <v>24702.0</v>
      </c>
      <c r="T67" s="37">
        <f t="shared" ref="T67:U67" si="113">G67+R67</f>
        <v>2573148</v>
      </c>
      <c r="U67" s="37">
        <f t="shared" si="113"/>
        <v>205852</v>
      </c>
      <c r="V67" s="39">
        <f t="shared" ref="V67:W67" si="114">O67-G67-R67</f>
        <v>0</v>
      </c>
      <c r="W67" s="39">
        <f t="shared" si="114"/>
        <v>0</v>
      </c>
      <c r="X67" s="41"/>
      <c r="Y67" s="42"/>
      <c r="Z67" s="42"/>
    </row>
    <row r="68">
      <c r="A68" s="20" t="s">
        <v>40</v>
      </c>
      <c r="B68" s="22">
        <v>342.0</v>
      </c>
      <c r="C68" s="24" t="s">
        <v>1148</v>
      </c>
      <c r="D68" s="24" t="s">
        <v>1149</v>
      </c>
      <c r="E68" s="20" t="s">
        <v>1151</v>
      </c>
      <c r="F68" s="20" t="s">
        <v>1153</v>
      </c>
      <c r="G68" s="27">
        <v>3240741.0</v>
      </c>
      <c r="H68" s="27">
        <v>259259.0</v>
      </c>
      <c r="I68" s="27">
        <v>3500000.0</v>
      </c>
      <c r="J68" s="20" t="s">
        <v>57</v>
      </c>
      <c r="K68" s="28" t="s">
        <v>1154</v>
      </c>
      <c r="L68" s="29" t="s">
        <v>157</v>
      </c>
      <c r="M68" s="30" t="s">
        <v>1155</v>
      </c>
      <c r="N68" s="30"/>
      <c r="O68" s="44">
        <v>3240741.0</v>
      </c>
      <c r="P68" s="44">
        <v>259259.0</v>
      </c>
      <c r="Q68" s="32"/>
      <c r="R68" s="32"/>
      <c r="S68" s="32"/>
      <c r="T68" s="45"/>
      <c r="U68" s="45"/>
      <c r="V68" s="39">
        <f t="shared" ref="V68:W68" si="115">O68-G68-R68</f>
        <v>0</v>
      </c>
      <c r="W68" s="39">
        <f t="shared" si="115"/>
        <v>0</v>
      </c>
      <c r="X68" s="41"/>
      <c r="Y68" s="42"/>
      <c r="Z68" s="42"/>
    </row>
    <row r="69">
      <c r="A69" s="20" t="s">
        <v>40</v>
      </c>
      <c r="B69" s="22">
        <v>344.0</v>
      </c>
      <c r="C69" s="24" t="s">
        <v>1158</v>
      </c>
      <c r="D69" s="24" t="s">
        <v>1159</v>
      </c>
      <c r="E69" s="20" t="s">
        <v>1160</v>
      </c>
      <c r="F69" s="20" t="s">
        <v>1162</v>
      </c>
      <c r="G69" s="27">
        <v>8453704.0</v>
      </c>
      <c r="H69" s="27">
        <v>676296.0</v>
      </c>
      <c r="I69" s="27">
        <v>9130000.0</v>
      </c>
      <c r="J69" s="20" t="s">
        <v>57</v>
      </c>
      <c r="K69" s="28" t="s">
        <v>1164</v>
      </c>
      <c r="L69" s="29" t="s">
        <v>157</v>
      </c>
      <c r="M69" s="30" t="s">
        <v>1165</v>
      </c>
      <c r="N69" s="30"/>
      <c r="O69" s="44">
        <f>5814815+2638889</f>
        <v>8453704</v>
      </c>
      <c r="P69" s="44">
        <f>465185+211111</f>
        <v>676296</v>
      </c>
      <c r="Q69" s="32"/>
      <c r="R69" s="32"/>
      <c r="S69" s="32"/>
      <c r="T69" s="45"/>
      <c r="U69" s="45"/>
      <c r="V69" s="39">
        <f t="shared" ref="V69:W69" si="116">O69-G69-R69</f>
        <v>0</v>
      </c>
      <c r="W69" s="39">
        <f t="shared" si="116"/>
        <v>0</v>
      </c>
      <c r="X69" s="55" t="s">
        <v>1176</v>
      </c>
      <c r="Y69" s="42"/>
      <c r="Z69" s="42"/>
    </row>
    <row r="70" ht="14.25" customHeight="1">
      <c r="A70" s="20" t="s">
        <v>40</v>
      </c>
      <c r="B70" s="22">
        <v>345.0</v>
      </c>
      <c r="C70" s="24" t="s">
        <v>1180</v>
      </c>
      <c r="D70" s="24" t="s">
        <v>1181</v>
      </c>
      <c r="E70" s="20" t="s">
        <v>1182</v>
      </c>
      <c r="F70" s="20" t="s">
        <v>1184</v>
      </c>
      <c r="G70" s="27">
        <v>1475926.0</v>
      </c>
      <c r="H70" s="27">
        <v>118074.0</v>
      </c>
      <c r="I70" s="27">
        <v>1594000.0</v>
      </c>
      <c r="J70" s="20" t="s">
        <v>57</v>
      </c>
      <c r="K70" s="28" t="s">
        <v>1187</v>
      </c>
      <c r="L70" s="29" t="s">
        <v>157</v>
      </c>
      <c r="M70" s="30" t="s">
        <v>1189</v>
      </c>
      <c r="N70" s="30"/>
      <c r="O70" s="44">
        <v>1475926.0</v>
      </c>
      <c r="P70" s="44">
        <v>118074.0</v>
      </c>
      <c r="Q70" s="32"/>
      <c r="R70" s="32"/>
      <c r="S70" s="32"/>
      <c r="T70" s="45"/>
      <c r="U70" s="45"/>
      <c r="V70" s="39">
        <f t="shared" ref="V70:W70" si="117">O70-G70-R70</f>
        <v>0</v>
      </c>
      <c r="W70" s="39">
        <f t="shared" si="117"/>
        <v>0</v>
      </c>
      <c r="X70" s="41"/>
      <c r="Y70" s="42"/>
      <c r="Z70" s="42"/>
    </row>
    <row r="71" ht="14.25" customHeight="1">
      <c r="A71" s="20" t="s">
        <v>40</v>
      </c>
      <c r="B71" s="22">
        <v>346.0</v>
      </c>
      <c r="C71" s="24" t="s">
        <v>1180</v>
      </c>
      <c r="D71" s="24" t="s">
        <v>1194</v>
      </c>
      <c r="E71" s="20" t="s">
        <v>1196</v>
      </c>
      <c r="F71" s="20" t="s">
        <v>1197</v>
      </c>
      <c r="G71" s="27">
        <v>2.6566667E7</v>
      </c>
      <c r="H71" s="27">
        <v>2125333.0</v>
      </c>
      <c r="I71" s="27">
        <v>2.8692E7</v>
      </c>
      <c r="J71" s="20" t="s">
        <v>57</v>
      </c>
      <c r="K71" s="28" t="s">
        <v>1198</v>
      </c>
      <c r="L71" s="29" t="s">
        <v>157</v>
      </c>
      <c r="M71" s="30" t="s">
        <v>1200</v>
      </c>
      <c r="N71" s="30"/>
      <c r="O71" s="44">
        <v>2.6566667E7</v>
      </c>
      <c r="P71" s="44">
        <v>2125333.0</v>
      </c>
      <c r="Q71" s="32"/>
      <c r="R71" s="32"/>
      <c r="S71" s="32"/>
      <c r="T71" s="45"/>
      <c r="U71" s="45"/>
      <c r="V71" s="39">
        <f t="shared" ref="V71:W71" si="118">O71-G71-R71</f>
        <v>0</v>
      </c>
      <c r="W71" s="39">
        <f t="shared" si="118"/>
        <v>0</v>
      </c>
      <c r="X71" s="41"/>
      <c r="Y71" s="42"/>
      <c r="Z71" s="42"/>
    </row>
    <row r="72" ht="14.25" customHeight="1">
      <c r="A72" s="20" t="s">
        <v>40</v>
      </c>
      <c r="B72" s="22">
        <v>347.0</v>
      </c>
      <c r="C72" s="24" t="s">
        <v>1180</v>
      </c>
      <c r="D72" s="24" t="s">
        <v>1203</v>
      </c>
      <c r="E72" s="20" t="s">
        <v>1205</v>
      </c>
      <c r="F72" s="20" t="s">
        <v>1207</v>
      </c>
      <c r="G72" s="27">
        <v>3.0994444E7</v>
      </c>
      <c r="H72" s="27">
        <v>2479556.0</v>
      </c>
      <c r="I72" s="27">
        <v>3.3474E7</v>
      </c>
      <c r="J72" s="20" t="s">
        <v>57</v>
      </c>
      <c r="K72" s="28" t="s">
        <v>1208</v>
      </c>
      <c r="L72" s="29" t="s">
        <v>157</v>
      </c>
      <c r="M72" s="30" t="s">
        <v>1209</v>
      </c>
      <c r="N72" s="30"/>
      <c r="O72" s="44">
        <v>3.0994444E7</v>
      </c>
      <c r="P72" s="44">
        <v>2479556.0</v>
      </c>
      <c r="Q72" s="32"/>
      <c r="R72" s="32"/>
      <c r="S72" s="32"/>
      <c r="T72" s="45"/>
      <c r="U72" s="45"/>
      <c r="V72" s="39">
        <f t="shared" ref="V72:W72" si="119">O72-G72-R72</f>
        <v>0</v>
      </c>
      <c r="W72" s="39">
        <f t="shared" si="119"/>
        <v>0</v>
      </c>
      <c r="X72" s="41"/>
      <c r="Y72" s="42"/>
      <c r="Z72" s="42"/>
    </row>
    <row r="73" ht="14.25" customHeight="1">
      <c r="A73" s="20" t="s">
        <v>40</v>
      </c>
      <c r="B73" s="22">
        <v>348.0</v>
      </c>
      <c r="C73" s="24" t="s">
        <v>1180</v>
      </c>
      <c r="D73" s="24" t="s">
        <v>1217</v>
      </c>
      <c r="E73" s="20" t="s">
        <v>1219</v>
      </c>
      <c r="F73" s="20" t="s">
        <v>1220</v>
      </c>
      <c r="G73" s="27">
        <v>1.4759259E7</v>
      </c>
      <c r="H73" s="27">
        <v>1180741.0</v>
      </c>
      <c r="I73" s="27">
        <v>1.594E7</v>
      </c>
      <c r="J73" s="20" t="s">
        <v>57</v>
      </c>
      <c r="K73" s="28" t="s">
        <v>1221</v>
      </c>
      <c r="L73" s="29" t="s">
        <v>157</v>
      </c>
      <c r="M73" s="30" t="s">
        <v>1222</v>
      </c>
      <c r="N73" s="30"/>
      <c r="O73" s="44">
        <v>1.4759259E7</v>
      </c>
      <c r="P73" s="44">
        <v>1180741.0</v>
      </c>
      <c r="Q73" s="32"/>
      <c r="R73" s="32"/>
      <c r="S73" s="32"/>
      <c r="T73" s="45"/>
      <c r="U73" s="45"/>
      <c r="V73" s="39">
        <f t="shared" ref="V73:W73" si="120">O73-G73-R73</f>
        <v>0</v>
      </c>
      <c r="W73" s="39">
        <f t="shared" si="120"/>
        <v>0</v>
      </c>
      <c r="X73" s="41"/>
      <c r="Y73" s="42"/>
      <c r="Z73" s="42"/>
    </row>
    <row r="74" ht="14.25" customHeight="1">
      <c r="A74" s="20" t="s">
        <v>40</v>
      </c>
      <c r="B74" s="22">
        <v>349.0</v>
      </c>
      <c r="C74" s="24" t="s">
        <v>1180</v>
      </c>
      <c r="D74" s="24" t="s">
        <v>1227</v>
      </c>
      <c r="E74" s="20" t="s">
        <v>1228</v>
      </c>
      <c r="F74" s="20" t="s">
        <v>1230</v>
      </c>
      <c r="G74" s="27">
        <v>2315833.0</v>
      </c>
      <c r="H74" s="27">
        <v>185267.0</v>
      </c>
      <c r="I74" s="27">
        <v>2501100.0</v>
      </c>
      <c r="J74" s="20" t="s">
        <v>56</v>
      </c>
      <c r="K74" s="28" t="s">
        <v>1231</v>
      </c>
      <c r="L74" s="29" t="s">
        <v>198</v>
      </c>
      <c r="M74" s="30" t="s">
        <v>1232</v>
      </c>
      <c r="N74" s="30"/>
      <c r="O74" s="31">
        <v>2573148.0</v>
      </c>
      <c r="P74" s="31">
        <v>205852.0</v>
      </c>
      <c r="Q74" s="32" t="s">
        <v>1233</v>
      </c>
      <c r="R74" s="33">
        <v>257315.0</v>
      </c>
      <c r="S74" s="33">
        <v>20585.0</v>
      </c>
      <c r="T74" s="37">
        <f t="shared" ref="T74:U74" si="121">G74+R74</f>
        <v>2573148</v>
      </c>
      <c r="U74" s="37">
        <f t="shared" si="121"/>
        <v>205852</v>
      </c>
      <c r="V74" s="39">
        <f t="shared" ref="V74:W74" si="122">O74-G74-R74</f>
        <v>0</v>
      </c>
      <c r="W74" s="39">
        <f t="shared" si="122"/>
        <v>0</v>
      </c>
      <c r="X74" s="41"/>
      <c r="Y74" s="42"/>
      <c r="Z74" s="42"/>
    </row>
    <row r="75" ht="14.25" customHeight="1">
      <c r="A75" s="20" t="s">
        <v>40</v>
      </c>
      <c r="B75" s="22">
        <v>359.0</v>
      </c>
      <c r="C75" s="24" t="s">
        <v>1240</v>
      </c>
      <c r="D75" s="24" t="s">
        <v>1241</v>
      </c>
      <c r="E75" s="20" t="s">
        <v>1243</v>
      </c>
      <c r="F75" s="20" t="s">
        <v>1245</v>
      </c>
      <c r="G75" s="27">
        <v>4361111.0</v>
      </c>
      <c r="H75" s="27">
        <v>348889.0</v>
      </c>
      <c r="I75" s="27">
        <v>4710000.0</v>
      </c>
      <c r="J75" s="20" t="s">
        <v>57</v>
      </c>
      <c r="K75" s="28" t="s">
        <v>1246</v>
      </c>
      <c r="L75" s="29" t="s">
        <v>157</v>
      </c>
      <c r="M75" s="30" t="s">
        <v>1247</v>
      </c>
      <c r="N75" s="30"/>
      <c r="O75" s="44">
        <v>4361111.0</v>
      </c>
      <c r="P75" s="44">
        <v>348889.0</v>
      </c>
      <c r="Q75" s="32"/>
      <c r="R75" s="32"/>
      <c r="S75" s="32"/>
      <c r="T75" s="45"/>
      <c r="U75" s="45"/>
      <c r="V75" s="39">
        <f t="shared" ref="V75:W75" si="123">O75-G75-R75</f>
        <v>0</v>
      </c>
      <c r="W75" s="39">
        <f t="shared" si="123"/>
        <v>0</v>
      </c>
      <c r="X75" s="41"/>
      <c r="Y75" s="42"/>
      <c r="Z75" s="42"/>
    </row>
    <row r="76" ht="14.25" customHeight="1">
      <c r="A76" s="20" t="s">
        <v>40</v>
      </c>
      <c r="B76" s="22">
        <v>360.0</v>
      </c>
      <c r="C76" s="24" t="s">
        <v>1251</v>
      </c>
      <c r="D76" s="24" t="s">
        <v>1252</v>
      </c>
      <c r="E76" s="20" t="s">
        <v>1254</v>
      </c>
      <c r="F76" s="20" t="s">
        <v>1255</v>
      </c>
      <c r="G76" s="27">
        <v>1971296.0</v>
      </c>
      <c r="H76" s="27">
        <v>157704.0</v>
      </c>
      <c r="I76" s="27">
        <v>2129000.0</v>
      </c>
      <c r="J76" s="20" t="s">
        <v>57</v>
      </c>
      <c r="K76" s="28" t="s">
        <v>1259</v>
      </c>
      <c r="L76" s="29" t="s">
        <v>62</v>
      </c>
      <c r="M76" s="30" t="s">
        <v>1261</v>
      </c>
      <c r="N76" s="30"/>
      <c r="O76" s="44">
        <v>2202778.0</v>
      </c>
      <c r="P76" s="44">
        <v>176222.0</v>
      </c>
      <c r="Q76" s="32"/>
      <c r="R76" s="32"/>
      <c r="S76" s="32"/>
      <c r="T76" s="45"/>
      <c r="U76" s="45"/>
      <c r="V76" s="39">
        <f t="shared" ref="V76:W76" si="124">O76-G76-R76</f>
        <v>231482</v>
      </c>
      <c r="W76" s="39">
        <f t="shared" si="124"/>
        <v>18518</v>
      </c>
      <c r="X76" s="41"/>
      <c r="Y76" s="42"/>
      <c r="Z76" s="42"/>
    </row>
    <row r="77" ht="14.25" customHeight="1">
      <c r="A77" s="20" t="s">
        <v>40</v>
      </c>
      <c r="B77" s="22">
        <v>267.0</v>
      </c>
      <c r="C77" s="24" t="s">
        <v>1266</v>
      </c>
      <c r="D77" s="24" t="s">
        <v>1268</v>
      </c>
      <c r="E77" s="20" t="s">
        <v>1269</v>
      </c>
      <c r="F77" s="20" t="s">
        <v>1270</v>
      </c>
      <c r="G77" s="27">
        <v>1054630.0</v>
      </c>
      <c r="H77" s="27">
        <v>84370.0</v>
      </c>
      <c r="I77" s="27">
        <v>1139000.0</v>
      </c>
      <c r="J77" s="20" t="s">
        <v>57</v>
      </c>
      <c r="K77" s="28" t="s">
        <v>1271</v>
      </c>
      <c r="L77" s="29" t="s">
        <v>198</v>
      </c>
      <c r="M77" s="30" t="s">
        <v>1273</v>
      </c>
      <c r="N77" s="30"/>
      <c r="O77" s="44">
        <v>1054630.0</v>
      </c>
      <c r="P77" s="44">
        <v>84370.0</v>
      </c>
      <c r="Q77" s="32"/>
      <c r="R77" s="32"/>
      <c r="S77" s="32"/>
      <c r="T77" s="45"/>
      <c r="U77" s="45"/>
      <c r="V77" s="39">
        <f t="shared" ref="V77:W77" si="125">O77-G77-R77</f>
        <v>0</v>
      </c>
      <c r="W77" s="39">
        <f t="shared" si="125"/>
        <v>0</v>
      </c>
      <c r="X77" s="41"/>
      <c r="Y77" s="42"/>
      <c r="Z77" s="42"/>
    </row>
    <row r="78" ht="14.25" customHeight="1">
      <c r="A78" s="20" t="s">
        <v>40</v>
      </c>
      <c r="B78" s="22">
        <v>268.0</v>
      </c>
      <c r="C78" s="24" t="s">
        <v>1266</v>
      </c>
      <c r="D78" s="24" t="s">
        <v>1281</v>
      </c>
      <c r="E78" s="20" t="s">
        <v>1284</v>
      </c>
      <c r="F78" s="20" t="s">
        <v>1285</v>
      </c>
      <c r="G78" s="27">
        <v>499630.0</v>
      </c>
      <c r="H78" s="27">
        <v>39970.0</v>
      </c>
      <c r="I78" s="27">
        <v>539600.0</v>
      </c>
      <c r="J78" s="20" t="s">
        <v>56</v>
      </c>
      <c r="K78" s="28" t="s">
        <v>1286</v>
      </c>
      <c r="L78" s="29" t="s">
        <v>62</v>
      </c>
      <c r="M78" s="30" t="s">
        <v>1287</v>
      </c>
      <c r="N78" s="30"/>
      <c r="O78" s="31">
        <v>451852.0</v>
      </c>
      <c r="P78" s="31">
        <v>36148.0</v>
      </c>
      <c r="Q78" s="32" t="s">
        <v>1288</v>
      </c>
      <c r="R78" s="33">
        <v>-47778.0</v>
      </c>
      <c r="S78" s="33">
        <v>-3822.0</v>
      </c>
      <c r="T78" s="37">
        <f t="shared" ref="T78:U78" si="126">G78+R78</f>
        <v>451852</v>
      </c>
      <c r="U78" s="37">
        <f t="shared" si="126"/>
        <v>36148</v>
      </c>
      <c r="V78" s="39">
        <f t="shared" ref="V78:W78" si="127">O78-G78-R78</f>
        <v>0</v>
      </c>
      <c r="W78" s="39">
        <f t="shared" si="127"/>
        <v>0</v>
      </c>
      <c r="X78" s="41"/>
      <c r="Y78" s="42"/>
      <c r="Z78" s="42"/>
    </row>
    <row r="79" ht="14.25" customHeight="1">
      <c r="A79" s="20" t="s">
        <v>40</v>
      </c>
      <c r="B79" s="22">
        <v>289.0</v>
      </c>
      <c r="C79" s="24" t="s">
        <v>1296</v>
      </c>
      <c r="D79" s="24" t="s">
        <v>1297</v>
      </c>
      <c r="E79" s="20" t="s">
        <v>1299</v>
      </c>
      <c r="F79" s="20" t="s">
        <v>1301</v>
      </c>
      <c r="G79" s="27">
        <v>2182176.0</v>
      </c>
      <c r="H79" s="27">
        <v>174574.0</v>
      </c>
      <c r="I79" s="27">
        <v>2356750.0</v>
      </c>
      <c r="J79" s="20" t="s">
        <v>56</v>
      </c>
      <c r="K79" s="28" t="s">
        <v>1304</v>
      </c>
      <c r="L79" s="29" t="s">
        <v>62</v>
      </c>
      <c r="M79" s="30" t="s">
        <v>1305</v>
      </c>
      <c r="N79" s="30"/>
      <c r="O79" s="31">
        <v>2541667.0</v>
      </c>
      <c r="P79" s="31">
        <v>203333.0</v>
      </c>
      <c r="Q79" s="32" t="s">
        <v>1306</v>
      </c>
      <c r="R79" s="33">
        <v>359491.0</v>
      </c>
      <c r="S79" s="33">
        <v>28759.0</v>
      </c>
      <c r="T79" s="37">
        <f t="shared" ref="T79:U79" si="128">G79+R79</f>
        <v>2541667</v>
      </c>
      <c r="U79" s="37">
        <f t="shared" si="128"/>
        <v>203333</v>
      </c>
      <c r="V79" s="39">
        <f t="shared" ref="V79:W79" si="129">O79-G79-R79</f>
        <v>0</v>
      </c>
      <c r="W79" s="39">
        <f t="shared" si="129"/>
        <v>0</v>
      </c>
      <c r="X79" s="41"/>
      <c r="Y79" s="42"/>
      <c r="Z79" s="42"/>
    </row>
    <row r="80" ht="14.25" customHeight="1">
      <c r="A80" s="20" t="s">
        <v>40</v>
      </c>
      <c r="B80" s="22">
        <v>311.0</v>
      </c>
      <c r="C80" s="24" t="s">
        <v>1315</v>
      </c>
      <c r="D80" s="24" t="s">
        <v>1316</v>
      </c>
      <c r="E80" s="20" t="s">
        <v>1317</v>
      </c>
      <c r="F80" s="20" t="s">
        <v>1318</v>
      </c>
      <c r="G80" s="27">
        <v>2710741.0</v>
      </c>
      <c r="H80" s="27">
        <v>216859.0</v>
      </c>
      <c r="I80" s="27">
        <v>2927600.0</v>
      </c>
      <c r="J80" s="20" t="s">
        <v>56</v>
      </c>
      <c r="K80" s="28" t="s">
        <v>1320</v>
      </c>
      <c r="L80" s="29" t="s">
        <v>62</v>
      </c>
      <c r="M80" s="30" t="s">
        <v>1322</v>
      </c>
      <c r="N80" s="30"/>
      <c r="O80" s="31">
        <v>2665741.0</v>
      </c>
      <c r="P80" s="31">
        <v>213259.0</v>
      </c>
      <c r="Q80" s="32" t="s">
        <v>1323</v>
      </c>
      <c r="R80" s="33">
        <v>-45000.0</v>
      </c>
      <c r="S80" s="33">
        <v>-3600.0</v>
      </c>
      <c r="T80" s="37">
        <f t="shared" ref="T80:U80" si="130">G80+R80</f>
        <v>2665741</v>
      </c>
      <c r="U80" s="37">
        <f t="shared" si="130"/>
        <v>213259</v>
      </c>
      <c r="V80" s="39">
        <f t="shared" ref="V80:W80" si="131">O80-G80-R80</f>
        <v>0</v>
      </c>
      <c r="W80" s="39">
        <f t="shared" si="131"/>
        <v>0</v>
      </c>
      <c r="X80" s="41"/>
      <c r="Y80" s="42"/>
      <c r="Z80" s="42"/>
    </row>
    <row r="81" ht="14.25" customHeight="1">
      <c r="A81" s="20" t="s">
        <v>40</v>
      </c>
      <c r="B81" s="22">
        <v>329.0</v>
      </c>
      <c r="C81" s="24" t="s">
        <v>1331</v>
      </c>
      <c r="D81" s="24" t="s">
        <v>1333</v>
      </c>
      <c r="E81" s="20" t="s">
        <v>1335</v>
      </c>
      <c r="F81" s="20" t="s">
        <v>1337</v>
      </c>
      <c r="G81" s="27">
        <v>879185.0</v>
      </c>
      <c r="H81" s="27">
        <v>70335.0</v>
      </c>
      <c r="I81" s="27">
        <v>949520.0</v>
      </c>
      <c r="J81" s="20" t="s">
        <v>56</v>
      </c>
      <c r="K81" s="28" t="s">
        <v>1338</v>
      </c>
      <c r="L81" s="29" t="s">
        <v>62</v>
      </c>
      <c r="M81" s="30" t="s">
        <v>1339</v>
      </c>
      <c r="N81" s="30"/>
      <c r="O81" s="31">
        <v>999074.0</v>
      </c>
      <c r="P81" s="31">
        <v>79926.0</v>
      </c>
      <c r="Q81" s="32" t="s">
        <v>1340</v>
      </c>
      <c r="R81" s="33">
        <v>119889.0</v>
      </c>
      <c r="S81" s="33">
        <v>9591.0</v>
      </c>
      <c r="T81" s="37">
        <f t="shared" ref="T81:U81" si="132">G81+R81</f>
        <v>999074</v>
      </c>
      <c r="U81" s="37">
        <f t="shared" si="132"/>
        <v>79926</v>
      </c>
      <c r="V81" s="39">
        <f t="shared" ref="V81:W81" si="133">O81-G81-R81</f>
        <v>0</v>
      </c>
      <c r="W81" s="39">
        <f t="shared" si="133"/>
        <v>0</v>
      </c>
      <c r="X81" s="41"/>
      <c r="Y81" s="42"/>
      <c r="Z81" s="42"/>
    </row>
    <row r="82" ht="14.25" customHeight="1">
      <c r="A82" s="20" t="s">
        <v>40</v>
      </c>
      <c r="B82" s="22">
        <v>218.0</v>
      </c>
      <c r="C82" s="24" t="s">
        <v>1349</v>
      </c>
      <c r="D82" s="24" t="s">
        <v>1350</v>
      </c>
      <c r="E82" s="20" t="s">
        <v>1351</v>
      </c>
      <c r="F82" s="20" t="s">
        <v>1352</v>
      </c>
      <c r="G82" s="27">
        <v>8674074.0</v>
      </c>
      <c r="H82" s="27">
        <v>693926.0</v>
      </c>
      <c r="I82" s="27">
        <v>9368000.0</v>
      </c>
      <c r="J82" s="20" t="s">
        <v>56</v>
      </c>
      <c r="K82" s="28" t="s">
        <v>1353</v>
      </c>
      <c r="L82" s="29" t="s">
        <v>198</v>
      </c>
      <c r="M82" s="30" t="s">
        <v>1355</v>
      </c>
      <c r="N82" s="30"/>
      <c r="O82" s="31">
        <v>8467593.0</v>
      </c>
      <c r="P82" s="31">
        <v>677407.0</v>
      </c>
      <c r="Q82" s="32" t="s">
        <v>1358</v>
      </c>
      <c r="R82" s="33">
        <v>-206481.0</v>
      </c>
      <c r="S82" s="33">
        <v>-16518.0</v>
      </c>
      <c r="T82" s="37">
        <f t="shared" ref="T82:U82" si="134">G82+R82</f>
        <v>8467593</v>
      </c>
      <c r="U82" s="37">
        <f t="shared" si="134"/>
        <v>677408</v>
      </c>
      <c r="V82" s="39">
        <f t="shared" ref="V82:W82" si="135">O82-G82-R82</f>
        <v>0</v>
      </c>
      <c r="W82" s="39">
        <f t="shared" si="135"/>
        <v>-1</v>
      </c>
      <c r="X82" s="41"/>
      <c r="Y82" s="42"/>
      <c r="Z82" s="42"/>
    </row>
    <row r="83" ht="14.25" customHeight="1">
      <c r="A83" s="20" t="s">
        <v>40</v>
      </c>
      <c r="B83" s="22">
        <v>219.0</v>
      </c>
      <c r="C83" s="24" t="s">
        <v>1363</v>
      </c>
      <c r="D83" s="24" t="s">
        <v>1364</v>
      </c>
      <c r="E83" s="20" t="s">
        <v>1366</v>
      </c>
      <c r="F83" s="20" t="s">
        <v>1367</v>
      </c>
      <c r="G83" s="27">
        <v>1857407.0</v>
      </c>
      <c r="H83" s="27">
        <v>148593.0</v>
      </c>
      <c r="I83" s="27">
        <v>2006000.0</v>
      </c>
      <c r="J83" s="20" t="s">
        <v>56</v>
      </c>
      <c r="K83" s="28" t="s">
        <v>1368</v>
      </c>
      <c r="L83" s="29" t="s">
        <v>62</v>
      </c>
      <c r="M83" s="30" t="s">
        <v>1369</v>
      </c>
      <c r="N83" s="30"/>
      <c r="O83" s="31">
        <v>2185185.0</v>
      </c>
      <c r="P83" s="31">
        <v>174815.0</v>
      </c>
      <c r="Q83" s="32" t="s">
        <v>1371</v>
      </c>
      <c r="R83" s="33">
        <v>327778.0</v>
      </c>
      <c r="S83" s="33">
        <v>26222.0</v>
      </c>
      <c r="T83" s="37">
        <f t="shared" ref="T83:U83" si="136">G83+R83</f>
        <v>2185185</v>
      </c>
      <c r="U83" s="37">
        <f t="shared" si="136"/>
        <v>174815</v>
      </c>
      <c r="V83" s="39">
        <f t="shared" ref="V83:W83" si="137">O83-G83-R83</f>
        <v>0</v>
      </c>
      <c r="W83" s="39">
        <f t="shared" si="137"/>
        <v>0</v>
      </c>
      <c r="X83" s="41"/>
      <c r="Y83" s="42"/>
      <c r="Z83" s="42"/>
    </row>
    <row r="84" ht="14.25" customHeight="1">
      <c r="A84" s="20" t="s">
        <v>40</v>
      </c>
      <c r="B84" s="22">
        <v>220.0</v>
      </c>
      <c r="C84" s="24" t="s">
        <v>1363</v>
      </c>
      <c r="D84" s="24" t="s">
        <v>1364</v>
      </c>
      <c r="E84" s="20" t="s">
        <v>1366</v>
      </c>
      <c r="F84" s="20" t="s">
        <v>1367</v>
      </c>
      <c r="G84" s="27">
        <v>1649167.0</v>
      </c>
      <c r="H84" s="27">
        <v>131933.0</v>
      </c>
      <c r="I84" s="27">
        <v>1781100.0</v>
      </c>
      <c r="J84" s="20" t="s">
        <v>56</v>
      </c>
      <c r="K84" s="28" t="s">
        <v>1385</v>
      </c>
      <c r="L84" s="29" t="s">
        <v>62</v>
      </c>
      <c r="M84" s="30" t="s">
        <v>1386</v>
      </c>
      <c r="N84" s="30"/>
      <c r="O84" s="31">
        <v>1832407.0</v>
      </c>
      <c r="P84" s="31">
        <v>146593.0</v>
      </c>
      <c r="Q84" s="32" t="s">
        <v>1388</v>
      </c>
      <c r="R84" s="33">
        <v>183240.0</v>
      </c>
      <c r="S84" s="33">
        <v>14659.0</v>
      </c>
      <c r="T84" s="37">
        <f t="shared" ref="T84:U84" si="138">G84+R84</f>
        <v>1832407</v>
      </c>
      <c r="U84" s="37">
        <f t="shared" si="138"/>
        <v>146592</v>
      </c>
      <c r="V84" s="39">
        <f t="shared" ref="V84:W84" si="139">O84-G84-R84</f>
        <v>0</v>
      </c>
      <c r="W84" s="39">
        <f t="shared" si="139"/>
        <v>1</v>
      </c>
      <c r="X84" s="41"/>
      <c r="Y84" s="42"/>
      <c r="Z84" s="42"/>
    </row>
    <row r="85" ht="14.25" customHeight="1">
      <c r="A85" s="20" t="s">
        <v>40</v>
      </c>
      <c r="B85" s="22">
        <v>234.0</v>
      </c>
      <c r="C85" s="24" t="s">
        <v>1392</v>
      </c>
      <c r="D85" s="24" t="s">
        <v>1393</v>
      </c>
      <c r="E85" s="20" t="s">
        <v>1394</v>
      </c>
      <c r="F85" s="20" t="s">
        <v>1395</v>
      </c>
      <c r="G85" s="27">
        <v>817731.0</v>
      </c>
      <c r="H85" s="27">
        <v>65418.0</v>
      </c>
      <c r="I85" s="27">
        <v>883149.0</v>
      </c>
      <c r="J85" s="20" t="s">
        <v>56</v>
      </c>
      <c r="K85" s="28" t="s">
        <v>1396</v>
      </c>
      <c r="L85" s="29" t="s">
        <v>62</v>
      </c>
      <c r="M85" s="30" t="s">
        <v>1397</v>
      </c>
      <c r="N85" s="30"/>
      <c r="O85" s="31">
        <v>962037.0</v>
      </c>
      <c r="P85" s="31">
        <v>76963.0</v>
      </c>
      <c r="Q85" s="32" t="s">
        <v>1398</v>
      </c>
      <c r="R85" s="33">
        <v>144306.0</v>
      </c>
      <c r="S85" s="33">
        <v>11544.0</v>
      </c>
      <c r="T85" s="37">
        <f t="shared" ref="T85:U85" si="140">G85+R85</f>
        <v>962037</v>
      </c>
      <c r="U85" s="37">
        <f t="shared" si="140"/>
        <v>76962</v>
      </c>
      <c r="V85" s="39">
        <f t="shared" ref="V85:W85" si="141">O85-G85-R85</f>
        <v>0</v>
      </c>
      <c r="W85" s="39">
        <f t="shared" si="141"/>
        <v>1</v>
      </c>
      <c r="X85" s="41"/>
      <c r="Y85" s="42"/>
      <c r="Z85" s="42"/>
    </row>
    <row r="86" ht="14.25" customHeight="1">
      <c r="A86" s="20" t="s">
        <v>40</v>
      </c>
      <c r="B86" s="22">
        <v>242.0</v>
      </c>
      <c r="C86" s="24" t="s">
        <v>1407</v>
      </c>
      <c r="D86" s="24" t="s">
        <v>684</v>
      </c>
      <c r="E86" s="20" t="s">
        <v>76</v>
      </c>
      <c r="F86" s="20" t="s">
        <v>1104</v>
      </c>
      <c r="G86" s="27">
        <v>4259259.0</v>
      </c>
      <c r="H86" s="27">
        <v>340741.0</v>
      </c>
      <c r="I86" s="27">
        <v>4600000.0</v>
      </c>
      <c r="J86" s="20" t="s">
        <v>57</v>
      </c>
      <c r="K86" s="28" t="s">
        <v>1411</v>
      </c>
      <c r="L86" s="29" t="s">
        <v>157</v>
      </c>
      <c r="M86" s="30" t="s">
        <v>1412</v>
      </c>
      <c r="N86" s="30"/>
      <c r="O86" s="44">
        <v>4259259.0</v>
      </c>
      <c r="P86" s="44">
        <v>340741.0</v>
      </c>
      <c r="Q86" s="32"/>
      <c r="R86" s="32"/>
      <c r="S86" s="32"/>
      <c r="T86" s="45"/>
      <c r="U86" s="45"/>
      <c r="V86" s="39">
        <f t="shared" ref="V86:W86" si="142">O86-G86-R86</f>
        <v>0</v>
      </c>
      <c r="W86" s="39">
        <f t="shared" si="142"/>
        <v>0</v>
      </c>
      <c r="X86" s="41"/>
      <c r="Y86" s="42"/>
      <c r="Z86" s="42"/>
    </row>
    <row r="87" ht="14.25" customHeight="1">
      <c r="A87" s="20" t="s">
        <v>40</v>
      </c>
      <c r="B87" s="22">
        <v>243.0</v>
      </c>
      <c r="C87" s="24" t="s">
        <v>1419</v>
      </c>
      <c r="D87" s="24" t="s">
        <v>1420</v>
      </c>
      <c r="E87" s="20" t="s">
        <v>1421</v>
      </c>
      <c r="F87" s="20" t="s">
        <v>1422</v>
      </c>
      <c r="G87" s="27">
        <v>1050000.0</v>
      </c>
      <c r="H87" s="27">
        <v>84000.0</v>
      </c>
      <c r="I87" s="27">
        <v>1134000.0</v>
      </c>
      <c r="J87" s="20" t="s">
        <v>57</v>
      </c>
      <c r="K87" s="28" t="s">
        <v>1424</v>
      </c>
      <c r="L87" s="29" t="s">
        <v>62</v>
      </c>
      <c r="M87" s="30" t="s">
        <v>1425</v>
      </c>
      <c r="N87" s="30"/>
      <c r="O87" s="44">
        <v>1054630.0</v>
      </c>
      <c r="P87" s="44">
        <v>84370.0</v>
      </c>
      <c r="Q87" s="32"/>
      <c r="R87" s="32"/>
      <c r="S87" s="32"/>
      <c r="T87" s="45"/>
      <c r="U87" s="45"/>
      <c r="V87" s="39">
        <f t="shared" ref="V87:W87" si="143">O87-G87-R87</f>
        <v>4630</v>
      </c>
      <c r="W87" s="39">
        <f t="shared" si="143"/>
        <v>370</v>
      </c>
      <c r="X87" s="41"/>
      <c r="Y87" s="42"/>
      <c r="Z87" s="42"/>
    </row>
    <row r="88" ht="14.25" customHeight="1">
      <c r="A88" s="20" t="s">
        <v>40</v>
      </c>
      <c r="B88" s="22">
        <v>244.0</v>
      </c>
      <c r="C88" s="24" t="s">
        <v>1419</v>
      </c>
      <c r="D88" s="24" t="s">
        <v>684</v>
      </c>
      <c r="E88" s="20" t="s">
        <v>76</v>
      </c>
      <c r="F88" s="20" t="s">
        <v>1104</v>
      </c>
      <c r="G88" s="27">
        <v>4259259.0</v>
      </c>
      <c r="H88" s="27">
        <v>340741.0</v>
      </c>
      <c r="I88" s="27">
        <v>4600000.0</v>
      </c>
      <c r="J88" s="20" t="s">
        <v>57</v>
      </c>
      <c r="K88" s="28" t="s">
        <v>1427</v>
      </c>
      <c r="L88" s="29" t="s">
        <v>157</v>
      </c>
      <c r="M88" s="30" t="s">
        <v>1428</v>
      </c>
      <c r="N88" s="30"/>
      <c r="O88" s="44">
        <v>4259259.0</v>
      </c>
      <c r="P88" s="44">
        <v>340741.0</v>
      </c>
      <c r="Q88" s="32"/>
      <c r="R88" s="32"/>
      <c r="S88" s="32"/>
      <c r="T88" s="45"/>
      <c r="U88" s="45"/>
      <c r="V88" s="39">
        <f t="shared" ref="V88:W88" si="144">O88-G88-R88</f>
        <v>0</v>
      </c>
      <c r="W88" s="39">
        <f t="shared" si="144"/>
        <v>0</v>
      </c>
      <c r="X88" s="41"/>
      <c r="Y88" s="42"/>
      <c r="Z88" s="42"/>
    </row>
    <row r="89" ht="14.25" customHeight="1">
      <c r="A89" s="20" t="s">
        <v>40</v>
      </c>
      <c r="B89" s="22">
        <v>245.0</v>
      </c>
      <c r="C89" s="24" t="s">
        <v>1435</v>
      </c>
      <c r="D89" s="24" t="s">
        <v>1436</v>
      </c>
      <c r="E89" s="20" t="s">
        <v>1437</v>
      </c>
      <c r="F89" s="20" t="s">
        <v>1438</v>
      </c>
      <c r="G89" s="27">
        <v>1591667.0</v>
      </c>
      <c r="H89" s="27">
        <v>127333.0</v>
      </c>
      <c r="I89" s="27">
        <v>1719000.0</v>
      </c>
      <c r="J89" s="20" t="s">
        <v>56</v>
      </c>
      <c r="K89" s="28" t="s">
        <v>1439</v>
      </c>
      <c r="L89" s="29" t="s">
        <v>198</v>
      </c>
      <c r="M89" s="30" t="s">
        <v>1440</v>
      </c>
      <c r="N89" s="30"/>
      <c r="O89" s="31">
        <v>1702778.0</v>
      </c>
      <c r="P89" s="31">
        <v>136222.0</v>
      </c>
      <c r="Q89" s="32" t="s">
        <v>1442</v>
      </c>
      <c r="R89" s="33">
        <v>111111.0</v>
      </c>
      <c r="S89" s="33">
        <v>8889.0</v>
      </c>
      <c r="T89" s="37">
        <f t="shared" ref="T89:U89" si="145">G89+R89</f>
        <v>1702778</v>
      </c>
      <c r="U89" s="37">
        <f t="shared" si="145"/>
        <v>136222</v>
      </c>
      <c r="V89" s="39">
        <f t="shared" ref="V89:W89" si="146">O89-G89-R89</f>
        <v>0</v>
      </c>
      <c r="W89" s="39">
        <f t="shared" si="146"/>
        <v>0</v>
      </c>
      <c r="X89" s="41"/>
      <c r="Y89" s="42"/>
      <c r="Z89" s="42"/>
    </row>
    <row r="90">
      <c r="A90" s="20" t="s">
        <v>40</v>
      </c>
      <c r="B90" s="22">
        <v>132.0</v>
      </c>
      <c r="C90" s="24" t="s">
        <v>1451</v>
      </c>
      <c r="D90" s="24" t="s">
        <v>1110</v>
      </c>
      <c r="E90" s="20" t="s">
        <v>1106</v>
      </c>
      <c r="F90" s="20" t="s">
        <v>1455</v>
      </c>
      <c r="G90" s="27">
        <v>1.6296296E7</v>
      </c>
      <c r="H90" s="27">
        <v>1303704.0</v>
      </c>
      <c r="I90" s="27">
        <v>1.76E7</v>
      </c>
      <c r="J90" s="20" t="s">
        <v>57</v>
      </c>
      <c r="K90" s="28" t="s">
        <v>1456</v>
      </c>
      <c r="L90" s="29" t="s">
        <v>157</v>
      </c>
      <c r="M90" s="30" t="s">
        <v>1457</v>
      </c>
      <c r="N90" s="30"/>
      <c r="O90" s="44">
        <v>2.6851852E7</v>
      </c>
      <c r="P90" s="44">
        <v>2148148.0</v>
      </c>
      <c r="Q90" s="32"/>
      <c r="R90" s="32"/>
      <c r="S90" s="32"/>
      <c r="T90" s="45"/>
      <c r="U90" s="45"/>
      <c r="V90" s="39">
        <f t="shared" ref="V90:W90" si="147">O90-G90-R90</f>
        <v>10555556</v>
      </c>
      <c r="W90" s="39">
        <f t="shared" si="147"/>
        <v>844444</v>
      </c>
      <c r="X90" s="41" t="s">
        <v>1463</v>
      </c>
      <c r="Y90" s="42"/>
      <c r="Z90" s="42"/>
    </row>
    <row r="91" ht="14.25" customHeight="1">
      <c r="A91" s="20" t="s">
        <v>40</v>
      </c>
      <c r="B91" s="22">
        <v>135.0</v>
      </c>
      <c r="C91" s="24" t="s">
        <v>1467</v>
      </c>
      <c r="D91" s="24" t="s">
        <v>1110</v>
      </c>
      <c r="E91" s="20" t="s">
        <v>1106</v>
      </c>
      <c r="F91" s="20" t="s">
        <v>1455</v>
      </c>
      <c r="G91" s="27">
        <v>1.0555556E7</v>
      </c>
      <c r="H91" s="27">
        <v>844444.0</v>
      </c>
      <c r="I91" s="27">
        <v>1.14E7</v>
      </c>
      <c r="J91" s="20" t="s">
        <v>57</v>
      </c>
      <c r="K91" s="28" t="s">
        <v>1456</v>
      </c>
      <c r="L91" s="29" t="s">
        <v>157</v>
      </c>
      <c r="M91" s="30" t="s">
        <v>1468</v>
      </c>
      <c r="N91" s="30"/>
      <c r="O91" s="44">
        <v>2.6851852E7</v>
      </c>
      <c r="P91" s="44">
        <v>2148148.0</v>
      </c>
      <c r="Q91" s="32"/>
      <c r="R91" s="32"/>
      <c r="S91" s="32"/>
      <c r="T91" s="45"/>
      <c r="U91" s="45"/>
      <c r="V91" s="39">
        <f t="shared" ref="V91:W91" si="148">O91-G91-R91</f>
        <v>16296296</v>
      </c>
      <c r="W91" s="39">
        <f t="shared" si="148"/>
        <v>1303704</v>
      </c>
      <c r="X91" s="41"/>
      <c r="Y91" s="42"/>
      <c r="Z91" s="42"/>
    </row>
    <row r="92" ht="14.25" customHeight="1">
      <c r="A92" s="20" t="s">
        <v>40</v>
      </c>
      <c r="B92" s="22">
        <v>162.0</v>
      </c>
      <c r="C92" s="24" t="s">
        <v>1477</v>
      </c>
      <c r="D92" s="24" t="s">
        <v>1195</v>
      </c>
      <c r="E92" s="20" t="s">
        <v>1193</v>
      </c>
      <c r="F92" s="20" t="s">
        <v>1478</v>
      </c>
      <c r="G92" s="27">
        <v>1151111.0</v>
      </c>
      <c r="H92" s="27">
        <v>92089.0</v>
      </c>
      <c r="I92" s="27">
        <v>1243200.0</v>
      </c>
      <c r="J92" s="20" t="s">
        <v>56</v>
      </c>
      <c r="K92" s="28" t="s">
        <v>1479</v>
      </c>
      <c r="L92" s="29" t="s">
        <v>62</v>
      </c>
      <c r="M92" s="30" t="s">
        <v>1481</v>
      </c>
      <c r="N92" s="30"/>
      <c r="O92" s="31">
        <v>1644444.0</v>
      </c>
      <c r="P92" s="31">
        <v>131556.0</v>
      </c>
      <c r="Q92" s="32" t="s">
        <v>1210</v>
      </c>
      <c r="R92" s="33">
        <v>493333.0</v>
      </c>
      <c r="S92" s="33">
        <v>39467.0</v>
      </c>
      <c r="T92" s="37">
        <f t="shared" ref="T92:U92" si="149">G92+R92</f>
        <v>1644444</v>
      </c>
      <c r="U92" s="37">
        <f t="shared" si="149"/>
        <v>131556</v>
      </c>
      <c r="V92" s="39">
        <f t="shared" ref="V92:W92" si="150">O92-G92-R92</f>
        <v>0</v>
      </c>
      <c r="W92" s="39">
        <f t="shared" si="150"/>
        <v>0</v>
      </c>
      <c r="X92" s="41"/>
      <c r="Y92" s="42"/>
      <c r="Z92" s="42"/>
    </row>
    <row r="93" ht="14.25" customHeight="1">
      <c r="A93" s="20" t="s">
        <v>40</v>
      </c>
      <c r="B93" s="22">
        <v>163.0</v>
      </c>
      <c r="C93" s="24" t="s">
        <v>1477</v>
      </c>
      <c r="D93" s="24" t="s">
        <v>1239</v>
      </c>
      <c r="E93" s="20" t="s">
        <v>1237</v>
      </c>
      <c r="F93" s="20" t="s">
        <v>1490</v>
      </c>
      <c r="G93" s="27">
        <v>1229556.0</v>
      </c>
      <c r="H93" s="27">
        <v>98364.0</v>
      </c>
      <c r="I93" s="27">
        <v>1327920.0</v>
      </c>
      <c r="J93" s="20" t="s">
        <v>57</v>
      </c>
      <c r="K93" s="28" t="s">
        <v>1491</v>
      </c>
      <c r="L93" s="29" t="s">
        <v>62</v>
      </c>
      <c r="M93" s="30" t="s">
        <v>1492</v>
      </c>
      <c r="N93" s="30"/>
      <c r="O93" s="44">
        <v>1397222.0</v>
      </c>
      <c r="P93" s="44">
        <v>111778.0</v>
      </c>
      <c r="Q93" s="32"/>
      <c r="R93" s="32"/>
      <c r="S93" s="32"/>
      <c r="T93" s="45"/>
      <c r="U93" s="45"/>
      <c r="V93" s="39">
        <f t="shared" ref="V93:W93" si="151">O93-G93-R93</f>
        <v>167666</v>
      </c>
      <c r="W93" s="39">
        <f t="shared" si="151"/>
        <v>13414</v>
      </c>
      <c r="X93" s="41"/>
      <c r="Y93" s="42"/>
      <c r="Z93" s="42"/>
    </row>
    <row r="94" ht="14.25" customHeight="1">
      <c r="A94" s="20" t="s">
        <v>40</v>
      </c>
      <c r="B94" s="22">
        <v>164.0</v>
      </c>
      <c r="C94" s="24" t="s">
        <v>1500</v>
      </c>
      <c r="D94" s="24" t="s">
        <v>1283</v>
      </c>
      <c r="E94" s="20" t="s">
        <v>1277</v>
      </c>
      <c r="F94" s="20" t="s">
        <v>1505</v>
      </c>
      <c r="G94" s="27">
        <v>1795370.0</v>
      </c>
      <c r="H94" s="27">
        <v>143630.0</v>
      </c>
      <c r="I94" s="27">
        <v>1939000.0</v>
      </c>
      <c r="J94" s="20" t="s">
        <v>57</v>
      </c>
      <c r="K94" s="28" t="s">
        <v>1507</v>
      </c>
      <c r="L94" s="29" t="s">
        <v>157</v>
      </c>
      <c r="M94" s="30" t="s">
        <v>1508</v>
      </c>
      <c r="N94" s="30"/>
      <c r="O94" s="44">
        <v>1795370.0</v>
      </c>
      <c r="P94" s="44">
        <v>143630.0</v>
      </c>
      <c r="Q94" s="32"/>
      <c r="R94" s="32"/>
      <c r="S94" s="32"/>
      <c r="T94" s="45"/>
      <c r="U94" s="45"/>
      <c r="V94" s="39">
        <f t="shared" ref="V94:W94" si="152">O94-G94-R94</f>
        <v>0</v>
      </c>
      <c r="W94" s="39">
        <f t="shared" si="152"/>
        <v>0</v>
      </c>
      <c r="X94" s="41"/>
      <c r="Y94" s="42"/>
      <c r="Z94" s="42"/>
    </row>
    <row r="95" ht="14.25" customHeight="1">
      <c r="A95" s="20" t="s">
        <v>40</v>
      </c>
      <c r="B95" s="22">
        <v>169.0</v>
      </c>
      <c r="C95" s="24" t="s">
        <v>1513</v>
      </c>
      <c r="D95" s="24" t="s">
        <v>1328</v>
      </c>
      <c r="E95" s="20" t="s">
        <v>1327</v>
      </c>
      <c r="F95" s="20" t="s">
        <v>1516</v>
      </c>
      <c r="G95" s="27">
        <v>1.3430556E7</v>
      </c>
      <c r="H95" s="27">
        <v>1074444.0</v>
      </c>
      <c r="I95" s="27">
        <v>1.4505E7</v>
      </c>
      <c r="J95" s="20" t="s">
        <v>57</v>
      </c>
      <c r="K95" s="28" t="s">
        <v>1518</v>
      </c>
      <c r="L95" s="29" t="s">
        <v>157</v>
      </c>
      <c r="M95" s="30" t="s">
        <v>1519</v>
      </c>
      <c r="N95" s="30"/>
      <c r="O95" s="44">
        <v>1.3430556E7</v>
      </c>
      <c r="P95" s="44">
        <v>1074444.0</v>
      </c>
      <c r="Q95" s="32"/>
      <c r="R95" s="32"/>
      <c r="S95" s="32"/>
      <c r="T95" s="45"/>
      <c r="U95" s="45"/>
      <c r="V95" s="39">
        <f t="shared" ref="V95:W95" si="153">O95-G95-R95</f>
        <v>0</v>
      </c>
      <c r="W95" s="39">
        <f t="shared" si="153"/>
        <v>0</v>
      </c>
      <c r="X95" s="41"/>
      <c r="Y95" s="42"/>
      <c r="Z95" s="42"/>
    </row>
    <row r="96" ht="14.25" customHeight="1">
      <c r="A96" s="20" t="s">
        <v>40</v>
      </c>
      <c r="B96" s="22">
        <v>170.0</v>
      </c>
      <c r="C96" s="24" t="s">
        <v>1525</v>
      </c>
      <c r="D96" s="24" t="s">
        <v>1382</v>
      </c>
      <c r="E96" s="20" t="s">
        <v>1378</v>
      </c>
      <c r="F96" s="20" t="s">
        <v>1527</v>
      </c>
      <c r="G96" s="27">
        <v>2420370.0</v>
      </c>
      <c r="H96" s="27">
        <v>193630.0</v>
      </c>
      <c r="I96" s="27">
        <v>2614000.0</v>
      </c>
      <c r="J96" s="20" t="s">
        <v>56</v>
      </c>
      <c r="K96" s="28" t="s">
        <v>1528</v>
      </c>
      <c r="L96" s="29" t="s">
        <v>198</v>
      </c>
      <c r="M96" s="30" t="s">
        <v>1529</v>
      </c>
      <c r="N96" s="30"/>
      <c r="O96" s="31">
        <v>2462037.0</v>
      </c>
      <c r="P96" s="31">
        <v>196963.0</v>
      </c>
      <c r="Q96" s="32" t="s">
        <v>1389</v>
      </c>
      <c r="R96" s="33">
        <v>41667.0</v>
      </c>
      <c r="S96" s="33">
        <v>3333.0</v>
      </c>
      <c r="T96" s="37">
        <f t="shared" ref="T96:U96" si="154">G96+R96</f>
        <v>2462037</v>
      </c>
      <c r="U96" s="37">
        <f t="shared" si="154"/>
        <v>196963</v>
      </c>
      <c r="V96" s="39">
        <f t="shared" ref="V96:W96" si="155">O96-G96-R96</f>
        <v>0</v>
      </c>
      <c r="W96" s="39">
        <f t="shared" si="155"/>
        <v>0</v>
      </c>
      <c r="X96" s="41"/>
      <c r="Y96" s="42"/>
      <c r="Z96" s="42"/>
    </row>
    <row r="97" ht="14.25" customHeight="1">
      <c r="A97" s="20" t="s">
        <v>40</v>
      </c>
      <c r="B97" s="22">
        <v>175.0</v>
      </c>
      <c r="C97" s="24" t="s">
        <v>1539</v>
      </c>
      <c r="D97" s="24" t="s">
        <v>439</v>
      </c>
      <c r="E97" s="20" t="s">
        <v>440</v>
      </c>
      <c r="F97" s="20" t="s">
        <v>441</v>
      </c>
      <c r="G97" s="27">
        <v>7.8703704E7</v>
      </c>
      <c r="H97" s="27">
        <v>6296296.0</v>
      </c>
      <c r="I97" s="27">
        <v>8.5E7</v>
      </c>
      <c r="J97" s="20" t="s">
        <v>57</v>
      </c>
      <c r="K97" s="28" t="s">
        <v>1540</v>
      </c>
      <c r="L97" s="29" t="s">
        <v>157</v>
      </c>
      <c r="M97" s="30" t="s">
        <v>1541</v>
      </c>
      <c r="N97" s="30"/>
      <c r="O97" s="44">
        <v>7.8703704E7</v>
      </c>
      <c r="P97" s="44">
        <v>6296296.0</v>
      </c>
      <c r="Q97" s="32"/>
      <c r="R97" s="32"/>
      <c r="S97" s="32"/>
      <c r="T97" s="45"/>
      <c r="U97" s="45"/>
      <c r="V97" s="39">
        <f t="shared" ref="V97:W97" si="156">O97-G97-R97</f>
        <v>0</v>
      </c>
      <c r="W97" s="39">
        <f t="shared" si="156"/>
        <v>0</v>
      </c>
      <c r="X97" s="41"/>
      <c r="Y97" s="42"/>
      <c r="Z97" s="42"/>
    </row>
    <row r="98" ht="14.25" customHeight="1">
      <c r="A98" s="20" t="s">
        <v>40</v>
      </c>
      <c r="B98" s="22">
        <v>183.0</v>
      </c>
      <c r="C98" s="24" t="s">
        <v>1545</v>
      </c>
      <c r="D98" s="24" t="s">
        <v>1466</v>
      </c>
      <c r="E98" s="20" t="s">
        <v>1461</v>
      </c>
      <c r="F98" s="20" t="s">
        <v>1546</v>
      </c>
      <c r="G98" s="27">
        <v>1600926.0</v>
      </c>
      <c r="H98" s="27">
        <v>128074.0</v>
      </c>
      <c r="I98" s="27">
        <v>1729000.0</v>
      </c>
      <c r="J98" s="20" t="s">
        <v>56</v>
      </c>
      <c r="K98" s="28" t="s">
        <v>1547</v>
      </c>
      <c r="L98" s="29" t="s">
        <v>198</v>
      </c>
      <c r="M98" s="30" t="s">
        <v>1549</v>
      </c>
      <c r="N98" s="30"/>
      <c r="O98" s="31">
        <v>1670370.0</v>
      </c>
      <c r="P98" s="31">
        <v>133630.0</v>
      </c>
      <c r="Q98" s="32" t="s">
        <v>1480</v>
      </c>
      <c r="R98" s="33">
        <v>69444.0</v>
      </c>
      <c r="S98" s="33">
        <v>5556.0</v>
      </c>
      <c r="T98" s="37">
        <f t="shared" ref="T98:U98" si="157">G98+R98</f>
        <v>1670370</v>
      </c>
      <c r="U98" s="37">
        <f t="shared" si="157"/>
        <v>133630</v>
      </c>
      <c r="V98" s="39">
        <f t="shared" ref="V98:W98" si="158">O98-G98-R98</f>
        <v>0</v>
      </c>
      <c r="W98" s="39">
        <f t="shared" si="158"/>
        <v>0</v>
      </c>
      <c r="X98" s="41"/>
      <c r="Y98" s="42"/>
      <c r="Z98" s="42"/>
    </row>
    <row r="99" ht="14.25" customHeight="1">
      <c r="A99" s="20" t="s">
        <v>40</v>
      </c>
      <c r="B99" s="22">
        <v>185.0</v>
      </c>
      <c r="C99" s="24" t="s">
        <v>1559</v>
      </c>
      <c r="D99" s="24" t="s">
        <v>1503</v>
      </c>
      <c r="E99" s="20" t="s">
        <v>1498</v>
      </c>
      <c r="F99" s="20" t="s">
        <v>1562</v>
      </c>
      <c r="G99" s="27">
        <v>2.9274044E7</v>
      </c>
      <c r="H99" s="27">
        <v>2341924.0</v>
      </c>
      <c r="I99" s="27">
        <v>3.1615968E7</v>
      </c>
      <c r="J99" s="20" t="s">
        <v>57</v>
      </c>
      <c r="K99" s="28" t="s">
        <v>1563</v>
      </c>
      <c r="L99" s="29" t="s">
        <v>157</v>
      </c>
      <c r="M99" s="30" t="s">
        <v>1564</v>
      </c>
      <c r="N99" s="30"/>
      <c r="O99" s="44">
        <v>2.9274044E7</v>
      </c>
      <c r="P99" s="44">
        <v>2341923.0</v>
      </c>
      <c r="Q99" s="32"/>
      <c r="R99" s="32"/>
      <c r="S99" s="32"/>
      <c r="T99" s="45"/>
      <c r="U99" s="45"/>
      <c r="V99" s="39">
        <f t="shared" ref="V99:W99" si="159">O99-G99-R99</f>
        <v>0</v>
      </c>
      <c r="W99" s="39">
        <f t="shared" si="159"/>
        <v>-1</v>
      </c>
      <c r="X99" s="41"/>
      <c r="Y99" s="42"/>
      <c r="Z99" s="42"/>
    </row>
    <row r="100" ht="14.25" customHeight="1">
      <c r="A100" s="20" t="s">
        <v>40</v>
      </c>
      <c r="B100" s="22">
        <v>110.0</v>
      </c>
      <c r="C100" s="24" t="s">
        <v>1569</v>
      </c>
      <c r="D100" s="24" t="s">
        <v>684</v>
      </c>
      <c r="E100" s="20" t="s">
        <v>76</v>
      </c>
      <c r="F100" s="20" t="s">
        <v>1104</v>
      </c>
      <c r="G100" s="27">
        <v>1574074.0</v>
      </c>
      <c r="H100" s="27">
        <v>125926.0</v>
      </c>
      <c r="I100" s="27">
        <v>1700000.0</v>
      </c>
      <c r="J100" s="20" t="s">
        <v>57</v>
      </c>
      <c r="K100" s="28" t="s">
        <v>1571</v>
      </c>
      <c r="L100" s="29" t="s">
        <v>157</v>
      </c>
      <c r="M100" s="30" t="s">
        <v>1572</v>
      </c>
      <c r="N100" s="30"/>
      <c r="O100" s="44">
        <v>1574074.0</v>
      </c>
      <c r="P100" s="44">
        <v>125926.0</v>
      </c>
      <c r="Q100" s="32"/>
      <c r="R100" s="32"/>
      <c r="S100" s="32"/>
      <c r="T100" s="45"/>
      <c r="U100" s="45"/>
      <c r="V100" s="39">
        <f t="shared" ref="V100:W100" si="160">O100-G100-R100</f>
        <v>0</v>
      </c>
      <c r="W100" s="39">
        <f t="shared" si="160"/>
        <v>0</v>
      </c>
      <c r="X100" s="41"/>
      <c r="Y100" s="42"/>
      <c r="Z100" s="42"/>
    </row>
    <row r="101" ht="14.25" customHeight="1">
      <c r="A101" s="20" t="s">
        <v>40</v>
      </c>
      <c r="B101" s="22">
        <v>111.0</v>
      </c>
      <c r="C101" s="24" t="s">
        <v>1569</v>
      </c>
      <c r="D101" s="24" t="s">
        <v>684</v>
      </c>
      <c r="E101" s="20" t="s">
        <v>76</v>
      </c>
      <c r="F101" s="20" t="s">
        <v>1104</v>
      </c>
      <c r="G101" s="27">
        <v>3888889.0</v>
      </c>
      <c r="H101" s="27">
        <v>311111.0</v>
      </c>
      <c r="I101" s="27">
        <v>4200000.0</v>
      </c>
      <c r="J101" s="20" t="s">
        <v>57</v>
      </c>
      <c r="K101" s="28" t="s">
        <v>1579</v>
      </c>
      <c r="L101" s="29" t="s">
        <v>157</v>
      </c>
      <c r="M101" s="30" t="s">
        <v>1581</v>
      </c>
      <c r="N101" s="30" t="s">
        <v>1583</v>
      </c>
      <c r="O101" s="44" t="e">
        <v>#N/A</v>
      </c>
      <c r="P101" s="44" t="e">
        <v>#N/A</v>
      </c>
      <c r="Q101" s="32"/>
      <c r="R101" s="32"/>
      <c r="S101" s="32"/>
      <c r="T101" s="45"/>
      <c r="U101" s="45"/>
      <c r="V101" s="39" t="str">
        <f t="shared" ref="V101:W101" si="161">O101-G101-R101</f>
        <v>#N/A</v>
      </c>
      <c r="W101" s="39" t="str">
        <f t="shared" si="161"/>
        <v>#N/A</v>
      </c>
      <c r="X101" s="41"/>
      <c r="Y101" s="42"/>
      <c r="Z101" s="42"/>
    </row>
    <row r="102" ht="14.25" customHeight="1">
      <c r="A102" s="20" t="s">
        <v>40</v>
      </c>
      <c r="B102" s="22">
        <v>112.0</v>
      </c>
      <c r="C102" s="24" t="s">
        <v>1587</v>
      </c>
      <c r="D102" s="24" t="s">
        <v>772</v>
      </c>
      <c r="E102" s="20" t="s">
        <v>769</v>
      </c>
      <c r="F102" s="20" t="s">
        <v>1590</v>
      </c>
      <c r="G102" s="27">
        <v>2554074.0</v>
      </c>
      <c r="H102" s="27">
        <v>204326.0</v>
      </c>
      <c r="I102" s="27">
        <v>2758400.0</v>
      </c>
      <c r="J102" s="20" t="s">
        <v>57</v>
      </c>
      <c r="K102" s="28" t="s">
        <v>1592</v>
      </c>
      <c r="L102" s="29" t="s">
        <v>198</v>
      </c>
      <c r="M102" s="30" t="s">
        <v>1593</v>
      </c>
      <c r="N102" s="30"/>
      <c r="O102" s="44">
        <v>2546296.0</v>
      </c>
      <c r="P102" s="44">
        <v>203704.0</v>
      </c>
      <c r="Q102" s="32"/>
      <c r="R102" s="32"/>
      <c r="S102" s="32"/>
      <c r="T102" s="45"/>
      <c r="U102" s="45"/>
      <c r="V102" s="39">
        <f t="shared" ref="V102:W102" si="162">O102-G102-R102</f>
        <v>-7778</v>
      </c>
      <c r="W102" s="39">
        <f t="shared" si="162"/>
        <v>-622</v>
      </c>
      <c r="X102" s="41"/>
      <c r="Y102" s="42"/>
      <c r="Z102" s="42"/>
    </row>
    <row r="103" ht="14.25" customHeight="1">
      <c r="A103" s="20" t="s">
        <v>40</v>
      </c>
      <c r="B103" s="22">
        <v>113.0</v>
      </c>
      <c r="C103" s="24" t="s">
        <v>1601</v>
      </c>
      <c r="D103" s="24" t="s">
        <v>684</v>
      </c>
      <c r="E103" s="20" t="s">
        <v>76</v>
      </c>
      <c r="F103" s="20" t="s">
        <v>1104</v>
      </c>
      <c r="G103" s="27">
        <v>1851852.0</v>
      </c>
      <c r="H103" s="27">
        <v>148148.0</v>
      </c>
      <c r="I103" s="27">
        <v>2000000.0</v>
      </c>
      <c r="J103" s="20" t="s">
        <v>57</v>
      </c>
      <c r="K103" s="28" t="s">
        <v>1604</v>
      </c>
      <c r="L103" s="29" t="s">
        <v>157</v>
      </c>
      <c r="M103" s="30" t="s">
        <v>1605</v>
      </c>
      <c r="N103" s="30"/>
      <c r="O103" s="44">
        <v>1851852.0</v>
      </c>
      <c r="P103" s="44">
        <v>148148.0</v>
      </c>
      <c r="Q103" s="32"/>
      <c r="R103" s="32"/>
      <c r="S103" s="32"/>
      <c r="T103" s="45"/>
      <c r="U103" s="45"/>
      <c r="V103" s="39">
        <f t="shared" ref="V103:W103" si="163">O103-G103-R103</f>
        <v>0</v>
      </c>
      <c r="W103" s="39">
        <f t="shared" si="163"/>
        <v>0</v>
      </c>
      <c r="X103" s="41"/>
      <c r="Y103" s="42"/>
      <c r="Z103" s="42"/>
    </row>
    <row r="104" ht="14.25" customHeight="1">
      <c r="A104" s="20" t="s">
        <v>40</v>
      </c>
      <c r="B104" s="22">
        <v>122.0</v>
      </c>
      <c r="C104" s="24" t="s">
        <v>1608</v>
      </c>
      <c r="D104" s="24" t="s">
        <v>856</v>
      </c>
      <c r="E104" s="20" t="s">
        <v>854</v>
      </c>
      <c r="F104" s="20" t="s">
        <v>1612</v>
      </c>
      <c r="G104" s="27">
        <v>811111.0</v>
      </c>
      <c r="H104" s="27">
        <v>64889.0</v>
      </c>
      <c r="I104" s="27">
        <v>876000.0</v>
      </c>
      <c r="J104" s="20" t="s">
        <v>56</v>
      </c>
      <c r="K104" s="28" t="s">
        <v>1613</v>
      </c>
      <c r="L104" s="29" t="s">
        <v>198</v>
      </c>
      <c r="M104" s="30" t="s">
        <v>1614</v>
      </c>
      <c r="N104" s="30"/>
      <c r="O104" s="31">
        <v>887963.0</v>
      </c>
      <c r="P104" s="31">
        <v>71037.0</v>
      </c>
      <c r="Q104" s="32" t="s">
        <v>870</v>
      </c>
      <c r="R104" s="33">
        <v>76852.0</v>
      </c>
      <c r="S104" s="33">
        <v>6148.0</v>
      </c>
      <c r="T104" s="37">
        <f t="shared" ref="T104:U104" si="164">G104+R104</f>
        <v>887963</v>
      </c>
      <c r="U104" s="37">
        <f t="shared" si="164"/>
        <v>71037</v>
      </c>
      <c r="V104" s="39">
        <f t="shared" ref="V104:W104" si="165">O104-G104-R104</f>
        <v>0</v>
      </c>
      <c r="W104" s="39">
        <f t="shared" si="165"/>
        <v>0</v>
      </c>
      <c r="X104" s="41"/>
      <c r="Y104" s="42"/>
      <c r="Z104" s="42"/>
    </row>
    <row r="105" ht="14.25" customHeight="1">
      <c r="A105" s="20" t="s">
        <v>40</v>
      </c>
      <c r="B105" s="22">
        <v>123.0</v>
      </c>
      <c r="C105" s="24" t="s">
        <v>1608</v>
      </c>
      <c r="D105" s="24" t="s">
        <v>912</v>
      </c>
      <c r="E105" s="20" t="s">
        <v>907</v>
      </c>
      <c r="F105" s="20" t="s">
        <v>1621</v>
      </c>
      <c r="G105" s="27">
        <v>1462037.0</v>
      </c>
      <c r="H105" s="27">
        <v>116963.0</v>
      </c>
      <c r="I105" s="27">
        <v>1579000.0</v>
      </c>
      <c r="J105" s="20" t="s">
        <v>56</v>
      </c>
      <c r="K105" s="28" t="s">
        <v>1623</v>
      </c>
      <c r="L105" s="29" t="s">
        <v>62</v>
      </c>
      <c r="M105" s="30" t="s">
        <v>1624</v>
      </c>
      <c r="N105" s="30"/>
      <c r="O105" s="31">
        <v>1832407.0</v>
      </c>
      <c r="P105" s="31">
        <v>146593.0</v>
      </c>
      <c r="Q105" s="32" t="s">
        <v>931</v>
      </c>
      <c r="R105" s="33">
        <v>370370.0</v>
      </c>
      <c r="S105" s="33">
        <v>29630.0</v>
      </c>
      <c r="T105" s="37">
        <f t="shared" ref="T105:U105" si="166">G105+R105</f>
        <v>1832407</v>
      </c>
      <c r="U105" s="37">
        <f t="shared" si="166"/>
        <v>146593</v>
      </c>
      <c r="V105" s="39">
        <f t="shared" ref="V105:W105" si="167">O105-G105-R105</f>
        <v>0</v>
      </c>
      <c r="W105" s="39">
        <f t="shared" si="167"/>
        <v>0</v>
      </c>
      <c r="X105" s="41"/>
      <c r="Y105" s="42"/>
      <c r="Z105" s="42"/>
    </row>
    <row r="106">
      <c r="A106" s="20" t="s">
        <v>40</v>
      </c>
      <c r="B106" s="22">
        <v>124.0</v>
      </c>
      <c r="C106" s="24" t="s">
        <v>1633</v>
      </c>
      <c r="D106" s="24" t="s">
        <v>976</v>
      </c>
      <c r="E106" s="20" t="s">
        <v>972</v>
      </c>
      <c r="F106" s="20" t="s">
        <v>1634</v>
      </c>
      <c r="G106" s="27">
        <v>4444444.0</v>
      </c>
      <c r="H106" s="27">
        <v>355556.0</v>
      </c>
      <c r="I106" s="27">
        <v>4800000.0</v>
      </c>
      <c r="J106" s="20" t="s">
        <v>57</v>
      </c>
      <c r="K106" s="28" t="s">
        <v>1635</v>
      </c>
      <c r="L106" s="29" t="s">
        <v>157</v>
      </c>
      <c r="M106" s="30" t="s">
        <v>1636</v>
      </c>
      <c r="N106" s="30"/>
      <c r="O106" s="44">
        <v>2.3703704E7</v>
      </c>
      <c r="P106" s="44">
        <v>1896296.0</v>
      </c>
      <c r="Q106" s="32"/>
      <c r="R106" s="32"/>
      <c r="S106" s="32"/>
      <c r="T106" s="45"/>
      <c r="U106" s="45"/>
      <c r="V106" s="39">
        <f t="shared" ref="V106:W106" si="168">O106-G106-R106</f>
        <v>19259260</v>
      </c>
      <c r="W106" s="39">
        <f t="shared" si="168"/>
        <v>1540740</v>
      </c>
      <c r="X106" s="56" t="s">
        <v>1644</v>
      </c>
      <c r="Y106" s="42"/>
      <c r="Z106" s="42"/>
    </row>
    <row r="107" ht="14.25" customHeight="1">
      <c r="A107" s="20" t="s">
        <v>40</v>
      </c>
      <c r="B107" s="22">
        <v>125.0</v>
      </c>
      <c r="C107" s="24" t="s">
        <v>1633</v>
      </c>
      <c r="D107" s="24" t="s">
        <v>1024</v>
      </c>
      <c r="E107" s="20" t="s">
        <v>1022</v>
      </c>
      <c r="F107" s="20" t="s">
        <v>1648</v>
      </c>
      <c r="G107" s="27">
        <v>1.037037E7</v>
      </c>
      <c r="H107" s="27">
        <v>829630.0</v>
      </c>
      <c r="I107" s="27">
        <v>1.12E7</v>
      </c>
      <c r="J107" s="20" t="s">
        <v>57</v>
      </c>
      <c r="K107" s="28" t="s">
        <v>1635</v>
      </c>
      <c r="L107" s="29" t="s">
        <v>157</v>
      </c>
      <c r="M107" s="57" t="s">
        <v>1652</v>
      </c>
      <c r="N107" s="30"/>
      <c r="O107" s="44">
        <v>2.3703704E7</v>
      </c>
      <c r="P107" s="44">
        <v>1896296.0</v>
      </c>
      <c r="Q107" s="32"/>
      <c r="R107" s="32"/>
      <c r="S107" s="32"/>
      <c r="T107" s="45"/>
      <c r="U107" s="45"/>
      <c r="V107" s="39">
        <f t="shared" ref="V107:W107" si="169">O107-G107-R107</f>
        <v>13333334</v>
      </c>
      <c r="W107" s="39">
        <f t="shared" si="169"/>
        <v>1066666</v>
      </c>
      <c r="X107" s="58"/>
      <c r="Y107" s="42"/>
      <c r="Z107" s="42"/>
    </row>
    <row r="108" ht="14.25" customHeight="1">
      <c r="A108" s="20" t="s">
        <v>40</v>
      </c>
      <c r="B108" s="22">
        <v>127.0</v>
      </c>
      <c r="C108" s="24" t="s">
        <v>1660</v>
      </c>
      <c r="D108" s="24" t="s">
        <v>1024</v>
      </c>
      <c r="E108" s="20" t="s">
        <v>1022</v>
      </c>
      <c r="F108" s="20" t="s">
        <v>1648</v>
      </c>
      <c r="G108" s="27">
        <v>8888889.0</v>
      </c>
      <c r="H108" s="27">
        <v>711111.0</v>
      </c>
      <c r="I108" s="27">
        <v>9600000.0</v>
      </c>
      <c r="J108" s="20" t="s">
        <v>57</v>
      </c>
      <c r="K108" s="28" t="s">
        <v>1635</v>
      </c>
      <c r="L108" s="29" t="s">
        <v>157</v>
      </c>
      <c r="M108" s="57" t="s">
        <v>1661</v>
      </c>
      <c r="N108" s="30"/>
      <c r="O108" s="44">
        <v>2.3703704E7</v>
      </c>
      <c r="P108" s="44">
        <v>1896296.0</v>
      </c>
      <c r="Q108" s="32"/>
      <c r="R108" s="32"/>
      <c r="S108" s="32"/>
      <c r="T108" s="45"/>
      <c r="U108" s="45"/>
      <c r="V108" s="39">
        <f t="shared" ref="V108:W108" si="170">O108-G108-R108</f>
        <v>14814815</v>
      </c>
      <c r="W108" s="39">
        <f t="shared" si="170"/>
        <v>1185185</v>
      </c>
      <c r="X108" s="59"/>
      <c r="Y108" s="42"/>
      <c r="Z108" s="42"/>
    </row>
    <row r="109" ht="14.25" customHeight="1">
      <c r="A109" s="60" t="s">
        <v>40</v>
      </c>
      <c r="B109" s="61">
        <v>60.0</v>
      </c>
      <c r="C109" s="62" t="s">
        <v>1672</v>
      </c>
      <c r="D109" s="62" t="s">
        <v>507</v>
      </c>
      <c r="E109" s="60" t="s">
        <v>506</v>
      </c>
      <c r="F109" s="60" t="s">
        <v>1675</v>
      </c>
      <c r="G109" s="63"/>
      <c r="H109" s="63"/>
      <c r="I109" s="63">
        <v>2506448.0</v>
      </c>
      <c r="J109" s="60" t="s">
        <v>1387</v>
      </c>
      <c r="K109" s="28"/>
      <c r="L109" s="29"/>
      <c r="M109" s="30"/>
      <c r="N109" s="30"/>
      <c r="O109" s="31"/>
      <c r="P109" s="31"/>
      <c r="Q109" s="32" t="s">
        <v>522</v>
      </c>
      <c r="R109" s="33"/>
      <c r="S109" s="33"/>
      <c r="T109" s="37">
        <f t="shared" ref="T109:U109" si="171">G109+R109</f>
        <v>0</v>
      </c>
      <c r="U109" s="37">
        <f t="shared" si="171"/>
        <v>0</v>
      </c>
      <c r="V109" s="39">
        <f t="shared" ref="V109:W109" si="172">O109-G109-R109</f>
        <v>0</v>
      </c>
      <c r="W109" s="39">
        <f t="shared" si="172"/>
        <v>0</v>
      </c>
      <c r="X109" s="41"/>
      <c r="Y109" s="42"/>
      <c r="Z109" s="42"/>
    </row>
    <row r="110" ht="14.25" customHeight="1">
      <c r="A110" s="20" t="s">
        <v>40</v>
      </c>
      <c r="B110" s="22">
        <v>61.0</v>
      </c>
      <c r="C110" s="24" t="s">
        <v>1672</v>
      </c>
      <c r="D110" s="24" t="s">
        <v>507</v>
      </c>
      <c r="E110" s="20" t="s">
        <v>506</v>
      </c>
      <c r="F110" s="20" t="s">
        <v>1675</v>
      </c>
      <c r="G110" s="27"/>
      <c r="H110" s="27"/>
      <c r="I110" s="27">
        <v>2574660.0</v>
      </c>
      <c r="J110" s="20" t="s">
        <v>1387</v>
      </c>
      <c r="K110" s="28" t="s">
        <v>1684</v>
      </c>
      <c r="L110" s="29" t="s">
        <v>62</v>
      </c>
      <c r="M110" s="30" t="s">
        <v>1685</v>
      </c>
      <c r="N110" s="30"/>
      <c r="O110" s="31">
        <v>2536111.0</v>
      </c>
      <c r="P110" s="31">
        <v>202889.0</v>
      </c>
      <c r="Q110" s="32" t="s">
        <v>536</v>
      </c>
      <c r="R110" s="33">
        <v>2536111.0</v>
      </c>
      <c r="S110" s="33">
        <v>202889.0</v>
      </c>
      <c r="T110" s="37">
        <f t="shared" ref="T110:U110" si="173">G110+R110</f>
        <v>2536111</v>
      </c>
      <c r="U110" s="37">
        <f t="shared" si="173"/>
        <v>202889</v>
      </c>
      <c r="V110" s="39">
        <f t="shared" ref="V110:W110" si="174">O110-G110-R110</f>
        <v>0</v>
      </c>
      <c r="W110" s="39">
        <f t="shared" si="174"/>
        <v>0</v>
      </c>
      <c r="X110" s="41"/>
      <c r="Y110" s="42"/>
      <c r="Z110" s="42"/>
    </row>
    <row r="111" ht="14.25" customHeight="1">
      <c r="A111" s="20" t="s">
        <v>40</v>
      </c>
      <c r="B111" s="22">
        <v>62.0</v>
      </c>
      <c r="C111" s="24" t="s">
        <v>1694</v>
      </c>
      <c r="D111" s="24" t="s">
        <v>558</v>
      </c>
      <c r="E111" s="20" t="s">
        <v>557</v>
      </c>
      <c r="F111" s="20" t="s">
        <v>1695</v>
      </c>
      <c r="G111" s="27">
        <v>2462963.0</v>
      </c>
      <c r="H111" s="27">
        <v>197037.0</v>
      </c>
      <c r="I111" s="27">
        <v>2660000.0</v>
      </c>
      <c r="J111" s="20" t="s">
        <v>57</v>
      </c>
      <c r="K111" s="28" t="s">
        <v>1696</v>
      </c>
      <c r="L111" s="29" t="s">
        <v>157</v>
      </c>
      <c r="M111" s="30" t="s">
        <v>1697</v>
      </c>
      <c r="N111" s="30"/>
      <c r="O111" s="44">
        <v>2277778.0</v>
      </c>
      <c r="P111" s="44">
        <v>182222.0</v>
      </c>
      <c r="Q111" s="32"/>
      <c r="R111" s="32"/>
      <c r="S111" s="32"/>
      <c r="T111" s="45"/>
      <c r="U111" s="45"/>
      <c r="V111" s="39">
        <f t="shared" ref="V111:W111" si="175">O111-G111-R111</f>
        <v>-185185</v>
      </c>
      <c r="W111" s="39">
        <f t="shared" si="175"/>
        <v>-14815</v>
      </c>
      <c r="X111" s="41" t="s">
        <v>1704</v>
      </c>
      <c r="Y111" s="42"/>
      <c r="Z111" s="42"/>
    </row>
    <row r="112" ht="14.25" customHeight="1">
      <c r="A112" s="60" t="s">
        <v>40</v>
      </c>
      <c r="B112" s="61">
        <v>63.0</v>
      </c>
      <c r="C112" s="62" t="s">
        <v>1694</v>
      </c>
      <c r="D112" s="62" t="s">
        <v>558</v>
      </c>
      <c r="E112" s="60" t="s">
        <v>557</v>
      </c>
      <c r="F112" s="60" t="s">
        <v>1695</v>
      </c>
      <c r="G112" s="63">
        <v>0.0</v>
      </c>
      <c r="H112" s="63">
        <v>0.0</v>
      </c>
      <c r="I112" s="63">
        <v>0.0</v>
      </c>
      <c r="J112" s="60" t="s">
        <v>57</v>
      </c>
      <c r="K112" s="28"/>
      <c r="L112" s="29"/>
      <c r="M112" s="30"/>
      <c r="N112" s="30"/>
      <c r="O112" s="44"/>
      <c r="P112" s="44"/>
      <c r="Q112" s="32"/>
      <c r="R112" s="32"/>
      <c r="S112" s="32"/>
      <c r="T112" s="45"/>
      <c r="U112" s="45"/>
      <c r="V112" s="39">
        <f t="shared" ref="V112:W112" si="176">O112-G112-R112</f>
        <v>0</v>
      </c>
      <c r="W112" s="39">
        <f t="shared" si="176"/>
        <v>0</v>
      </c>
      <c r="X112" s="41"/>
      <c r="Y112" s="42"/>
      <c r="Z112" s="42"/>
    </row>
    <row r="113" ht="14.25" customHeight="1">
      <c r="A113" s="20" t="s">
        <v>40</v>
      </c>
      <c r="B113" s="22">
        <v>64.0</v>
      </c>
      <c r="C113" s="24" t="s">
        <v>1711</v>
      </c>
      <c r="D113" s="24" t="s">
        <v>651</v>
      </c>
      <c r="E113" s="20" t="s">
        <v>647</v>
      </c>
      <c r="F113" s="20" t="s">
        <v>1715</v>
      </c>
      <c r="G113" s="27">
        <v>2407407.0</v>
      </c>
      <c r="H113" s="27">
        <v>192593.0</v>
      </c>
      <c r="I113" s="27">
        <v>2600000.0</v>
      </c>
      <c r="J113" s="20" t="s">
        <v>56</v>
      </c>
      <c r="K113" s="28" t="s">
        <v>1716</v>
      </c>
      <c r="L113" s="29" t="s">
        <v>198</v>
      </c>
      <c r="M113" s="30" t="s">
        <v>1717</v>
      </c>
      <c r="N113" s="30"/>
      <c r="O113" s="31">
        <v>1925000.0</v>
      </c>
      <c r="P113" s="31">
        <v>154000.0</v>
      </c>
      <c r="Q113" s="32" t="s">
        <v>663</v>
      </c>
      <c r="R113" s="33">
        <v>-482407.0</v>
      </c>
      <c r="S113" s="33">
        <v>-38593.0</v>
      </c>
      <c r="T113" s="37">
        <f t="shared" ref="T113:U113" si="177">G113+R113</f>
        <v>1925000</v>
      </c>
      <c r="U113" s="37">
        <f t="shared" si="177"/>
        <v>154000</v>
      </c>
      <c r="V113" s="39">
        <f t="shared" ref="V113:W113" si="178">O113-G113-R113</f>
        <v>0</v>
      </c>
      <c r="W113" s="39">
        <f t="shared" si="178"/>
        <v>0</v>
      </c>
      <c r="X113" s="41"/>
      <c r="Y113" s="42"/>
      <c r="Z113" s="42"/>
    </row>
    <row r="114" ht="14.25" customHeight="1">
      <c r="A114" s="20" t="s">
        <v>40</v>
      </c>
      <c r="B114" s="22">
        <v>1.0</v>
      </c>
      <c r="C114" s="24" t="s">
        <v>1725</v>
      </c>
      <c r="D114" s="24" t="s">
        <v>182</v>
      </c>
      <c r="E114" s="20" t="s">
        <v>172</v>
      </c>
      <c r="F114" s="20" t="s">
        <v>1728</v>
      </c>
      <c r="G114" s="27">
        <v>1464200.0</v>
      </c>
      <c r="H114" s="27">
        <v>117136.0</v>
      </c>
      <c r="I114" s="27">
        <v>1581336.0</v>
      </c>
      <c r="J114" s="20" t="s">
        <v>57</v>
      </c>
      <c r="K114" s="28" t="s">
        <v>1732</v>
      </c>
      <c r="L114" s="29" t="s">
        <v>198</v>
      </c>
      <c r="M114" s="30" t="s">
        <v>1733</v>
      </c>
      <c r="N114" s="30"/>
      <c r="O114" s="44">
        <v>1647222.0</v>
      </c>
      <c r="P114" s="44">
        <v>131778.0</v>
      </c>
      <c r="Q114" s="32"/>
      <c r="R114" s="32"/>
      <c r="S114" s="32"/>
      <c r="T114" s="45"/>
      <c r="U114" s="45"/>
      <c r="V114" s="39">
        <f t="shared" ref="V114:W114" si="179">O114-G114-R114</f>
        <v>183022</v>
      </c>
      <c r="W114" s="39">
        <f t="shared" si="179"/>
        <v>14642</v>
      </c>
      <c r="X114" s="41"/>
      <c r="Y114" s="42"/>
      <c r="Z114" s="42"/>
    </row>
    <row r="115" ht="14.25" customHeight="1">
      <c r="A115" s="20" t="s">
        <v>40</v>
      </c>
      <c r="B115" s="22">
        <v>2.0</v>
      </c>
      <c r="C115" s="24" t="s">
        <v>1725</v>
      </c>
      <c r="D115" s="24" t="s">
        <v>252</v>
      </c>
      <c r="E115" s="20" t="s">
        <v>249</v>
      </c>
      <c r="F115" s="20" t="s">
        <v>1741</v>
      </c>
      <c r="G115" s="27">
        <v>2870093.0</v>
      </c>
      <c r="H115" s="27">
        <v>229607.0</v>
      </c>
      <c r="I115" s="27">
        <v>3099700.0</v>
      </c>
      <c r="J115" s="20" t="s">
        <v>57</v>
      </c>
      <c r="K115" s="28" t="s">
        <v>1742</v>
      </c>
      <c r="L115" s="29" t="s">
        <v>62</v>
      </c>
      <c r="M115" s="30" t="s">
        <v>1743</v>
      </c>
      <c r="N115" s="30"/>
      <c r="O115" s="44">
        <v>2906481.0</v>
      </c>
      <c r="P115" s="44">
        <v>232519.0</v>
      </c>
      <c r="Q115" s="32"/>
      <c r="R115" s="32"/>
      <c r="S115" s="32"/>
      <c r="T115" s="45"/>
      <c r="U115" s="45"/>
      <c r="V115" s="39">
        <f t="shared" ref="V115:W115" si="180">O115-G115-R115</f>
        <v>36388</v>
      </c>
      <c r="W115" s="39">
        <f t="shared" si="180"/>
        <v>2912</v>
      </c>
      <c r="X115" s="41"/>
      <c r="Y115" s="42"/>
      <c r="Z115" s="42"/>
    </row>
    <row r="116" ht="14.25" customHeight="1">
      <c r="A116" s="20" t="s">
        <v>40</v>
      </c>
      <c r="B116" s="22">
        <v>21.0</v>
      </c>
      <c r="C116" s="24" t="s">
        <v>1747</v>
      </c>
      <c r="D116" s="24" t="s">
        <v>319</v>
      </c>
      <c r="E116" s="20" t="s">
        <v>316</v>
      </c>
      <c r="F116" s="20" t="s">
        <v>1748</v>
      </c>
      <c r="G116" s="27">
        <v>2546296.0</v>
      </c>
      <c r="H116" s="27">
        <v>203704.0</v>
      </c>
      <c r="I116" s="27">
        <v>2750000.0</v>
      </c>
      <c r="J116" s="20" t="s">
        <v>57</v>
      </c>
      <c r="K116" s="28" t="s">
        <v>1751</v>
      </c>
      <c r="L116" s="29" t="s">
        <v>62</v>
      </c>
      <c r="M116" s="30" t="s">
        <v>1753</v>
      </c>
      <c r="N116" s="30"/>
      <c r="O116" s="44">
        <v>2546296.0</v>
      </c>
      <c r="P116" s="44">
        <v>203704.0</v>
      </c>
      <c r="Q116" s="32"/>
      <c r="R116" s="32"/>
      <c r="S116" s="32"/>
      <c r="T116" s="45"/>
      <c r="U116" s="45"/>
      <c r="V116" s="39">
        <f t="shared" ref="V116:W116" si="181">O116-G116-R116</f>
        <v>0</v>
      </c>
      <c r="W116" s="39">
        <f t="shared" si="181"/>
        <v>0</v>
      </c>
      <c r="X116" s="41"/>
      <c r="Y116" s="42"/>
      <c r="Z116" s="42"/>
    </row>
    <row r="117" ht="14.25" customHeight="1">
      <c r="A117" s="20" t="s">
        <v>40</v>
      </c>
      <c r="B117" s="22">
        <v>22.0</v>
      </c>
      <c r="C117" s="24" t="s">
        <v>1757</v>
      </c>
      <c r="D117" s="24" t="s">
        <v>369</v>
      </c>
      <c r="E117" s="20" t="s">
        <v>368</v>
      </c>
      <c r="F117" s="20" t="s">
        <v>1758</v>
      </c>
      <c r="G117" s="27">
        <v>1793889.0</v>
      </c>
      <c r="H117" s="27">
        <v>143511.0</v>
      </c>
      <c r="I117" s="27">
        <v>1937400.0</v>
      </c>
      <c r="J117" s="20" t="s">
        <v>57</v>
      </c>
      <c r="K117" s="64" t="s">
        <v>1761</v>
      </c>
      <c r="L117" s="29" t="s">
        <v>198</v>
      </c>
      <c r="M117" s="30" t="s">
        <v>1765</v>
      </c>
      <c r="N117" s="30"/>
      <c r="O117" s="44">
        <v>1837037.0</v>
      </c>
      <c r="P117" s="44">
        <v>146963.0</v>
      </c>
      <c r="Q117" s="32"/>
      <c r="R117" s="32"/>
      <c r="S117" s="32"/>
      <c r="T117" s="45"/>
      <c r="U117" s="45"/>
      <c r="V117" s="39">
        <f t="shared" ref="V117:W117" si="182">O117-G117-R117</f>
        <v>43148</v>
      </c>
      <c r="W117" s="39">
        <f t="shared" si="182"/>
        <v>3452</v>
      </c>
      <c r="X117" s="41"/>
      <c r="Y117" s="42"/>
      <c r="Z117" s="42"/>
    </row>
    <row r="118" ht="14.25" customHeight="1">
      <c r="A118" s="20" t="s">
        <v>40</v>
      </c>
      <c r="B118" s="22">
        <v>23.0</v>
      </c>
      <c r="C118" s="24" t="s">
        <v>1757</v>
      </c>
      <c r="D118" s="24" t="s">
        <v>405</v>
      </c>
      <c r="E118" s="20" t="s">
        <v>404</v>
      </c>
      <c r="F118" s="20" t="s">
        <v>1770</v>
      </c>
      <c r="G118" s="27">
        <v>3099556.0</v>
      </c>
      <c r="H118" s="27">
        <v>247964.0</v>
      </c>
      <c r="I118" s="27">
        <v>3347520.0</v>
      </c>
      <c r="J118" s="20" t="s">
        <v>56</v>
      </c>
      <c r="K118" s="28" t="s">
        <v>1771</v>
      </c>
      <c r="L118" s="29" t="s">
        <v>62</v>
      </c>
      <c r="M118" s="30" t="s">
        <v>1772</v>
      </c>
      <c r="N118" s="30"/>
      <c r="O118" s="31">
        <v>3522222.0</v>
      </c>
      <c r="P118" s="31">
        <v>281778.0</v>
      </c>
      <c r="Q118" s="32" t="s">
        <v>423</v>
      </c>
      <c r="R118" s="33">
        <v>422666.0</v>
      </c>
      <c r="S118" s="33">
        <v>33813.0</v>
      </c>
      <c r="T118" s="37">
        <f t="shared" ref="T118:U118" si="183">G118+R118</f>
        <v>3522222</v>
      </c>
      <c r="U118" s="37">
        <f t="shared" si="183"/>
        <v>281777</v>
      </c>
      <c r="V118" s="39">
        <f t="shared" ref="V118:W118" si="184">O118-G118-R118</f>
        <v>0</v>
      </c>
      <c r="W118" s="39">
        <f t="shared" si="184"/>
        <v>1</v>
      </c>
      <c r="X118" s="41"/>
      <c r="Y118" s="42"/>
      <c r="Z118" s="42"/>
    </row>
    <row r="119" ht="14.25" customHeight="1">
      <c r="A119" s="20" t="s">
        <v>40</v>
      </c>
      <c r="B119" s="22">
        <v>28.0</v>
      </c>
      <c r="C119" s="24" t="s">
        <v>1780</v>
      </c>
      <c r="D119" s="24" t="s">
        <v>455</v>
      </c>
      <c r="E119" s="20" t="s">
        <v>451</v>
      </c>
      <c r="F119" s="20" t="s">
        <v>1782</v>
      </c>
      <c r="G119" s="27">
        <v>2282500.0</v>
      </c>
      <c r="H119" s="27">
        <v>182600.0</v>
      </c>
      <c r="I119" s="27">
        <v>2465100.0</v>
      </c>
      <c r="J119" s="20" t="s">
        <v>56</v>
      </c>
      <c r="K119" s="28" t="s">
        <v>1783</v>
      </c>
      <c r="L119" s="29" t="s">
        <v>62</v>
      </c>
      <c r="M119" s="30" t="s">
        <v>1784</v>
      </c>
      <c r="N119" s="30"/>
      <c r="O119" s="31">
        <v>2536111.0</v>
      </c>
      <c r="P119" s="31">
        <v>202889.0</v>
      </c>
      <c r="Q119" s="32" t="s">
        <v>473</v>
      </c>
      <c r="R119" s="33">
        <v>253611.0</v>
      </c>
      <c r="S119" s="33">
        <v>20289.0</v>
      </c>
      <c r="T119" s="37">
        <f t="shared" ref="T119:U119" si="185">G119+R119</f>
        <v>2536111</v>
      </c>
      <c r="U119" s="37">
        <f t="shared" si="185"/>
        <v>202889</v>
      </c>
      <c r="V119" s="39">
        <f t="shared" ref="V119:W119" si="186">O119-G119-R119</f>
        <v>0</v>
      </c>
      <c r="W119" s="39">
        <f t="shared" si="186"/>
        <v>0</v>
      </c>
      <c r="X119" s="41"/>
      <c r="Y119" s="42"/>
      <c r="Z119" s="42"/>
    </row>
    <row r="120" ht="14.25" customHeight="1">
      <c r="E120" s="65"/>
      <c r="O120" s="66"/>
      <c r="P120" s="66"/>
      <c r="R120" s="66"/>
      <c r="S120" s="66"/>
      <c r="T120" s="66"/>
      <c r="U120" s="66"/>
    </row>
    <row r="121" ht="14.25" customHeight="1">
      <c r="E121" s="65"/>
      <c r="O121" s="66"/>
      <c r="P121" s="66"/>
      <c r="R121" s="66"/>
      <c r="S121" s="66"/>
      <c r="T121" s="66"/>
      <c r="U121" s="66"/>
    </row>
    <row r="122" ht="14.25" customHeight="1">
      <c r="E122" s="65"/>
      <c r="O122" s="66"/>
      <c r="P122" s="66"/>
      <c r="R122" s="66"/>
      <c r="S122" s="66"/>
      <c r="T122" s="66"/>
      <c r="U122" s="66"/>
    </row>
    <row r="123" ht="14.25" customHeight="1">
      <c r="E123" s="65"/>
      <c r="O123" s="66"/>
      <c r="P123" s="66"/>
      <c r="R123" s="66"/>
      <c r="S123" s="66"/>
      <c r="T123" s="66"/>
      <c r="U123" s="66"/>
    </row>
    <row r="124" ht="14.25" customHeight="1">
      <c r="E124" s="65"/>
      <c r="O124" s="66"/>
      <c r="P124" s="66"/>
      <c r="R124" s="66"/>
      <c r="S124" s="66"/>
      <c r="T124" s="66"/>
      <c r="U124" s="66"/>
    </row>
    <row r="125" ht="14.25" customHeight="1">
      <c r="E125" s="65"/>
      <c r="O125" s="66"/>
      <c r="P125" s="66"/>
      <c r="R125" s="66"/>
      <c r="S125" s="66"/>
      <c r="T125" s="66"/>
      <c r="U125" s="66"/>
    </row>
    <row r="126" ht="14.25" customHeight="1">
      <c r="E126" s="65"/>
      <c r="O126" s="66"/>
      <c r="P126" s="66"/>
      <c r="R126" s="66"/>
      <c r="S126" s="66"/>
      <c r="T126" s="66"/>
      <c r="U126" s="66"/>
    </row>
    <row r="127" ht="14.25" customHeight="1">
      <c r="E127" s="65"/>
      <c r="O127" s="66"/>
      <c r="P127" s="66"/>
      <c r="R127" s="66"/>
      <c r="S127" s="66"/>
      <c r="T127" s="66"/>
      <c r="U127" s="66"/>
    </row>
    <row r="128" ht="14.25" customHeight="1">
      <c r="E128" s="65"/>
      <c r="O128" s="66"/>
      <c r="P128" s="66"/>
      <c r="R128" s="66"/>
      <c r="S128" s="66"/>
      <c r="T128" s="66"/>
      <c r="U128" s="66"/>
    </row>
    <row r="129" ht="14.25" customHeight="1">
      <c r="E129" s="65"/>
      <c r="O129" s="66"/>
      <c r="P129" s="66"/>
      <c r="R129" s="66"/>
      <c r="S129" s="66"/>
      <c r="T129" s="66"/>
      <c r="U129" s="66"/>
    </row>
    <row r="130" ht="14.25" customHeight="1">
      <c r="E130" s="65"/>
      <c r="O130" s="66"/>
      <c r="P130" s="66"/>
      <c r="R130" s="66"/>
      <c r="S130" s="66"/>
      <c r="T130" s="66"/>
      <c r="U130" s="66"/>
    </row>
    <row r="131" ht="14.25" customHeight="1">
      <c r="E131" s="65"/>
      <c r="O131" s="66"/>
      <c r="P131" s="66"/>
      <c r="R131" s="66"/>
      <c r="S131" s="66"/>
      <c r="T131" s="66"/>
      <c r="U131" s="66"/>
    </row>
    <row r="132" ht="14.25" customHeight="1">
      <c r="E132" s="65"/>
      <c r="O132" s="66"/>
      <c r="P132" s="66"/>
      <c r="R132" s="66"/>
      <c r="S132" s="66"/>
      <c r="T132" s="66"/>
      <c r="U132" s="66"/>
    </row>
    <row r="133" ht="14.25" customHeight="1">
      <c r="E133" s="65"/>
      <c r="O133" s="66"/>
      <c r="P133" s="66"/>
      <c r="R133" s="66"/>
      <c r="S133" s="66"/>
      <c r="T133" s="66"/>
      <c r="U133" s="66"/>
    </row>
    <row r="134" ht="14.25" customHeight="1">
      <c r="E134" s="65"/>
      <c r="O134" s="66"/>
      <c r="P134" s="66"/>
      <c r="R134" s="66"/>
      <c r="S134" s="66"/>
      <c r="T134" s="66"/>
      <c r="U134" s="66"/>
    </row>
    <row r="135" ht="14.25" customHeight="1">
      <c r="E135" s="65"/>
      <c r="O135" s="66"/>
      <c r="P135" s="66"/>
      <c r="R135" s="66"/>
      <c r="S135" s="66"/>
      <c r="T135" s="66"/>
      <c r="U135" s="66"/>
    </row>
    <row r="136" ht="14.25" customHeight="1">
      <c r="E136" s="65"/>
      <c r="O136" s="66"/>
      <c r="P136" s="66"/>
      <c r="R136" s="66"/>
      <c r="S136" s="66"/>
      <c r="T136" s="66"/>
      <c r="U136" s="66"/>
    </row>
    <row r="137" ht="14.25" customHeight="1">
      <c r="E137" s="65"/>
      <c r="O137" s="66"/>
      <c r="P137" s="66"/>
      <c r="R137" s="66"/>
      <c r="S137" s="66"/>
      <c r="T137" s="66"/>
      <c r="U137" s="66"/>
    </row>
    <row r="138" ht="14.25" customHeight="1">
      <c r="E138" s="65"/>
      <c r="O138" s="66"/>
      <c r="P138" s="66"/>
      <c r="R138" s="66"/>
      <c r="S138" s="66"/>
      <c r="T138" s="66"/>
      <c r="U138" s="66"/>
    </row>
    <row r="139" ht="14.25" customHeight="1">
      <c r="E139" s="65"/>
      <c r="O139" s="66"/>
      <c r="P139" s="66"/>
      <c r="R139" s="66"/>
      <c r="S139" s="66"/>
      <c r="T139" s="66"/>
      <c r="U139" s="66"/>
    </row>
    <row r="140" ht="14.25" customHeight="1">
      <c r="E140" s="65"/>
      <c r="O140" s="66"/>
      <c r="P140" s="66"/>
      <c r="R140" s="66"/>
      <c r="S140" s="66"/>
      <c r="T140" s="66"/>
      <c r="U140" s="66"/>
    </row>
    <row r="141" ht="14.25" customHeight="1">
      <c r="E141" s="65"/>
      <c r="O141" s="66"/>
      <c r="P141" s="66"/>
      <c r="R141" s="66"/>
      <c r="S141" s="66"/>
      <c r="T141" s="66"/>
      <c r="U141" s="66"/>
    </row>
    <row r="142" ht="14.25" customHeight="1">
      <c r="E142" s="65"/>
      <c r="O142" s="66"/>
      <c r="P142" s="66"/>
      <c r="R142" s="66"/>
      <c r="S142" s="66"/>
      <c r="T142" s="66"/>
      <c r="U142" s="66"/>
    </row>
    <row r="143" ht="14.25" customHeight="1">
      <c r="E143" s="65"/>
      <c r="O143" s="66"/>
      <c r="P143" s="66"/>
      <c r="R143" s="66"/>
      <c r="S143" s="66"/>
      <c r="T143" s="66"/>
      <c r="U143" s="66"/>
    </row>
    <row r="144" ht="14.25" customHeight="1">
      <c r="E144" s="65"/>
      <c r="O144" s="66"/>
      <c r="P144" s="66"/>
      <c r="R144" s="66"/>
      <c r="S144" s="66"/>
      <c r="T144" s="66"/>
      <c r="U144" s="66"/>
    </row>
    <row r="145" ht="14.25" customHeight="1">
      <c r="E145" s="65"/>
      <c r="O145" s="66"/>
      <c r="P145" s="66"/>
      <c r="R145" s="66"/>
      <c r="S145" s="66"/>
      <c r="T145" s="66"/>
      <c r="U145" s="66"/>
    </row>
    <row r="146" ht="14.25" customHeight="1">
      <c r="E146" s="65"/>
      <c r="O146" s="66"/>
      <c r="P146" s="66"/>
      <c r="R146" s="66"/>
      <c r="S146" s="66"/>
      <c r="T146" s="66"/>
      <c r="U146" s="66"/>
    </row>
    <row r="147" ht="14.25" customHeight="1">
      <c r="E147" s="65"/>
      <c r="O147" s="66"/>
      <c r="P147" s="66"/>
      <c r="R147" s="66"/>
      <c r="S147" s="66"/>
      <c r="T147" s="66"/>
      <c r="U147" s="66"/>
    </row>
    <row r="148" ht="14.25" customHeight="1">
      <c r="E148" s="65"/>
      <c r="O148" s="66"/>
      <c r="P148" s="66"/>
      <c r="R148" s="66"/>
      <c r="S148" s="66"/>
      <c r="T148" s="66"/>
      <c r="U148" s="66"/>
    </row>
    <row r="149" ht="14.25" customHeight="1">
      <c r="E149" s="65"/>
      <c r="O149" s="66"/>
      <c r="P149" s="66"/>
      <c r="R149" s="66"/>
      <c r="S149" s="66"/>
      <c r="T149" s="66"/>
      <c r="U149" s="66"/>
    </row>
    <row r="150" ht="14.25" customHeight="1">
      <c r="E150" s="65"/>
      <c r="O150" s="66"/>
      <c r="P150" s="66"/>
      <c r="R150" s="66"/>
      <c r="S150" s="66"/>
      <c r="T150" s="66"/>
      <c r="U150" s="66"/>
    </row>
    <row r="151" ht="14.25" customHeight="1">
      <c r="E151" s="65"/>
      <c r="O151" s="66"/>
      <c r="P151" s="66"/>
      <c r="R151" s="66"/>
      <c r="S151" s="66"/>
      <c r="T151" s="66"/>
      <c r="U151" s="66"/>
    </row>
    <row r="152" ht="14.25" customHeight="1">
      <c r="E152" s="65"/>
      <c r="O152" s="66"/>
      <c r="P152" s="66"/>
      <c r="R152" s="66"/>
      <c r="S152" s="66"/>
      <c r="T152" s="66"/>
      <c r="U152" s="66"/>
    </row>
    <row r="153" ht="14.25" customHeight="1">
      <c r="E153" s="65"/>
      <c r="O153" s="66"/>
      <c r="P153" s="66"/>
      <c r="R153" s="66"/>
      <c r="S153" s="66"/>
      <c r="T153" s="66"/>
      <c r="U153" s="66"/>
    </row>
    <row r="154" ht="14.25" customHeight="1">
      <c r="E154" s="65"/>
      <c r="O154" s="66"/>
      <c r="P154" s="66"/>
      <c r="R154" s="66"/>
      <c r="S154" s="66"/>
      <c r="T154" s="66"/>
      <c r="U154" s="66"/>
    </row>
    <row r="155" ht="14.25" customHeight="1">
      <c r="E155" s="65"/>
      <c r="O155" s="66"/>
      <c r="P155" s="66"/>
      <c r="R155" s="66"/>
      <c r="S155" s="66"/>
      <c r="T155" s="66"/>
      <c r="U155" s="66"/>
    </row>
    <row r="156" ht="14.25" customHeight="1">
      <c r="E156" s="65"/>
      <c r="O156" s="66"/>
      <c r="P156" s="66"/>
      <c r="R156" s="66"/>
      <c r="S156" s="66"/>
      <c r="T156" s="66"/>
      <c r="U156" s="66"/>
    </row>
    <row r="157" ht="14.25" customHeight="1">
      <c r="E157" s="65"/>
      <c r="O157" s="66"/>
      <c r="P157" s="66"/>
      <c r="R157" s="66"/>
      <c r="S157" s="66"/>
      <c r="T157" s="66"/>
      <c r="U157" s="66"/>
    </row>
    <row r="158" ht="14.25" customHeight="1">
      <c r="E158" s="65"/>
      <c r="O158" s="66"/>
      <c r="P158" s="66"/>
      <c r="R158" s="66"/>
      <c r="S158" s="66"/>
      <c r="T158" s="66"/>
      <c r="U158" s="66"/>
    </row>
    <row r="159" ht="14.25" customHeight="1">
      <c r="E159" s="65"/>
      <c r="O159" s="66"/>
      <c r="P159" s="66"/>
      <c r="R159" s="66"/>
      <c r="S159" s="66"/>
      <c r="T159" s="66"/>
      <c r="U159" s="66"/>
    </row>
    <row r="160" ht="14.25" customHeight="1">
      <c r="E160" s="65"/>
      <c r="O160" s="66"/>
      <c r="P160" s="66"/>
      <c r="R160" s="66"/>
      <c r="S160" s="66"/>
      <c r="T160" s="66"/>
      <c r="U160" s="66"/>
    </row>
    <row r="161" ht="14.25" customHeight="1">
      <c r="E161" s="65"/>
      <c r="O161" s="66"/>
      <c r="P161" s="66"/>
      <c r="R161" s="66"/>
      <c r="S161" s="66"/>
      <c r="T161" s="66"/>
      <c r="U161" s="66"/>
    </row>
    <row r="162" ht="14.25" customHeight="1">
      <c r="E162" s="65"/>
      <c r="O162" s="66"/>
      <c r="P162" s="66"/>
      <c r="R162" s="66"/>
      <c r="S162" s="66"/>
      <c r="T162" s="66"/>
      <c r="U162" s="66"/>
    </row>
    <row r="163" ht="14.25" customHeight="1">
      <c r="E163" s="65"/>
      <c r="O163" s="66"/>
      <c r="P163" s="66"/>
      <c r="R163" s="66"/>
      <c r="S163" s="66"/>
      <c r="T163" s="66"/>
      <c r="U163" s="66"/>
    </row>
    <row r="164" ht="14.25" customHeight="1">
      <c r="E164" s="65"/>
      <c r="O164" s="66"/>
      <c r="P164" s="66"/>
      <c r="R164" s="66"/>
      <c r="S164" s="66"/>
      <c r="T164" s="66"/>
      <c r="U164" s="66"/>
    </row>
    <row r="165" ht="14.25" customHeight="1">
      <c r="E165" s="65"/>
      <c r="O165" s="66"/>
      <c r="P165" s="66"/>
      <c r="R165" s="66"/>
      <c r="S165" s="66"/>
      <c r="T165" s="66"/>
      <c r="U165" s="66"/>
    </row>
    <row r="166" ht="14.25" customHeight="1">
      <c r="E166" s="65"/>
      <c r="O166" s="66"/>
      <c r="P166" s="66"/>
      <c r="R166" s="66"/>
      <c r="S166" s="66"/>
      <c r="T166" s="66"/>
      <c r="U166" s="66"/>
    </row>
    <row r="167" ht="14.25" customHeight="1">
      <c r="E167" s="65"/>
      <c r="O167" s="66"/>
      <c r="P167" s="66"/>
      <c r="R167" s="66"/>
      <c r="S167" s="66"/>
      <c r="T167" s="66"/>
      <c r="U167" s="66"/>
    </row>
    <row r="168" ht="14.25" customHeight="1">
      <c r="E168" s="65"/>
      <c r="O168" s="66"/>
      <c r="P168" s="66"/>
      <c r="R168" s="66"/>
      <c r="S168" s="66"/>
      <c r="T168" s="66"/>
      <c r="U168" s="66"/>
    </row>
    <row r="169" ht="14.25" customHeight="1">
      <c r="E169" s="65"/>
      <c r="O169" s="66"/>
      <c r="P169" s="66"/>
      <c r="R169" s="66"/>
      <c r="S169" s="66"/>
      <c r="T169" s="66"/>
      <c r="U169" s="66"/>
    </row>
    <row r="170" ht="14.25" customHeight="1">
      <c r="E170" s="65"/>
      <c r="O170" s="66"/>
      <c r="P170" s="66"/>
      <c r="R170" s="66"/>
      <c r="S170" s="66"/>
      <c r="T170" s="66"/>
      <c r="U170" s="66"/>
    </row>
    <row r="171" ht="14.25" customHeight="1">
      <c r="E171" s="65"/>
      <c r="O171" s="66"/>
      <c r="P171" s="66"/>
      <c r="R171" s="66"/>
      <c r="S171" s="66"/>
      <c r="T171" s="66"/>
      <c r="U171" s="66"/>
    </row>
    <row r="172" ht="14.25" customHeight="1">
      <c r="E172" s="65"/>
      <c r="O172" s="66"/>
      <c r="P172" s="66"/>
      <c r="R172" s="66"/>
      <c r="S172" s="66"/>
      <c r="T172" s="66"/>
      <c r="U172" s="66"/>
    </row>
    <row r="173" ht="14.25" customHeight="1">
      <c r="E173" s="65"/>
      <c r="O173" s="66"/>
      <c r="P173" s="66"/>
      <c r="R173" s="66"/>
      <c r="S173" s="66"/>
      <c r="T173" s="66"/>
      <c r="U173" s="66"/>
    </row>
    <row r="174" ht="14.25" customHeight="1">
      <c r="E174" s="65"/>
      <c r="O174" s="66"/>
      <c r="P174" s="66"/>
      <c r="R174" s="66"/>
      <c r="S174" s="66"/>
      <c r="T174" s="66"/>
      <c r="U174" s="66"/>
    </row>
    <row r="175" ht="14.25" customHeight="1">
      <c r="E175" s="65"/>
      <c r="O175" s="66"/>
      <c r="P175" s="66"/>
      <c r="R175" s="66"/>
      <c r="S175" s="66"/>
      <c r="T175" s="66"/>
      <c r="U175" s="66"/>
    </row>
    <row r="176" ht="14.25" customHeight="1">
      <c r="E176" s="65"/>
      <c r="O176" s="66"/>
      <c r="P176" s="66"/>
      <c r="R176" s="66"/>
      <c r="S176" s="66"/>
      <c r="T176" s="66"/>
      <c r="U176" s="66"/>
    </row>
    <row r="177" ht="14.25" customHeight="1">
      <c r="E177" s="65"/>
      <c r="O177" s="66"/>
      <c r="P177" s="66"/>
      <c r="R177" s="66"/>
      <c r="S177" s="66"/>
      <c r="T177" s="66"/>
      <c r="U177" s="66"/>
    </row>
    <row r="178" ht="14.25" customHeight="1">
      <c r="E178" s="65"/>
      <c r="O178" s="66"/>
      <c r="P178" s="66"/>
      <c r="R178" s="66"/>
      <c r="S178" s="66"/>
      <c r="T178" s="66"/>
      <c r="U178" s="66"/>
    </row>
    <row r="179" ht="14.25" customHeight="1">
      <c r="E179" s="65"/>
      <c r="O179" s="66"/>
      <c r="P179" s="66"/>
      <c r="R179" s="66"/>
      <c r="S179" s="66"/>
      <c r="T179" s="66"/>
      <c r="U179" s="66"/>
    </row>
    <row r="180" ht="14.25" customHeight="1">
      <c r="E180" s="65"/>
      <c r="O180" s="66"/>
      <c r="P180" s="66"/>
      <c r="R180" s="66"/>
      <c r="S180" s="66"/>
      <c r="T180" s="66"/>
      <c r="U180" s="66"/>
    </row>
    <row r="181" ht="14.25" customHeight="1">
      <c r="E181" s="65"/>
      <c r="O181" s="66"/>
      <c r="P181" s="66"/>
      <c r="R181" s="66"/>
      <c r="S181" s="66"/>
      <c r="T181" s="66"/>
      <c r="U181" s="66"/>
    </row>
    <row r="182" ht="14.25" customHeight="1">
      <c r="E182" s="65"/>
      <c r="O182" s="66"/>
      <c r="P182" s="66"/>
      <c r="R182" s="66"/>
      <c r="S182" s="66"/>
      <c r="T182" s="66"/>
      <c r="U182" s="66"/>
    </row>
    <row r="183" ht="14.25" customHeight="1">
      <c r="E183" s="65"/>
      <c r="O183" s="66"/>
      <c r="P183" s="66"/>
      <c r="R183" s="66"/>
      <c r="S183" s="66"/>
      <c r="T183" s="66"/>
      <c r="U183" s="66"/>
    </row>
    <row r="184" ht="14.25" customHeight="1">
      <c r="E184" s="65"/>
      <c r="O184" s="66"/>
      <c r="P184" s="66"/>
      <c r="R184" s="66"/>
      <c r="S184" s="66"/>
      <c r="T184" s="66"/>
      <c r="U184" s="66"/>
    </row>
    <row r="185" ht="14.25" customHeight="1">
      <c r="E185" s="65"/>
      <c r="O185" s="66"/>
      <c r="P185" s="66"/>
      <c r="R185" s="66"/>
      <c r="S185" s="66"/>
      <c r="T185" s="66"/>
      <c r="U185" s="66"/>
    </row>
    <row r="186" ht="14.25" customHeight="1">
      <c r="E186" s="65"/>
      <c r="O186" s="66"/>
      <c r="P186" s="66"/>
      <c r="R186" s="66"/>
      <c r="S186" s="66"/>
      <c r="T186" s="66"/>
      <c r="U186" s="66"/>
    </row>
    <row r="187" ht="14.25" customHeight="1">
      <c r="E187" s="65"/>
      <c r="O187" s="66"/>
      <c r="P187" s="66"/>
      <c r="R187" s="66"/>
      <c r="S187" s="66"/>
      <c r="T187" s="66"/>
      <c r="U187" s="66"/>
    </row>
    <row r="188" ht="14.25" customHeight="1">
      <c r="E188" s="65"/>
      <c r="O188" s="66"/>
      <c r="P188" s="66"/>
      <c r="R188" s="66"/>
      <c r="S188" s="66"/>
      <c r="T188" s="66"/>
      <c r="U188" s="66"/>
    </row>
    <row r="189" ht="14.25" customHeight="1">
      <c r="E189" s="65"/>
      <c r="O189" s="66"/>
      <c r="P189" s="66"/>
      <c r="R189" s="66"/>
      <c r="S189" s="66"/>
      <c r="T189" s="66"/>
      <c r="U189" s="66"/>
    </row>
    <row r="190" ht="14.25" customHeight="1">
      <c r="E190" s="65"/>
      <c r="O190" s="66"/>
      <c r="P190" s="66"/>
      <c r="R190" s="66"/>
      <c r="S190" s="66"/>
      <c r="T190" s="66"/>
      <c r="U190" s="66"/>
    </row>
    <row r="191" ht="14.25" customHeight="1">
      <c r="E191" s="65"/>
      <c r="O191" s="66"/>
      <c r="P191" s="66"/>
      <c r="R191" s="66"/>
      <c r="S191" s="66"/>
      <c r="T191" s="66"/>
      <c r="U191" s="66"/>
    </row>
    <row r="192" ht="14.25" customHeight="1">
      <c r="E192" s="65"/>
      <c r="O192" s="66"/>
      <c r="P192" s="66"/>
      <c r="R192" s="66"/>
      <c r="S192" s="66"/>
      <c r="T192" s="66"/>
      <c r="U192" s="66"/>
    </row>
    <row r="193" ht="14.25" customHeight="1">
      <c r="E193" s="65"/>
      <c r="O193" s="66"/>
      <c r="P193" s="66"/>
      <c r="R193" s="66"/>
      <c r="S193" s="66"/>
      <c r="T193" s="66"/>
      <c r="U193" s="66"/>
    </row>
    <row r="194" ht="14.25" customHeight="1">
      <c r="E194" s="65"/>
      <c r="O194" s="66"/>
      <c r="P194" s="66"/>
      <c r="R194" s="66"/>
      <c r="S194" s="66"/>
      <c r="T194" s="66"/>
      <c r="U194" s="66"/>
    </row>
    <row r="195" ht="14.25" customHeight="1">
      <c r="E195" s="65"/>
      <c r="O195" s="66"/>
      <c r="P195" s="66"/>
      <c r="R195" s="66"/>
      <c r="S195" s="66"/>
      <c r="T195" s="66"/>
      <c r="U195" s="66"/>
    </row>
    <row r="196" ht="14.25" customHeight="1">
      <c r="E196" s="65"/>
      <c r="O196" s="66"/>
      <c r="P196" s="66"/>
      <c r="R196" s="66"/>
      <c r="S196" s="66"/>
      <c r="T196" s="66"/>
      <c r="U196" s="66"/>
    </row>
    <row r="197" ht="14.25" customHeight="1">
      <c r="E197" s="65"/>
      <c r="O197" s="66"/>
      <c r="P197" s="66"/>
      <c r="R197" s="66"/>
      <c r="S197" s="66"/>
      <c r="T197" s="66"/>
      <c r="U197" s="66"/>
    </row>
    <row r="198" ht="14.25" customHeight="1">
      <c r="E198" s="65"/>
      <c r="O198" s="66"/>
      <c r="P198" s="66"/>
      <c r="R198" s="66"/>
      <c r="S198" s="66"/>
      <c r="T198" s="66"/>
      <c r="U198" s="66"/>
    </row>
    <row r="199" ht="14.25" customHeight="1">
      <c r="E199" s="65"/>
      <c r="O199" s="66"/>
      <c r="P199" s="66"/>
      <c r="R199" s="66"/>
      <c r="S199" s="66"/>
      <c r="T199" s="66"/>
      <c r="U199" s="66"/>
    </row>
    <row r="200" ht="14.25" customHeight="1">
      <c r="E200" s="65"/>
      <c r="O200" s="66"/>
      <c r="P200" s="66"/>
      <c r="R200" s="66"/>
      <c r="S200" s="66"/>
      <c r="T200" s="66"/>
      <c r="U200" s="66"/>
    </row>
    <row r="201" ht="14.25" customHeight="1">
      <c r="E201" s="65"/>
      <c r="O201" s="66"/>
      <c r="P201" s="66"/>
      <c r="R201" s="66"/>
      <c r="S201" s="66"/>
      <c r="T201" s="66"/>
      <c r="U201" s="66"/>
    </row>
    <row r="202" ht="14.25" customHeight="1">
      <c r="E202" s="65"/>
      <c r="O202" s="66"/>
      <c r="P202" s="66"/>
      <c r="R202" s="66"/>
      <c r="S202" s="66"/>
      <c r="T202" s="66"/>
      <c r="U202" s="66"/>
    </row>
    <row r="203" ht="14.25" customHeight="1">
      <c r="E203" s="65"/>
      <c r="O203" s="66"/>
      <c r="P203" s="66"/>
      <c r="R203" s="66"/>
      <c r="S203" s="66"/>
      <c r="T203" s="66"/>
      <c r="U203" s="66"/>
    </row>
    <row r="204" ht="14.25" customHeight="1">
      <c r="E204" s="65"/>
      <c r="O204" s="66"/>
      <c r="P204" s="66"/>
      <c r="R204" s="66"/>
      <c r="S204" s="66"/>
      <c r="T204" s="66"/>
      <c r="U204" s="66"/>
    </row>
    <row r="205" ht="14.25" customHeight="1">
      <c r="E205" s="65"/>
      <c r="O205" s="66"/>
      <c r="P205" s="66"/>
      <c r="R205" s="66"/>
      <c r="S205" s="66"/>
      <c r="T205" s="66"/>
      <c r="U205" s="66"/>
    </row>
    <row r="206" ht="14.25" customHeight="1">
      <c r="E206" s="65"/>
      <c r="O206" s="66"/>
      <c r="P206" s="66"/>
      <c r="R206" s="66"/>
      <c r="S206" s="66"/>
      <c r="T206" s="66"/>
      <c r="U206" s="66"/>
    </row>
    <row r="207" ht="14.25" customHeight="1">
      <c r="E207" s="65"/>
      <c r="O207" s="66"/>
      <c r="P207" s="66"/>
      <c r="R207" s="66"/>
      <c r="S207" s="66"/>
      <c r="T207" s="66"/>
      <c r="U207" s="66"/>
    </row>
    <row r="208" ht="14.25" customHeight="1">
      <c r="E208" s="65"/>
      <c r="O208" s="66"/>
      <c r="P208" s="66"/>
      <c r="R208" s="66"/>
      <c r="S208" s="66"/>
      <c r="T208" s="66"/>
      <c r="U208" s="66"/>
    </row>
    <row r="209" ht="14.25" customHeight="1">
      <c r="E209" s="65"/>
      <c r="O209" s="66"/>
      <c r="P209" s="66"/>
      <c r="R209" s="66"/>
      <c r="S209" s="66"/>
      <c r="T209" s="66"/>
      <c r="U209" s="66"/>
    </row>
    <row r="210" ht="14.25" customHeight="1">
      <c r="E210" s="65"/>
      <c r="O210" s="66"/>
      <c r="P210" s="66"/>
      <c r="R210" s="66"/>
      <c r="S210" s="66"/>
      <c r="T210" s="66"/>
      <c r="U210" s="66"/>
    </row>
    <row r="211" ht="14.25" customHeight="1">
      <c r="E211" s="65"/>
      <c r="O211" s="66"/>
      <c r="P211" s="66"/>
      <c r="R211" s="66"/>
      <c r="S211" s="66"/>
      <c r="T211" s="66"/>
      <c r="U211" s="66"/>
    </row>
    <row r="212" ht="14.25" customHeight="1">
      <c r="E212" s="65"/>
      <c r="O212" s="66"/>
      <c r="P212" s="66"/>
      <c r="R212" s="66"/>
      <c r="S212" s="66"/>
      <c r="T212" s="66"/>
      <c r="U212" s="66"/>
    </row>
    <row r="213" ht="14.25" customHeight="1">
      <c r="E213" s="65"/>
      <c r="O213" s="66"/>
      <c r="P213" s="66"/>
      <c r="R213" s="66"/>
      <c r="S213" s="66"/>
      <c r="T213" s="66"/>
      <c r="U213" s="66"/>
    </row>
    <row r="214" ht="14.25" customHeight="1">
      <c r="E214" s="65"/>
      <c r="O214" s="66"/>
      <c r="P214" s="66"/>
      <c r="R214" s="66"/>
      <c r="S214" s="66"/>
      <c r="T214" s="66"/>
      <c r="U214" s="66"/>
    </row>
    <row r="215" ht="14.25" customHeight="1">
      <c r="E215" s="65"/>
      <c r="O215" s="66"/>
      <c r="P215" s="66"/>
      <c r="R215" s="66"/>
      <c r="S215" s="66"/>
      <c r="T215" s="66"/>
      <c r="U215" s="66"/>
    </row>
    <row r="216" ht="14.25" customHeight="1">
      <c r="E216" s="65"/>
      <c r="O216" s="66"/>
      <c r="P216" s="66"/>
      <c r="R216" s="66"/>
      <c r="S216" s="66"/>
      <c r="T216" s="66"/>
      <c r="U216" s="66"/>
    </row>
    <row r="217" ht="14.25" customHeight="1">
      <c r="E217" s="65"/>
      <c r="O217" s="66"/>
      <c r="P217" s="66"/>
      <c r="R217" s="66"/>
      <c r="S217" s="66"/>
      <c r="T217" s="66"/>
      <c r="U217" s="66"/>
    </row>
    <row r="218" ht="14.25" customHeight="1">
      <c r="E218" s="65"/>
      <c r="O218" s="66"/>
      <c r="P218" s="66"/>
      <c r="R218" s="66"/>
      <c r="S218" s="66"/>
      <c r="T218" s="66"/>
      <c r="U218" s="66"/>
    </row>
    <row r="219" ht="14.25" customHeight="1">
      <c r="E219" s="65"/>
      <c r="O219" s="66"/>
      <c r="P219" s="66"/>
      <c r="R219" s="66"/>
      <c r="S219" s="66"/>
      <c r="T219" s="66"/>
      <c r="U219" s="66"/>
    </row>
    <row r="220" ht="14.25" customHeight="1">
      <c r="E220" s="65"/>
      <c r="O220" s="66"/>
      <c r="P220" s="66"/>
      <c r="R220" s="66"/>
      <c r="S220" s="66"/>
      <c r="T220" s="66"/>
      <c r="U220" s="66"/>
    </row>
    <row r="221" ht="14.25" customHeight="1">
      <c r="E221" s="65"/>
      <c r="O221" s="66"/>
      <c r="P221" s="66"/>
      <c r="R221" s="66"/>
      <c r="S221" s="66"/>
      <c r="T221" s="66"/>
      <c r="U221" s="66"/>
    </row>
    <row r="222" ht="14.25" customHeight="1">
      <c r="E222" s="65"/>
      <c r="O222" s="66"/>
      <c r="P222" s="66"/>
      <c r="R222" s="66"/>
      <c r="S222" s="66"/>
      <c r="T222" s="66"/>
      <c r="U222" s="66"/>
    </row>
    <row r="223" ht="14.25" customHeight="1">
      <c r="E223" s="65"/>
      <c r="O223" s="66"/>
      <c r="P223" s="66"/>
      <c r="R223" s="66"/>
      <c r="S223" s="66"/>
      <c r="T223" s="66"/>
      <c r="U223" s="66"/>
    </row>
    <row r="224" ht="14.25" customHeight="1">
      <c r="E224" s="65"/>
      <c r="O224" s="66"/>
      <c r="P224" s="66"/>
      <c r="R224" s="66"/>
      <c r="S224" s="66"/>
      <c r="T224" s="66"/>
      <c r="U224" s="66"/>
    </row>
    <row r="225" ht="14.25" customHeight="1">
      <c r="E225" s="65"/>
      <c r="O225" s="66"/>
      <c r="P225" s="66"/>
      <c r="R225" s="66"/>
      <c r="S225" s="66"/>
      <c r="T225" s="66"/>
      <c r="U225" s="66"/>
    </row>
    <row r="226" ht="14.25" customHeight="1">
      <c r="E226" s="65"/>
      <c r="O226" s="66"/>
      <c r="P226" s="66"/>
      <c r="R226" s="66"/>
      <c r="S226" s="66"/>
      <c r="T226" s="66"/>
      <c r="U226" s="66"/>
    </row>
    <row r="227" ht="14.25" customHeight="1">
      <c r="E227" s="65"/>
      <c r="O227" s="66"/>
      <c r="P227" s="66"/>
      <c r="R227" s="66"/>
      <c r="S227" s="66"/>
      <c r="T227" s="66"/>
      <c r="U227" s="66"/>
    </row>
    <row r="228" ht="14.25" customHeight="1">
      <c r="E228" s="65"/>
      <c r="O228" s="66"/>
      <c r="P228" s="66"/>
      <c r="R228" s="66"/>
      <c r="S228" s="66"/>
      <c r="T228" s="66"/>
      <c r="U228" s="66"/>
    </row>
    <row r="229" ht="14.25" customHeight="1">
      <c r="E229" s="65"/>
      <c r="O229" s="66"/>
      <c r="P229" s="66"/>
      <c r="R229" s="66"/>
      <c r="S229" s="66"/>
      <c r="T229" s="66"/>
      <c r="U229" s="66"/>
    </row>
    <row r="230" ht="14.25" customHeight="1">
      <c r="E230" s="65"/>
      <c r="O230" s="66"/>
      <c r="P230" s="66"/>
      <c r="R230" s="66"/>
      <c r="S230" s="66"/>
      <c r="T230" s="66"/>
      <c r="U230" s="66"/>
    </row>
    <row r="231" ht="14.25" customHeight="1">
      <c r="E231" s="65"/>
      <c r="O231" s="66"/>
      <c r="P231" s="66"/>
      <c r="R231" s="66"/>
      <c r="S231" s="66"/>
      <c r="T231" s="66"/>
      <c r="U231" s="66"/>
    </row>
    <row r="232" ht="14.25" customHeight="1">
      <c r="E232" s="65"/>
      <c r="O232" s="66"/>
      <c r="P232" s="66"/>
      <c r="R232" s="66"/>
      <c r="S232" s="66"/>
      <c r="T232" s="66"/>
      <c r="U232" s="66"/>
    </row>
    <row r="233" ht="14.25" customHeight="1">
      <c r="E233" s="65"/>
      <c r="O233" s="66"/>
      <c r="P233" s="66"/>
      <c r="R233" s="66"/>
      <c r="S233" s="66"/>
      <c r="T233" s="66"/>
      <c r="U233" s="66"/>
    </row>
    <row r="234" ht="14.25" customHeight="1">
      <c r="E234" s="65"/>
      <c r="O234" s="66"/>
      <c r="P234" s="66"/>
      <c r="R234" s="66"/>
      <c r="S234" s="66"/>
      <c r="T234" s="66"/>
      <c r="U234" s="66"/>
    </row>
    <row r="235" ht="14.25" customHeight="1">
      <c r="E235" s="65"/>
      <c r="O235" s="66"/>
      <c r="P235" s="66"/>
      <c r="R235" s="66"/>
      <c r="S235" s="66"/>
      <c r="T235" s="66"/>
      <c r="U235" s="66"/>
    </row>
    <row r="236" ht="14.25" customHeight="1">
      <c r="E236" s="65"/>
      <c r="O236" s="66"/>
      <c r="P236" s="66"/>
      <c r="R236" s="66"/>
      <c r="S236" s="66"/>
      <c r="T236" s="66"/>
      <c r="U236" s="66"/>
    </row>
    <row r="237" ht="14.25" customHeight="1">
      <c r="E237" s="65"/>
      <c r="O237" s="66"/>
      <c r="P237" s="66"/>
      <c r="R237" s="66"/>
      <c r="S237" s="66"/>
      <c r="T237" s="66"/>
      <c r="U237" s="66"/>
    </row>
    <row r="238" ht="14.25" customHeight="1">
      <c r="E238" s="65"/>
      <c r="O238" s="66"/>
      <c r="P238" s="66"/>
      <c r="R238" s="66"/>
      <c r="S238" s="66"/>
      <c r="T238" s="66"/>
      <c r="U238" s="66"/>
    </row>
    <row r="239" ht="14.25" customHeight="1">
      <c r="E239" s="65"/>
      <c r="O239" s="66"/>
      <c r="P239" s="66"/>
      <c r="R239" s="66"/>
      <c r="S239" s="66"/>
      <c r="T239" s="66"/>
      <c r="U239" s="66"/>
    </row>
    <row r="240" ht="14.25" customHeight="1">
      <c r="E240" s="65"/>
      <c r="O240" s="66"/>
      <c r="P240" s="66"/>
      <c r="R240" s="66"/>
      <c r="S240" s="66"/>
      <c r="T240" s="66"/>
      <c r="U240" s="66"/>
    </row>
    <row r="241" ht="14.25" customHeight="1">
      <c r="E241" s="65"/>
      <c r="O241" s="66"/>
      <c r="P241" s="66"/>
      <c r="R241" s="66"/>
      <c r="S241" s="66"/>
      <c r="T241" s="66"/>
      <c r="U241" s="66"/>
    </row>
    <row r="242" ht="14.25" customHeight="1">
      <c r="E242" s="65"/>
      <c r="O242" s="66"/>
      <c r="P242" s="66"/>
      <c r="R242" s="66"/>
      <c r="S242" s="66"/>
      <c r="T242" s="66"/>
      <c r="U242" s="66"/>
    </row>
    <row r="243" ht="14.25" customHeight="1">
      <c r="E243" s="65"/>
      <c r="O243" s="66"/>
      <c r="P243" s="66"/>
      <c r="R243" s="66"/>
      <c r="S243" s="66"/>
      <c r="T243" s="66"/>
      <c r="U243" s="66"/>
    </row>
    <row r="244" ht="14.25" customHeight="1">
      <c r="E244" s="65"/>
      <c r="O244" s="66"/>
      <c r="P244" s="66"/>
      <c r="R244" s="66"/>
      <c r="S244" s="66"/>
      <c r="T244" s="66"/>
      <c r="U244" s="66"/>
    </row>
    <row r="245" ht="14.25" customHeight="1">
      <c r="E245" s="65"/>
      <c r="O245" s="66"/>
      <c r="P245" s="66"/>
      <c r="R245" s="66"/>
      <c r="S245" s="66"/>
      <c r="T245" s="66"/>
      <c r="U245" s="66"/>
    </row>
    <row r="246" ht="14.25" customHeight="1">
      <c r="E246" s="65"/>
      <c r="O246" s="66"/>
      <c r="P246" s="66"/>
      <c r="R246" s="66"/>
      <c r="S246" s="66"/>
      <c r="T246" s="66"/>
      <c r="U246" s="66"/>
    </row>
    <row r="247" ht="14.25" customHeight="1">
      <c r="E247" s="65"/>
      <c r="O247" s="66"/>
      <c r="P247" s="66"/>
      <c r="R247" s="66"/>
      <c r="S247" s="66"/>
      <c r="T247" s="66"/>
      <c r="U247" s="66"/>
    </row>
    <row r="248" ht="14.25" customHeight="1">
      <c r="E248" s="65"/>
      <c r="O248" s="66"/>
      <c r="P248" s="66"/>
      <c r="R248" s="66"/>
      <c r="S248" s="66"/>
      <c r="T248" s="66"/>
      <c r="U248" s="66"/>
    </row>
    <row r="249" ht="14.25" customHeight="1">
      <c r="E249" s="65"/>
      <c r="O249" s="66"/>
      <c r="P249" s="66"/>
      <c r="R249" s="66"/>
      <c r="S249" s="66"/>
      <c r="T249" s="66"/>
      <c r="U249" s="66"/>
    </row>
    <row r="250" ht="14.25" customHeight="1">
      <c r="E250" s="65"/>
      <c r="O250" s="66"/>
      <c r="P250" s="66"/>
      <c r="R250" s="66"/>
      <c r="S250" s="66"/>
      <c r="T250" s="66"/>
      <c r="U250" s="66"/>
    </row>
    <row r="251" ht="14.25" customHeight="1">
      <c r="E251" s="65"/>
      <c r="O251" s="66"/>
      <c r="P251" s="66"/>
      <c r="R251" s="66"/>
      <c r="S251" s="66"/>
      <c r="T251" s="66"/>
      <c r="U251" s="66"/>
    </row>
    <row r="252" ht="14.25" customHeight="1">
      <c r="E252" s="65"/>
      <c r="O252" s="66"/>
      <c r="P252" s="66"/>
      <c r="R252" s="66"/>
      <c r="S252" s="66"/>
      <c r="T252" s="66"/>
      <c r="U252" s="66"/>
    </row>
    <row r="253" ht="14.25" customHeight="1">
      <c r="E253" s="65"/>
      <c r="O253" s="66"/>
      <c r="P253" s="66"/>
      <c r="R253" s="66"/>
      <c r="S253" s="66"/>
      <c r="T253" s="66"/>
      <c r="U253" s="66"/>
    </row>
    <row r="254" ht="14.25" customHeight="1">
      <c r="E254" s="65"/>
      <c r="O254" s="66"/>
      <c r="P254" s="66"/>
      <c r="R254" s="66"/>
      <c r="S254" s="66"/>
      <c r="T254" s="66"/>
      <c r="U254" s="66"/>
    </row>
    <row r="255" ht="14.25" customHeight="1">
      <c r="E255" s="65"/>
      <c r="O255" s="66"/>
      <c r="P255" s="66"/>
      <c r="R255" s="66"/>
      <c r="S255" s="66"/>
      <c r="T255" s="66"/>
      <c r="U255" s="66"/>
    </row>
    <row r="256" ht="14.25" customHeight="1">
      <c r="E256" s="65"/>
      <c r="O256" s="66"/>
      <c r="P256" s="66"/>
      <c r="R256" s="66"/>
      <c r="S256" s="66"/>
      <c r="T256" s="66"/>
      <c r="U256" s="66"/>
    </row>
    <row r="257" ht="14.25" customHeight="1">
      <c r="E257" s="65"/>
      <c r="O257" s="66"/>
      <c r="P257" s="66"/>
      <c r="R257" s="66"/>
      <c r="S257" s="66"/>
      <c r="T257" s="66"/>
      <c r="U257" s="66"/>
    </row>
    <row r="258" ht="14.25" customHeight="1">
      <c r="E258" s="65"/>
      <c r="O258" s="66"/>
      <c r="P258" s="66"/>
      <c r="R258" s="66"/>
      <c r="S258" s="66"/>
      <c r="T258" s="66"/>
      <c r="U258" s="66"/>
    </row>
    <row r="259" ht="14.25" customHeight="1">
      <c r="E259" s="65"/>
      <c r="O259" s="66"/>
      <c r="P259" s="66"/>
      <c r="R259" s="66"/>
      <c r="S259" s="66"/>
      <c r="T259" s="66"/>
      <c r="U259" s="66"/>
    </row>
    <row r="260" ht="14.25" customHeight="1">
      <c r="E260" s="65"/>
      <c r="O260" s="66"/>
      <c r="P260" s="66"/>
      <c r="R260" s="66"/>
      <c r="S260" s="66"/>
      <c r="T260" s="66"/>
      <c r="U260" s="66"/>
    </row>
    <row r="261" ht="14.25" customHeight="1">
      <c r="E261" s="65"/>
      <c r="O261" s="66"/>
      <c r="P261" s="66"/>
      <c r="R261" s="66"/>
      <c r="S261" s="66"/>
      <c r="T261" s="66"/>
      <c r="U261" s="66"/>
    </row>
    <row r="262" ht="14.25" customHeight="1">
      <c r="E262" s="65"/>
      <c r="O262" s="66"/>
      <c r="P262" s="66"/>
      <c r="R262" s="66"/>
      <c r="S262" s="66"/>
      <c r="T262" s="66"/>
      <c r="U262" s="66"/>
    </row>
    <row r="263" ht="14.25" customHeight="1">
      <c r="E263" s="65"/>
      <c r="O263" s="66"/>
      <c r="P263" s="66"/>
      <c r="R263" s="66"/>
      <c r="S263" s="66"/>
      <c r="T263" s="66"/>
      <c r="U263" s="66"/>
    </row>
    <row r="264" ht="14.25" customHeight="1">
      <c r="E264" s="65"/>
      <c r="O264" s="66"/>
      <c r="P264" s="66"/>
      <c r="R264" s="66"/>
      <c r="S264" s="66"/>
      <c r="T264" s="66"/>
      <c r="U264" s="66"/>
    </row>
    <row r="265" ht="14.25" customHeight="1">
      <c r="E265" s="65"/>
      <c r="O265" s="66"/>
      <c r="P265" s="66"/>
      <c r="R265" s="66"/>
      <c r="S265" s="66"/>
      <c r="T265" s="66"/>
      <c r="U265" s="66"/>
    </row>
    <row r="266" ht="14.25" customHeight="1">
      <c r="E266" s="65"/>
      <c r="O266" s="66"/>
      <c r="P266" s="66"/>
      <c r="R266" s="66"/>
      <c r="S266" s="66"/>
      <c r="T266" s="66"/>
      <c r="U266" s="66"/>
    </row>
    <row r="267" ht="14.25" customHeight="1">
      <c r="E267" s="65"/>
      <c r="O267" s="66"/>
      <c r="P267" s="66"/>
      <c r="R267" s="66"/>
      <c r="S267" s="66"/>
      <c r="T267" s="66"/>
      <c r="U267" s="66"/>
    </row>
    <row r="268" ht="14.25" customHeight="1">
      <c r="E268" s="65"/>
      <c r="O268" s="66"/>
      <c r="P268" s="66"/>
      <c r="R268" s="66"/>
      <c r="S268" s="66"/>
      <c r="T268" s="66"/>
      <c r="U268" s="66"/>
    </row>
    <row r="269" ht="14.25" customHeight="1">
      <c r="E269" s="65"/>
      <c r="O269" s="66"/>
      <c r="P269" s="66"/>
      <c r="R269" s="66"/>
      <c r="S269" s="66"/>
      <c r="T269" s="66"/>
      <c r="U269" s="66"/>
    </row>
    <row r="270" ht="14.25" customHeight="1">
      <c r="E270" s="65"/>
      <c r="O270" s="66"/>
      <c r="P270" s="66"/>
      <c r="R270" s="66"/>
      <c r="S270" s="66"/>
      <c r="T270" s="66"/>
      <c r="U270" s="66"/>
    </row>
    <row r="271" ht="14.25" customHeight="1">
      <c r="E271" s="65"/>
      <c r="O271" s="66"/>
      <c r="P271" s="66"/>
      <c r="R271" s="66"/>
      <c r="S271" s="66"/>
      <c r="T271" s="66"/>
      <c r="U271" s="66"/>
    </row>
    <row r="272" ht="14.25" customHeight="1">
      <c r="E272" s="65"/>
      <c r="O272" s="66"/>
      <c r="P272" s="66"/>
      <c r="R272" s="66"/>
      <c r="S272" s="66"/>
      <c r="T272" s="66"/>
      <c r="U272" s="66"/>
    </row>
    <row r="273" ht="14.25" customHeight="1">
      <c r="E273" s="65"/>
      <c r="O273" s="66"/>
      <c r="P273" s="66"/>
      <c r="R273" s="66"/>
      <c r="S273" s="66"/>
      <c r="T273" s="66"/>
      <c r="U273" s="66"/>
    </row>
    <row r="274" ht="14.25" customHeight="1">
      <c r="E274" s="65"/>
      <c r="O274" s="66"/>
      <c r="P274" s="66"/>
      <c r="R274" s="66"/>
      <c r="S274" s="66"/>
      <c r="T274" s="66"/>
      <c r="U274" s="66"/>
    </row>
    <row r="275" ht="14.25" customHeight="1">
      <c r="E275" s="65"/>
      <c r="O275" s="66"/>
      <c r="P275" s="66"/>
      <c r="R275" s="66"/>
      <c r="S275" s="66"/>
      <c r="T275" s="66"/>
      <c r="U275" s="66"/>
    </row>
    <row r="276" ht="14.25" customHeight="1">
      <c r="E276" s="65"/>
      <c r="O276" s="66"/>
      <c r="P276" s="66"/>
      <c r="R276" s="66"/>
      <c r="S276" s="66"/>
      <c r="T276" s="66"/>
      <c r="U276" s="66"/>
    </row>
    <row r="277" ht="14.25" customHeight="1">
      <c r="E277" s="65"/>
      <c r="O277" s="66"/>
      <c r="P277" s="66"/>
      <c r="R277" s="66"/>
      <c r="S277" s="66"/>
      <c r="T277" s="66"/>
      <c r="U277" s="66"/>
    </row>
    <row r="278" ht="14.25" customHeight="1">
      <c r="E278" s="65"/>
      <c r="O278" s="66"/>
      <c r="P278" s="66"/>
      <c r="R278" s="66"/>
      <c r="S278" s="66"/>
      <c r="T278" s="66"/>
      <c r="U278" s="66"/>
    </row>
    <row r="279" ht="14.25" customHeight="1">
      <c r="E279" s="65"/>
      <c r="O279" s="66"/>
      <c r="P279" s="66"/>
      <c r="R279" s="66"/>
      <c r="S279" s="66"/>
      <c r="T279" s="66"/>
      <c r="U279" s="66"/>
    </row>
    <row r="280" ht="14.25" customHeight="1">
      <c r="E280" s="65"/>
      <c r="O280" s="66"/>
      <c r="P280" s="66"/>
      <c r="R280" s="66"/>
      <c r="S280" s="66"/>
      <c r="T280" s="66"/>
      <c r="U280" s="66"/>
    </row>
    <row r="281" ht="14.25" customHeight="1">
      <c r="E281" s="65"/>
      <c r="O281" s="66"/>
      <c r="P281" s="66"/>
      <c r="R281" s="66"/>
      <c r="S281" s="66"/>
      <c r="T281" s="66"/>
      <c r="U281" s="66"/>
    </row>
    <row r="282" ht="14.25" customHeight="1">
      <c r="E282" s="65"/>
      <c r="O282" s="66"/>
      <c r="P282" s="66"/>
      <c r="R282" s="66"/>
      <c r="S282" s="66"/>
      <c r="T282" s="66"/>
      <c r="U282" s="66"/>
    </row>
    <row r="283" ht="14.25" customHeight="1">
      <c r="E283" s="65"/>
      <c r="O283" s="66"/>
      <c r="P283" s="66"/>
      <c r="R283" s="66"/>
      <c r="S283" s="66"/>
      <c r="T283" s="66"/>
      <c r="U283" s="66"/>
    </row>
    <row r="284" ht="14.25" customHeight="1">
      <c r="E284" s="65"/>
      <c r="O284" s="66"/>
      <c r="P284" s="66"/>
      <c r="R284" s="66"/>
      <c r="S284" s="66"/>
      <c r="T284" s="66"/>
      <c r="U284" s="66"/>
    </row>
    <row r="285" ht="14.25" customHeight="1">
      <c r="E285" s="65"/>
      <c r="O285" s="66"/>
      <c r="P285" s="66"/>
      <c r="R285" s="66"/>
      <c r="S285" s="66"/>
      <c r="T285" s="66"/>
      <c r="U285" s="66"/>
    </row>
    <row r="286" ht="14.25" customHeight="1">
      <c r="E286" s="65"/>
      <c r="O286" s="66"/>
      <c r="P286" s="66"/>
      <c r="R286" s="66"/>
      <c r="S286" s="66"/>
      <c r="T286" s="66"/>
      <c r="U286" s="66"/>
    </row>
    <row r="287" ht="14.25" customHeight="1">
      <c r="E287" s="65"/>
      <c r="O287" s="66"/>
      <c r="P287" s="66"/>
      <c r="R287" s="66"/>
      <c r="S287" s="66"/>
      <c r="T287" s="66"/>
      <c r="U287" s="66"/>
    </row>
    <row r="288" ht="14.25" customHeight="1">
      <c r="E288" s="65"/>
      <c r="O288" s="66"/>
      <c r="P288" s="66"/>
      <c r="R288" s="66"/>
      <c r="S288" s="66"/>
      <c r="T288" s="66"/>
      <c r="U288" s="66"/>
    </row>
    <row r="289" ht="14.25" customHeight="1">
      <c r="E289" s="65"/>
      <c r="O289" s="66"/>
      <c r="P289" s="66"/>
      <c r="R289" s="66"/>
      <c r="S289" s="66"/>
      <c r="T289" s="66"/>
      <c r="U289" s="66"/>
    </row>
    <row r="290" ht="14.25" customHeight="1">
      <c r="E290" s="65"/>
      <c r="O290" s="66"/>
      <c r="P290" s="66"/>
      <c r="R290" s="66"/>
      <c r="S290" s="66"/>
      <c r="T290" s="66"/>
      <c r="U290" s="66"/>
    </row>
    <row r="291" ht="14.25" customHeight="1">
      <c r="E291" s="65"/>
      <c r="O291" s="66"/>
      <c r="P291" s="66"/>
      <c r="R291" s="66"/>
      <c r="S291" s="66"/>
      <c r="T291" s="66"/>
      <c r="U291" s="66"/>
    </row>
    <row r="292" ht="14.25" customHeight="1">
      <c r="E292" s="65"/>
      <c r="O292" s="66"/>
      <c r="P292" s="66"/>
      <c r="R292" s="66"/>
      <c r="S292" s="66"/>
      <c r="T292" s="66"/>
      <c r="U292" s="66"/>
    </row>
    <row r="293" ht="14.25" customHeight="1">
      <c r="E293" s="65"/>
      <c r="O293" s="66"/>
      <c r="P293" s="66"/>
      <c r="R293" s="66"/>
      <c r="S293" s="66"/>
      <c r="T293" s="66"/>
      <c r="U293" s="66"/>
    </row>
    <row r="294" ht="14.25" customHeight="1">
      <c r="E294" s="65"/>
      <c r="O294" s="66"/>
      <c r="P294" s="66"/>
      <c r="R294" s="66"/>
      <c r="S294" s="66"/>
      <c r="T294" s="66"/>
      <c r="U294" s="66"/>
    </row>
    <row r="295" ht="14.25" customHeight="1">
      <c r="E295" s="65"/>
      <c r="O295" s="66"/>
      <c r="P295" s="66"/>
      <c r="R295" s="66"/>
      <c r="S295" s="66"/>
      <c r="T295" s="66"/>
      <c r="U295" s="66"/>
    </row>
    <row r="296" ht="14.25" customHeight="1">
      <c r="E296" s="65"/>
      <c r="O296" s="66"/>
      <c r="P296" s="66"/>
      <c r="R296" s="66"/>
      <c r="S296" s="66"/>
      <c r="T296" s="66"/>
      <c r="U296" s="66"/>
    </row>
    <row r="297" ht="14.25" customHeight="1">
      <c r="E297" s="65"/>
      <c r="O297" s="66"/>
      <c r="P297" s="66"/>
      <c r="R297" s="66"/>
      <c r="S297" s="66"/>
      <c r="T297" s="66"/>
      <c r="U297" s="66"/>
    </row>
    <row r="298" ht="14.25" customHeight="1">
      <c r="E298" s="65"/>
      <c r="O298" s="66"/>
      <c r="P298" s="66"/>
      <c r="R298" s="66"/>
      <c r="S298" s="66"/>
      <c r="T298" s="66"/>
      <c r="U298" s="66"/>
    </row>
    <row r="299" ht="14.25" customHeight="1">
      <c r="E299" s="65"/>
      <c r="O299" s="66"/>
      <c r="P299" s="66"/>
      <c r="R299" s="66"/>
      <c r="S299" s="66"/>
      <c r="T299" s="66"/>
      <c r="U299" s="66"/>
    </row>
    <row r="300" ht="14.25" customHeight="1">
      <c r="E300" s="65"/>
      <c r="O300" s="66"/>
      <c r="P300" s="66"/>
      <c r="R300" s="66"/>
      <c r="S300" s="66"/>
      <c r="T300" s="66"/>
      <c r="U300" s="66"/>
    </row>
    <row r="301" ht="14.25" customHeight="1">
      <c r="E301" s="65"/>
      <c r="O301" s="66"/>
      <c r="P301" s="66"/>
      <c r="R301" s="66"/>
      <c r="S301" s="66"/>
      <c r="T301" s="66"/>
      <c r="U301" s="66"/>
    </row>
    <row r="302" ht="14.25" customHeight="1">
      <c r="E302" s="65"/>
      <c r="O302" s="66"/>
      <c r="P302" s="66"/>
      <c r="R302" s="66"/>
      <c r="S302" s="66"/>
      <c r="T302" s="66"/>
      <c r="U302" s="66"/>
    </row>
    <row r="303" ht="14.25" customHeight="1">
      <c r="E303" s="65"/>
      <c r="O303" s="66"/>
      <c r="P303" s="66"/>
      <c r="R303" s="66"/>
      <c r="S303" s="66"/>
      <c r="T303" s="66"/>
      <c r="U303" s="66"/>
    </row>
    <row r="304" ht="14.25" customHeight="1">
      <c r="E304" s="65"/>
      <c r="O304" s="66"/>
      <c r="P304" s="66"/>
      <c r="R304" s="66"/>
      <c r="S304" s="66"/>
      <c r="T304" s="66"/>
      <c r="U304" s="66"/>
    </row>
    <row r="305" ht="14.25" customHeight="1">
      <c r="E305" s="65"/>
      <c r="O305" s="66"/>
      <c r="P305" s="66"/>
      <c r="R305" s="66"/>
      <c r="S305" s="66"/>
      <c r="T305" s="66"/>
      <c r="U305" s="66"/>
    </row>
    <row r="306" ht="14.25" customHeight="1">
      <c r="E306" s="65"/>
      <c r="O306" s="66"/>
      <c r="P306" s="66"/>
      <c r="R306" s="66"/>
      <c r="S306" s="66"/>
      <c r="T306" s="66"/>
      <c r="U306" s="66"/>
    </row>
    <row r="307" ht="14.25" customHeight="1">
      <c r="E307" s="65"/>
      <c r="O307" s="66"/>
      <c r="P307" s="66"/>
      <c r="R307" s="66"/>
      <c r="S307" s="66"/>
      <c r="T307" s="66"/>
      <c r="U307" s="66"/>
    </row>
    <row r="308" ht="14.25" customHeight="1">
      <c r="E308" s="65"/>
      <c r="O308" s="66"/>
      <c r="P308" s="66"/>
      <c r="R308" s="66"/>
      <c r="S308" s="66"/>
      <c r="T308" s="66"/>
      <c r="U308" s="66"/>
    </row>
    <row r="309" ht="14.25" customHeight="1">
      <c r="E309" s="65"/>
      <c r="O309" s="66"/>
      <c r="P309" s="66"/>
      <c r="R309" s="66"/>
      <c r="S309" s="66"/>
      <c r="T309" s="66"/>
      <c r="U309" s="66"/>
    </row>
    <row r="310" ht="14.25" customHeight="1">
      <c r="E310" s="65"/>
      <c r="O310" s="66"/>
      <c r="P310" s="66"/>
      <c r="R310" s="66"/>
      <c r="S310" s="66"/>
      <c r="T310" s="66"/>
      <c r="U310" s="66"/>
    </row>
    <row r="311" ht="14.25" customHeight="1">
      <c r="E311" s="65"/>
      <c r="O311" s="66"/>
      <c r="P311" s="66"/>
      <c r="R311" s="66"/>
      <c r="S311" s="66"/>
      <c r="T311" s="66"/>
      <c r="U311" s="66"/>
    </row>
    <row r="312" ht="14.25" customHeight="1">
      <c r="E312" s="65"/>
      <c r="O312" s="66"/>
      <c r="P312" s="66"/>
      <c r="R312" s="66"/>
      <c r="S312" s="66"/>
      <c r="T312" s="66"/>
      <c r="U312" s="66"/>
    </row>
    <row r="313" ht="14.25" customHeight="1">
      <c r="E313" s="65"/>
      <c r="O313" s="66"/>
      <c r="P313" s="66"/>
      <c r="R313" s="66"/>
      <c r="S313" s="66"/>
      <c r="T313" s="66"/>
      <c r="U313" s="66"/>
    </row>
    <row r="314" ht="14.25" customHeight="1">
      <c r="E314" s="65"/>
      <c r="O314" s="66"/>
      <c r="P314" s="66"/>
      <c r="R314" s="66"/>
      <c r="S314" s="66"/>
      <c r="T314" s="66"/>
      <c r="U314" s="66"/>
    </row>
    <row r="315" ht="14.25" customHeight="1">
      <c r="E315" s="65"/>
      <c r="O315" s="66"/>
      <c r="P315" s="66"/>
      <c r="R315" s="66"/>
      <c r="S315" s="66"/>
      <c r="T315" s="66"/>
      <c r="U315" s="66"/>
    </row>
    <row r="316" ht="14.25" customHeight="1">
      <c r="E316" s="65"/>
      <c r="O316" s="66"/>
      <c r="P316" s="66"/>
      <c r="R316" s="66"/>
      <c r="S316" s="66"/>
      <c r="T316" s="66"/>
      <c r="U316" s="66"/>
    </row>
    <row r="317" ht="14.25" customHeight="1">
      <c r="E317" s="65"/>
      <c r="O317" s="66"/>
      <c r="P317" s="66"/>
      <c r="R317" s="66"/>
      <c r="S317" s="66"/>
      <c r="T317" s="66"/>
      <c r="U317" s="66"/>
    </row>
    <row r="318" ht="14.25" customHeight="1">
      <c r="E318" s="65"/>
      <c r="O318" s="66"/>
      <c r="P318" s="66"/>
      <c r="R318" s="66"/>
      <c r="S318" s="66"/>
      <c r="T318" s="66"/>
      <c r="U318" s="66"/>
    </row>
    <row r="319" ht="14.25" customHeight="1">
      <c r="E319" s="65"/>
      <c r="O319" s="66"/>
      <c r="P319" s="66"/>
      <c r="R319" s="66"/>
      <c r="S319" s="66"/>
      <c r="T319" s="66"/>
      <c r="U319" s="66"/>
    </row>
    <row r="320" ht="14.25" customHeight="1">
      <c r="E320" s="65"/>
      <c r="O320" s="66"/>
      <c r="P320" s="66"/>
      <c r="R320" s="66"/>
      <c r="S320" s="66"/>
      <c r="T320" s="66"/>
      <c r="U320" s="66"/>
    </row>
    <row r="321" ht="14.25" customHeight="1">
      <c r="E321" s="65"/>
      <c r="O321" s="66"/>
      <c r="P321" s="66"/>
      <c r="R321" s="66"/>
      <c r="S321" s="66"/>
      <c r="T321" s="66"/>
      <c r="U321" s="66"/>
    </row>
    <row r="322" ht="14.25" customHeight="1">
      <c r="E322" s="65"/>
      <c r="O322" s="66"/>
      <c r="P322" s="66"/>
      <c r="R322" s="66"/>
      <c r="S322" s="66"/>
      <c r="T322" s="66"/>
      <c r="U322" s="66"/>
    </row>
    <row r="323" ht="14.25" customHeight="1">
      <c r="E323" s="65"/>
      <c r="O323" s="66"/>
      <c r="P323" s="66"/>
      <c r="R323" s="66"/>
      <c r="S323" s="66"/>
      <c r="T323" s="66"/>
      <c r="U323" s="66"/>
    </row>
    <row r="324" ht="14.25" customHeight="1">
      <c r="E324" s="65"/>
      <c r="O324" s="66"/>
      <c r="P324" s="66"/>
      <c r="R324" s="66"/>
      <c r="S324" s="66"/>
      <c r="T324" s="66"/>
      <c r="U324" s="66"/>
    </row>
    <row r="325" ht="14.25" customHeight="1">
      <c r="E325" s="65"/>
      <c r="O325" s="66"/>
      <c r="P325" s="66"/>
      <c r="R325" s="66"/>
      <c r="S325" s="66"/>
      <c r="T325" s="66"/>
      <c r="U325" s="66"/>
    </row>
    <row r="326" ht="14.25" customHeight="1">
      <c r="E326" s="65"/>
      <c r="O326" s="66"/>
      <c r="P326" s="66"/>
      <c r="R326" s="66"/>
      <c r="S326" s="66"/>
      <c r="T326" s="66"/>
      <c r="U326" s="66"/>
    </row>
    <row r="327" ht="14.25" customHeight="1">
      <c r="E327" s="65"/>
      <c r="O327" s="66"/>
      <c r="P327" s="66"/>
      <c r="R327" s="66"/>
      <c r="S327" s="66"/>
      <c r="T327" s="66"/>
      <c r="U327" s="66"/>
    </row>
    <row r="328" ht="14.25" customHeight="1">
      <c r="E328" s="65"/>
      <c r="O328" s="66"/>
      <c r="P328" s="66"/>
      <c r="R328" s="66"/>
      <c r="S328" s="66"/>
      <c r="T328" s="66"/>
      <c r="U328" s="66"/>
    </row>
    <row r="329" ht="14.25" customHeight="1">
      <c r="E329" s="65"/>
      <c r="O329" s="66"/>
      <c r="P329" s="66"/>
      <c r="R329" s="66"/>
      <c r="S329" s="66"/>
      <c r="T329" s="66"/>
      <c r="U329" s="66"/>
    </row>
    <row r="330" ht="14.25" customHeight="1">
      <c r="E330" s="65"/>
      <c r="O330" s="66"/>
      <c r="P330" s="66"/>
      <c r="R330" s="66"/>
      <c r="S330" s="66"/>
      <c r="T330" s="66"/>
      <c r="U330" s="66"/>
    </row>
    <row r="331" ht="14.25" customHeight="1">
      <c r="E331" s="65"/>
      <c r="O331" s="66"/>
      <c r="P331" s="66"/>
      <c r="R331" s="66"/>
      <c r="S331" s="66"/>
      <c r="T331" s="66"/>
      <c r="U331" s="66"/>
    </row>
    <row r="332" ht="14.25" customHeight="1">
      <c r="E332" s="65"/>
      <c r="O332" s="66"/>
      <c r="P332" s="66"/>
      <c r="R332" s="66"/>
      <c r="S332" s="66"/>
      <c r="T332" s="66"/>
      <c r="U332" s="66"/>
    </row>
    <row r="333" ht="14.25" customHeight="1">
      <c r="E333" s="65"/>
      <c r="O333" s="66"/>
      <c r="P333" s="66"/>
      <c r="R333" s="66"/>
      <c r="S333" s="66"/>
      <c r="T333" s="66"/>
      <c r="U333" s="66"/>
    </row>
    <row r="334" ht="14.25" customHeight="1">
      <c r="E334" s="65"/>
      <c r="O334" s="66"/>
      <c r="P334" s="66"/>
      <c r="R334" s="66"/>
      <c r="S334" s="66"/>
      <c r="T334" s="66"/>
      <c r="U334" s="66"/>
    </row>
    <row r="335" ht="14.25" customHeight="1">
      <c r="E335" s="65"/>
      <c r="O335" s="66"/>
      <c r="P335" s="66"/>
      <c r="R335" s="66"/>
      <c r="S335" s="66"/>
      <c r="T335" s="66"/>
      <c r="U335" s="66"/>
    </row>
    <row r="336" ht="14.25" customHeight="1">
      <c r="E336" s="65"/>
      <c r="O336" s="66"/>
      <c r="P336" s="66"/>
      <c r="R336" s="66"/>
      <c r="S336" s="66"/>
      <c r="T336" s="66"/>
      <c r="U336" s="66"/>
    </row>
    <row r="337" ht="14.25" customHeight="1">
      <c r="E337" s="65"/>
      <c r="O337" s="66"/>
      <c r="P337" s="66"/>
      <c r="R337" s="66"/>
      <c r="S337" s="66"/>
      <c r="T337" s="66"/>
      <c r="U337" s="66"/>
    </row>
    <row r="338" ht="14.25" customHeight="1">
      <c r="E338" s="65"/>
      <c r="O338" s="66"/>
      <c r="P338" s="66"/>
      <c r="R338" s="66"/>
      <c r="S338" s="66"/>
      <c r="T338" s="66"/>
      <c r="U338" s="66"/>
    </row>
    <row r="339" ht="14.25" customHeight="1">
      <c r="E339" s="65"/>
      <c r="O339" s="66"/>
      <c r="P339" s="66"/>
      <c r="R339" s="66"/>
      <c r="S339" s="66"/>
      <c r="T339" s="66"/>
      <c r="U339" s="66"/>
    </row>
    <row r="340" ht="14.25" customHeight="1">
      <c r="E340" s="65"/>
      <c r="O340" s="66"/>
      <c r="P340" s="66"/>
      <c r="R340" s="66"/>
      <c r="S340" s="66"/>
      <c r="T340" s="66"/>
      <c r="U340" s="66"/>
    </row>
    <row r="341" ht="14.25" customHeight="1">
      <c r="E341" s="65"/>
      <c r="O341" s="66"/>
      <c r="P341" s="66"/>
      <c r="R341" s="66"/>
      <c r="S341" s="66"/>
      <c r="T341" s="66"/>
      <c r="U341" s="66"/>
    </row>
    <row r="342" ht="14.25" customHeight="1">
      <c r="E342" s="65"/>
      <c r="O342" s="66"/>
      <c r="P342" s="66"/>
      <c r="R342" s="66"/>
      <c r="S342" s="66"/>
      <c r="T342" s="66"/>
      <c r="U342" s="66"/>
    </row>
    <row r="343" ht="14.25" customHeight="1">
      <c r="E343" s="65"/>
      <c r="O343" s="66"/>
      <c r="P343" s="66"/>
      <c r="R343" s="66"/>
      <c r="S343" s="66"/>
      <c r="T343" s="66"/>
      <c r="U343" s="66"/>
    </row>
    <row r="344" ht="14.25" customHeight="1">
      <c r="E344" s="65"/>
      <c r="O344" s="66"/>
      <c r="P344" s="66"/>
      <c r="R344" s="66"/>
      <c r="S344" s="66"/>
      <c r="T344" s="66"/>
      <c r="U344" s="66"/>
    </row>
    <row r="345" ht="14.25" customHeight="1">
      <c r="E345" s="65"/>
      <c r="O345" s="66"/>
      <c r="P345" s="66"/>
      <c r="R345" s="66"/>
      <c r="S345" s="66"/>
      <c r="T345" s="66"/>
      <c r="U345" s="66"/>
    </row>
    <row r="346" ht="14.25" customHeight="1">
      <c r="E346" s="65"/>
      <c r="O346" s="66"/>
      <c r="P346" s="66"/>
      <c r="R346" s="66"/>
      <c r="S346" s="66"/>
      <c r="T346" s="66"/>
      <c r="U346" s="66"/>
    </row>
    <row r="347" ht="14.25" customHeight="1">
      <c r="E347" s="65"/>
      <c r="O347" s="66"/>
      <c r="P347" s="66"/>
      <c r="R347" s="66"/>
      <c r="S347" s="66"/>
      <c r="T347" s="66"/>
      <c r="U347" s="66"/>
    </row>
    <row r="348" ht="14.25" customHeight="1">
      <c r="E348" s="65"/>
      <c r="O348" s="66"/>
      <c r="P348" s="66"/>
      <c r="R348" s="66"/>
      <c r="S348" s="66"/>
      <c r="T348" s="66"/>
      <c r="U348" s="66"/>
    </row>
    <row r="349" ht="14.25" customHeight="1">
      <c r="E349" s="65"/>
      <c r="O349" s="66"/>
      <c r="P349" s="66"/>
      <c r="R349" s="66"/>
      <c r="S349" s="66"/>
      <c r="T349" s="66"/>
      <c r="U349" s="66"/>
    </row>
    <row r="350" ht="14.25" customHeight="1">
      <c r="E350" s="65"/>
      <c r="O350" s="66"/>
      <c r="P350" s="66"/>
      <c r="R350" s="66"/>
      <c r="S350" s="66"/>
      <c r="T350" s="66"/>
      <c r="U350" s="66"/>
    </row>
    <row r="351" ht="14.25" customHeight="1">
      <c r="E351" s="65"/>
      <c r="O351" s="66"/>
      <c r="P351" s="66"/>
      <c r="R351" s="66"/>
      <c r="S351" s="66"/>
      <c r="T351" s="66"/>
      <c r="U351" s="66"/>
    </row>
    <row r="352" ht="14.25" customHeight="1">
      <c r="E352" s="65"/>
      <c r="O352" s="66"/>
      <c r="P352" s="66"/>
      <c r="R352" s="66"/>
      <c r="S352" s="66"/>
      <c r="T352" s="66"/>
      <c r="U352" s="66"/>
    </row>
    <row r="353" ht="14.25" customHeight="1">
      <c r="E353" s="65"/>
      <c r="O353" s="66"/>
      <c r="P353" s="66"/>
      <c r="R353" s="66"/>
      <c r="S353" s="66"/>
      <c r="T353" s="66"/>
      <c r="U353" s="66"/>
    </row>
    <row r="354" ht="14.25" customHeight="1">
      <c r="E354" s="65"/>
      <c r="O354" s="66"/>
      <c r="P354" s="66"/>
      <c r="R354" s="66"/>
      <c r="S354" s="66"/>
      <c r="T354" s="66"/>
      <c r="U354" s="66"/>
    </row>
    <row r="355" ht="14.25" customHeight="1">
      <c r="E355" s="65"/>
      <c r="O355" s="66"/>
      <c r="P355" s="66"/>
      <c r="R355" s="66"/>
      <c r="S355" s="66"/>
      <c r="T355" s="66"/>
      <c r="U355" s="66"/>
    </row>
    <row r="356" ht="14.25" customHeight="1">
      <c r="E356" s="65"/>
      <c r="O356" s="66"/>
      <c r="P356" s="66"/>
      <c r="R356" s="66"/>
      <c r="S356" s="66"/>
      <c r="T356" s="66"/>
      <c r="U356" s="66"/>
    </row>
    <row r="357" ht="14.25" customHeight="1">
      <c r="E357" s="65"/>
      <c r="O357" s="66"/>
      <c r="P357" s="66"/>
      <c r="R357" s="66"/>
      <c r="S357" s="66"/>
      <c r="T357" s="66"/>
      <c r="U357" s="66"/>
    </row>
    <row r="358" ht="14.25" customHeight="1">
      <c r="E358" s="65"/>
      <c r="O358" s="66"/>
      <c r="P358" s="66"/>
      <c r="R358" s="66"/>
      <c r="S358" s="66"/>
      <c r="T358" s="66"/>
      <c r="U358" s="66"/>
    </row>
    <row r="359" ht="14.25" customHeight="1">
      <c r="E359" s="65"/>
      <c r="O359" s="66"/>
      <c r="P359" s="66"/>
      <c r="R359" s="66"/>
      <c r="S359" s="66"/>
      <c r="T359" s="66"/>
      <c r="U359" s="66"/>
    </row>
    <row r="360" ht="14.25" customHeight="1">
      <c r="E360" s="65"/>
      <c r="O360" s="66"/>
      <c r="P360" s="66"/>
      <c r="R360" s="66"/>
      <c r="S360" s="66"/>
      <c r="T360" s="66"/>
      <c r="U360" s="66"/>
    </row>
    <row r="361" ht="14.25" customHeight="1">
      <c r="E361" s="65"/>
      <c r="O361" s="66"/>
      <c r="P361" s="66"/>
      <c r="R361" s="66"/>
      <c r="S361" s="66"/>
      <c r="T361" s="66"/>
      <c r="U361" s="66"/>
    </row>
    <row r="362" ht="14.25" customHeight="1">
      <c r="E362" s="65"/>
      <c r="O362" s="66"/>
      <c r="P362" s="66"/>
      <c r="R362" s="66"/>
      <c r="S362" s="66"/>
      <c r="T362" s="66"/>
      <c r="U362" s="66"/>
    </row>
    <row r="363" ht="14.25" customHeight="1">
      <c r="E363" s="65"/>
      <c r="O363" s="66"/>
      <c r="P363" s="66"/>
      <c r="R363" s="66"/>
      <c r="S363" s="66"/>
      <c r="T363" s="66"/>
      <c r="U363" s="66"/>
    </row>
    <row r="364" ht="14.25" customHeight="1">
      <c r="E364" s="65"/>
      <c r="O364" s="66"/>
      <c r="P364" s="66"/>
      <c r="R364" s="66"/>
      <c r="S364" s="66"/>
      <c r="T364" s="66"/>
      <c r="U364" s="66"/>
    </row>
    <row r="365" ht="14.25" customHeight="1">
      <c r="E365" s="65"/>
      <c r="O365" s="66"/>
      <c r="P365" s="66"/>
      <c r="R365" s="66"/>
      <c r="S365" s="66"/>
      <c r="T365" s="66"/>
      <c r="U365" s="66"/>
    </row>
    <row r="366" ht="14.25" customHeight="1">
      <c r="E366" s="65"/>
      <c r="O366" s="66"/>
      <c r="P366" s="66"/>
      <c r="R366" s="66"/>
      <c r="S366" s="66"/>
      <c r="T366" s="66"/>
      <c r="U366" s="66"/>
    </row>
    <row r="367" ht="14.25" customHeight="1">
      <c r="E367" s="65"/>
      <c r="O367" s="66"/>
      <c r="P367" s="66"/>
      <c r="R367" s="66"/>
      <c r="S367" s="66"/>
      <c r="T367" s="66"/>
      <c r="U367" s="66"/>
    </row>
    <row r="368" ht="14.25" customHeight="1">
      <c r="E368" s="65"/>
      <c r="O368" s="66"/>
      <c r="P368" s="66"/>
      <c r="R368" s="66"/>
      <c r="S368" s="66"/>
      <c r="T368" s="66"/>
      <c r="U368" s="66"/>
    </row>
    <row r="369" ht="14.25" customHeight="1">
      <c r="E369" s="65"/>
      <c r="O369" s="66"/>
      <c r="P369" s="66"/>
      <c r="R369" s="66"/>
      <c r="S369" s="66"/>
      <c r="T369" s="66"/>
      <c r="U369" s="66"/>
    </row>
    <row r="370" ht="14.25" customHeight="1">
      <c r="E370" s="65"/>
      <c r="O370" s="66"/>
      <c r="P370" s="66"/>
      <c r="R370" s="66"/>
      <c r="S370" s="66"/>
      <c r="T370" s="66"/>
      <c r="U370" s="66"/>
    </row>
    <row r="371" ht="14.25" customHeight="1">
      <c r="E371" s="65"/>
      <c r="O371" s="66"/>
      <c r="P371" s="66"/>
      <c r="R371" s="66"/>
      <c r="S371" s="66"/>
      <c r="T371" s="66"/>
      <c r="U371" s="66"/>
    </row>
    <row r="372" ht="14.25" customHeight="1">
      <c r="E372" s="65"/>
      <c r="O372" s="66"/>
      <c r="P372" s="66"/>
      <c r="R372" s="66"/>
      <c r="S372" s="66"/>
      <c r="T372" s="66"/>
      <c r="U372" s="66"/>
    </row>
    <row r="373" ht="14.25" customHeight="1">
      <c r="E373" s="65"/>
      <c r="O373" s="66"/>
      <c r="P373" s="66"/>
      <c r="R373" s="66"/>
      <c r="S373" s="66"/>
      <c r="T373" s="66"/>
      <c r="U373" s="66"/>
    </row>
    <row r="374" ht="14.25" customHeight="1">
      <c r="E374" s="65"/>
      <c r="O374" s="66"/>
      <c r="P374" s="66"/>
      <c r="R374" s="66"/>
      <c r="S374" s="66"/>
      <c r="T374" s="66"/>
      <c r="U374" s="66"/>
    </row>
    <row r="375" ht="14.25" customHeight="1">
      <c r="E375" s="65"/>
      <c r="O375" s="66"/>
      <c r="P375" s="66"/>
      <c r="R375" s="66"/>
      <c r="S375" s="66"/>
      <c r="T375" s="66"/>
      <c r="U375" s="66"/>
    </row>
    <row r="376" ht="14.25" customHeight="1">
      <c r="E376" s="65"/>
      <c r="O376" s="66"/>
      <c r="P376" s="66"/>
      <c r="R376" s="66"/>
      <c r="S376" s="66"/>
      <c r="T376" s="66"/>
      <c r="U376" s="66"/>
    </row>
    <row r="377" ht="14.25" customHeight="1">
      <c r="E377" s="65"/>
      <c r="O377" s="66"/>
      <c r="P377" s="66"/>
      <c r="R377" s="66"/>
      <c r="S377" s="66"/>
      <c r="T377" s="66"/>
      <c r="U377" s="66"/>
    </row>
    <row r="378" ht="14.25" customHeight="1">
      <c r="E378" s="65"/>
      <c r="O378" s="66"/>
      <c r="P378" s="66"/>
      <c r="R378" s="66"/>
      <c r="S378" s="66"/>
      <c r="T378" s="66"/>
      <c r="U378" s="66"/>
    </row>
    <row r="379" ht="14.25" customHeight="1">
      <c r="E379" s="65"/>
      <c r="O379" s="66"/>
      <c r="P379" s="66"/>
      <c r="R379" s="66"/>
      <c r="S379" s="66"/>
      <c r="T379" s="66"/>
      <c r="U379" s="66"/>
    </row>
    <row r="380" ht="14.25" customHeight="1">
      <c r="E380" s="65"/>
      <c r="O380" s="66"/>
      <c r="P380" s="66"/>
      <c r="R380" s="66"/>
      <c r="S380" s="66"/>
      <c r="T380" s="66"/>
      <c r="U380" s="66"/>
    </row>
    <row r="381" ht="14.25" customHeight="1">
      <c r="E381" s="65"/>
      <c r="O381" s="66"/>
      <c r="P381" s="66"/>
      <c r="R381" s="66"/>
      <c r="S381" s="66"/>
      <c r="T381" s="66"/>
      <c r="U381" s="66"/>
    </row>
    <row r="382" ht="14.25" customHeight="1">
      <c r="E382" s="65"/>
      <c r="O382" s="66"/>
      <c r="P382" s="66"/>
      <c r="R382" s="66"/>
      <c r="S382" s="66"/>
      <c r="T382" s="66"/>
      <c r="U382" s="66"/>
    </row>
    <row r="383" ht="14.25" customHeight="1">
      <c r="E383" s="65"/>
      <c r="O383" s="66"/>
      <c r="P383" s="66"/>
      <c r="R383" s="66"/>
      <c r="S383" s="66"/>
      <c r="T383" s="66"/>
      <c r="U383" s="66"/>
    </row>
    <row r="384" ht="14.25" customHeight="1">
      <c r="E384" s="65"/>
      <c r="O384" s="66"/>
      <c r="P384" s="66"/>
      <c r="R384" s="66"/>
      <c r="S384" s="66"/>
      <c r="T384" s="66"/>
      <c r="U384" s="66"/>
    </row>
    <row r="385" ht="14.25" customHeight="1">
      <c r="E385" s="65"/>
      <c r="O385" s="66"/>
      <c r="P385" s="66"/>
      <c r="R385" s="66"/>
      <c r="S385" s="66"/>
      <c r="T385" s="66"/>
      <c r="U385" s="66"/>
    </row>
    <row r="386" ht="14.25" customHeight="1">
      <c r="E386" s="65"/>
      <c r="O386" s="66"/>
      <c r="P386" s="66"/>
      <c r="R386" s="66"/>
      <c r="S386" s="66"/>
      <c r="T386" s="66"/>
      <c r="U386" s="66"/>
    </row>
    <row r="387" ht="14.25" customHeight="1">
      <c r="E387" s="65"/>
      <c r="O387" s="66"/>
      <c r="P387" s="66"/>
      <c r="R387" s="66"/>
      <c r="S387" s="66"/>
      <c r="T387" s="66"/>
      <c r="U387" s="66"/>
    </row>
    <row r="388" ht="14.25" customHeight="1">
      <c r="E388" s="65"/>
      <c r="O388" s="66"/>
      <c r="P388" s="66"/>
      <c r="R388" s="66"/>
      <c r="S388" s="66"/>
      <c r="T388" s="66"/>
      <c r="U388" s="66"/>
    </row>
    <row r="389" ht="14.25" customHeight="1">
      <c r="E389" s="65"/>
      <c r="O389" s="66"/>
      <c r="P389" s="66"/>
      <c r="R389" s="66"/>
      <c r="S389" s="66"/>
      <c r="T389" s="66"/>
      <c r="U389" s="66"/>
    </row>
    <row r="390" ht="14.25" customHeight="1">
      <c r="E390" s="65"/>
      <c r="O390" s="66"/>
      <c r="P390" s="66"/>
      <c r="R390" s="66"/>
      <c r="S390" s="66"/>
      <c r="T390" s="66"/>
      <c r="U390" s="66"/>
    </row>
    <row r="391" ht="14.25" customHeight="1">
      <c r="E391" s="65"/>
      <c r="O391" s="66"/>
      <c r="P391" s="66"/>
      <c r="R391" s="66"/>
      <c r="S391" s="66"/>
      <c r="T391" s="66"/>
      <c r="U391" s="66"/>
    </row>
    <row r="392" ht="14.25" customHeight="1">
      <c r="E392" s="65"/>
      <c r="O392" s="66"/>
      <c r="P392" s="66"/>
      <c r="R392" s="66"/>
      <c r="S392" s="66"/>
      <c r="T392" s="66"/>
      <c r="U392" s="66"/>
    </row>
    <row r="393" ht="14.25" customHeight="1">
      <c r="E393" s="65"/>
      <c r="O393" s="66"/>
      <c r="P393" s="66"/>
      <c r="R393" s="66"/>
      <c r="S393" s="66"/>
      <c r="T393" s="66"/>
      <c r="U393" s="66"/>
    </row>
    <row r="394" ht="14.25" customHeight="1">
      <c r="E394" s="65"/>
      <c r="O394" s="66"/>
      <c r="P394" s="66"/>
      <c r="R394" s="66"/>
      <c r="S394" s="66"/>
      <c r="T394" s="66"/>
      <c r="U394" s="66"/>
    </row>
    <row r="395" ht="14.25" customHeight="1">
      <c r="E395" s="65"/>
      <c r="O395" s="66"/>
      <c r="P395" s="66"/>
      <c r="R395" s="66"/>
      <c r="S395" s="66"/>
      <c r="T395" s="66"/>
      <c r="U395" s="66"/>
    </row>
    <row r="396" ht="14.25" customHeight="1">
      <c r="E396" s="65"/>
      <c r="O396" s="66"/>
      <c r="P396" s="66"/>
      <c r="R396" s="66"/>
      <c r="S396" s="66"/>
      <c r="T396" s="66"/>
      <c r="U396" s="66"/>
    </row>
    <row r="397" ht="14.25" customHeight="1">
      <c r="E397" s="65"/>
      <c r="O397" s="66"/>
      <c r="P397" s="66"/>
      <c r="R397" s="66"/>
      <c r="S397" s="66"/>
      <c r="T397" s="66"/>
      <c r="U397" s="66"/>
    </row>
    <row r="398" ht="14.25" customHeight="1">
      <c r="E398" s="65"/>
      <c r="O398" s="66"/>
      <c r="P398" s="66"/>
      <c r="R398" s="66"/>
      <c r="S398" s="66"/>
      <c r="T398" s="66"/>
      <c r="U398" s="66"/>
    </row>
    <row r="399" ht="14.25" customHeight="1">
      <c r="E399" s="65"/>
      <c r="O399" s="66"/>
      <c r="P399" s="66"/>
      <c r="R399" s="66"/>
      <c r="S399" s="66"/>
      <c r="T399" s="66"/>
      <c r="U399" s="66"/>
    </row>
    <row r="400" ht="14.25" customHeight="1">
      <c r="E400" s="65"/>
      <c r="O400" s="66"/>
      <c r="P400" s="66"/>
      <c r="R400" s="66"/>
      <c r="S400" s="66"/>
      <c r="T400" s="66"/>
      <c r="U400" s="66"/>
    </row>
    <row r="401" ht="14.25" customHeight="1">
      <c r="E401" s="65"/>
      <c r="O401" s="66"/>
      <c r="P401" s="66"/>
      <c r="R401" s="66"/>
      <c r="S401" s="66"/>
      <c r="T401" s="66"/>
      <c r="U401" s="66"/>
    </row>
    <row r="402" ht="14.25" customHeight="1">
      <c r="E402" s="65"/>
      <c r="O402" s="66"/>
      <c r="P402" s="66"/>
      <c r="R402" s="66"/>
      <c r="S402" s="66"/>
      <c r="T402" s="66"/>
      <c r="U402" s="66"/>
    </row>
    <row r="403" ht="14.25" customHeight="1">
      <c r="E403" s="65"/>
      <c r="O403" s="66"/>
      <c r="P403" s="66"/>
      <c r="R403" s="66"/>
      <c r="S403" s="66"/>
      <c r="T403" s="66"/>
      <c r="U403" s="66"/>
    </row>
    <row r="404" ht="14.25" customHeight="1">
      <c r="E404" s="65"/>
      <c r="O404" s="66"/>
      <c r="P404" s="66"/>
      <c r="R404" s="66"/>
      <c r="S404" s="66"/>
      <c r="T404" s="66"/>
      <c r="U404" s="66"/>
    </row>
    <row r="405" ht="14.25" customHeight="1">
      <c r="E405" s="65"/>
      <c r="O405" s="66"/>
      <c r="P405" s="66"/>
      <c r="R405" s="66"/>
      <c r="S405" s="66"/>
      <c r="T405" s="66"/>
      <c r="U405" s="66"/>
    </row>
    <row r="406" ht="14.25" customHeight="1">
      <c r="E406" s="65"/>
      <c r="O406" s="66"/>
      <c r="P406" s="66"/>
      <c r="R406" s="66"/>
      <c r="S406" s="66"/>
      <c r="T406" s="66"/>
      <c r="U406" s="66"/>
    </row>
    <row r="407" ht="14.25" customHeight="1">
      <c r="E407" s="65"/>
      <c r="O407" s="66"/>
      <c r="P407" s="66"/>
      <c r="R407" s="66"/>
      <c r="S407" s="66"/>
      <c r="T407" s="66"/>
      <c r="U407" s="66"/>
    </row>
    <row r="408" ht="14.25" customHeight="1">
      <c r="E408" s="65"/>
      <c r="O408" s="66"/>
      <c r="P408" s="66"/>
      <c r="R408" s="66"/>
      <c r="S408" s="66"/>
      <c r="T408" s="66"/>
      <c r="U408" s="66"/>
    </row>
    <row r="409" ht="14.25" customHeight="1">
      <c r="E409" s="65"/>
      <c r="O409" s="66"/>
      <c r="P409" s="66"/>
      <c r="R409" s="66"/>
      <c r="S409" s="66"/>
      <c r="T409" s="66"/>
      <c r="U409" s="66"/>
    </row>
    <row r="410" ht="14.25" customHeight="1">
      <c r="E410" s="65"/>
      <c r="O410" s="66"/>
      <c r="P410" s="66"/>
      <c r="R410" s="66"/>
      <c r="S410" s="66"/>
      <c r="T410" s="66"/>
      <c r="U410" s="66"/>
    </row>
    <row r="411" ht="14.25" customHeight="1">
      <c r="E411" s="65"/>
      <c r="O411" s="66"/>
      <c r="P411" s="66"/>
      <c r="R411" s="66"/>
      <c r="S411" s="66"/>
      <c r="T411" s="66"/>
      <c r="U411" s="66"/>
    </row>
    <row r="412" ht="14.25" customHeight="1">
      <c r="E412" s="65"/>
      <c r="O412" s="66"/>
      <c r="P412" s="66"/>
      <c r="R412" s="66"/>
      <c r="S412" s="66"/>
      <c r="T412" s="66"/>
      <c r="U412" s="66"/>
    </row>
    <row r="413" ht="14.25" customHeight="1">
      <c r="E413" s="65"/>
      <c r="O413" s="66"/>
      <c r="P413" s="66"/>
      <c r="R413" s="66"/>
      <c r="S413" s="66"/>
      <c r="T413" s="66"/>
      <c r="U413" s="66"/>
    </row>
    <row r="414" ht="14.25" customHeight="1">
      <c r="E414" s="65"/>
      <c r="O414" s="66"/>
      <c r="P414" s="66"/>
      <c r="R414" s="66"/>
      <c r="S414" s="66"/>
      <c r="T414" s="66"/>
      <c r="U414" s="66"/>
    </row>
    <row r="415" ht="14.25" customHeight="1">
      <c r="E415" s="65"/>
      <c r="O415" s="66"/>
      <c r="P415" s="66"/>
      <c r="R415" s="66"/>
      <c r="S415" s="66"/>
      <c r="T415" s="66"/>
      <c r="U415" s="66"/>
    </row>
    <row r="416" ht="14.25" customHeight="1">
      <c r="E416" s="65"/>
      <c r="O416" s="66"/>
      <c r="P416" s="66"/>
      <c r="R416" s="66"/>
      <c r="S416" s="66"/>
      <c r="T416" s="66"/>
      <c r="U416" s="66"/>
    </row>
    <row r="417" ht="14.25" customHeight="1">
      <c r="E417" s="65"/>
      <c r="O417" s="66"/>
      <c r="P417" s="66"/>
      <c r="R417" s="66"/>
      <c r="S417" s="66"/>
      <c r="T417" s="66"/>
      <c r="U417" s="66"/>
    </row>
    <row r="418" ht="14.25" customHeight="1">
      <c r="E418" s="65"/>
      <c r="O418" s="66"/>
      <c r="P418" s="66"/>
      <c r="R418" s="66"/>
      <c r="S418" s="66"/>
      <c r="T418" s="66"/>
      <c r="U418" s="66"/>
    </row>
    <row r="419" ht="14.25" customHeight="1">
      <c r="E419" s="65"/>
      <c r="O419" s="66"/>
      <c r="P419" s="66"/>
      <c r="R419" s="66"/>
      <c r="S419" s="66"/>
      <c r="T419" s="66"/>
      <c r="U419" s="66"/>
    </row>
    <row r="420" ht="14.25" customHeight="1">
      <c r="E420" s="65"/>
      <c r="O420" s="66"/>
      <c r="P420" s="66"/>
      <c r="R420" s="66"/>
      <c r="S420" s="66"/>
      <c r="T420" s="66"/>
      <c r="U420" s="66"/>
    </row>
    <row r="421" ht="14.25" customHeight="1">
      <c r="E421" s="65"/>
      <c r="O421" s="66"/>
      <c r="P421" s="66"/>
      <c r="R421" s="66"/>
      <c r="S421" s="66"/>
      <c r="T421" s="66"/>
      <c r="U421" s="66"/>
    </row>
    <row r="422" ht="14.25" customHeight="1">
      <c r="E422" s="65"/>
      <c r="O422" s="66"/>
      <c r="P422" s="66"/>
      <c r="R422" s="66"/>
      <c r="S422" s="66"/>
      <c r="T422" s="66"/>
      <c r="U422" s="66"/>
    </row>
    <row r="423" ht="14.25" customHeight="1">
      <c r="E423" s="65"/>
      <c r="O423" s="66"/>
      <c r="P423" s="66"/>
      <c r="R423" s="66"/>
      <c r="S423" s="66"/>
      <c r="T423" s="66"/>
      <c r="U423" s="66"/>
    </row>
    <row r="424" ht="14.25" customHeight="1">
      <c r="E424" s="65"/>
      <c r="O424" s="66"/>
      <c r="P424" s="66"/>
      <c r="R424" s="66"/>
      <c r="S424" s="66"/>
      <c r="T424" s="66"/>
      <c r="U424" s="66"/>
    </row>
    <row r="425" ht="14.25" customHeight="1">
      <c r="E425" s="65"/>
      <c r="O425" s="66"/>
      <c r="P425" s="66"/>
      <c r="R425" s="66"/>
      <c r="S425" s="66"/>
      <c r="T425" s="66"/>
      <c r="U425" s="66"/>
    </row>
    <row r="426" ht="14.25" customHeight="1">
      <c r="E426" s="65"/>
      <c r="O426" s="66"/>
      <c r="P426" s="66"/>
      <c r="R426" s="66"/>
      <c r="S426" s="66"/>
      <c r="T426" s="66"/>
      <c r="U426" s="66"/>
    </row>
    <row r="427" ht="14.25" customHeight="1">
      <c r="E427" s="65"/>
      <c r="O427" s="66"/>
      <c r="P427" s="66"/>
      <c r="R427" s="66"/>
      <c r="S427" s="66"/>
      <c r="T427" s="66"/>
      <c r="U427" s="66"/>
    </row>
    <row r="428" ht="14.25" customHeight="1">
      <c r="E428" s="65"/>
      <c r="O428" s="66"/>
      <c r="P428" s="66"/>
      <c r="R428" s="66"/>
      <c r="S428" s="66"/>
      <c r="T428" s="66"/>
      <c r="U428" s="66"/>
    </row>
    <row r="429" ht="14.25" customHeight="1">
      <c r="E429" s="65"/>
      <c r="O429" s="66"/>
      <c r="P429" s="66"/>
      <c r="R429" s="66"/>
      <c r="S429" s="66"/>
      <c r="T429" s="66"/>
      <c r="U429" s="66"/>
    </row>
    <row r="430" ht="14.25" customHeight="1">
      <c r="E430" s="65"/>
      <c r="O430" s="66"/>
      <c r="P430" s="66"/>
      <c r="R430" s="66"/>
      <c r="S430" s="66"/>
      <c r="T430" s="66"/>
      <c r="U430" s="66"/>
    </row>
    <row r="431" ht="14.25" customHeight="1">
      <c r="E431" s="65"/>
      <c r="O431" s="66"/>
      <c r="P431" s="66"/>
      <c r="R431" s="66"/>
      <c r="S431" s="66"/>
      <c r="T431" s="66"/>
      <c r="U431" s="66"/>
    </row>
    <row r="432" ht="14.25" customHeight="1">
      <c r="E432" s="65"/>
      <c r="O432" s="66"/>
      <c r="P432" s="66"/>
      <c r="R432" s="66"/>
      <c r="S432" s="66"/>
      <c r="T432" s="66"/>
      <c r="U432" s="66"/>
    </row>
    <row r="433" ht="14.25" customHeight="1">
      <c r="E433" s="65"/>
      <c r="O433" s="66"/>
      <c r="P433" s="66"/>
      <c r="R433" s="66"/>
      <c r="S433" s="66"/>
      <c r="T433" s="66"/>
      <c r="U433" s="66"/>
    </row>
    <row r="434" ht="14.25" customHeight="1">
      <c r="E434" s="65"/>
      <c r="O434" s="66"/>
      <c r="P434" s="66"/>
      <c r="R434" s="66"/>
      <c r="S434" s="66"/>
      <c r="T434" s="66"/>
      <c r="U434" s="66"/>
    </row>
    <row r="435" ht="14.25" customHeight="1">
      <c r="E435" s="65"/>
      <c r="O435" s="66"/>
      <c r="P435" s="66"/>
      <c r="R435" s="66"/>
      <c r="S435" s="66"/>
      <c r="T435" s="66"/>
      <c r="U435" s="66"/>
    </row>
    <row r="436" ht="14.25" customHeight="1">
      <c r="E436" s="65"/>
      <c r="O436" s="66"/>
      <c r="P436" s="66"/>
      <c r="R436" s="66"/>
      <c r="S436" s="66"/>
      <c r="T436" s="66"/>
      <c r="U436" s="66"/>
    </row>
    <row r="437" ht="14.25" customHeight="1">
      <c r="E437" s="65"/>
      <c r="O437" s="66"/>
      <c r="P437" s="66"/>
      <c r="R437" s="66"/>
      <c r="S437" s="66"/>
      <c r="T437" s="66"/>
      <c r="U437" s="66"/>
    </row>
    <row r="438" ht="14.25" customHeight="1">
      <c r="E438" s="65"/>
      <c r="O438" s="66"/>
      <c r="P438" s="66"/>
      <c r="R438" s="66"/>
      <c r="S438" s="66"/>
      <c r="T438" s="66"/>
      <c r="U438" s="66"/>
    </row>
    <row r="439" ht="14.25" customHeight="1">
      <c r="E439" s="65"/>
      <c r="O439" s="66"/>
      <c r="P439" s="66"/>
      <c r="R439" s="66"/>
      <c r="S439" s="66"/>
      <c r="T439" s="66"/>
      <c r="U439" s="66"/>
    </row>
    <row r="440" ht="14.25" customHeight="1">
      <c r="E440" s="65"/>
      <c r="O440" s="66"/>
      <c r="P440" s="66"/>
      <c r="R440" s="66"/>
      <c r="S440" s="66"/>
      <c r="T440" s="66"/>
      <c r="U440" s="66"/>
    </row>
    <row r="441" ht="14.25" customHeight="1">
      <c r="E441" s="65"/>
      <c r="O441" s="66"/>
      <c r="P441" s="66"/>
      <c r="R441" s="66"/>
      <c r="S441" s="66"/>
      <c r="T441" s="66"/>
      <c r="U441" s="66"/>
    </row>
    <row r="442" ht="14.25" customHeight="1">
      <c r="E442" s="65"/>
      <c r="O442" s="66"/>
      <c r="P442" s="66"/>
      <c r="R442" s="66"/>
      <c r="S442" s="66"/>
      <c r="T442" s="66"/>
      <c r="U442" s="66"/>
    </row>
    <row r="443" ht="14.25" customHeight="1">
      <c r="E443" s="65"/>
      <c r="O443" s="66"/>
      <c r="P443" s="66"/>
      <c r="R443" s="66"/>
      <c r="S443" s="66"/>
      <c r="T443" s="66"/>
      <c r="U443" s="66"/>
    </row>
    <row r="444" ht="14.25" customHeight="1">
      <c r="E444" s="65"/>
      <c r="O444" s="66"/>
      <c r="P444" s="66"/>
      <c r="R444" s="66"/>
      <c r="S444" s="66"/>
      <c r="T444" s="66"/>
      <c r="U444" s="66"/>
    </row>
    <row r="445" ht="14.25" customHeight="1">
      <c r="E445" s="65"/>
      <c r="O445" s="66"/>
      <c r="P445" s="66"/>
      <c r="R445" s="66"/>
      <c r="S445" s="66"/>
      <c r="T445" s="66"/>
      <c r="U445" s="66"/>
    </row>
    <row r="446" ht="14.25" customHeight="1">
      <c r="E446" s="65"/>
      <c r="O446" s="66"/>
      <c r="P446" s="66"/>
      <c r="R446" s="66"/>
      <c r="S446" s="66"/>
      <c r="T446" s="66"/>
      <c r="U446" s="66"/>
    </row>
    <row r="447" ht="14.25" customHeight="1">
      <c r="E447" s="65"/>
      <c r="O447" s="66"/>
      <c r="P447" s="66"/>
      <c r="R447" s="66"/>
      <c r="S447" s="66"/>
      <c r="T447" s="66"/>
      <c r="U447" s="66"/>
    </row>
    <row r="448" ht="14.25" customHeight="1">
      <c r="E448" s="65"/>
      <c r="O448" s="66"/>
      <c r="P448" s="66"/>
      <c r="R448" s="66"/>
      <c r="S448" s="66"/>
      <c r="T448" s="66"/>
      <c r="U448" s="66"/>
    </row>
    <row r="449" ht="14.25" customHeight="1">
      <c r="E449" s="65"/>
      <c r="O449" s="66"/>
      <c r="P449" s="66"/>
      <c r="R449" s="66"/>
      <c r="S449" s="66"/>
      <c r="T449" s="66"/>
      <c r="U449" s="66"/>
    </row>
    <row r="450" ht="14.25" customHeight="1">
      <c r="E450" s="65"/>
      <c r="O450" s="66"/>
      <c r="P450" s="66"/>
      <c r="R450" s="66"/>
      <c r="S450" s="66"/>
      <c r="T450" s="66"/>
      <c r="U450" s="66"/>
    </row>
    <row r="451" ht="14.25" customHeight="1">
      <c r="E451" s="65"/>
      <c r="O451" s="66"/>
      <c r="P451" s="66"/>
      <c r="R451" s="66"/>
      <c r="S451" s="66"/>
      <c r="T451" s="66"/>
      <c r="U451" s="66"/>
    </row>
    <row r="452" ht="14.25" customHeight="1">
      <c r="E452" s="65"/>
      <c r="O452" s="66"/>
      <c r="P452" s="66"/>
      <c r="R452" s="66"/>
      <c r="S452" s="66"/>
      <c r="T452" s="66"/>
      <c r="U452" s="66"/>
    </row>
    <row r="453" ht="14.25" customHeight="1">
      <c r="E453" s="65"/>
      <c r="O453" s="66"/>
      <c r="P453" s="66"/>
      <c r="R453" s="66"/>
      <c r="S453" s="66"/>
      <c r="T453" s="66"/>
      <c r="U453" s="66"/>
    </row>
    <row r="454" ht="14.25" customHeight="1">
      <c r="E454" s="65"/>
      <c r="O454" s="66"/>
      <c r="P454" s="66"/>
      <c r="R454" s="66"/>
      <c r="S454" s="66"/>
      <c r="T454" s="66"/>
      <c r="U454" s="66"/>
    </row>
    <row r="455" ht="14.25" customHeight="1">
      <c r="E455" s="65"/>
      <c r="O455" s="66"/>
      <c r="P455" s="66"/>
      <c r="R455" s="66"/>
      <c r="S455" s="66"/>
      <c r="T455" s="66"/>
      <c r="U455" s="66"/>
    </row>
    <row r="456" ht="14.25" customHeight="1">
      <c r="E456" s="65"/>
      <c r="O456" s="66"/>
      <c r="P456" s="66"/>
      <c r="R456" s="66"/>
      <c r="S456" s="66"/>
      <c r="T456" s="66"/>
      <c r="U456" s="66"/>
    </row>
    <row r="457" ht="14.25" customHeight="1">
      <c r="E457" s="65"/>
      <c r="O457" s="66"/>
      <c r="P457" s="66"/>
      <c r="R457" s="66"/>
      <c r="S457" s="66"/>
      <c r="T457" s="66"/>
      <c r="U457" s="66"/>
    </row>
    <row r="458" ht="14.25" customHeight="1">
      <c r="E458" s="65"/>
      <c r="O458" s="66"/>
      <c r="P458" s="66"/>
      <c r="R458" s="66"/>
      <c r="S458" s="66"/>
      <c r="T458" s="66"/>
      <c r="U458" s="66"/>
    </row>
    <row r="459" ht="14.25" customHeight="1">
      <c r="E459" s="65"/>
      <c r="O459" s="66"/>
      <c r="P459" s="66"/>
      <c r="R459" s="66"/>
      <c r="S459" s="66"/>
      <c r="T459" s="66"/>
      <c r="U459" s="66"/>
    </row>
    <row r="460" ht="14.25" customHeight="1">
      <c r="E460" s="65"/>
      <c r="O460" s="66"/>
      <c r="P460" s="66"/>
      <c r="R460" s="66"/>
      <c r="S460" s="66"/>
      <c r="T460" s="66"/>
      <c r="U460" s="66"/>
    </row>
    <row r="461" ht="14.25" customHeight="1">
      <c r="E461" s="65"/>
      <c r="O461" s="66"/>
      <c r="P461" s="66"/>
      <c r="R461" s="66"/>
      <c r="S461" s="66"/>
      <c r="T461" s="66"/>
      <c r="U461" s="66"/>
    </row>
    <row r="462" ht="14.25" customHeight="1">
      <c r="E462" s="65"/>
      <c r="O462" s="66"/>
      <c r="P462" s="66"/>
      <c r="R462" s="66"/>
      <c r="S462" s="66"/>
      <c r="T462" s="66"/>
      <c r="U462" s="66"/>
    </row>
    <row r="463" ht="14.25" customHeight="1">
      <c r="E463" s="65"/>
      <c r="O463" s="66"/>
      <c r="P463" s="66"/>
      <c r="R463" s="66"/>
      <c r="S463" s="66"/>
      <c r="T463" s="66"/>
      <c r="U463" s="66"/>
    </row>
    <row r="464" ht="14.25" customHeight="1">
      <c r="E464" s="65"/>
      <c r="O464" s="66"/>
      <c r="P464" s="66"/>
      <c r="R464" s="66"/>
      <c r="S464" s="66"/>
      <c r="T464" s="66"/>
      <c r="U464" s="66"/>
    </row>
    <row r="465" ht="14.25" customHeight="1">
      <c r="E465" s="65"/>
      <c r="O465" s="66"/>
      <c r="P465" s="66"/>
      <c r="R465" s="66"/>
      <c r="S465" s="66"/>
      <c r="T465" s="66"/>
      <c r="U465" s="66"/>
    </row>
    <row r="466" ht="14.25" customHeight="1">
      <c r="E466" s="65"/>
      <c r="O466" s="66"/>
      <c r="P466" s="66"/>
      <c r="R466" s="66"/>
      <c r="S466" s="66"/>
      <c r="T466" s="66"/>
      <c r="U466" s="66"/>
    </row>
    <row r="467" ht="14.25" customHeight="1">
      <c r="E467" s="65"/>
      <c r="O467" s="66"/>
      <c r="P467" s="66"/>
      <c r="R467" s="66"/>
      <c r="S467" s="66"/>
      <c r="T467" s="66"/>
      <c r="U467" s="66"/>
    </row>
    <row r="468" ht="14.25" customHeight="1">
      <c r="E468" s="65"/>
      <c r="O468" s="66"/>
      <c r="P468" s="66"/>
      <c r="R468" s="66"/>
      <c r="S468" s="66"/>
      <c r="T468" s="66"/>
      <c r="U468" s="66"/>
    </row>
    <row r="469" ht="14.25" customHeight="1">
      <c r="E469" s="65"/>
      <c r="O469" s="66"/>
      <c r="P469" s="66"/>
      <c r="R469" s="66"/>
      <c r="S469" s="66"/>
      <c r="T469" s="66"/>
      <c r="U469" s="66"/>
    </row>
    <row r="470" ht="14.25" customHeight="1">
      <c r="E470" s="65"/>
      <c r="O470" s="66"/>
      <c r="P470" s="66"/>
      <c r="R470" s="66"/>
      <c r="S470" s="66"/>
      <c r="T470" s="66"/>
      <c r="U470" s="66"/>
    </row>
    <row r="471" ht="14.25" customHeight="1">
      <c r="E471" s="65"/>
      <c r="O471" s="66"/>
      <c r="P471" s="66"/>
      <c r="R471" s="66"/>
      <c r="S471" s="66"/>
      <c r="T471" s="66"/>
      <c r="U471" s="66"/>
    </row>
    <row r="472" ht="14.25" customHeight="1">
      <c r="E472" s="65"/>
      <c r="O472" s="66"/>
      <c r="P472" s="66"/>
      <c r="R472" s="66"/>
      <c r="S472" s="66"/>
      <c r="T472" s="66"/>
      <c r="U472" s="66"/>
    </row>
    <row r="473" ht="14.25" customHeight="1">
      <c r="E473" s="65"/>
      <c r="O473" s="66"/>
      <c r="P473" s="66"/>
      <c r="R473" s="66"/>
      <c r="S473" s="66"/>
      <c r="T473" s="66"/>
      <c r="U473" s="66"/>
    </row>
    <row r="474" ht="14.25" customHeight="1">
      <c r="E474" s="65"/>
      <c r="O474" s="66"/>
      <c r="P474" s="66"/>
      <c r="R474" s="66"/>
      <c r="S474" s="66"/>
      <c r="T474" s="66"/>
      <c r="U474" s="66"/>
    </row>
    <row r="475" ht="14.25" customHeight="1">
      <c r="E475" s="65"/>
      <c r="O475" s="66"/>
      <c r="P475" s="66"/>
      <c r="R475" s="66"/>
      <c r="S475" s="66"/>
      <c r="T475" s="66"/>
      <c r="U475" s="66"/>
    </row>
    <row r="476" ht="14.25" customHeight="1">
      <c r="E476" s="65"/>
      <c r="O476" s="66"/>
      <c r="P476" s="66"/>
      <c r="R476" s="66"/>
      <c r="S476" s="66"/>
      <c r="T476" s="66"/>
      <c r="U476" s="66"/>
    </row>
    <row r="477" ht="14.25" customHeight="1">
      <c r="E477" s="65"/>
      <c r="O477" s="66"/>
      <c r="P477" s="66"/>
      <c r="R477" s="66"/>
      <c r="S477" s="66"/>
      <c r="T477" s="66"/>
      <c r="U477" s="66"/>
    </row>
    <row r="478" ht="14.25" customHeight="1">
      <c r="E478" s="65"/>
      <c r="O478" s="66"/>
      <c r="P478" s="66"/>
      <c r="R478" s="66"/>
      <c r="S478" s="66"/>
      <c r="T478" s="66"/>
      <c r="U478" s="66"/>
    </row>
    <row r="479" ht="14.25" customHeight="1">
      <c r="E479" s="65"/>
      <c r="O479" s="66"/>
      <c r="P479" s="66"/>
      <c r="R479" s="66"/>
      <c r="S479" s="66"/>
      <c r="T479" s="66"/>
      <c r="U479" s="66"/>
    </row>
    <row r="480" ht="14.25" customHeight="1">
      <c r="E480" s="65"/>
      <c r="O480" s="66"/>
      <c r="P480" s="66"/>
      <c r="R480" s="66"/>
      <c r="S480" s="66"/>
      <c r="T480" s="66"/>
      <c r="U480" s="66"/>
    </row>
    <row r="481" ht="14.25" customHeight="1">
      <c r="E481" s="65"/>
      <c r="O481" s="66"/>
      <c r="P481" s="66"/>
      <c r="R481" s="66"/>
      <c r="S481" s="66"/>
      <c r="T481" s="66"/>
      <c r="U481" s="66"/>
    </row>
    <row r="482" ht="14.25" customHeight="1">
      <c r="E482" s="65"/>
      <c r="O482" s="66"/>
      <c r="P482" s="66"/>
      <c r="R482" s="66"/>
      <c r="S482" s="66"/>
      <c r="T482" s="66"/>
      <c r="U482" s="66"/>
    </row>
    <row r="483" ht="14.25" customHeight="1">
      <c r="E483" s="65"/>
      <c r="O483" s="66"/>
      <c r="P483" s="66"/>
      <c r="R483" s="66"/>
      <c r="S483" s="66"/>
      <c r="T483" s="66"/>
      <c r="U483" s="66"/>
    </row>
    <row r="484" ht="14.25" customHeight="1">
      <c r="E484" s="65"/>
      <c r="O484" s="66"/>
      <c r="P484" s="66"/>
      <c r="R484" s="66"/>
      <c r="S484" s="66"/>
      <c r="T484" s="66"/>
      <c r="U484" s="66"/>
    </row>
    <row r="485" ht="14.25" customHeight="1">
      <c r="E485" s="65"/>
      <c r="O485" s="66"/>
      <c r="P485" s="66"/>
      <c r="R485" s="66"/>
      <c r="S485" s="66"/>
      <c r="T485" s="66"/>
      <c r="U485" s="66"/>
    </row>
    <row r="486" ht="14.25" customHeight="1">
      <c r="E486" s="65"/>
      <c r="O486" s="66"/>
      <c r="P486" s="66"/>
      <c r="R486" s="66"/>
      <c r="S486" s="66"/>
      <c r="T486" s="66"/>
      <c r="U486" s="66"/>
    </row>
    <row r="487" ht="14.25" customHeight="1">
      <c r="E487" s="65"/>
      <c r="O487" s="66"/>
      <c r="P487" s="66"/>
      <c r="R487" s="66"/>
      <c r="S487" s="66"/>
      <c r="T487" s="66"/>
      <c r="U487" s="66"/>
    </row>
    <row r="488" ht="14.25" customHeight="1">
      <c r="E488" s="65"/>
      <c r="O488" s="66"/>
      <c r="P488" s="66"/>
      <c r="R488" s="66"/>
      <c r="S488" s="66"/>
      <c r="T488" s="66"/>
      <c r="U488" s="66"/>
    </row>
    <row r="489" ht="14.25" customHeight="1">
      <c r="E489" s="65"/>
      <c r="O489" s="66"/>
      <c r="P489" s="66"/>
      <c r="R489" s="66"/>
      <c r="S489" s="66"/>
      <c r="T489" s="66"/>
      <c r="U489" s="66"/>
    </row>
    <row r="490" ht="14.25" customHeight="1">
      <c r="E490" s="65"/>
      <c r="O490" s="66"/>
      <c r="P490" s="66"/>
      <c r="R490" s="66"/>
      <c r="S490" s="66"/>
      <c r="T490" s="66"/>
      <c r="U490" s="66"/>
    </row>
    <row r="491" ht="14.25" customHeight="1">
      <c r="E491" s="65"/>
      <c r="O491" s="66"/>
      <c r="P491" s="66"/>
      <c r="R491" s="66"/>
      <c r="S491" s="66"/>
      <c r="T491" s="66"/>
      <c r="U491" s="66"/>
    </row>
    <row r="492" ht="14.25" customHeight="1">
      <c r="E492" s="65"/>
      <c r="O492" s="66"/>
      <c r="P492" s="66"/>
      <c r="R492" s="66"/>
      <c r="S492" s="66"/>
      <c r="T492" s="66"/>
      <c r="U492" s="66"/>
    </row>
    <row r="493" ht="14.25" customHeight="1">
      <c r="E493" s="65"/>
      <c r="O493" s="66"/>
      <c r="P493" s="66"/>
      <c r="R493" s="66"/>
      <c r="S493" s="66"/>
      <c r="T493" s="66"/>
      <c r="U493" s="66"/>
    </row>
    <row r="494" ht="14.25" customHeight="1">
      <c r="E494" s="65"/>
      <c r="O494" s="66"/>
      <c r="P494" s="66"/>
      <c r="R494" s="66"/>
      <c r="S494" s="66"/>
      <c r="T494" s="66"/>
      <c r="U494" s="66"/>
    </row>
    <row r="495" ht="14.25" customHeight="1">
      <c r="E495" s="65"/>
      <c r="O495" s="66"/>
      <c r="P495" s="66"/>
      <c r="R495" s="66"/>
      <c r="S495" s="66"/>
      <c r="T495" s="66"/>
      <c r="U495" s="66"/>
    </row>
    <row r="496" ht="14.25" customHeight="1">
      <c r="E496" s="65"/>
      <c r="O496" s="66"/>
      <c r="P496" s="66"/>
      <c r="R496" s="66"/>
      <c r="S496" s="66"/>
      <c r="T496" s="66"/>
      <c r="U496" s="66"/>
    </row>
    <row r="497" ht="14.25" customHeight="1">
      <c r="E497" s="65"/>
      <c r="O497" s="66"/>
      <c r="P497" s="66"/>
      <c r="R497" s="66"/>
      <c r="S497" s="66"/>
      <c r="T497" s="66"/>
      <c r="U497" s="66"/>
    </row>
    <row r="498" ht="14.25" customHeight="1">
      <c r="E498" s="65"/>
      <c r="O498" s="66"/>
      <c r="P498" s="66"/>
      <c r="R498" s="66"/>
      <c r="S498" s="66"/>
      <c r="T498" s="66"/>
      <c r="U498" s="66"/>
    </row>
    <row r="499" ht="14.25" customHeight="1">
      <c r="E499" s="65"/>
      <c r="O499" s="66"/>
      <c r="P499" s="66"/>
      <c r="R499" s="66"/>
      <c r="S499" s="66"/>
      <c r="T499" s="66"/>
      <c r="U499" s="66"/>
    </row>
    <row r="500" ht="14.25" customHeight="1">
      <c r="E500" s="65"/>
      <c r="O500" s="66"/>
      <c r="P500" s="66"/>
      <c r="R500" s="66"/>
      <c r="S500" s="66"/>
      <c r="T500" s="66"/>
      <c r="U500" s="66"/>
    </row>
    <row r="501" ht="14.25" customHeight="1">
      <c r="E501" s="65"/>
      <c r="O501" s="66"/>
      <c r="P501" s="66"/>
      <c r="R501" s="66"/>
      <c r="S501" s="66"/>
      <c r="T501" s="66"/>
      <c r="U501" s="66"/>
    </row>
    <row r="502" ht="14.25" customHeight="1">
      <c r="E502" s="65"/>
      <c r="O502" s="66"/>
      <c r="P502" s="66"/>
      <c r="R502" s="66"/>
      <c r="S502" s="66"/>
      <c r="T502" s="66"/>
      <c r="U502" s="66"/>
    </row>
    <row r="503" ht="14.25" customHeight="1">
      <c r="E503" s="65"/>
      <c r="O503" s="66"/>
      <c r="P503" s="66"/>
      <c r="R503" s="66"/>
      <c r="S503" s="66"/>
      <c r="T503" s="66"/>
      <c r="U503" s="66"/>
    </row>
    <row r="504" ht="14.25" customHeight="1">
      <c r="E504" s="65"/>
      <c r="O504" s="66"/>
      <c r="P504" s="66"/>
      <c r="R504" s="66"/>
      <c r="S504" s="66"/>
      <c r="T504" s="66"/>
      <c r="U504" s="66"/>
    </row>
    <row r="505" ht="14.25" customHeight="1">
      <c r="E505" s="65"/>
      <c r="O505" s="66"/>
      <c r="P505" s="66"/>
      <c r="R505" s="66"/>
      <c r="S505" s="66"/>
      <c r="T505" s="66"/>
      <c r="U505" s="66"/>
    </row>
    <row r="506" ht="14.25" customHeight="1">
      <c r="E506" s="65"/>
      <c r="O506" s="66"/>
      <c r="P506" s="66"/>
      <c r="R506" s="66"/>
      <c r="S506" s="66"/>
      <c r="T506" s="66"/>
      <c r="U506" s="66"/>
    </row>
    <row r="507" ht="14.25" customHeight="1">
      <c r="E507" s="65"/>
      <c r="O507" s="66"/>
      <c r="P507" s="66"/>
      <c r="R507" s="66"/>
      <c r="S507" s="66"/>
      <c r="T507" s="66"/>
      <c r="U507" s="66"/>
    </row>
    <row r="508" ht="14.25" customHeight="1">
      <c r="E508" s="65"/>
      <c r="O508" s="66"/>
      <c r="P508" s="66"/>
      <c r="R508" s="66"/>
      <c r="S508" s="66"/>
      <c r="T508" s="66"/>
      <c r="U508" s="66"/>
    </row>
    <row r="509" ht="14.25" customHeight="1">
      <c r="E509" s="65"/>
      <c r="O509" s="66"/>
      <c r="P509" s="66"/>
      <c r="R509" s="66"/>
      <c r="S509" s="66"/>
      <c r="T509" s="66"/>
      <c r="U509" s="66"/>
    </row>
    <row r="510" ht="14.25" customHeight="1">
      <c r="E510" s="65"/>
      <c r="O510" s="66"/>
      <c r="P510" s="66"/>
      <c r="R510" s="66"/>
      <c r="S510" s="66"/>
      <c r="T510" s="66"/>
      <c r="U510" s="66"/>
    </row>
    <row r="511" ht="14.25" customHeight="1">
      <c r="E511" s="65"/>
      <c r="O511" s="66"/>
      <c r="P511" s="66"/>
      <c r="R511" s="66"/>
      <c r="S511" s="66"/>
      <c r="T511" s="66"/>
      <c r="U511" s="66"/>
    </row>
    <row r="512" ht="14.25" customHeight="1">
      <c r="E512" s="65"/>
      <c r="O512" s="66"/>
      <c r="P512" s="66"/>
      <c r="R512" s="66"/>
      <c r="S512" s="66"/>
      <c r="T512" s="66"/>
      <c r="U512" s="66"/>
    </row>
    <row r="513" ht="14.25" customHeight="1">
      <c r="E513" s="65"/>
      <c r="O513" s="66"/>
      <c r="P513" s="66"/>
      <c r="R513" s="66"/>
      <c r="S513" s="66"/>
      <c r="T513" s="66"/>
      <c r="U513" s="66"/>
    </row>
    <row r="514" ht="14.25" customHeight="1">
      <c r="E514" s="65"/>
      <c r="O514" s="66"/>
      <c r="P514" s="66"/>
      <c r="R514" s="66"/>
      <c r="S514" s="66"/>
      <c r="T514" s="66"/>
      <c r="U514" s="66"/>
    </row>
    <row r="515" ht="14.25" customHeight="1">
      <c r="E515" s="65"/>
      <c r="O515" s="66"/>
      <c r="P515" s="66"/>
      <c r="R515" s="66"/>
      <c r="S515" s="66"/>
      <c r="T515" s="66"/>
      <c r="U515" s="66"/>
    </row>
    <row r="516" ht="14.25" customHeight="1">
      <c r="E516" s="65"/>
      <c r="O516" s="66"/>
      <c r="P516" s="66"/>
      <c r="R516" s="66"/>
      <c r="S516" s="66"/>
      <c r="T516" s="66"/>
      <c r="U516" s="66"/>
    </row>
    <row r="517" ht="14.25" customHeight="1">
      <c r="E517" s="65"/>
      <c r="O517" s="66"/>
      <c r="P517" s="66"/>
      <c r="R517" s="66"/>
      <c r="S517" s="66"/>
      <c r="T517" s="66"/>
      <c r="U517" s="66"/>
    </row>
    <row r="518" ht="14.25" customHeight="1">
      <c r="E518" s="65"/>
      <c r="O518" s="66"/>
      <c r="P518" s="66"/>
      <c r="R518" s="66"/>
      <c r="S518" s="66"/>
      <c r="T518" s="66"/>
      <c r="U518" s="66"/>
    </row>
    <row r="519" ht="14.25" customHeight="1">
      <c r="E519" s="65"/>
      <c r="O519" s="66"/>
      <c r="P519" s="66"/>
      <c r="R519" s="66"/>
      <c r="S519" s="66"/>
      <c r="T519" s="66"/>
      <c r="U519" s="66"/>
    </row>
    <row r="520" ht="14.25" customHeight="1">
      <c r="E520" s="65"/>
      <c r="O520" s="66"/>
      <c r="P520" s="66"/>
      <c r="R520" s="66"/>
      <c r="S520" s="66"/>
      <c r="T520" s="66"/>
      <c r="U520" s="66"/>
    </row>
    <row r="521" ht="14.25" customHeight="1">
      <c r="E521" s="65"/>
      <c r="O521" s="66"/>
      <c r="P521" s="66"/>
      <c r="R521" s="66"/>
      <c r="S521" s="66"/>
      <c r="T521" s="66"/>
      <c r="U521" s="66"/>
    </row>
    <row r="522" ht="14.25" customHeight="1">
      <c r="E522" s="65"/>
      <c r="O522" s="66"/>
      <c r="P522" s="66"/>
      <c r="R522" s="66"/>
      <c r="S522" s="66"/>
      <c r="T522" s="66"/>
      <c r="U522" s="66"/>
    </row>
    <row r="523" ht="14.25" customHeight="1">
      <c r="E523" s="65"/>
      <c r="O523" s="66"/>
      <c r="P523" s="66"/>
      <c r="R523" s="66"/>
      <c r="S523" s="66"/>
      <c r="T523" s="66"/>
      <c r="U523" s="66"/>
    </row>
    <row r="524" ht="14.25" customHeight="1">
      <c r="E524" s="65"/>
      <c r="O524" s="66"/>
      <c r="P524" s="66"/>
      <c r="R524" s="66"/>
      <c r="S524" s="66"/>
      <c r="T524" s="66"/>
      <c r="U524" s="66"/>
    </row>
    <row r="525" ht="14.25" customHeight="1">
      <c r="E525" s="65"/>
      <c r="O525" s="66"/>
      <c r="P525" s="66"/>
      <c r="R525" s="66"/>
      <c r="S525" s="66"/>
      <c r="T525" s="66"/>
      <c r="U525" s="66"/>
    </row>
    <row r="526" ht="14.25" customHeight="1">
      <c r="E526" s="65"/>
      <c r="O526" s="66"/>
      <c r="P526" s="66"/>
      <c r="R526" s="66"/>
      <c r="S526" s="66"/>
      <c r="T526" s="66"/>
      <c r="U526" s="66"/>
    </row>
    <row r="527" ht="14.25" customHeight="1">
      <c r="E527" s="65"/>
      <c r="O527" s="66"/>
      <c r="P527" s="66"/>
      <c r="R527" s="66"/>
      <c r="S527" s="66"/>
      <c r="T527" s="66"/>
      <c r="U527" s="66"/>
    </row>
    <row r="528" ht="14.25" customHeight="1">
      <c r="E528" s="65"/>
      <c r="O528" s="66"/>
      <c r="P528" s="66"/>
      <c r="R528" s="66"/>
      <c r="S528" s="66"/>
      <c r="T528" s="66"/>
      <c r="U528" s="66"/>
    </row>
    <row r="529" ht="14.25" customHeight="1">
      <c r="E529" s="65"/>
      <c r="O529" s="66"/>
      <c r="P529" s="66"/>
      <c r="R529" s="66"/>
      <c r="S529" s="66"/>
      <c r="T529" s="66"/>
      <c r="U529" s="66"/>
    </row>
    <row r="530" ht="14.25" customHeight="1">
      <c r="E530" s="65"/>
      <c r="O530" s="66"/>
      <c r="P530" s="66"/>
      <c r="R530" s="66"/>
      <c r="S530" s="66"/>
      <c r="T530" s="66"/>
      <c r="U530" s="66"/>
    </row>
    <row r="531" ht="14.25" customHeight="1">
      <c r="E531" s="65"/>
      <c r="O531" s="66"/>
      <c r="P531" s="66"/>
      <c r="R531" s="66"/>
      <c r="S531" s="66"/>
      <c r="T531" s="66"/>
      <c r="U531" s="66"/>
    </row>
    <row r="532" ht="14.25" customHeight="1">
      <c r="E532" s="65"/>
      <c r="O532" s="66"/>
      <c r="P532" s="66"/>
      <c r="R532" s="66"/>
      <c r="S532" s="66"/>
      <c r="T532" s="66"/>
      <c r="U532" s="66"/>
    </row>
    <row r="533" ht="14.25" customHeight="1">
      <c r="E533" s="65"/>
      <c r="O533" s="66"/>
      <c r="P533" s="66"/>
      <c r="R533" s="66"/>
      <c r="S533" s="66"/>
      <c r="T533" s="66"/>
      <c r="U533" s="66"/>
    </row>
    <row r="534" ht="14.25" customHeight="1">
      <c r="E534" s="65"/>
      <c r="O534" s="66"/>
      <c r="P534" s="66"/>
      <c r="R534" s="66"/>
      <c r="S534" s="66"/>
      <c r="T534" s="66"/>
      <c r="U534" s="66"/>
    </row>
    <row r="535" ht="14.25" customHeight="1">
      <c r="E535" s="65"/>
      <c r="O535" s="66"/>
      <c r="P535" s="66"/>
      <c r="R535" s="66"/>
      <c r="S535" s="66"/>
      <c r="T535" s="66"/>
      <c r="U535" s="66"/>
    </row>
    <row r="536" ht="14.25" customHeight="1">
      <c r="E536" s="65"/>
      <c r="O536" s="66"/>
      <c r="P536" s="66"/>
      <c r="R536" s="66"/>
      <c r="S536" s="66"/>
      <c r="T536" s="66"/>
      <c r="U536" s="66"/>
    </row>
    <row r="537" ht="14.25" customHeight="1">
      <c r="E537" s="65"/>
      <c r="O537" s="66"/>
      <c r="P537" s="66"/>
      <c r="R537" s="66"/>
      <c r="S537" s="66"/>
      <c r="T537" s="66"/>
      <c r="U537" s="66"/>
    </row>
    <row r="538" ht="14.25" customHeight="1">
      <c r="E538" s="65"/>
      <c r="O538" s="66"/>
      <c r="P538" s="66"/>
      <c r="R538" s="66"/>
      <c r="S538" s="66"/>
      <c r="T538" s="66"/>
      <c r="U538" s="66"/>
    </row>
    <row r="539" ht="14.25" customHeight="1">
      <c r="E539" s="65"/>
      <c r="O539" s="66"/>
      <c r="P539" s="66"/>
      <c r="R539" s="66"/>
      <c r="S539" s="66"/>
      <c r="T539" s="66"/>
      <c r="U539" s="66"/>
    </row>
    <row r="540" ht="14.25" customHeight="1">
      <c r="E540" s="65"/>
      <c r="O540" s="66"/>
      <c r="P540" s="66"/>
      <c r="R540" s="66"/>
      <c r="S540" s="66"/>
      <c r="T540" s="66"/>
      <c r="U540" s="66"/>
    </row>
    <row r="541" ht="14.25" customHeight="1">
      <c r="E541" s="65"/>
      <c r="O541" s="66"/>
      <c r="P541" s="66"/>
      <c r="R541" s="66"/>
      <c r="S541" s="66"/>
      <c r="T541" s="66"/>
      <c r="U541" s="66"/>
    </row>
    <row r="542" ht="14.25" customHeight="1">
      <c r="E542" s="65"/>
      <c r="O542" s="66"/>
      <c r="P542" s="66"/>
      <c r="R542" s="66"/>
      <c r="S542" s="66"/>
      <c r="T542" s="66"/>
      <c r="U542" s="66"/>
    </row>
    <row r="543" ht="14.25" customHeight="1">
      <c r="E543" s="65"/>
      <c r="O543" s="66"/>
      <c r="P543" s="66"/>
      <c r="R543" s="66"/>
      <c r="S543" s="66"/>
      <c r="T543" s="66"/>
      <c r="U543" s="66"/>
    </row>
    <row r="544" ht="14.25" customHeight="1">
      <c r="E544" s="65"/>
      <c r="O544" s="66"/>
      <c r="P544" s="66"/>
      <c r="R544" s="66"/>
      <c r="S544" s="66"/>
      <c r="T544" s="66"/>
      <c r="U544" s="66"/>
    </row>
    <row r="545" ht="14.25" customHeight="1">
      <c r="E545" s="65"/>
      <c r="O545" s="66"/>
      <c r="P545" s="66"/>
      <c r="R545" s="66"/>
      <c r="S545" s="66"/>
      <c r="T545" s="66"/>
      <c r="U545" s="66"/>
    </row>
    <row r="546" ht="14.25" customHeight="1">
      <c r="E546" s="65"/>
      <c r="O546" s="66"/>
      <c r="P546" s="66"/>
      <c r="R546" s="66"/>
      <c r="S546" s="66"/>
      <c r="T546" s="66"/>
      <c r="U546" s="66"/>
    </row>
    <row r="547" ht="14.25" customHeight="1">
      <c r="E547" s="65"/>
      <c r="O547" s="66"/>
      <c r="P547" s="66"/>
      <c r="R547" s="66"/>
      <c r="S547" s="66"/>
      <c r="T547" s="66"/>
      <c r="U547" s="66"/>
    </row>
    <row r="548" ht="14.25" customHeight="1">
      <c r="E548" s="65"/>
      <c r="O548" s="66"/>
      <c r="P548" s="66"/>
      <c r="R548" s="66"/>
      <c r="S548" s="66"/>
      <c r="T548" s="66"/>
      <c r="U548" s="66"/>
    </row>
    <row r="549" ht="14.25" customHeight="1">
      <c r="E549" s="65"/>
      <c r="O549" s="66"/>
      <c r="P549" s="66"/>
      <c r="R549" s="66"/>
      <c r="S549" s="66"/>
      <c r="T549" s="66"/>
      <c r="U549" s="66"/>
    </row>
    <row r="550" ht="14.25" customHeight="1">
      <c r="E550" s="65"/>
      <c r="O550" s="66"/>
      <c r="P550" s="66"/>
      <c r="R550" s="66"/>
      <c r="S550" s="66"/>
      <c r="T550" s="66"/>
      <c r="U550" s="66"/>
    </row>
    <row r="551" ht="14.25" customHeight="1">
      <c r="E551" s="65"/>
      <c r="O551" s="66"/>
      <c r="P551" s="66"/>
      <c r="R551" s="66"/>
      <c r="S551" s="66"/>
      <c r="T551" s="66"/>
      <c r="U551" s="66"/>
    </row>
    <row r="552" ht="14.25" customHeight="1">
      <c r="E552" s="65"/>
      <c r="O552" s="66"/>
      <c r="P552" s="66"/>
      <c r="R552" s="66"/>
      <c r="S552" s="66"/>
      <c r="T552" s="66"/>
      <c r="U552" s="66"/>
    </row>
    <row r="553" ht="14.25" customHeight="1">
      <c r="E553" s="65"/>
      <c r="O553" s="66"/>
      <c r="P553" s="66"/>
      <c r="R553" s="66"/>
      <c r="S553" s="66"/>
      <c r="T553" s="66"/>
      <c r="U553" s="66"/>
    </row>
    <row r="554" ht="14.25" customHeight="1">
      <c r="E554" s="65"/>
      <c r="O554" s="66"/>
      <c r="P554" s="66"/>
      <c r="R554" s="66"/>
      <c r="S554" s="66"/>
      <c r="T554" s="66"/>
      <c r="U554" s="66"/>
    </row>
    <row r="555" ht="14.25" customHeight="1">
      <c r="E555" s="65"/>
      <c r="O555" s="66"/>
      <c r="P555" s="66"/>
      <c r="R555" s="66"/>
      <c r="S555" s="66"/>
      <c r="T555" s="66"/>
      <c r="U555" s="66"/>
    </row>
    <row r="556" ht="14.25" customHeight="1">
      <c r="E556" s="65"/>
      <c r="O556" s="66"/>
      <c r="P556" s="66"/>
      <c r="R556" s="66"/>
      <c r="S556" s="66"/>
      <c r="T556" s="66"/>
      <c r="U556" s="66"/>
    </row>
    <row r="557" ht="14.25" customHeight="1">
      <c r="E557" s="65"/>
      <c r="O557" s="66"/>
      <c r="P557" s="66"/>
      <c r="R557" s="66"/>
      <c r="S557" s="66"/>
      <c r="T557" s="66"/>
      <c r="U557" s="66"/>
    </row>
    <row r="558" ht="14.25" customHeight="1">
      <c r="E558" s="65"/>
      <c r="O558" s="66"/>
      <c r="P558" s="66"/>
      <c r="R558" s="66"/>
      <c r="S558" s="66"/>
      <c r="T558" s="66"/>
      <c r="U558" s="66"/>
    </row>
    <row r="559" ht="14.25" customHeight="1">
      <c r="E559" s="65"/>
      <c r="O559" s="66"/>
      <c r="P559" s="66"/>
      <c r="R559" s="66"/>
      <c r="S559" s="66"/>
      <c r="T559" s="66"/>
      <c r="U559" s="66"/>
    </row>
    <row r="560" ht="14.25" customHeight="1">
      <c r="E560" s="65"/>
      <c r="O560" s="66"/>
      <c r="P560" s="66"/>
      <c r="R560" s="66"/>
      <c r="S560" s="66"/>
      <c r="T560" s="66"/>
      <c r="U560" s="66"/>
    </row>
    <row r="561" ht="14.25" customHeight="1">
      <c r="E561" s="65"/>
      <c r="O561" s="66"/>
      <c r="P561" s="66"/>
      <c r="R561" s="66"/>
      <c r="S561" s="66"/>
      <c r="T561" s="66"/>
      <c r="U561" s="66"/>
    </row>
    <row r="562" ht="14.25" customHeight="1">
      <c r="E562" s="65"/>
      <c r="O562" s="66"/>
      <c r="P562" s="66"/>
      <c r="R562" s="66"/>
      <c r="S562" s="66"/>
      <c r="T562" s="66"/>
      <c r="U562" s="66"/>
    </row>
    <row r="563" ht="14.25" customHeight="1">
      <c r="E563" s="65"/>
      <c r="O563" s="66"/>
      <c r="P563" s="66"/>
      <c r="R563" s="66"/>
      <c r="S563" s="66"/>
      <c r="T563" s="66"/>
      <c r="U563" s="66"/>
    </row>
    <row r="564" ht="14.25" customHeight="1">
      <c r="E564" s="65"/>
      <c r="O564" s="66"/>
      <c r="P564" s="66"/>
      <c r="R564" s="66"/>
      <c r="S564" s="66"/>
      <c r="T564" s="66"/>
      <c r="U564" s="66"/>
    </row>
    <row r="565" ht="14.25" customHeight="1">
      <c r="E565" s="65"/>
      <c r="O565" s="66"/>
      <c r="P565" s="66"/>
      <c r="R565" s="66"/>
      <c r="S565" s="66"/>
      <c r="T565" s="66"/>
      <c r="U565" s="66"/>
    </row>
    <row r="566" ht="14.25" customHeight="1">
      <c r="E566" s="65"/>
      <c r="O566" s="66"/>
      <c r="P566" s="66"/>
      <c r="R566" s="66"/>
      <c r="S566" s="66"/>
      <c r="T566" s="66"/>
      <c r="U566" s="66"/>
    </row>
    <row r="567" ht="14.25" customHeight="1">
      <c r="E567" s="65"/>
      <c r="O567" s="66"/>
      <c r="P567" s="66"/>
      <c r="R567" s="66"/>
      <c r="S567" s="66"/>
      <c r="T567" s="66"/>
      <c r="U567" s="66"/>
    </row>
    <row r="568" ht="14.25" customHeight="1">
      <c r="E568" s="65"/>
      <c r="O568" s="66"/>
      <c r="P568" s="66"/>
      <c r="R568" s="66"/>
      <c r="S568" s="66"/>
      <c r="T568" s="66"/>
      <c r="U568" s="66"/>
    </row>
    <row r="569" ht="14.25" customHeight="1">
      <c r="E569" s="65"/>
      <c r="O569" s="66"/>
      <c r="P569" s="66"/>
      <c r="R569" s="66"/>
      <c r="S569" s="66"/>
      <c r="T569" s="66"/>
      <c r="U569" s="66"/>
    </row>
    <row r="570" ht="14.25" customHeight="1">
      <c r="E570" s="65"/>
      <c r="O570" s="66"/>
      <c r="P570" s="66"/>
      <c r="R570" s="66"/>
      <c r="S570" s="66"/>
      <c r="T570" s="66"/>
      <c r="U570" s="66"/>
    </row>
    <row r="571" ht="14.25" customHeight="1">
      <c r="E571" s="65"/>
      <c r="O571" s="66"/>
      <c r="P571" s="66"/>
      <c r="R571" s="66"/>
      <c r="S571" s="66"/>
      <c r="T571" s="66"/>
      <c r="U571" s="66"/>
    </row>
    <row r="572" ht="14.25" customHeight="1">
      <c r="E572" s="65"/>
      <c r="O572" s="66"/>
      <c r="P572" s="66"/>
      <c r="R572" s="66"/>
      <c r="S572" s="66"/>
      <c r="T572" s="66"/>
      <c r="U572" s="66"/>
    </row>
    <row r="573" ht="14.25" customHeight="1">
      <c r="E573" s="65"/>
      <c r="O573" s="66"/>
      <c r="P573" s="66"/>
      <c r="R573" s="66"/>
      <c r="S573" s="66"/>
      <c r="T573" s="66"/>
      <c r="U573" s="66"/>
    </row>
    <row r="574" ht="14.25" customHeight="1">
      <c r="E574" s="65"/>
      <c r="O574" s="66"/>
      <c r="P574" s="66"/>
      <c r="R574" s="66"/>
      <c r="S574" s="66"/>
      <c r="T574" s="66"/>
      <c r="U574" s="66"/>
    </row>
    <row r="575" ht="14.25" customHeight="1">
      <c r="E575" s="65"/>
      <c r="O575" s="66"/>
      <c r="P575" s="66"/>
      <c r="R575" s="66"/>
      <c r="S575" s="66"/>
      <c r="T575" s="66"/>
      <c r="U575" s="66"/>
    </row>
    <row r="576" ht="14.25" customHeight="1">
      <c r="E576" s="65"/>
      <c r="O576" s="66"/>
      <c r="P576" s="66"/>
      <c r="R576" s="66"/>
      <c r="S576" s="66"/>
      <c r="T576" s="66"/>
      <c r="U576" s="66"/>
    </row>
    <row r="577" ht="14.25" customHeight="1">
      <c r="E577" s="65"/>
      <c r="O577" s="66"/>
      <c r="P577" s="66"/>
      <c r="R577" s="66"/>
      <c r="S577" s="66"/>
      <c r="T577" s="66"/>
      <c r="U577" s="66"/>
    </row>
    <row r="578" ht="14.25" customHeight="1">
      <c r="E578" s="65"/>
      <c r="O578" s="66"/>
      <c r="P578" s="66"/>
      <c r="R578" s="66"/>
      <c r="S578" s="66"/>
      <c r="T578" s="66"/>
      <c r="U578" s="66"/>
    </row>
    <row r="579" ht="14.25" customHeight="1">
      <c r="E579" s="65"/>
      <c r="O579" s="66"/>
      <c r="P579" s="66"/>
      <c r="R579" s="66"/>
      <c r="S579" s="66"/>
      <c r="T579" s="66"/>
      <c r="U579" s="66"/>
    </row>
    <row r="580" ht="14.25" customHeight="1">
      <c r="E580" s="65"/>
      <c r="O580" s="66"/>
      <c r="P580" s="66"/>
      <c r="R580" s="66"/>
      <c r="S580" s="66"/>
      <c r="T580" s="66"/>
      <c r="U580" s="66"/>
    </row>
    <row r="581" ht="14.25" customHeight="1">
      <c r="E581" s="65"/>
      <c r="O581" s="66"/>
      <c r="P581" s="66"/>
      <c r="R581" s="66"/>
      <c r="S581" s="66"/>
      <c r="T581" s="66"/>
      <c r="U581" s="66"/>
    </row>
    <row r="582" ht="14.25" customHeight="1">
      <c r="E582" s="65"/>
      <c r="O582" s="66"/>
      <c r="P582" s="66"/>
      <c r="R582" s="66"/>
      <c r="S582" s="66"/>
      <c r="T582" s="66"/>
      <c r="U582" s="66"/>
    </row>
    <row r="583" ht="14.25" customHeight="1">
      <c r="E583" s="65"/>
      <c r="O583" s="66"/>
      <c r="P583" s="66"/>
      <c r="R583" s="66"/>
      <c r="S583" s="66"/>
      <c r="T583" s="66"/>
      <c r="U583" s="66"/>
    </row>
    <row r="584" ht="14.25" customHeight="1">
      <c r="E584" s="65"/>
      <c r="O584" s="66"/>
      <c r="P584" s="66"/>
      <c r="R584" s="66"/>
      <c r="S584" s="66"/>
      <c r="T584" s="66"/>
      <c r="U584" s="66"/>
    </row>
    <row r="585" ht="14.25" customHeight="1">
      <c r="E585" s="65"/>
      <c r="O585" s="66"/>
      <c r="P585" s="66"/>
      <c r="R585" s="66"/>
      <c r="S585" s="66"/>
      <c r="T585" s="66"/>
      <c r="U585" s="66"/>
    </row>
    <row r="586" ht="14.25" customHeight="1">
      <c r="E586" s="65"/>
      <c r="O586" s="66"/>
      <c r="P586" s="66"/>
      <c r="R586" s="66"/>
      <c r="S586" s="66"/>
      <c r="T586" s="66"/>
      <c r="U586" s="66"/>
    </row>
    <row r="587" ht="14.25" customHeight="1">
      <c r="E587" s="65"/>
      <c r="O587" s="66"/>
      <c r="P587" s="66"/>
      <c r="R587" s="66"/>
      <c r="S587" s="66"/>
      <c r="T587" s="66"/>
      <c r="U587" s="66"/>
    </row>
    <row r="588" ht="14.25" customHeight="1">
      <c r="E588" s="65"/>
      <c r="O588" s="66"/>
      <c r="P588" s="66"/>
      <c r="R588" s="66"/>
      <c r="S588" s="66"/>
      <c r="T588" s="66"/>
      <c r="U588" s="66"/>
    </row>
    <row r="589" ht="14.25" customHeight="1">
      <c r="E589" s="65"/>
      <c r="O589" s="66"/>
      <c r="P589" s="66"/>
      <c r="R589" s="66"/>
      <c r="S589" s="66"/>
      <c r="T589" s="66"/>
      <c r="U589" s="66"/>
    </row>
    <row r="590" ht="14.25" customHeight="1">
      <c r="E590" s="65"/>
      <c r="O590" s="66"/>
      <c r="P590" s="66"/>
      <c r="R590" s="66"/>
      <c r="S590" s="66"/>
      <c r="T590" s="66"/>
      <c r="U590" s="66"/>
    </row>
    <row r="591" ht="14.25" customHeight="1">
      <c r="E591" s="65"/>
      <c r="O591" s="66"/>
      <c r="P591" s="66"/>
      <c r="R591" s="66"/>
      <c r="S591" s="66"/>
      <c r="T591" s="66"/>
      <c r="U591" s="66"/>
    </row>
    <row r="592" ht="14.25" customHeight="1">
      <c r="E592" s="65"/>
      <c r="O592" s="66"/>
      <c r="P592" s="66"/>
      <c r="R592" s="66"/>
      <c r="S592" s="66"/>
      <c r="T592" s="66"/>
      <c r="U592" s="66"/>
    </row>
    <row r="593" ht="14.25" customHeight="1">
      <c r="E593" s="65"/>
      <c r="O593" s="66"/>
      <c r="P593" s="66"/>
      <c r="R593" s="66"/>
      <c r="S593" s="66"/>
      <c r="T593" s="66"/>
      <c r="U593" s="66"/>
    </row>
    <row r="594" ht="14.25" customHeight="1">
      <c r="E594" s="65"/>
      <c r="O594" s="66"/>
      <c r="P594" s="66"/>
      <c r="R594" s="66"/>
      <c r="S594" s="66"/>
      <c r="T594" s="66"/>
      <c r="U594" s="66"/>
    </row>
    <row r="595" ht="14.25" customHeight="1">
      <c r="E595" s="65"/>
      <c r="O595" s="66"/>
      <c r="P595" s="66"/>
      <c r="R595" s="66"/>
      <c r="S595" s="66"/>
      <c r="T595" s="66"/>
      <c r="U595" s="66"/>
    </row>
    <row r="596" ht="14.25" customHeight="1">
      <c r="E596" s="65"/>
      <c r="O596" s="66"/>
      <c r="P596" s="66"/>
      <c r="R596" s="66"/>
      <c r="S596" s="66"/>
      <c r="T596" s="66"/>
      <c r="U596" s="66"/>
    </row>
    <row r="597" ht="14.25" customHeight="1">
      <c r="E597" s="65"/>
      <c r="O597" s="66"/>
      <c r="P597" s="66"/>
      <c r="R597" s="66"/>
      <c r="S597" s="66"/>
      <c r="T597" s="66"/>
      <c r="U597" s="66"/>
    </row>
    <row r="598" ht="14.25" customHeight="1">
      <c r="E598" s="65"/>
      <c r="O598" s="66"/>
      <c r="P598" s="66"/>
      <c r="R598" s="66"/>
      <c r="S598" s="66"/>
      <c r="T598" s="66"/>
      <c r="U598" s="66"/>
    </row>
    <row r="599" ht="14.25" customHeight="1">
      <c r="E599" s="65"/>
      <c r="O599" s="66"/>
      <c r="P599" s="66"/>
      <c r="R599" s="66"/>
      <c r="S599" s="66"/>
      <c r="T599" s="66"/>
      <c r="U599" s="66"/>
    </row>
    <row r="600" ht="14.25" customHeight="1">
      <c r="E600" s="65"/>
      <c r="O600" s="66"/>
      <c r="P600" s="66"/>
      <c r="R600" s="66"/>
      <c r="S600" s="66"/>
      <c r="T600" s="66"/>
      <c r="U600" s="66"/>
    </row>
    <row r="601" ht="14.25" customHeight="1">
      <c r="E601" s="65"/>
      <c r="O601" s="66"/>
      <c r="P601" s="66"/>
      <c r="R601" s="66"/>
      <c r="S601" s="66"/>
      <c r="T601" s="66"/>
      <c r="U601" s="66"/>
    </row>
    <row r="602" ht="14.25" customHeight="1">
      <c r="E602" s="65"/>
      <c r="O602" s="66"/>
      <c r="P602" s="66"/>
      <c r="R602" s="66"/>
      <c r="S602" s="66"/>
      <c r="T602" s="66"/>
      <c r="U602" s="66"/>
    </row>
    <row r="603" ht="14.25" customHeight="1">
      <c r="E603" s="65"/>
      <c r="O603" s="66"/>
      <c r="P603" s="66"/>
      <c r="R603" s="66"/>
      <c r="S603" s="66"/>
      <c r="T603" s="66"/>
      <c r="U603" s="66"/>
    </row>
    <row r="604" ht="14.25" customHeight="1">
      <c r="E604" s="65"/>
      <c r="O604" s="66"/>
      <c r="P604" s="66"/>
      <c r="R604" s="66"/>
      <c r="S604" s="66"/>
      <c r="T604" s="66"/>
      <c r="U604" s="66"/>
    </row>
    <row r="605" ht="14.25" customHeight="1">
      <c r="E605" s="65"/>
      <c r="O605" s="66"/>
      <c r="P605" s="66"/>
      <c r="R605" s="66"/>
      <c r="S605" s="66"/>
      <c r="T605" s="66"/>
      <c r="U605" s="66"/>
    </row>
    <row r="606" ht="14.25" customHeight="1">
      <c r="E606" s="65"/>
      <c r="O606" s="66"/>
      <c r="P606" s="66"/>
      <c r="R606" s="66"/>
      <c r="S606" s="66"/>
      <c r="T606" s="66"/>
      <c r="U606" s="66"/>
    </row>
    <row r="607" ht="14.25" customHeight="1">
      <c r="E607" s="65"/>
      <c r="O607" s="66"/>
      <c r="P607" s="66"/>
      <c r="R607" s="66"/>
      <c r="S607" s="66"/>
      <c r="T607" s="66"/>
      <c r="U607" s="66"/>
    </row>
    <row r="608" ht="14.25" customHeight="1">
      <c r="E608" s="65"/>
      <c r="O608" s="66"/>
      <c r="P608" s="66"/>
      <c r="R608" s="66"/>
      <c r="S608" s="66"/>
      <c r="T608" s="66"/>
      <c r="U608" s="66"/>
    </row>
    <row r="609" ht="14.25" customHeight="1">
      <c r="E609" s="65"/>
      <c r="O609" s="66"/>
      <c r="P609" s="66"/>
      <c r="R609" s="66"/>
      <c r="S609" s="66"/>
      <c r="T609" s="66"/>
      <c r="U609" s="66"/>
    </row>
    <row r="610" ht="14.25" customHeight="1">
      <c r="E610" s="65"/>
      <c r="O610" s="66"/>
      <c r="P610" s="66"/>
      <c r="R610" s="66"/>
      <c r="S610" s="66"/>
      <c r="T610" s="66"/>
      <c r="U610" s="66"/>
    </row>
    <row r="611" ht="14.25" customHeight="1">
      <c r="E611" s="65"/>
      <c r="O611" s="66"/>
      <c r="P611" s="66"/>
      <c r="R611" s="66"/>
      <c r="S611" s="66"/>
      <c r="T611" s="66"/>
      <c r="U611" s="66"/>
    </row>
    <row r="612" ht="14.25" customHeight="1">
      <c r="E612" s="65"/>
      <c r="O612" s="66"/>
      <c r="P612" s="66"/>
      <c r="R612" s="66"/>
      <c r="S612" s="66"/>
      <c r="T612" s="66"/>
      <c r="U612" s="66"/>
    </row>
    <row r="613" ht="14.25" customHeight="1">
      <c r="E613" s="65"/>
      <c r="O613" s="66"/>
      <c r="P613" s="66"/>
      <c r="R613" s="66"/>
      <c r="S613" s="66"/>
      <c r="T613" s="66"/>
      <c r="U613" s="66"/>
    </row>
    <row r="614" ht="14.25" customHeight="1">
      <c r="E614" s="65"/>
      <c r="O614" s="66"/>
      <c r="P614" s="66"/>
      <c r="R614" s="66"/>
      <c r="S614" s="66"/>
      <c r="T614" s="66"/>
      <c r="U614" s="66"/>
    </row>
    <row r="615" ht="14.25" customHeight="1">
      <c r="E615" s="65"/>
      <c r="O615" s="66"/>
      <c r="P615" s="66"/>
      <c r="R615" s="66"/>
      <c r="S615" s="66"/>
      <c r="T615" s="66"/>
      <c r="U615" s="66"/>
    </row>
    <row r="616" ht="14.25" customHeight="1">
      <c r="E616" s="65"/>
      <c r="O616" s="66"/>
      <c r="P616" s="66"/>
      <c r="R616" s="66"/>
      <c r="S616" s="66"/>
      <c r="T616" s="66"/>
      <c r="U616" s="66"/>
    </row>
    <row r="617" ht="14.25" customHeight="1">
      <c r="E617" s="65"/>
      <c r="O617" s="66"/>
      <c r="P617" s="66"/>
      <c r="R617" s="66"/>
      <c r="S617" s="66"/>
      <c r="T617" s="66"/>
      <c r="U617" s="66"/>
    </row>
    <row r="618" ht="14.25" customHeight="1">
      <c r="E618" s="65"/>
      <c r="O618" s="66"/>
      <c r="P618" s="66"/>
      <c r="R618" s="66"/>
      <c r="S618" s="66"/>
      <c r="T618" s="66"/>
      <c r="U618" s="66"/>
    </row>
    <row r="619" ht="14.25" customHeight="1">
      <c r="E619" s="65"/>
      <c r="O619" s="66"/>
      <c r="P619" s="66"/>
      <c r="R619" s="66"/>
      <c r="S619" s="66"/>
      <c r="T619" s="66"/>
      <c r="U619" s="66"/>
    </row>
    <row r="620" ht="14.25" customHeight="1">
      <c r="E620" s="65"/>
      <c r="O620" s="66"/>
      <c r="P620" s="66"/>
      <c r="R620" s="66"/>
      <c r="S620" s="66"/>
      <c r="T620" s="66"/>
      <c r="U620" s="66"/>
    </row>
    <row r="621" ht="14.25" customHeight="1">
      <c r="E621" s="65"/>
      <c r="O621" s="66"/>
      <c r="P621" s="66"/>
      <c r="R621" s="66"/>
      <c r="S621" s="66"/>
      <c r="T621" s="66"/>
      <c r="U621" s="66"/>
    </row>
    <row r="622" ht="14.25" customHeight="1">
      <c r="E622" s="65"/>
      <c r="O622" s="66"/>
      <c r="P622" s="66"/>
      <c r="R622" s="66"/>
      <c r="S622" s="66"/>
      <c r="T622" s="66"/>
      <c r="U622" s="66"/>
    </row>
    <row r="623" ht="14.25" customHeight="1">
      <c r="E623" s="65"/>
      <c r="O623" s="66"/>
      <c r="P623" s="66"/>
      <c r="R623" s="66"/>
      <c r="S623" s="66"/>
      <c r="T623" s="66"/>
      <c r="U623" s="66"/>
    </row>
    <row r="624" ht="14.25" customHeight="1">
      <c r="E624" s="65"/>
      <c r="O624" s="66"/>
      <c r="P624" s="66"/>
      <c r="R624" s="66"/>
      <c r="S624" s="66"/>
      <c r="T624" s="66"/>
      <c r="U624" s="66"/>
    </row>
    <row r="625" ht="14.25" customHeight="1">
      <c r="E625" s="65"/>
      <c r="O625" s="66"/>
      <c r="P625" s="66"/>
      <c r="R625" s="66"/>
      <c r="S625" s="66"/>
      <c r="T625" s="66"/>
      <c r="U625" s="66"/>
    </row>
    <row r="626" ht="14.25" customHeight="1">
      <c r="E626" s="65"/>
      <c r="O626" s="66"/>
      <c r="P626" s="66"/>
      <c r="R626" s="66"/>
      <c r="S626" s="66"/>
      <c r="T626" s="66"/>
      <c r="U626" s="66"/>
    </row>
    <row r="627" ht="14.25" customHeight="1">
      <c r="E627" s="65"/>
      <c r="O627" s="66"/>
      <c r="P627" s="66"/>
      <c r="R627" s="66"/>
      <c r="S627" s="66"/>
      <c r="T627" s="66"/>
      <c r="U627" s="66"/>
    </row>
    <row r="628" ht="14.25" customHeight="1">
      <c r="E628" s="65"/>
      <c r="O628" s="66"/>
      <c r="P628" s="66"/>
      <c r="R628" s="66"/>
      <c r="S628" s="66"/>
      <c r="T628" s="66"/>
      <c r="U628" s="66"/>
    </row>
    <row r="629" ht="14.25" customHeight="1">
      <c r="E629" s="65"/>
      <c r="O629" s="66"/>
      <c r="P629" s="66"/>
      <c r="R629" s="66"/>
      <c r="S629" s="66"/>
      <c r="T629" s="66"/>
      <c r="U629" s="66"/>
    </row>
    <row r="630" ht="14.25" customHeight="1">
      <c r="E630" s="65"/>
      <c r="O630" s="66"/>
      <c r="P630" s="66"/>
      <c r="R630" s="66"/>
      <c r="S630" s="66"/>
      <c r="T630" s="66"/>
      <c r="U630" s="66"/>
    </row>
    <row r="631" ht="14.25" customHeight="1">
      <c r="E631" s="65"/>
      <c r="O631" s="66"/>
      <c r="P631" s="66"/>
      <c r="R631" s="66"/>
      <c r="S631" s="66"/>
      <c r="T631" s="66"/>
      <c r="U631" s="66"/>
    </row>
    <row r="632" ht="14.25" customHeight="1">
      <c r="E632" s="65"/>
      <c r="O632" s="66"/>
      <c r="P632" s="66"/>
      <c r="R632" s="66"/>
      <c r="S632" s="66"/>
      <c r="T632" s="66"/>
      <c r="U632" s="66"/>
    </row>
    <row r="633" ht="14.25" customHeight="1">
      <c r="E633" s="65"/>
      <c r="O633" s="66"/>
      <c r="P633" s="66"/>
      <c r="R633" s="66"/>
      <c r="S633" s="66"/>
      <c r="T633" s="66"/>
      <c r="U633" s="66"/>
    </row>
    <row r="634" ht="14.25" customHeight="1">
      <c r="E634" s="65"/>
      <c r="O634" s="66"/>
      <c r="P634" s="66"/>
      <c r="R634" s="66"/>
      <c r="S634" s="66"/>
      <c r="T634" s="66"/>
      <c r="U634" s="66"/>
    </row>
    <row r="635" ht="14.25" customHeight="1">
      <c r="E635" s="65"/>
      <c r="O635" s="66"/>
      <c r="P635" s="66"/>
      <c r="R635" s="66"/>
      <c r="S635" s="66"/>
      <c r="T635" s="66"/>
      <c r="U635" s="66"/>
    </row>
    <row r="636" ht="14.25" customHeight="1">
      <c r="E636" s="65"/>
      <c r="O636" s="66"/>
      <c r="P636" s="66"/>
      <c r="R636" s="66"/>
      <c r="S636" s="66"/>
      <c r="T636" s="66"/>
      <c r="U636" s="66"/>
    </row>
    <row r="637" ht="14.25" customHeight="1">
      <c r="E637" s="65"/>
      <c r="O637" s="66"/>
      <c r="P637" s="66"/>
      <c r="R637" s="66"/>
      <c r="S637" s="66"/>
      <c r="T637" s="66"/>
      <c r="U637" s="66"/>
    </row>
    <row r="638" ht="14.25" customHeight="1">
      <c r="E638" s="65"/>
      <c r="O638" s="66"/>
      <c r="P638" s="66"/>
      <c r="R638" s="66"/>
      <c r="S638" s="66"/>
      <c r="T638" s="66"/>
      <c r="U638" s="66"/>
    </row>
    <row r="639" ht="14.25" customHeight="1">
      <c r="E639" s="65"/>
      <c r="O639" s="66"/>
      <c r="P639" s="66"/>
      <c r="R639" s="66"/>
      <c r="S639" s="66"/>
      <c r="T639" s="66"/>
      <c r="U639" s="66"/>
    </row>
    <row r="640" ht="14.25" customHeight="1">
      <c r="E640" s="65"/>
      <c r="O640" s="66"/>
      <c r="P640" s="66"/>
      <c r="R640" s="66"/>
      <c r="S640" s="66"/>
      <c r="T640" s="66"/>
      <c r="U640" s="66"/>
    </row>
    <row r="641" ht="14.25" customHeight="1">
      <c r="E641" s="65"/>
      <c r="O641" s="66"/>
      <c r="P641" s="66"/>
      <c r="R641" s="66"/>
      <c r="S641" s="66"/>
      <c r="T641" s="66"/>
      <c r="U641" s="66"/>
    </row>
    <row r="642" ht="14.25" customHeight="1">
      <c r="E642" s="65"/>
      <c r="O642" s="66"/>
      <c r="P642" s="66"/>
      <c r="R642" s="66"/>
      <c r="S642" s="66"/>
      <c r="T642" s="66"/>
      <c r="U642" s="66"/>
    </row>
    <row r="643" ht="14.25" customHeight="1">
      <c r="E643" s="65"/>
      <c r="O643" s="66"/>
      <c r="P643" s="66"/>
      <c r="R643" s="66"/>
      <c r="S643" s="66"/>
      <c r="T643" s="66"/>
      <c r="U643" s="66"/>
    </row>
    <row r="644" ht="14.25" customHeight="1">
      <c r="E644" s="65"/>
      <c r="O644" s="66"/>
      <c r="P644" s="66"/>
      <c r="R644" s="66"/>
      <c r="S644" s="66"/>
      <c r="T644" s="66"/>
      <c r="U644" s="66"/>
    </row>
    <row r="645" ht="14.25" customHeight="1">
      <c r="E645" s="65"/>
      <c r="O645" s="66"/>
      <c r="P645" s="66"/>
      <c r="R645" s="66"/>
      <c r="S645" s="66"/>
      <c r="T645" s="66"/>
      <c r="U645" s="66"/>
    </row>
    <row r="646" ht="14.25" customHeight="1">
      <c r="E646" s="65"/>
      <c r="O646" s="66"/>
      <c r="P646" s="66"/>
      <c r="R646" s="66"/>
      <c r="S646" s="66"/>
      <c r="T646" s="66"/>
      <c r="U646" s="66"/>
    </row>
    <row r="647" ht="14.25" customHeight="1">
      <c r="E647" s="65"/>
      <c r="O647" s="66"/>
      <c r="P647" s="66"/>
      <c r="R647" s="66"/>
      <c r="S647" s="66"/>
      <c r="T647" s="66"/>
      <c r="U647" s="66"/>
    </row>
    <row r="648" ht="14.25" customHeight="1">
      <c r="E648" s="65"/>
      <c r="O648" s="66"/>
      <c r="P648" s="66"/>
      <c r="R648" s="66"/>
      <c r="S648" s="66"/>
      <c r="T648" s="66"/>
      <c r="U648" s="66"/>
    </row>
    <row r="649" ht="14.25" customHeight="1">
      <c r="E649" s="65"/>
      <c r="O649" s="66"/>
      <c r="P649" s="66"/>
      <c r="R649" s="66"/>
      <c r="S649" s="66"/>
      <c r="T649" s="66"/>
      <c r="U649" s="66"/>
    </row>
    <row r="650" ht="14.25" customHeight="1">
      <c r="E650" s="65"/>
      <c r="O650" s="66"/>
      <c r="P650" s="66"/>
      <c r="R650" s="66"/>
      <c r="S650" s="66"/>
      <c r="T650" s="66"/>
      <c r="U650" s="66"/>
    </row>
    <row r="651" ht="14.25" customHeight="1">
      <c r="E651" s="65"/>
      <c r="O651" s="66"/>
      <c r="P651" s="66"/>
      <c r="R651" s="66"/>
      <c r="S651" s="66"/>
      <c r="T651" s="66"/>
      <c r="U651" s="66"/>
    </row>
    <row r="652" ht="14.25" customHeight="1">
      <c r="E652" s="65"/>
      <c r="O652" s="66"/>
      <c r="P652" s="66"/>
      <c r="R652" s="66"/>
      <c r="S652" s="66"/>
      <c r="T652" s="66"/>
      <c r="U652" s="66"/>
    </row>
    <row r="653" ht="14.25" customHeight="1">
      <c r="E653" s="65"/>
      <c r="O653" s="66"/>
      <c r="P653" s="66"/>
      <c r="R653" s="66"/>
      <c r="S653" s="66"/>
      <c r="T653" s="66"/>
      <c r="U653" s="66"/>
    </row>
    <row r="654" ht="14.25" customHeight="1">
      <c r="E654" s="65"/>
      <c r="O654" s="66"/>
      <c r="P654" s="66"/>
      <c r="R654" s="66"/>
      <c r="S654" s="66"/>
      <c r="T654" s="66"/>
      <c r="U654" s="66"/>
    </row>
    <row r="655" ht="14.25" customHeight="1">
      <c r="E655" s="65"/>
      <c r="O655" s="66"/>
      <c r="P655" s="66"/>
      <c r="R655" s="66"/>
      <c r="S655" s="66"/>
      <c r="T655" s="66"/>
      <c r="U655" s="66"/>
    </row>
    <row r="656" ht="14.25" customHeight="1">
      <c r="E656" s="65"/>
      <c r="O656" s="66"/>
      <c r="P656" s="66"/>
      <c r="R656" s="66"/>
      <c r="S656" s="66"/>
      <c r="T656" s="66"/>
      <c r="U656" s="66"/>
    </row>
    <row r="657" ht="14.25" customHeight="1">
      <c r="E657" s="65"/>
      <c r="O657" s="66"/>
      <c r="P657" s="66"/>
      <c r="R657" s="66"/>
      <c r="S657" s="66"/>
      <c r="T657" s="66"/>
      <c r="U657" s="66"/>
    </row>
    <row r="658" ht="14.25" customHeight="1">
      <c r="E658" s="65"/>
      <c r="O658" s="66"/>
      <c r="P658" s="66"/>
      <c r="R658" s="66"/>
      <c r="S658" s="66"/>
      <c r="T658" s="66"/>
      <c r="U658" s="66"/>
    </row>
    <row r="659" ht="14.25" customHeight="1">
      <c r="E659" s="65"/>
      <c r="O659" s="66"/>
      <c r="P659" s="66"/>
      <c r="R659" s="66"/>
      <c r="S659" s="66"/>
      <c r="T659" s="66"/>
      <c r="U659" s="66"/>
    </row>
    <row r="660" ht="14.25" customHeight="1">
      <c r="E660" s="65"/>
      <c r="O660" s="66"/>
      <c r="P660" s="66"/>
      <c r="R660" s="66"/>
      <c r="S660" s="66"/>
      <c r="T660" s="66"/>
      <c r="U660" s="66"/>
    </row>
    <row r="661" ht="14.25" customHeight="1">
      <c r="E661" s="65"/>
      <c r="O661" s="66"/>
      <c r="P661" s="66"/>
      <c r="R661" s="66"/>
      <c r="S661" s="66"/>
      <c r="T661" s="66"/>
      <c r="U661" s="66"/>
    </row>
    <row r="662" ht="14.25" customHeight="1">
      <c r="E662" s="65"/>
      <c r="O662" s="66"/>
      <c r="P662" s="66"/>
      <c r="R662" s="66"/>
      <c r="S662" s="66"/>
      <c r="T662" s="66"/>
      <c r="U662" s="66"/>
    </row>
    <row r="663" ht="14.25" customHeight="1">
      <c r="E663" s="65"/>
      <c r="O663" s="66"/>
      <c r="P663" s="66"/>
      <c r="R663" s="66"/>
      <c r="S663" s="66"/>
      <c r="T663" s="66"/>
      <c r="U663" s="66"/>
    </row>
    <row r="664" ht="14.25" customHeight="1">
      <c r="E664" s="65"/>
      <c r="O664" s="66"/>
      <c r="P664" s="66"/>
      <c r="R664" s="66"/>
      <c r="S664" s="66"/>
      <c r="T664" s="66"/>
      <c r="U664" s="66"/>
    </row>
    <row r="665" ht="14.25" customHeight="1">
      <c r="E665" s="65"/>
      <c r="O665" s="66"/>
      <c r="P665" s="66"/>
      <c r="R665" s="66"/>
      <c r="S665" s="66"/>
      <c r="T665" s="66"/>
      <c r="U665" s="66"/>
    </row>
    <row r="666" ht="14.25" customHeight="1">
      <c r="E666" s="65"/>
      <c r="O666" s="66"/>
      <c r="P666" s="66"/>
      <c r="R666" s="66"/>
      <c r="S666" s="66"/>
      <c r="T666" s="66"/>
      <c r="U666" s="66"/>
    </row>
    <row r="667" ht="14.25" customHeight="1">
      <c r="E667" s="65"/>
      <c r="O667" s="66"/>
      <c r="P667" s="66"/>
      <c r="R667" s="66"/>
      <c r="S667" s="66"/>
      <c r="T667" s="66"/>
      <c r="U667" s="66"/>
    </row>
    <row r="668" ht="14.25" customHeight="1">
      <c r="E668" s="65"/>
      <c r="O668" s="66"/>
      <c r="P668" s="66"/>
      <c r="R668" s="66"/>
      <c r="S668" s="66"/>
      <c r="T668" s="66"/>
      <c r="U668" s="66"/>
    </row>
    <row r="669" ht="14.25" customHeight="1">
      <c r="E669" s="65"/>
      <c r="O669" s="66"/>
      <c r="P669" s="66"/>
      <c r="R669" s="66"/>
      <c r="S669" s="66"/>
      <c r="T669" s="66"/>
      <c r="U669" s="66"/>
    </row>
    <row r="670" ht="14.25" customHeight="1">
      <c r="E670" s="65"/>
      <c r="O670" s="66"/>
      <c r="P670" s="66"/>
      <c r="R670" s="66"/>
      <c r="S670" s="66"/>
      <c r="T670" s="66"/>
      <c r="U670" s="66"/>
    </row>
    <row r="671" ht="14.25" customHeight="1">
      <c r="E671" s="65"/>
      <c r="O671" s="66"/>
      <c r="P671" s="66"/>
      <c r="R671" s="66"/>
      <c r="S671" s="66"/>
      <c r="T671" s="66"/>
      <c r="U671" s="66"/>
    </row>
    <row r="672" ht="14.25" customHeight="1">
      <c r="E672" s="65"/>
      <c r="O672" s="66"/>
      <c r="P672" s="66"/>
      <c r="R672" s="66"/>
      <c r="S672" s="66"/>
      <c r="T672" s="66"/>
      <c r="U672" s="66"/>
    </row>
    <row r="673" ht="14.25" customHeight="1">
      <c r="E673" s="65"/>
      <c r="O673" s="66"/>
      <c r="P673" s="66"/>
      <c r="R673" s="66"/>
      <c r="S673" s="66"/>
      <c r="T673" s="66"/>
      <c r="U673" s="66"/>
    </row>
    <row r="674" ht="14.25" customHeight="1">
      <c r="E674" s="65"/>
      <c r="O674" s="66"/>
      <c r="P674" s="66"/>
      <c r="R674" s="66"/>
      <c r="S674" s="66"/>
      <c r="T674" s="66"/>
      <c r="U674" s="66"/>
    </row>
    <row r="675" ht="14.25" customHeight="1">
      <c r="E675" s="65"/>
      <c r="O675" s="66"/>
      <c r="P675" s="66"/>
      <c r="R675" s="66"/>
      <c r="S675" s="66"/>
      <c r="T675" s="66"/>
      <c r="U675" s="66"/>
    </row>
    <row r="676" ht="14.25" customHeight="1">
      <c r="E676" s="65"/>
      <c r="O676" s="66"/>
      <c r="P676" s="66"/>
      <c r="R676" s="66"/>
      <c r="S676" s="66"/>
      <c r="T676" s="66"/>
      <c r="U676" s="66"/>
    </row>
    <row r="677" ht="14.25" customHeight="1">
      <c r="E677" s="65"/>
      <c r="O677" s="66"/>
      <c r="P677" s="66"/>
      <c r="R677" s="66"/>
      <c r="S677" s="66"/>
      <c r="T677" s="66"/>
      <c r="U677" s="66"/>
    </row>
    <row r="678" ht="14.25" customHeight="1">
      <c r="E678" s="65"/>
      <c r="O678" s="66"/>
      <c r="P678" s="66"/>
      <c r="R678" s="66"/>
      <c r="S678" s="66"/>
      <c r="T678" s="66"/>
      <c r="U678" s="66"/>
    </row>
    <row r="679" ht="14.25" customHeight="1">
      <c r="E679" s="65"/>
      <c r="O679" s="66"/>
      <c r="P679" s="66"/>
      <c r="R679" s="66"/>
      <c r="S679" s="66"/>
      <c r="T679" s="66"/>
      <c r="U679" s="66"/>
    </row>
    <row r="680" ht="14.25" customHeight="1">
      <c r="E680" s="65"/>
      <c r="O680" s="66"/>
      <c r="P680" s="66"/>
      <c r="R680" s="66"/>
      <c r="S680" s="66"/>
      <c r="T680" s="66"/>
      <c r="U680" s="66"/>
    </row>
    <row r="681" ht="14.25" customHeight="1">
      <c r="E681" s="65"/>
      <c r="O681" s="66"/>
      <c r="P681" s="66"/>
      <c r="R681" s="66"/>
      <c r="S681" s="66"/>
      <c r="T681" s="66"/>
      <c r="U681" s="66"/>
    </row>
    <row r="682" ht="14.25" customHeight="1">
      <c r="E682" s="65"/>
      <c r="O682" s="66"/>
      <c r="P682" s="66"/>
      <c r="R682" s="66"/>
      <c r="S682" s="66"/>
      <c r="T682" s="66"/>
      <c r="U682" s="66"/>
    </row>
    <row r="683" ht="14.25" customHeight="1">
      <c r="E683" s="65"/>
      <c r="O683" s="66"/>
      <c r="P683" s="66"/>
      <c r="R683" s="66"/>
      <c r="S683" s="66"/>
      <c r="T683" s="66"/>
      <c r="U683" s="66"/>
    </row>
    <row r="684" ht="14.25" customHeight="1">
      <c r="E684" s="65"/>
      <c r="O684" s="66"/>
      <c r="P684" s="66"/>
      <c r="R684" s="66"/>
      <c r="S684" s="66"/>
      <c r="T684" s="66"/>
      <c r="U684" s="66"/>
    </row>
    <row r="685" ht="14.25" customHeight="1">
      <c r="E685" s="65"/>
      <c r="O685" s="66"/>
      <c r="P685" s="66"/>
      <c r="R685" s="66"/>
      <c r="S685" s="66"/>
      <c r="T685" s="66"/>
      <c r="U685" s="66"/>
    </row>
    <row r="686" ht="14.25" customHeight="1">
      <c r="E686" s="65"/>
      <c r="O686" s="66"/>
      <c r="P686" s="66"/>
      <c r="R686" s="66"/>
      <c r="S686" s="66"/>
      <c r="T686" s="66"/>
      <c r="U686" s="66"/>
    </row>
    <row r="687" ht="14.25" customHeight="1">
      <c r="E687" s="65"/>
      <c r="O687" s="66"/>
      <c r="P687" s="66"/>
      <c r="R687" s="66"/>
      <c r="S687" s="66"/>
      <c r="T687" s="66"/>
      <c r="U687" s="66"/>
    </row>
    <row r="688" ht="14.25" customHeight="1">
      <c r="E688" s="65"/>
      <c r="O688" s="66"/>
      <c r="P688" s="66"/>
      <c r="R688" s="66"/>
      <c r="S688" s="66"/>
      <c r="T688" s="66"/>
      <c r="U688" s="66"/>
    </row>
    <row r="689" ht="14.25" customHeight="1">
      <c r="E689" s="65"/>
      <c r="O689" s="66"/>
      <c r="P689" s="66"/>
      <c r="R689" s="66"/>
      <c r="S689" s="66"/>
      <c r="T689" s="66"/>
      <c r="U689" s="66"/>
    </row>
    <row r="690" ht="14.25" customHeight="1">
      <c r="E690" s="65"/>
      <c r="O690" s="66"/>
      <c r="P690" s="66"/>
      <c r="R690" s="66"/>
      <c r="S690" s="66"/>
      <c r="T690" s="66"/>
      <c r="U690" s="66"/>
    </row>
    <row r="691" ht="14.25" customHeight="1">
      <c r="E691" s="65"/>
      <c r="O691" s="66"/>
      <c r="P691" s="66"/>
      <c r="R691" s="66"/>
      <c r="S691" s="66"/>
      <c r="T691" s="66"/>
      <c r="U691" s="66"/>
    </row>
    <row r="692" ht="14.25" customHeight="1">
      <c r="E692" s="65"/>
      <c r="O692" s="66"/>
      <c r="P692" s="66"/>
      <c r="R692" s="66"/>
      <c r="S692" s="66"/>
      <c r="T692" s="66"/>
      <c r="U692" s="66"/>
    </row>
    <row r="693" ht="14.25" customHeight="1">
      <c r="E693" s="65"/>
      <c r="O693" s="66"/>
      <c r="P693" s="66"/>
      <c r="R693" s="66"/>
      <c r="S693" s="66"/>
      <c r="T693" s="66"/>
      <c r="U693" s="66"/>
    </row>
    <row r="694" ht="14.25" customHeight="1">
      <c r="E694" s="65"/>
      <c r="O694" s="66"/>
      <c r="P694" s="66"/>
      <c r="R694" s="66"/>
      <c r="S694" s="66"/>
      <c r="T694" s="66"/>
      <c r="U694" s="66"/>
    </row>
    <row r="695" ht="14.25" customHeight="1">
      <c r="E695" s="65"/>
      <c r="O695" s="66"/>
      <c r="P695" s="66"/>
      <c r="R695" s="66"/>
      <c r="S695" s="66"/>
      <c r="T695" s="66"/>
      <c r="U695" s="66"/>
    </row>
    <row r="696" ht="14.25" customHeight="1">
      <c r="E696" s="65"/>
      <c r="O696" s="66"/>
      <c r="P696" s="66"/>
      <c r="R696" s="66"/>
      <c r="S696" s="66"/>
      <c r="T696" s="66"/>
      <c r="U696" s="66"/>
    </row>
    <row r="697" ht="14.25" customHeight="1">
      <c r="E697" s="65"/>
      <c r="O697" s="66"/>
      <c r="P697" s="66"/>
      <c r="R697" s="66"/>
      <c r="S697" s="66"/>
      <c r="T697" s="66"/>
      <c r="U697" s="66"/>
    </row>
    <row r="698" ht="14.25" customHeight="1">
      <c r="E698" s="65"/>
      <c r="O698" s="66"/>
      <c r="P698" s="66"/>
      <c r="R698" s="66"/>
      <c r="S698" s="66"/>
      <c r="T698" s="66"/>
      <c r="U698" s="66"/>
    </row>
    <row r="699" ht="14.25" customHeight="1">
      <c r="E699" s="65"/>
      <c r="O699" s="66"/>
      <c r="P699" s="66"/>
      <c r="R699" s="66"/>
      <c r="S699" s="66"/>
      <c r="T699" s="66"/>
      <c r="U699" s="66"/>
    </row>
    <row r="700" ht="14.25" customHeight="1">
      <c r="E700" s="65"/>
      <c r="O700" s="66"/>
      <c r="P700" s="66"/>
      <c r="R700" s="66"/>
      <c r="S700" s="66"/>
      <c r="T700" s="66"/>
      <c r="U700" s="66"/>
    </row>
    <row r="701" ht="14.25" customHeight="1">
      <c r="E701" s="65"/>
      <c r="O701" s="66"/>
      <c r="P701" s="66"/>
      <c r="R701" s="66"/>
      <c r="S701" s="66"/>
      <c r="T701" s="66"/>
      <c r="U701" s="66"/>
    </row>
    <row r="702" ht="14.25" customHeight="1">
      <c r="E702" s="65"/>
      <c r="O702" s="66"/>
      <c r="P702" s="66"/>
      <c r="R702" s="66"/>
      <c r="S702" s="66"/>
      <c r="T702" s="66"/>
      <c r="U702" s="66"/>
    </row>
    <row r="703" ht="14.25" customHeight="1">
      <c r="E703" s="65"/>
      <c r="O703" s="66"/>
      <c r="P703" s="66"/>
      <c r="R703" s="66"/>
      <c r="S703" s="66"/>
      <c r="T703" s="66"/>
      <c r="U703" s="66"/>
    </row>
    <row r="704" ht="14.25" customHeight="1">
      <c r="E704" s="65"/>
      <c r="O704" s="66"/>
      <c r="P704" s="66"/>
      <c r="R704" s="66"/>
      <c r="S704" s="66"/>
      <c r="T704" s="66"/>
      <c r="U704" s="66"/>
    </row>
    <row r="705" ht="14.25" customHeight="1">
      <c r="E705" s="65"/>
      <c r="O705" s="66"/>
      <c r="P705" s="66"/>
      <c r="R705" s="66"/>
      <c r="S705" s="66"/>
      <c r="T705" s="66"/>
      <c r="U705" s="66"/>
    </row>
    <row r="706" ht="14.25" customHeight="1">
      <c r="E706" s="65"/>
      <c r="O706" s="66"/>
      <c r="P706" s="66"/>
      <c r="R706" s="66"/>
      <c r="S706" s="66"/>
      <c r="T706" s="66"/>
      <c r="U706" s="66"/>
    </row>
    <row r="707" ht="14.25" customHeight="1">
      <c r="E707" s="65"/>
      <c r="O707" s="66"/>
      <c r="P707" s="66"/>
      <c r="R707" s="66"/>
      <c r="S707" s="66"/>
      <c r="T707" s="66"/>
      <c r="U707" s="66"/>
    </row>
    <row r="708" ht="14.25" customHeight="1">
      <c r="E708" s="65"/>
      <c r="O708" s="66"/>
      <c r="P708" s="66"/>
      <c r="R708" s="66"/>
      <c r="S708" s="66"/>
      <c r="T708" s="66"/>
      <c r="U708" s="66"/>
    </row>
    <row r="709" ht="14.25" customHeight="1">
      <c r="E709" s="65"/>
      <c r="O709" s="66"/>
      <c r="P709" s="66"/>
      <c r="R709" s="66"/>
      <c r="S709" s="66"/>
      <c r="T709" s="66"/>
      <c r="U709" s="66"/>
    </row>
    <row r="710" ht="14.25" customHeight="1">
      <c r="E710" s="65"/>
      <c r="O710" s="66"/>
      <c r="P710" s="66"/>
      <c r="R710" s="66"/>
      <c r="S710" s="66"/>
      <c r="T710" s="66"/>
      <c r="U710" s="66"/>
    </row>
    <row r="711" ht="14.25" customHeight="1">
      <c r="E711" s="65"/>
      <c r="O711" s="66"/>
      <c r="P711" s="66"/>
      <c r="R711" s="66"/>
      <c r="S711" s="66"/>
      <c r="T711" s="66"/>
      <c r="U711" s="66"/>
    </row>
    <row r="712" ht="14.25" customHeight="1">
      <c r="E712" s="65"/>
      <c r="O712" s="66"/>
      <c r="P712" s="66"/>
      <c r="R712" s="66"/>
      <c r="S712" s="66"/>
      <c r="T712" s="66"/>
      <c r="U712" s="66"/>
    </row>
    <row r="713" ht="14.25" customHeight="1">
      <c r="E713" s="65"/>
      <c r="O713" s="66"/>
      <c r="P713" s="66"/>
      <c r="R713" s="66"/>
      <c r="S713" s="66"/>
      <c r="T713" s="66"/>
      <c r="U713" s="66"/>
    </row>
    <row r="714" ht="14.25" customHeight="1">
      <c r="E714" s="65"/>
      <c r="O714" s="66"/>
      <c r="P714" s="66"/>
      <c r="R714" s="66"/>
      <c r="S714" s="66"/>
      <c r="T714" s="66"/>
      <c r="U714" s="66"/>
    </row>
    <row r="715" ht="14.25" customHeight="1">
      <c r="E715" s="65"/>
      <c r="O715" s="66"/>
      <c r="P715" s="66"/>
      <c r="R715" s="66"/>
      <c r="S715" s="66"/>
      <c r="T715" s="66"/>
      <c r="U715" s="66"/>
    </row>
    <row r="716" ht="14.25" customHeight="1">
      <c r="E716" s="65"/>
      <c r="O716" s="66"/>
      <c r="P716" s="66"/>
      <c r="R716" s="66"/>
      <c r="S716" s="66"/>
      <c r="T716" s="66"/>
      <c r="U716" s="66"/>
    </row>
    <row r="717" ht="14.25" customHeight="1">
      <c r="E717" s="65"/>
      <c r="O717" s="66"/>
      <c r="P717" s="66"/>
      <c r="R717" s="66"/>
      <c r="S717" s="66"/>
      <c r="T717" s="66"/>
      <c r="U717" s="66"/>
    </row>
    <row r="718" ht="14.25" customHeight="1">
      <c r="E718" s="65"/>
      <c r="O718" s="66"/>
      <c r="P718" s="66"/>
      <c r="R718" s="66"/>
      <c r="S718" s="66"/>
      <c r="T718" s="66"/>
      <c r="U718" s="66"/>
    </row>
    <row r="719" ht="14.25" customHeight="1">
      <c r="E719" s="65"/>
      <c r="O719" s="66"/>
      <c r="P719" s="66"/>
      <c r="R719" s="66"/>
      <c r="S719" s="66"/>
      <c r="T719" s="66"/>
      <c r="U719" s="66"/>
    </row>
    <row r="720" ht="14.25" customHeight="1">
      <c r="E720" s="65"/>
      <c r="O720" s="66"/>
      <c r="P720" s="66"/>
      <c r="R720" s="66"/>
      <c r="S720" s="66"/>
      <c r="T720" s="66"/>
      <c r="U720" s="66"/>
    </row>
    <row r="721" ht="14.25" customHeight="1">
      <c r="E721" s="65"/>
      <c r="O721" s="66"/>
      <c r="P721" s="66"/>
      <c r="R721" s="66"/>
      <c r="S721" s="66"/>
      <c r="T721" s="66"/>
      <c r="U721" s="66"/>
    </row>
    <row r="722" ht="14.25" customHeight="1">
      <c r="E722" s="65"/>
      <c r="O722" s="66"/>
      <c r="P722" s="66"/>
      <c r="R722" s="66"/>
      <c r="S722" s="66"/>
      <c r="T722" s="66"/>
      <c r="U722" s="66"/>
    </row>
    <row r="723" ht="14.25" customHeight="1">
      <c r="E723" s="65"/>
      <c r="O723" s="66"/>
      <c r="P723" s="66"/>
      <c r="R723" s="66"/>
      <c r="S723" s="66"/>
      <c r="T723" s="66"/>
      <c r="U723" s="66"/>
    </row>
    <row r="724" ht="14.25" customHeight="1">
      <c r="E724" s="65"/>
      <c r="O724" s="66"/>
      <c r="P724" s="66"/>
      <c r="R724" s="66"/>
      <c r="S724" s="66"/>
      <c r="T724" s="66"/>
      <c r="U724" s="66"/>
    </row>
    <row r="725" ht="14.25" customHeight="1">
      <c r="E725" s="65"/>
      <c r="O725" s="66"/>
      <c r="P725" s="66"/>
      <c r="R725" s="66"/>
      <c r="S725" s="66"/>
      <c r="T725" s="66"/>
      <c r="U725" s="66"/>
    </row>
    <row r="726" ht="14.25" customHeight="1">
      <c r="E726" s="65"/>
      <c r="O726" s="66"/>
      <c r="P726" s="66"/>
      <c r="R726" s="66"/>
      <c r="S726" s="66"/>
      <c r="T726" s="66"/>
      <c r="U726" s="66"/>
    </row>
    <row r="727" ht="14.25" customHeight="1">
      <c r="E727" s="65"/>
      <c r="O727" s="66"/>
      <c r="P727" s="66"/>
      <c r="R727" s="66"/>
      <c r="S727" s="66"/>
      <c r="T727" s="66"/>
      <c r="U727" s="66"/>
    </row>
    <row r="728" ht="14.25" customHeight="1">
      <c r="E728" s="65"/>
      <c r="O728" s="66"/>
      <c r="P728" s="66"/>
      <c r="R728" s="66"/>
      <c r="S728" s="66"/>
      <c r="T728" s="66"/>
      <c r="U728" s="66"/>
    </row>
    <row r="729" ht="14.25" customHeight="1">
      <c r="E729" s="65"/>
      <c r="O729" s="66"/>
      <c r="P729" s="66"/>
      <c r="R729" s="66"/>
      <c r="S729" s="66"/>
      <c r="T729" s="66"/>
      <c r="U729" s="66"/>
    </row>
    <row r="730" ht="14.25" customHeight="1">
      <c r="E730" s="65"/>
      <c r="O730" s="66"/>
      <c r="P730" s="66"/>
      <c r="R730" s="66"/>
      <c r="S730" s="66"/>
      <c r="T730" s="66"/>
      <c r="U730" s="66"/>
    </row>
    <row r="731" ht="14.25" customHeight="1">
      <c r="E731" s="65"/>
      <c r="O731" s="66"/>
      <c r="P731" s="66"/>
      <c r="R731" s="66"/>
      <c r="S731" s="66"/>
      <c r="T731" s="66"/>
      <c r="U731" s="66"/>
    </row>
    <row r="732" ht="14.25" customHeight="1">
      <c r="E732" s="65"/>
      <c r="O732" s="66"/>
      <c r="P732" s="66"/>
      <c r="R732" s="66"/>
      <c r="S732" s="66"/>
      <c r="T732" s="66"/>
      <c r="U732" s="66"/>
    </row>
    <row r="733" ht="14.25" customHeight="1">
      <c r="E733" s="65"/>
      <c r="O733" s="66"/>
      <c r="P733" s="66"/>
      <c r="R733" s="66"/>
      <c r="S733" s="66"/>
      <c r="T733" s="66"/>
      <c r="U733" s="66"/>
    </row>
    <row r="734" ht="14.25" customHeight="1">
      <c r="E734" s="65"/>
      <c r="O734" s="66"/>
      <c r="P734" s="66"/>
      <c r="R734" s="66"/>
      <c r="S734" s="66"/>
      <c r="T734" s="66"/>
      <c r="U734" s="66"/>
    </row>
    <row r="735" ht="14.25" customHeight="1">
      <c r="E735" s="65"/>
      <c r="O735" s="66"/>
      <c r="P735" s="66"/>
      <c r="R735" s="66"/>
      <c r="S735" s="66"/>
      <c r="T735" s="66"/>
      <c r="U735" s="66"/>
    </row>
    <row r="736" ht="14.25" customHeight="1">
      <c r="E736" s="65"/>
      <c r="O736" s="66"/>
      <c r="P736" s="66"/>
      <c r="R736" s="66"/>
      <c r="S736" s="66"/>
      <c r="T736" s="66"/>
      <c r="U736" s="66"/>
    </row>
    <row r="737" ht="14.25" customHeight="1">
      <c r="E737" s="65"/>
      <c r="O737" s="66"/>
      <c r="P737" s="66"/>
      <c r="R737" s="66"/>
      <c r="S737" s="66"/>
      <c r="T737" s="66"/>
      <c r="U737" s="66"/>
    </row>
    <row r="738" ht="14.25" customHeight="1">
      <c r="E738" s="65"/>
      <c r="O738" s="66"/>
      <c r="P738" s="66"/>
      <c r="R738" s="66"/>
      <c r="S738" s="66"/>
      <c r="T738" s="66"/>
      <c r="U738" s="66"/>
    </row>
    <row r="739" ht="14.25" customHeight="1">
      <c r="E739" s="65"/>
      <c r="O739" s="66"/>
      <c r="P739" s="66"/>
      <c r="R739" s="66"/>
      <c r="S739" s="66"/>
      <c r="T739" s="66"/>
      <c r="U739" s="66"/>
    </row>
    <row r="740" ht="14.25" customHeight="1">
      <c r="E740" s="65"/>
      <c r="O740" s="66"/>
      <c r="P740" s="66"/>
      <c r="R740" s="66"/>
      <c r="S740" s="66"/>
      <c r="T740" s="66"/>
      <c r="U740" s="66"/>
    </row>
    <row r="741" ht="14.25" customHeight="1">
      <c r="E741" s="65"/>
      <c r="O741" s="66"/>
      <c r="P741" s="66"/>
      <c r="R741" s="66"/>
      <c r="S741" s="66"/>
      <c r="T741" s="66"/>
      <c r="U741" s="66"/>
    </row>
    <row r="742" ht="14.25" customHeight="1">
      <c r="E742" s="65"/>
      <c r="O742" s="66"/>
      <c r="P742" s="66"/>
      <c r="R742" s="66"/>
      <c r="S742" s="66"/>
      <c r="T742" s="66"/>
      <c r="U742" s="66"/>
    </row>
    <row r="743" ht="14.25" customHeight="1">
      <c r="E743" s="65"/>
      <c r="O743" s="66"/>
      <c r="P743" s="66"/>
      <c r="R743" s="66"/>
      <c r="S743" s="66"/>
      <c r="T743" s="66"/>
      <c r="U743" s="66"/>
    </row>
    <row r="744" ht="14.25" customHeight="1">
      <c r="E744" s="65"/>
      <c r="O744" s="66"/>
      <c r="P744" s="66"/>
      <c r="R744" s="66"/>
      <c r="S744" s="66"/>
      <c r="T744" s="66"/>
      <c r="U744" s="66"/>
    </row>
    <row r="745" ht="14.25" customHeight="1">
      <c r="E745" s="65"/>
      <c r="O745" s="66"/>
      <c r="P745" s="66"/>
      <c r="R745" s="66"/>
      <c r="S745" s="66"/>
      <c r="T745" s="66"/>
      <c r="U745" s="66"/>
    </row>
    <row r="746" ht="14.25" customHeight="1">
      <c r="E746" s="65"/>
      <c r="O746" s="66"/>
      <c r="P746" s="66"/>
      <c r="R746" s="66"/>
      <c r="S746" s="66"/>
      <c r="T746" s="66"/>
      <c r="U746" s="66"/>
    </row>
    <row r="747" ht="14.25" customHeight="1">
      <c r="E747" s="65"/>
      <c r="O747" s="66"/>
      <c r="P747" s="66"/>
      <c r="R747" s="66"/>
      <c r="S747" s="66"/>
      <c r="T747" s="66"/>
      <c r="U747" s="66"/>
    </row>
    <row r="748" ht="14.25" customHeight="1">
      <c r="E748" s="65"/>
      <c r="O748" s="66"/>
      <c r="P748" s="66"/>
      <c r="R748" s="66"/>
      <c r="S748" s="66"/>
      <c r="T748" s="66"/>
      <c r="U748" s="66"/>
    </row>
    <row r="749" ht="14.25" customHeight="1">
      <c r="E749" s="65"/>
      <c r="O749" s="66"/>
      <c r="P749" s="66"/>
      <c r="R749" s="66"/>
      <c r="S749" s="66"/>
      <c r="T749" s="66"/>
      <c r="U749" s="66"/>
    </row>
    <row r="750" ht="14.25" customHeight="1">
      <c r="E750" s="65"/>
      <c r="O750" s="66"/>
      <c r="P750" s="66"/>
      <c r="R750" s="66"/>
      <c r="S750" s="66"/>
      <c r="T750" s="66"/>
      <c r="U750" s="66"/>
    </row>
    <row r="751" ht="14.25" customHeight="1">
      <c r="E751" s="65"/>
      <c r="O751" s="66"/>
      <c r="P751" s="66"/>
      <c r="R751" s="66"/>
      <c r="S751" s="66"/>
      <c r="T751" s="66"/>
      <c r="U751" s="66"/>
    </row>
    <row r="752" ht="14.25" customHeight="1">
      <c r="E752" s="65"/>
      <c r="O752" s="66"/>
      <c r="P752" s="66"/>
      <c r="R752" s="66"/>
      <c r="S752" s="66"/>
      <c r="T752" s="66"/>
      <c r="U752" s="66"/>
    </row>
    <row r="753" ht="14.25" customHeight="1">
      <c r="E753" s="65"/>
      <c r="O753" s="66"/>
      <c r="P753" s="66"/>
      <c r="R753" s="66"/>
      <c r="S753" s="66"/>
      <c r="T753" s="66"/>
      <c r="U753" s="66"/>
    </row>
    <row r="754" ht="14.25" customHeight="1">
      <c r="E754" s="65"/>
      <c r="O754" s="66"/>
      <c r="P754" s="66"/>
      <c r="R754" s="66"/>
      <c r="S754" s="66"/>
      <c r="T754" s="66"/>
      <c r="U754" s="66"/>
    </row>
    <row r="755" ht="14.25" customHeight="1">
      <c r="E755" s="65"/>
      <c r="O755" s="66"/>
      <c r="P755" s="66"/>
      <c r="R755" s="66"/>
      <c r="S755" s="66"/>
      <c r="T755" s="66"/>
      <c r="U755" s="66"/>
    </row>
    <row r="756" ht="14.25" customHeight="1">
      <c r="E756" s="65"/>
      <c r="O756" s="66"/>
      <c r="P756" s="66"/>
      <c r="R756" s="66"/>
      <c r="S756" s="66"/>
      <c r="T756" s="66"/>
      <c r="U756" s="66"/>
    </row>
    <row r="757" ht="14.25" customHeight="1">
      <c r="E757" s="65"/>
      <c r="O757" s="66"/>
      <c r="P757" s="66"/>
      <c r="R757" s="66"/>
      <c r="S757" s="66"/>
      <c r="T757" s="66"/>
      <c r="U757" s="66"/>
    </row>
    <row r="758" ht="14.25" customHeight="1">
      <c r="E758" s="65"/>
      <c r="O758" s="66"/>
      <c r="P758" s="66"/>
      <c r="R758" s="66"/>
      <c r="S758" s="66"/>
      <c r="T758" s="66"/>
      <c r="U758" s="66"/>
    </row>
    <row r="759" ht="14.25" customHeight="1">
      <c r="E759" s="65"/>
      <c r="O759" s="66"/>
      <c r="P759" s="66"/>
      <c r="R759" s="66"/>
      <c r="S759" s="66"/>
      <c r="T759" s="66"/>
      <c r="U759" s="66"/>
    </row>
    <row r="760" ht="14.25" customHeight="1">
      <c r="E760" s="65"/>
      <c r="O760" s="66"/>
      <c r="P760" s="66"/>
      <c r="R760" s="66"/>
      <c r="S760" s="66"/>
      <c r="T760" s="66"/>
      <c r="U760" s="66"/>
    </row>
    <row r="761" ht="14.25" customHeight="1">
      <c r="E761" s="65"/>
      <c r="O761" s="66"/>
      <c r="P761" s="66"/>
      <c r="R761" s="66"/>
      <c r="S761" s="66"/>
      <c r="T761" s="66"/>
      <c r="U761" s="66"/>
    </row>
    <row r="762" ht="14.25" customHeight="1">
      <c r="E762" s="65"/>
      <c r="O762" s="66"/>
      <c r="P762" s="66"/>
      <c r="R762" s="66"/>
      <c r="S762" s="66"/>
      <c r="T762" s="66"/>
      <c r="U762" s="66"/>
    </row>
    <row r="763" ht="14.25" customHeight="1">
      <c r="E763" s="65"/>
      <c r="O763" s="66"/>
      <c r="P763" s="66"/>
      <c r="R763" s="66"/>
      <c r="S763" s="66"/>
      <c r="T763" s="66"/>
      <c r="U763" s="66"/>
    </row>
    <row r="764" ht="14.25" customHeight="1">
      <c r="E764" s="65"/>
      <c r="O764" s="66"/>
      <c r="P764" s="66"/>
      <c r="R764" s="66"/>
      <c r="S764" s="66"/>
      <c r="T764" s="66"/>
      <c r="U764" s="66"/>
    </row>
    <row r="765" ht="14.25" customHeight="1">
      <c r="E765" s="65"/>
      <c r="O765" s="66"/>
      <c r="P765" s="66"/>
      <c r="R765" s="66"/>
      <c r="S765" s="66"/>
      <c r="T765" s="66"/>
      <c r="U765" s="66"/>
    </row>
    <row r="766" ht="14.25" customHeight="1">
      <c r="E766" s="65"/>
      <c r="O766" s="66"/>
      <c r="P766" s="66"/>
      <c r="R766" s="66"/>
      <c r="S766" s="66"/>
      <c r="T766" s="66"/>
      <c r="U766" s="66"/>
    </row>
    <row r="767" ht="14.25" customHeight="1">
      <c r="E767" s="65"/>
      <c r="O767" s="66"/>
      <c r="P767" s="66"/>
      <c r="R767" s="66"/>
      <c r="S767" s="66"/>
      <c r="T767" s="66"/>
      <c r="U767" s="66"/>
    </row>
    <row r="768" ht="14.25" customHeight="1">
      <c r="E768" s="65"/>
      <c r="O768" s="66"/>
      <c r="P768" s="66"/>
      <c r="R768" s="66"/>
      <c r="S768" s="66"/>
      <c r="T768" s="66"/>
      <c r="U768" s="66"/>
    </row>
    <row r="769" ht="14.25" customHeight="1">
      <c r="E769" s="65"/>
      <c r="O769" s="66"/>
      <c r="P769" s="66"/>
      <c r="R769" s="66"/>
      <c r="S769" s="66"/>
      <c r="T769" s="66"/>
      <c r="U769" s="66"/>
    </row>
    <row r="770" ht="14.25" customHeight="1">
      <c r="E770" s="65"/>
      <c r="O770" s="66"/>
      <c r="P770" s="66"/>
      <c r="R770" s="66"/>
      <c r="S770" s="66"/>
      <c r="T770" s="66"/>
      <c r="U770" s="66"/>
    </row>
    <row r="771" ht="14.25" customHeight="1">
      <c r="E771" s="65"/>
      <c r="O771" s="66"/>
      <c r="P771" s="66"/>
      <c r="R771" s="66"/>
      <c r="S771" s="66"/>
      <c r="T771" s="66"/>
      <c r="U771" s="66"/>
    </row>
    <row r="772" ht="14.25" customHeight="1">
      <c r="E772" s="65"/>
      <c r="O772" s="66"/>
      <c r="P772" s="66"/>
      <c r="R772" s="66"/>
      <c r="S772" s="66"/>
      <c r="T772" s="66"/>
      <c r="U772" s="66"/>
    </row>
    <row r="773" ht="14.25" customHeight="1">
      <c r="E773" s="65"/>
      <c r="O773" s="66"/>
      <c r="P773" s="66"/>
      <c r="R773" s="66"/>
      <c r="S773" s="66"/>
      <c r="T773" s="66"/>
      <c r="U773" s="66"/>
    </row>
    <row r="774" ht="14.25" customHeight="1">
      <c r="E774" s="65"/>
      <c r="O774" s="66"/>
      <c r="P774" s="66"/>
      <c r="R774" s="66"/>
      <c r="S774" s="66"/>
      <c r="T774" s="66"/>
      <c r="U774" s="66"/>
    </row>
    <row r="775" ht="14.25" customHeight="1">
      <c r="E775" s="65"/>
      <c r="O775" s="66"/>
      <c r="P775" s="66"/>
      <c r="R775" s="66"/>
      <c r="S775" s="66"/>
      <c r="T775" s="66"/>
      <c r="U775" s="66"/>
    </row>
    <row r="776" ht="14.25" customHeight="1">
      <c r="E776" s="65"/>
      <c r="O776" s="66"/>
      <c r="P776" s="66"/>
      <c r="R776" s="66"/>
      <c r="S776" s="66"/>
      <c r="T776" s="66"/>
      <c r="U776" s="66"/>
    </row>
    <row r="777" ht="14.25" customHeight="1">
      <c r="E777" s="65"/>
      <c r="O777" s="66"/>
      <c r="P777" s="66"/>
      <c r="R777" s="66"/>
      <c r="S777" s="66"/>
      <c r="T777" s="66"/>
      <c r="U777" s="66"/>
    </row>
    <row r="778" ht="14.25" customHeight="1">
      <c r="E778" s="65"/>
      <c r="O778" s="66"/>
      <c r="P778" s="66"/>
      <c r="R778" s="66"/>
      <c r="S778" s="66"/>
      <c r="T778" s="66"/>
      <c r="U778" s="66"/>
    </row>
    <row r="779" ht="14.25" customHeight="1">
      <c r="E779" s="65"/>
      <c r="O779" s="66"/>
      <c r="P779" s="66"/>
      <c r="R779" s="66"/>
      <c r="S779" s="66"/>
      <c r="T779" s="66"/>
      <c r="U779" s="66"/>
    </row>
    <row r="780" ht="14.25" customHeight="1">
      <c r="E780" s="65"/>
      <c r="O780" s="66"/>
      <c r="P780" s="66"/>
      <c r="R780" s="66"/>
      <c r="S780" s="66"/>
      <c r="T780" s="66"/>
      <c r="U780" s="66"/>
    </row>
    <row r="781" ht="14.25" customHeight="1">
      <c r="E781" s="65"/>
      <c r="O781" s="66"/>
      <c r="P781" s="66"/>
      <c r="R781" s="66"/>
      <c r="S781" s="66"/>
      <c r="T781" s="66"/>
      <c r="U781" s="66"/>
    </row>
    <row r="782" ht="14.25" customHeight="1">
      <c r="E782" s="65"/>
      <c r="O782" s="66"/>
      <c r="P782" s="66"/>
      <c r="R782" s="66"/>
      <c r="S782" s="66"/>
      <c r="T782" s="66"/>
      <c r="U782" s="66"/>
    </row>
    <row r="783" ht="14.25" customHeight="1">
      <c r="E783" s="65"/>
      <c r="O783" s="66"/>
      <c r="P783" s="66"/>
      <c r="R783" s="66"/>
      <c r="S783" s="66"/>
      <c r="T783" s="66"/>
      <c r="U783" s="66"/>
    </row>
    <row r="784" ht="14.25" customHeight="1">
      <c r="E784" s="65"/>
      <c r="O784" s="66"/>
      <c r="P784" s="66"/>
      <c r="R784" s="66"/>
      <c r="S784" s="66"/>
      <c r="T784" s="66"/>
      <c r="U784" s="66"/>
    </row>
    <row r="785" ht="14.25" customHeight="1">
      <c r="E785" s="65"/>
      <c r="O785" s="66"/>
      <c r="P785" s="66"/>
      <c r="R785" s="66"/>
      <c r="S785" s="66"/>
      <c r="T785" s="66"/>
      <c r="U785" s="66"/>
    </row>
    <row r="786" ht="14.25" customHeight="1">
      <c r="E786" s="65"/>
      <c r="O786" s="66"/>
      <c r="P786" s="66"/>
      <c r="R786" s="66"/>
      <c r="S786" s="66"/>
      <c r="T786" s="66"/>
      <c r="U786" s="66"/>
    </row>
    <row r="787" ht="14.25" customHeight="1">
      <c r="E787" s="65"/>
      <c r="O787" s="66"/>
      <c r="P787" s="66"/>
      <c r="R787" s="66"/>
      <c r="S787" s="66"/>
      <c r="T787" s="66"/>
      <c r="U787" s="66"/>
    </row>
    <row r="788" ht="14.25" customHeight="1">
      <c r="E788" s="65"/>
      <c r="O788" s="66"/>
      <c r="P788" s="66"/>
      <c r="R788" s="66"/>
      <c r="S788" s="66"/>
      <c r="T788" s="66"/>
      <c r="U788" s="66"/>
    </row>
    <row r="789" ht="14.25" customHeight="1">
      <c r="E789" s="65"/>
      <c r="O789" s="66"/>
      <c r="P789" s="66"/>
      <c r="R789" s="66"/>
      <c r="S789" s="66"/>
      <c r="T789" s="66"/>
      <c r="U789" s="66"/>
    </row>
    <row r="790" ht="14.25" customHeight="1">
      <c r="E790" s="65"/>
      <c r="O790" s="66"/>
      <c r="P790" s="66"/>
      <c r="R790" s="66"/>
      <c r="S790" s="66"/>
      <c r="T790" s="66"/>
      <c r="U790" s="66"/>
    </row>
    <row r="791" ht="14.25" customHeight="1">
      <c r="E791" s="65"/>
      <c r="O791" s="66"/>
      <c r="P791" s="66"/>
      <c r="R791" s="66"/>
      <c r="S791" s="66"/>
      <c r="T791" s="66"/>
      <c r="U791" s="66"/>
    </row>
    <row r="792" ht="14.25" customHeight="1">
      <c r="E792" s="65"/>
      <c r="O792" s="66"/>
      <c r="P792" s="66"/>
      <c r="R792" s="66"/>
      <c r="S792" s="66"/>
      <c r="T792" s="66"/>
      <c r="U792" s="66"/>
    </row>
    <row r="793" ht="14.25" customHeight="1">
      <c r="E793" s="65"/>
      <c r="O793" s="66"/>
      <c r="P793" s="66"/>
      <c r="R793" s="66"/>
      <c r="S793" s="66"/>
      <c r="T793" s="66"/>
      <c r="U793" s="66"/>
    </row>
    <row r="794" ht="14.25" customHeight="1">
      <c r="E794" s="65"/>
      <c r="O794" s="66"/>
      <c r="P794" s="66"/>
      <c r="R794" s="66"/>
      <c r="S794" s="66"/>
      <c r="T794" s="66"/>
      <c r="U794" s="66"/>
    </row>
    <row r="795" ht="14.25" customHeight="1">
      <c r="E795" s="65"/>
      <c r="O795" s="66"/>
      <c r="P795" s="66"/>
      <c r="R795" s="66"/>
      <c r="S795" s="66"/>
      <c r="T795" s="66"/>
      <c r="U795" s="66"/>
    </row>
    <row r="796" ht="14.25" customHeight="1">
      <c r="E796" s="65"/>
      <c r="O796" s="66"/>
      <c r="P796" s="66"/>
      <c r="R796" s="66"/>
      <c r="S796" s="66"/>
      <c r="T796" s="66"/>
      <c r="U796" s="66"/>
    </row>
    <row r="797" ht="14.25" customHeight="1">
      <c r="E797" s="65"/>
      <c r="O797" s="66"/>
      <c r="P797" s="66"/>
      <c r="R797" s="66"/>
      <c r="S797" s="66"/>
      <c r="T797" s="66"/>
      <c r="U797" s="66"/>
    </row>
    <row r="798" ht="14.25" customHeight="1">
      <c r="E798" s="65"/>
      <c r="O798" s="66"/>
      <c r="P798" s="66"/>
      <c r="R798" s="66"/>
      <c r="S798" s="66"/>
      <c r="T798" s="66"/>
      <c r="U798" s="66"/>
    </row>
    <row r="799" ht="14.25" customHeight="1">
      <c r="E799" s="65"/>
      <c r="O799" s="66"/>
      <c r="P799" s="66"/>
      <c r="R799" s="66"/>
      <c r="S799" s="66"/>
      <c r="T799" s="66"/>
      <c r="U799" s="66"/>
    </row>
    <row r="800" ht="14.25" customHeight="1">
      <c r="E800" s="65"/>
      <c r="O800" s="66"/>
      <c r="P800" s="66"/>
      <c r="R800" s="66"/>
      <c r="S800" s="66"/>
      <c r="T800" s="66"/>
      <c r="U800" s="66"/>
    </row>
    <row r="801" ht="14.25" customHeight="1">
      <c r="E801" s="65"/>
      <c r="O801" s="66"/>
      <c r="P801" s="66"/>
      <c r="R801" s="66"/>
      <c r="S801" s="66"/>
      <c r="T801" s="66"/>
      <c r="U801" s="66"/>
    </row>
    <row r="802" ht="14.25" customHeight="1">
      <c r="E802" s="65"/>
      <c r="O802" s="66"/>
      <c r="P802" s="66"/>
      <c r="R802" s="66"/>
      <c r="S802" s="66"/>
      <c r="T802" s="66"/>
      <c r="U802" s="66"/>
    </row>
    <row r="803" ht="14.25" customHeight="1">
      <c r="E803" s="65"/>
      <c r="O803" s="66"/>
      <c r="P803" s="66"/>
      <c r="R803" s="66"/>
      <c r="S803" s="66"/>
      <c r="T803" s="66"/>
      <c r="U803" s="66"/>
    </row>
    <row r="804" ht="14.25" customHeight="1">
      <c r="E804" s="65"/>
      <c r="O804" s="66"/>
      <c r="P804" s="66"/>
      <c r="R804" s="66"/>
      <c r="S804" s="66"/>
      <c r="T804" s="66"/>
      <c r="U804" s="66"/>
    </row>
    <row r="805" ht="14.25" customHeight="1">
      <c r="E805" s="65"/>
      <c r="O805" s="66"/>
      <c r="P805" s="66"/>
      <c r="R805" s="66"/>
      <c r="S805" s="66"/>
      <c r="T805" s="66"/>
      <c r="U805" s="66"/>
    </row>
    <row r="806" ht="14.25" customHeight="1">
      <c r="E806" s="65"/>
      <c r="O806" s="66"/>
      <c r="P806" s="66"/>
      <c r="R806" s="66"/>
      <c r="S806" s="66"/>
      <c r="T806" s="66"/>
      <c r="U806" s="66"/>
    </row>
    <row r="807" ht="14.25" customHeight="1">
      <c r="E807" s="65"/>
      <c r="O807" s="66"/>
      <c r="P807" s="66"/>
      <c r="R807" s="66"/>
      <c r="S807" s="66"/>
      <c r="T807" s="66"/>
      <c r="U807" s="66"/>
    </row>
    <row r="808" ht="14.25" customHeight="1">
      <c r="E808" s="65"/>
      <c r="O808" s="66"/>
      <c r="P808" s="66"/>
      <c r="R808" s="66"/>
      <c r="S808" s="66"/>
      <c r="T808" s="66"/>
      <c r="U808" s="66"/>
    </row>
    <row r="809" ht="14.25" customHeight="1">
      <c r="E809" s="65"/>
      <c r="O809" s="66"/>
      <c r="P809" s="66"/>
      <c r="R809" s="66"/>
      <c r="S809" s="66"/>
      <c r="T809" s="66"/>
      <c r="U809" s="66"/>
    </row>
    <row r="810" ht="14.25" customHeight="1">
      <c r="E810" s="65"/>
      <c r="O810" s="66"/>
      <c r="P810" s="66"/>
      <c r="R810" s="66"/>
      <c r="S810" s="66"/>
      <c r="T810" s="66"/>
      <c r="U810" s="66"/>
    </row>
    <row r="811" ht="14.25" customHeight="1">
      <c r="E811" s="65"/>
      <c r="O811" s="66"/>
      <c r="P811" s="66"/>
      <c r="R811" s="66"/>
      <c r="S811" s="66"/>
      <c r="T811" s="66"/>
      <c r="U811" s="66"/>
    </row>
    <row r="812" ht="14.25" customHeight="1">
      <c r="E812" s="65"/>
      <c r="O812" s="66"/>
      <c r="P812" s="66"/>
      <c r="R812" s="66"/>
      <c r="S812" s="66"/>
      <c r="T812" s="66"/>
      <c r="U812" s="66"/>
    </row>
    <row r="813" ht="14.25" customHeight="1">
      <c r="E813" s="65"/>
      <c r="O813" s="66"/>
      <c r="P813" s="66"/>
      <c r="R813" s="66"/>
      <c r="S813" s="66"/>
      <c r="T813" s="66"/>
      <c r="U813" s="66"/>
    </row>
    <row r="814" ht="14.25" customHeight="1">
      <c r="E814" s="65"/>
      <c r="O814" s="66"/>
      <c r="P814" s="66"/>
      <c r="R814" s="66"/>
      <c r="S814" s="66"/>
      <c r="T814" s="66"/>
      <c r="U814" s="66"/>
    </row>
    <row r="815" ht="14.25" customHeight="1">
      <c r="E815" s="65"/>
      <c r="O815" s="66"/>
      <c r="P815" s="66"/>
      <c r="R815" s="66"/>
      <c r="S815" s="66"/>
      <c r="T815" s="66"/>
      <c r="U815" s="66"/>
    </row>
    <row r="816" ht="14.25" customHeight="1">
      <c r="E816" s="65"/>
      <c r="O816" s="66"/>
      <c r="P816" s="66"/>
      <c r="R816" s="66"/>
      <c r="S816" s="66"/>
      <c r="T816" s="66"/>
      <c r="U816" s="66"/>
    </row>
    <row r="817" ht="14.25" customHeight="1">
      <c r="E817" s="65"/>
      <c r="O817" s="66"/>
      <c r="P817" s="66"/>
      <c r="R817" s="66"/>
      <c r="S817" s="66"/>
      <c r="T817" s="66"/>
      <c r="U817" s="66"/>
    </row>
    <row r="818" ht="14.25" customHeight="1">
      <c r="E818" s="65"/>
      <c r="O818" s="66"/>
      <c r="P818" s="66"/>
      <c r="R818" s="66"/>
      <c r="S818" s="66"/>
      <c r="T818" s="66"/>
      <c r="U818" s="66"/>
    </row>
    <row r="819" ht="14.25" customHeight="1">
      <c r="E819" s="65"/>
      <c r="O819" s="66"/>
      <c r="P819" s="66"/>
      <c r="R819" s="66"/>
      <c r="S819" s="66"/>
      <c r="T819" s="66"/>
      <c r="U819" s="66"/>
    </row>
    <row r="820" ht="14.25" customHeight="1">
      <c r="E820" s="65"/>
      <c r="O820" s="66"/>
      <c r="P820" s="66"/>
      <c r="R820" s="66"/>
      <c r="S820" s="66"/>
      <c r="T820" s="66"/>
      <c r="U820" s="66"/>
    </row>
    <row r="821" ht="14.25" customHeight="1">
      <c r="E821" s="65"/>
      <c r="O821" s="66"/>
      <c r="P821" s="66"/>
      <c r="R821" s="66"/>
      <c r="S821" s="66"/>
      <c r="T821" s="66"/>
      <c r="U821" s="66"/>
    </row>
    <row r="822" ht="14.25" customHeight="1">
      <c r="E822" s="65"/>
      <c r="O822" s="66"/>
      <c r="P822" s="66"/>
      <c r="R822" s="66"/>
      <c r="S822" s="66"/>
      <c r="T822" s="66"/>
      <c r="U822" s="66"/>
    </row>
    <row r="823" ht="14.25" customHeight="1">
      <c r="E823" s="65"/>
      <c r="O823" s="66"/>
      <c r="P823" s="66"/>
      <c r="R823" s="66"/>
      <c r="S823" s="66"/>
      <c r="T823" s="66"/>
      <c r="U823" s="66"/>
    </row>
    <row r="824" ht="14.25" customHeight="1">
      <c r="E824" s="65"/>
      <c r="O824" s="66"/>
      <c r="P824" s="66"/>
      <c r="R824" s="66"/>
      <c r="S824" s="66"/>
      <c r="T824" s="66"/>
      <c r="U824" s="66"/>
    </row>
    <row r="825" ht="14.25" customHeight="1">
      <c r="E825" s="65"/>
      <c r="O825" s="66"/>
      <c r="P825" s="66"/>
      <c r="R825" s="66"/>
      <c r="S825" s="66"/>
      <c r="T825" s="66"/>
      <c r="U825" s="66"/>
    </row>
    <row r="826" ht="14.25" customHeight="1">
      <c r="E826" s="65"/>
      <c r="O826" s="66"/>
      <c r="P826" s="66"/>
      <c r="R826" s="66"/>
      <c r="S826" s="66"/>
      <c r="T826" s="66"/>
      <c r="U826" s="66"/>
    </row>
    <row r="827" ht="14.25" customHeight="1">
      <c r="E827" s="65"/>
      <c r="O827" s="66"/>
      <c r="P827" s="66"/>
      <c r="R827" s="66"/>
      <c r="S827" s="66"/>
      <c r="T827" s="66"/>
      <c r="U827" s="66"/>
    </row>
    <row r="828" ht="14.25" customHeight="1">
      <c r="E828" s="65"/>
      <c r="O828" s="66"/>
      <c r="P828" s="66"/>
      <c r="R828" s="66"/>
      <c r="S828" s="66"/>
      <c r="T828" s="66"/>
      <c r="U828" s="66"/>
    </row>
    <row r="829" ht="14.25" customHeight="1">
      <c r="E829" s="65"/>
      <c r="O829" s="66"/>
      <c r="P829" s="66"/>
      <c r="R829" s="66"/>
      <c r="S829" s="66"/>
      <c r="T829" s="66"/>
      <c r="U829" s="66"/>
    </row>
    <row r="830" ht="14.25" customHeight="1">
      <c r="E830" s="65"/>
      <c r="O830" s="66"/>
      <c r="P830" s="66"/>
      <c r="R830" s="66"/>
      <c r="S830" s="66"/>
      <c r="T830" s="66"/>
      <c r="U830" s="66"/>
    </row>
    <row r="831" ht="14.25" customHeight="1">
      <c r="E831" s="65"/>
      <c r="O831" s="66"/>
      <c r="P831" s="66"/>
      <c r="R831" s="66"/>
      <c r="S831" s="66"/>
      <c r="T831" s="66"/>
      <c r="U831" s="66"/>
    </row>
    <row r="832" ht="14.25" customHeight="1">
      <c r="E832" s="65"/>
      <c r="O832" s="66"/>
      <c r="P832" s="66"/>
      <c r="R832" s="66"/>
      <c r="S832" s="66"/>
      <c r="T832" s="66"/>
      <c r="U832" s="66"/>
    </row>
    <row r="833" ht="14.25" customHeight="1">
      <c r="E833" s="65"/>
      <c r="O833" s="66"/>
      <c r="P833" s="66"/>
      <c r="R833" s="66"/>
      <c r="S833" s="66"/>
      <c r="T833" s="66"/>
      <c r="U833" s="66"/>
    </row>
    <row r="834" ht="14.25" customHeight="1">
      <c r="E834" s="65"/>
      <c r="O834" s="66"/>
      <c r="P834" s="66"/>
      <c r="R834" s="66"/>
      <c r="S834" s="66"/>
      <c r="T834" s="66"/>
      <c r="U834" s="66"/>
    </row>
    <row r="835" ht="14.25" customHeight="1">
      <c r="E835" s="65"/>
      <c r="O835" s="66"/>
      <c r="P835" s="66"/>
      <c r="R835" s="66"/>
      <c r="S835" s="66"/>
      <c r="T835" s="66"/>
      <c r="U835" s="66"/>
    </row>
    <row r="836" ht="14.25" customHeight="1">
      <c r="E836" s="65"/>
      <c r="O836" s="66"/>
      <c r="P836" s="66"/>
      <c r="R836" s="66"/>
      <c r="S836" s="66"/>
      <c r="T836" s="66"/>
      <c r="U836" s="66"/>
    </row>
    <row r="837" ht="14.25" customHeight="1">
      <c r="E837" s="65"/>
      <c r="O837" s="66"/>
      <c r="P837" s="66"/>
      <c r="R837" s="66"/>
      <c r="S837" s="66"/>
      <c r="T837" s="66"/>
      <c r="U837" s="66"/>
    </row>
    <row r="838" ht="14.25" customHeight="1">
      <c r="E838" s="65"/>
      <c r="O838" s="66"/>
      <c r="P838" s="66"/>
      <c r="R838" s="66"/>
      <c r="S838" s="66"/>
      <c r="T838" s="66"/>
      <c r="U838" s="66"/>
    </row>
    <row r="839" ht="14.25" customHeight="1">
      <c r="E839" s="65"/>
      <c r="O839" s="66"/>
      <c r="P839" s="66"/>
      <c r="R839" s="66"/>
      <c r="S839" s="66"/>
      <c r="T839" s="66"/>
      <c r="U839" s="66"/>
    </row>
    <row r="840" ht="14.25" customHeight="1">
      <c r="E840" s="65"/>
      <c r="O840" s="66"/>
      <c r="P840" s="66"/>
      <c r="R840" s="66"/>
      <c r="S840" s="66"/>
      <c r="T840" s="66"/>
      <c r="U840" s="66"/>
    </row>
    <row r="841" ht="14.25" customHeight="1">
      <c r="E841" s="65"/>
      <c r="O841" s="66"/>
      <c r="P841" s="66"/>
      <c r="R841" s="66"/>
      <c r="S841" s="66"/>
      <c r="T841" s="66"/>
      <c r="U841" s="66"/>
    </row>
    <row r="842" ht="14.25" customHeight="1">
      <c r="E842" s="65"/>
      <c r="O842" s="66"/>
      <c r="P842" s="66"/>
      <c r="R842" s="66"/>
      <c r="S842" s="66"/>
      <c r="T842" s="66"/>
      <c r="U842" s="66"/>
    </row>
    <row r="843" ht="14.25" customHeight="1">
      <c r="E843" s="65"/>
      <c r="O843" s="66"/>
      <c r="P843" s="66"/>
      <c r="R843" s="66"/>
      <c r="S843" s="66"/>
      <c r="T843" s="66"/>
      <c r="U843" s="66"/>
    </row>
    <row r="844" ht="14.25" customHeight="1">
      <c r="E844" s="65"/>
      <c r="O844" s="66"/>
      <c r="P844" s="66"/>
      <c r="R844" s="66"/>
      <c r="S844" s="66"/>
      <c r="T844" s="66"/>
      <c r="U844" s="66"/>
    </row>
    <row r="845" ht="14.25" customHeight="1">
      <c r="E845" s="65"/>
      <c r="O845" s="66"/>
      <c r="P845" s="66"/>
      <c r="R845" s="66"/>
      <c r="S845" s="66"/>
      <c r="T845" s="66"/>
      <c r="U845" s="66"/>
    </row>
    <row r="846" ht="14.25" customHeight="1">
      <c r="E846" s="65"/>
      <c r="O846" s="66"/>
      <c r="P846" s="66"/>
      <c r="R846" s="66"/>
      <c r="S846" s="66"/>
      <c r="T846" s="66"/>
      <c r="U846" s="66"/>
    </row>
    <row r="847" ht="14.25" customHeight="1">
      <c r="E847" s="65"/>
      <c r="O847" s="66"/>
      <c r="P847" s="66"/>
      <c r="R847" s="66"/>
      <c r="S847" s="66"/>
      <c r="T847" s="66"/>
      <c r="U847" s="66"/>
    </row>
    <row r="848" ht="14.25" customHeight="1">
      <c r="E848" s="65"/>
      <c r="O848" s="66"/>
      <c r="P848" s="66"/>
      <c r="R848" s="66"/>
      <c r="S848" s="66"/>
      <c r="T848" s="66"/>
      <c r="U848" s="66"/>
    </row>
    <row r="849" ht="14.25" customHeight="1">
      <c r="E849" s="65"/>
      <c r="O849" s="66"/>
      <c r="P849" s="66"/>
      <c r="R849" s="66"/>
      <c r="S849" s="66"/>
      <c r="T849" s="66"/>
      <c r="U849" s="66"/>
    </row>
    <row r="850" ht="14.25" customHeight="1">
      <c r="E850" s="65"/>
      <c r="O850" s="66"/>
      <c r="P850" s="66"/>
      <c r="R850" s="66"/>
      <c r="S850" s="66"/>
      <c r="T850" s="66"/>
      <c r="U850" s="66"/>
    </row>
    <row r="851" ht="14.25" customHeight="1">
      <c r="E851" s="65"/>
      <c r="O851" s="66"/>
      <c r="P851" s="66"/>
      <c r="R851" s="66"/>
      <c r="S851" s="66"/>
      <c r="T851" s="66"/>
      <c r="U851" s="66"/>
    </row>
    <row r="852" ht="14.25" customHeight="1">
      <c r="E852" s="65"/>
      <c r="O852" s="66"/>
      <c r="P852" s="66"/>
      <c r="R852" s="66"/>
      <c r="S852" s="66"/>
      <c r="T852" s="66"/>
      <c r="U852" s="66"/>
    </row>
    <row r="853" ht="14.25" customHeight="1">
      <c r="E853" s="65"/>
      <c r="O853" s="66"/>
      <c r="P853" s="66"/>
      <c r="R853" s="66"/>
      <c r="S853" s="66"/>
      <c r="T853" s="66"/>
      <c r="U853" s="66"/>
    </row>
    <row r="854" ht="14.25" customHeight="1">
      <c r="E854" s="65"/>
      <c r="O854" s="66"/>
      <c r="P854" s="66"/>
      <c r="R854" s="66"/>
      <c r="S854" s="66"/>
      <c r="T854" s="66"/>
      <c r="U854" s="66"/>
    </row>
    <row r="855" ht="14.25" customHeight="1">
      <c r="E855" s="65"/>
      <c r="O855" s="66"/>
      <c r="P855" s="66"/>
      <c r="R855" s="66"/>
      <c r="S855" s="66"/>
      <c r="T855" s="66"/>
      <c r="U855" s="66"/>
    </row>
    <row r="856" ht="14.25" customHeight="1">
      <c r="E856" s="65"/>
      <c r="O856" s="66"/>
      <c r="P856" s="66"/>
      <c r="R856" s="66"/>
      <c r="S856" s="66"/>
      <c r="T856" s="66"/>
      <c r="U856" s="66"/>
    </row>
    <row r="857" ht="14.25" customHeight="1">
      <c r="E857" s="65"/>
      <c r="O857" s="66"/>
      <c r="P857" s="66"/>
      <c r="R857" s="66"/>
      <c r="S857" s="66"/>
      <c r="T857" s="66"/>
      <c r="U857" s="66"/>
    </row>
    <row r="858" ht="14.25" customHeight="1">
      <c r="E858" s="65"/>
      <c r="O858" s="66"/>
      <c r="P858" s="66"/>
      <c r="R858" s="66"/>
      <c r="S858" s="66"/>
      <c r="T858" s="66"/>
      <c r="U858" s="66"/>
    </row>
    <row r="859" ht="14.25" customHeight="1">
      <c r="E859" s="65"/>
      <c r="O859" s="66"/>
      <c r="P859" s="66"/>
      <c r="R859" s="66"/>
      <c r="S859" s="66"/>
      <c r="T859" s="66"/>
      <c r="U859" s="66"/>
    </row>
    <row r="860" ht="14.25" customHeight="1">
      <c r="E860" s="65"/>
      <c r="O860" s="66"/>
      <c r="P860" s="66"/>
      <c r="R860" s="66"/>
      <c r="S860" s="66"/>
      <c r="T860" s="66"/>
      <c r="U860" s="66"/>
    </row>
    <row r="861" ht="14.25" customHeight="1">
      <c r="E861" s="65"/>
      <c r="O861" s="66"/>
      <c r="P861" s="66"/>
      <c r="R861" s="66"/>
      <c r="S861" s="66"/>
      <c r="T861" s="66"/>
      <c r="U861" s="66"/>
    </row>
    <row r="862" ht="14.25" customHeight="1">
      <c r="E862" s="65"/>
      <c r="O862" s="66"/>
      <c r="P862" s="66"/>
      <c r="R862" s="66"/>
      <c r="S862" s="66"/>
      <c r="T862" s="66"/>
      <c r="U862" s="66"/>
    </row>
    <row r="863" ht="14.25" customHeight="1">
      <c r="E863" s="65"/>
      <c r="O863" s="66"/>
      <c r="P863" s="66"/>
      <c r="R863" s="66"/>
      <c r="S863" s="66"/>
      <c r="T863" s="66"/>
      <c r="U863" s="66"/>
    </row>
    <row r="864" ht="14.25" customHeight="1">
      <c r="E864" s="65"/>
      <c r="O864" s="66"/>
      <c r="P864" s="66"/>
      <c r="R864" s="66"/>
      <c r="S864" s="66"/>
      <c r="T864" s="66"/>
      <c r="U864" s="66"/>
    </row>
    <row r="865" ht="14.25" customHeight="1">
      <c r="E865" s="65"/>
      <c r="O865" s="66"/>
      <c r="P865" s="66"/>
      <c r="R865" s="66"/>
      <c r="S865" s="66"/>
      <c r="T865" s="66"/>
      <c r="U865" s="66"/>
    </row>
    <row r="866" ht="14.25" customHeight="1">
      <c r="E866" s="65"/>
      <c r="O866" s="66"/>
      <c r="P866" s="66"/>
      <c r="R866" s="66"/>
      <c r="S866" s="66"/>
      <c r="T866" s="66"/>
      <c r="U866" s="66"/>
    </row>
    <row r="867" ht="14.25" customHeight="1">
      <c r="E867" s="65"/>
      <c r="O867" s="66"/>
      <c r="P867" s="66"/>
      <c r="R867" s="66"/>
      <c r="S867" s="66"/>
      <c r="T867" s="66"/>
      <c r="U867" s="66"/>
    </row>
    <row r="868" ht="14.25" customHeight="1">
      <c r="E868" s="65"/>
      <c r="O868" s="66"/>
      <c r="P868" s="66"/>
      <c r="R868" s="66"/>
      <c r="S868" s="66"/>
      <c r="T868" s="66"/>
      <c r="U868" s="66"/>
    </row>
    <row r="869" ht="14.25" customHeight="1">
      <c r="E869" s="65"/>
      <c r="O869" s="66"/>
      <c r="P869" s="66"/>
      <c r="R869" s="66"/>
      <c r="S869" s="66"/>
      <c r="T869" s="66"/>
      <c r="U869" s="66"/>
    </row>
    <row r="870" ht="14.25" customHeight="1">
      <c r="E870" s="65"/>
      <c r="O870" s="66"/>
      <c r="P870" s="66"/>
      <c r="R870" s="66"/>
      <c r="S870" s="66"/>
      <c r="T870" s="66"/>
      <c r="U870" s="66"/>
    </row>
    <row r="871" ht="14.25" customHeight="1">
      <c r="E871" s="65"/>
      <c r="O871" s="66"/>
      <c r="P871" s="66"/>
      <c r="R871" s="66"/>
      <c r="S871" s="66"/>
      <c r="T871" s="66"/>
      <c r="U871" s="66"/>
    </row>
    <row r="872" ht="14.25" customHeight="1">
      <c r="E872" s="65"/>
      <c r="O872" s="66"/>
      <c r="P872" s="66"/>
      <c r="R872" s="66"/>
      <c r="S872" s="66"/>
      <c r="T872" s="66"/>
      <c r="U872" s="66"/>
    </row>
    <row r="873" ht="14.25" customHeight="1">
      <c r="E873" s="65"/>
      <c r="O873" s="66"/>
      <c r="P873" s="66"/>
      <c r="R873" s="66"/>
      <c r="S873" s="66"/>
      <c r="T873" s="66"/>
      <c r="U873" s="66"/>
    </row>
    <row r="874" ht="14.25" customHeight="1">
      <c r="E874" s="65"/>
      <c r="O874" s="66"/>
      <c r="P874" s="66"/>
      <c r="R874" s="66"/>
      <c r="S874" s="66"/>
      <c r="T874" s="66"/>
      <c r="U874" s="66"/>
    </row>
    <row r="875" ht="14.25" customHeight="1">
      <c r="E875" s="65"/>
      <c r="O875" s="66"/>
      <c r="P875" s="66"/>
      <c r="R875" s="66"/>
      <c r="S875" s="66"/>
      <c r="T875" s="66"/>
      <c r="U875" s="66"/>
    </row>
    <row r="876" ht="14.25" customHeight="1">
      <c r="E876" s="65"/>
      <c r="O876" s="66"/>
      <c r="P876" s="66"/>
      <c r="R876" s="66"/>
      <c r="S876" s="66"/>
      <c r="T876" s="66"/>
      <c r="U876" s="66"/>
    </row>
    <row r="877" ht="14.25" customHeight="1">
      <c r="E877" s="65"/>
      <c r="O877" s="66"/>
      <c r="P877" s="66"/>
      <c r="R877" s="66"/>
      <c r="S877" s="66"/>
      <c r="T877" s="66"/>
      <c r="U877" s="66"/>
    </row>
    <row r="878" ht="14.25" customHeight="1">
      <c r="E878" s="65"/>
      <c r="O878" s="66"/>
      <c r="P878" s="66"/>
      <c r="R878" s="66"/>
      <c r="S878" s="66"/>
      <c r="T878" s="66"/>
      <c r="U878" s="66"/>
    </row>
    <row r="879" ht="14.25" customHeight="1">
      <c r="E879" s="65"/>
      <c r="O879" s="66"/>
      <c r="P879" s="66"/>
      <c r="R879" s="66"/>
      <c r="S879" s="66"/>
      <c r="T879" s="66"/>
      <c r="U879" s="66"/>
    </row>
    <row r="880" ht="14.25" customHeight="1">
      <c r="E880" s="65"/>
      <c r="O880" s="66"/>
      <c r="P880" s="66"/>
      <c r="R880" s="66"/>
      <c r="S880" s="66"/>
      <c r="T880" s="66"/>
      <c r="U880" s="66"/>
    </row>
    <row r="881" ht="14.25" customHeight="1">
      <c r="E881" s="65"/>
      <c r="O881" s="66"/>
      <c r="P881" s="66"/>
      <c r="R881" s="66"/>
      <c r="S881" s="66"/>
      <c r="T881" s="66"/>
      <c r="U881" s="66"/>
    </row>
    <row r="882" ht="14.25" customHeight="1">
      <c r="E882" s="65"/>
      <c r="O882" s="66"/>
      <c r="P882" s="66"/>
      <c r="R882" s="66"/>
      <c r="S882" s="66"/>
      <c r="T882" s="66"/>
      <c r="U882" s="66"/>
    </row>
    <row r="883" ht="14.25" customHeight="1">
      <c r="E883" s="65"/>
      <c r="O883" s="66"/>
      <c r="P883" s="66"/>
      <c r="R883" s="66"/>
      <c r="S883" s="66"/>
      <c r="T883" s="66"/>
      <c r="U883" s="66"/>
    </row>
    <row r="884" ht="14.25" customHeight="1">
      <c r="E884" s="65"/>
      <c r="O884" s="66"/>
      <c r="P884" s="66"/>
      <c r="R884" s="66"/>
      <c r="S884" s="66"/>
      <c r="T884" s="66"/>
      <c r="U884" s="66"/>
    </row>
    <row r="885" ht="14.25" customHeight="1">
      <c r="E885" s="65"/>
      <c r="O885" s="66"/>
      <c r="P885" s="66"/>
      <c r="R885" s="66"/>
      <c r="S885" s="66"/>
      <c r="T885" s="66"/>
      <c r="U885" s="66"/>
    </row>
    <row r="886" ht="14.25" customHeight="1">
      <c r="E886" s="65"/>
      <c r="O886" s="66"/>
      <c r="P886" s="66"/>
      <c r="R886" s="66"/>
      <c r="S886" s="66"/>
      <c r="T886" s="66"/>
      <c r="U886" s="66"/>
    </row>
    <row r="887" ht="14.25" customHeight="1">
      <c r="E887" s="65"/>
      <c r="O887" s="66"/>
      <c r="P887" s="66"/>
      <c r="R887" s="66"/>
      <c r="S887" s="66"/>
      <c r="T887" s="66"/>
      <c r="U887" s="66"/>
    </row>
    <row r="888" ht="14.25" customHeight="1">
      <c r="E888" s="65"/>
      <c r="O888" s="66"/>
      <c r="P888" s="66"/>
      <c r="R888" s="66"/>
      <c r="S888" s="66"/>
      <c r="T888" s="66"/>
      <c r="U888" s="66"/>
    </row>
    <row r="889" ht="14.25" customHeight="1">
      <c r="E889" s="65"/>
      <c r="O889" s="66"/>
      <c r="P889" s="66"/>
      <c r="R889" s="66"/>
      <c r="S889" s="66"/>
      <c r="T889" s="66"/>
      <c r="U889" s="66"/>
    </row>
    <row r="890" ht="14.25" customHeight="1">
      <c r="E890" s="65"/>
      <c r="O890" s="66"/>
      <c r="P890" s="66"/>
      <c r="R890" s="66"/>
      <c r="S890" s="66"/>
      <c r="T890" s="66"/>
      <c r="U890" s="66"/>
    </row>
    <row r="891" ht="14.25" customHeight="1">
      <c r="E891" s="65"/>
      <c r="O891" s="66"/>
      <c r="P891" s="66"/>
      <c r="R891" s="66"/>
      <c r="S891" s="66"/>
      <c r="T891" s="66"/>
      <c r="U891" s="66"/>
    </row>
    <row r="892" ht="14.25" customHeight="1">
      <c r="E892" s="65"/>
      <c r="O892" s="66"/>
      <c r="P892" s="66"/>
      <c r="R892" s="66"/>
      <c r="S892" s="66"/>
      <c r="T892" s="66"/>
      <c r="U892" s="66"/>
    </row>
    <row r="893" ht="14.25" customHeight="1">
      <c r="E893" s="65"/>
      <c r="O893" s="66"/>
      <c r="P893" s="66"/>
      <c r="R893" s="66"/>
      <c r="S893" s="66"/>
      <c r="T893" s="66"/>
      <c r="U893" s="66"/>
    </row>
    <row r="894" ht="14.25" customHeight="1">
      <c r="E894" s="65"/>
      <c r="O894" s="66"/>
      <c r="P894" s="66"/>
      <c r="R894" s="66"/>
      <c r="S894" s="66"/>
      <c r="T894" s="66"/>
      <c r="U894" s="66"/>
    </row>
    <row r="895" ht="14.25" customHeight="1">
      <c r="E895" s="65"/>
      <c r="O895" s="66"/>
      <c r="P895" s="66"/>
      <c r="R895" s="66"/>
      <c r="S895" s="66"/>
      <c r="T895" s="66"/>
      <c r="U895" s="66"/>
    </row>
    <row r="896" ht="14.25" customHeight="1">
      <c r="E896" s="65"/>
      <c r="O896" s="66"/>
      <c r="P896" s="66"/>
      <c r="R896" s="66"/>
      <c r="S896" s="66"/>
      <c r="T896" s="66"/>
      <c r="U896" s="66"/>
    </row>
    <row r="897" ht="14.25" customHeight="1">
      <c r="E897" s="65"/>
      <c r="O897" s="66"/>
      <c r="P897" s="66"/>
      <c r="R897" s="66"/>
      <c r="S897" s="66"/>
      <c r="T897" s="66"/>
      <c r="U897" s="66"/>
    </row>
    <row r="898" ht="14.25" customHeight="1">
      <c r="E898" s="65"/>
      <c r="O898" s="66"/>
      <c r="P898" s="66"/>
      <c r="R898" s="66"/>
      <c r="S898" s="66"/>
      <c r="T898" s="66"/>
      <c r="U898" s="66"/>
    </row>
    <row r="899" ht="14.25" customHeight="1">
      <c r="E899" s="65"/>
      <c r="O899" s="66"/>
      <c r="P899" s="66"/>
      <c r="R899" s="66"/>
      <c r="S899" s="66"/>
      <c r="T899" s="66"/>
      <c r="U899" s="66"/>
    </row>
    <row r="900" ht="14.25" customHeight="1">
      <c r="E900" s="65"/>
      <c r="O900" s="66"/>
      <c r="P900" s="66"/>
      <c r="R900" s="66"/>
      <c r="S900" s="66"/>
      <c r="T900" s="66"/>
      <c r="U900" s="66"/>
    </row>
    <row r="901" ht="14.25" customHeight="1">
      <c r="E901" s="65"/>
      <c r="O901" s="66"/>
      <c r="P901" s="66"/>
      <c r="R901" s="66"/>
      <c r="S901" s="66"/>
      <c r="T901" s="66"/>
      <c r="U901" s="66"/>
    </row>
    <row r="902" ht="14.25" customHeight="1">
      <c r="E902" s="65"/>
      <c r="O902" s="66"/>
      <c r="P902" s="66"/>
      <c r="R902" s="66"/>
      <c r="S902" s="66"/>
      <c r="T902" s="66"/>
      <c r="U902" s="66"/>
    </row>
    <row r="903" ht="14.25" customHeight="1">
      <c r="E903" s="65"/>
      <c r="O903" s="66"/>
      <c r="P903" s="66"/>
      <c r="R903" s="66"/>
      <c r="S903" s="66"/>
      <c r="T903" s="66"/>
      <c r="U903" s="66"/>
    </row>
    <row r="904" ht="14.25" customHeight="1">
      <c r="E904" s="65"/>
      <c r="O904" s="66"/>
      <c r="P904" s="66"/>
      <c r="R904" s="66"/>
      <c r="S904" s="66"/>
      <c r="T904" s="66"/>
      <c r="U904" s="66"/>
    </row>
    <row r="905" ht="14.25" customHeight="1">
      <c r="E905" s="65"/>
      <c r="O905" s="66"/>
      <c r="P905" s="66"/>
      <c r="R905" s="66"/>
      <c r="S905" s="66"/>
      <c r="T905" s="66"/>
      <c r="U905" s="66"/>
    </row>
    <row r="906" ht="14.25" customHeight="1">
      <c r="E906" s="65"/>
      <c r="O906" s="66"/>
      <c r="P906" s="66"/>
      <c r="R906" s="66"/>
      <c r="S906" s="66"/>
      <c r="T906" s="66"/>
      <c r="U906" s="66"/>
    </row>
    <row r="907" ht="14.25" customHeight="1">
      <c r="E907" s="65"/>
      <c r="O907" s="66"/>
      <c r="P907" s="66"/>
      <c r="R907" s="66"/>
      <c r="S907" s="66"/>
      <c r="T907" s="66"/>
      <c r="U907" s="66"/>
    </row>
    <row r="908" ht="14.25" customHeight="1">
      <c r="E908" s="65"/>
      <c r="O908" s="66"/>
      <c r="P908" s="66"/>
      <c r="R908" s="66"/>
      <c r="S908" s="66"/>
      <c r="T908" s="66"/>
      <c r="U908" s="66"/>
    </row>
    <row r="909" ht="14.25" customHeight="1">
      <c r="E909" s="65"/>
      <c r="O909" s="66"/>
      <c r="P909" s="66"/>
      <c r="R909" s="66"/>
      <c r="S909" s="66"/>
      <c r="T909" s="66"/>
      <c r="U909" s="66"/>
    </row>
    <row r="910" ht="14.25" customHeight="1">
      <c r="E910" s="65"/>
      <c r="O910" s="66"/>
      <c r="P910" s="66"/>
      <c r="R910" s="66"/>
      <c r="S910" s="66"/>
      <c r="T910" s="66"/>
      <c r="U910" s="66"/>
    </row>
    <row r="911" ht="14.25" customHeight="1">
      <c r="E911" s="65"/>
      <c r="O911" s="66"/>
      <c r="P911" s="66"/>
      <c r="R911" s="66"/>
      <c r="S911" s="66"/>
      <c r="T911" s="66"/>
      <c r="U911" s="66"/>
    </row>
    <row r="912" ht="14.25" customHeight="1">
      <c r="E912" s="65"/>
      <c r="O912" s="66"/>
      <c r="P912" s="66"/>
      <c r="R912" s="66"/>
      <c r="S912" s="66"/>
      <c r="T912" s="66"/>
      <c r="U912" s="66"/>
    </row>
    <row r="913" ht="14.25" customHeight="1">
      <c r="E913" s="65"/>
      <c r="O913" s="66"/>
      <c r="P913" s="66"/>
      <c r="R913" s="66"/>
      <c r="S913" s="66"/>
      <c r="T913" s="66"/>
      <c r="U913" s="66"/>
    </row>
    <row r="914" ht="14.25" customHeight="1">
      <c r="E914" s="65"/>
      <c r="O914" s="66"/>
      <c r="P914" s="66"/>
      <c r="R914" s="66"/>
      <c r="S914" s="66"/>
      <c r="T914" s="66"/>
      <c r="U914" s="66"/>
    </row>
    <row r="915" ht="14.25" customHeight="1">
      <c r="E915" s="65"/>
      <c r="O915" s="66"/>
      <c r="P915" s="66"/>
      <c r="R915" s="66"/>
      <c r="S915" s="66"/>
      <c r="T915" s="66"/>
      <c r="U915" s="66"/>
    </row>
    <row r="916" ht="14.25" customHeight="1">
      <c r="E916" s="65"/>
      <c r="O916" s="66"/>
      <c r="P916" s="66"/>
      <c r="R916" s="66"/>
      <c r="S916" s="66"/>
      <c r="T916" s="66"/>
      <c r="U916" s="66"/>
    </row>
    <row r="917" ht="14.25" customHeight="1">
      <c r="E917" s="65"/>
      <c r="O917" s="66"/>
      <c r="P917" s="66"/>
      <c r="R917" s="66"/>
      <c r="S917" s="66"/>
      <c r="T917" s="66"/>
      <c r="U917" s="66"/>
    </row>
    <row r="918" ht="14.25" customHeight="1">
      <c r="E918" s="65"/>
      <c r="O918" s="66"/>
      <c r="P918" s="66"/>
      <c r="R918" s="66"/>
      <c r="S918" s="66"/>
      <c r="T918" s="66"/>
      <c r="U918" s="66"/>
    </row>
    <row r="919" ht="14.25" customHeight="1">
      <c r="E919" s="65"/>
      <c r="O919" s="66"/>
      <c r="P919" s="66"/>
      <c r="R919" s="66"/>
      <c r="S919" s="66"/>
      <c r="T919" s="66"/>
      <c r="U919" s="66"/>
    </row>
    <row r="920" ht="14.25" customHeight="1">
      <c r="E920" s="65"/>
      <c r="O920" s="66"/>
      <c r="P920" s="66"/>
      <c r="R920" s="66"/>
      <c r="S920" s="66"/>
      <c r="T920" s="66"/>
      <c r="U920" s="66"/>
    </row>
    <row r="921" ht="14.25" customHeight="1">
      <c r="E921" s="65"/>
      <c r="O921" s="66"/>
      <c r="P921" s="66"/>
      <c r="R921" s="66"/>
      <c r="S921" s="66"/>
      <c r="T921" s="66"/>
      <c r="U921" s="66"/>
    </row>
    <row r="922" ht="14.25" customHeight="1">
      <c r="E922" s="65"/>
      <c r="O922" s="66"/>
      <c r="P922" s="66"/>
      <c r="R922" s="66"/>
      <c r="S922" s="66"/>
      <c r="T922" s="66"/>
      <c r="U922" s="66"/>
    </row>
    <row r="923" ht="14.25" customHeight="1">
      <c r="E923" s="65"/>
      <c r="O923" s="66"/>
      <c r="P923" s="66"/>
      <c r="R923" s="66"/>
      <c r="S923" s="66"/>
      <c r="T923" s="66"/>
      <c r="U923" s="66"/>
    </row>
    <row r="924" ht="14.25" customHeight="1">
      <c r="E924" s="65"/>
      <c r="O924" s="66"/>
      <c r="P924" s="66"/>
      <c r="R924" s="66"/>
      <c r="S924" s="66"/>
      <c r="T924" s="66"/>
      <c r="U924" s="66"/>
    </row>
    <row r="925" ht="14.25" customHeight="1">
      <c r="E925" s="65"/>
      <c r="O925" s="66"/>
      <c r="P925" s="66"/>
      <c r="R925" s="66"/>
      <c r="S925" s="66"/>
      <c r="T925" s="66"/>
      <c r="U925" s="66"/>
    </row>
    <row r="926" ht="14.25" customHeight="1">
      <c r="E926" s="65"/>
      <c r="O926" s="66"/>
      <c r="P926" s="66"/>
      <c r="R926" s="66"/>
      <c r="S926" s="66"/>
      <c r="T926" s="66"/>
      <c r="U926" s="66"/>
    </row>
    <row r="927" ht="14.25" customHeight="1">
      <c r="E927" s="65"/>
      <c r="O927" s="66"/>
      <c r="P927" s="66"/>
      <c r="R927" s="66"/>
      <c r="S927" s="66"/>
      <c r="T927" s="66"/>
      <c r="U927" s="66"/>
    </row>
    <row r="928" ht="14.25" customHeight="1">
      <c r="E928" s="65"/>
      <c r="O928" s="66"/>
      <c r="P928" s="66"/>
      <c r="R928" s="66"/>
      <c r="S928" s="66"/>
      <c r="T928" s="66"/>
      <c r="U928" s="66"/>
    </row>
    <row r="929" ht="14.25" customHeight="1">
      <c r="E929" s="65"/>
      <c r="O929" s="66"/>
      <c r="P929" s="66"/>
      <c r="R929" s="66"/>
      <c r="S929" s="66"/>
      <c r="T929" s="66"/>
      <c r="U929" s="66"/>
    </row>
    <row r="930" ht="14.25" customHeight="1">
      <c r="E930" s="65"/>
      <c r="O930" s="66"/>
      <c r="P930" s="66"/>
      <c r="R930" s="66"/>
      <c r="S930" s="66"/>
      <c r="T930" s="66"/>
      <c r="U930" s="66"/>
    </row>
    <row r="931" ht="14.25" customHeight="1">
      <c r="E931" s="65"/>
      <c r="O931" s="66"/>
      <c r="P931" s="66"/>
      <c r="R931" s="66"/>
      <c r="S931" s="66"/>
      <c r="T931" s="66"/>
      <c r="U931" s="66"/>
    </row>
    <row r="932" ht="14.25" customHeight="1">
      <c r="E932" s="65"/>
      <c r="O932" s="66"/>
      <c r="P932" s="66"/>
      <c r="R932" s="66"/>
      <c r="S932" s="66"/>
      <c r="T932" s="66"/>
      <c r="U932" s="66"/>
    </row>
    <row r="933" ht="14.25" customHeight="1">
      <c r="E933" s="65"/>
      <c r="O933" s="66"/>
      <c r="P933" s="66"/>
      <c r="R933" s="66"/>
      <c r="S933" s="66"/>
      <c r="T933" s="66"/>
      <c r="U933" s="66"/>
    </row>
    <row r="934" ht="14.25" customHeight="1">
      <c r="E934" s="65"/>
      <c r="O934" s="66"/>
      <c r="P934" s="66"/>
      <c r="R934" s="66"/>
      <c r="S934" s="66"/>
      <c r="T934" s="66"/>
      <c r="U934" s="66"/>
    </row>
    <row r="935" ht="14.25" customHeight="1">
      <c r="E935" s="65"/>
      <c r="O935" s="66"/>
      <c r="P935" s="66"/>
      <c r="R935" s="66"/>
      <c r="S935" s="66"/>
      <c r="T935" s="66"/>
      <c r="U935" s="66"/>
    </row>
    <row r="936" ht="14.25" customHeight="1">
      <c r="E936" s="65"/>
      <c r="O936" s="66"/>
      <c r="P936" s="66"/>
      <c r="R936" s="66"/>
      <c r="S936" s="66"/>
      <c r="T936" s="66"/>
      <c r="U936" s="66"/>
    </row>
    <row r="937" ht="14.25" customHeight="1">
      <c r="E937" s="65"/>
      <c r="O937" s="66"/>
      <c r="P937" s="66"/>
      <c r="R937" s="66"/>
      <c r="S937" s="66"/>
      <c r="T937" s="66"/>
      <c r="U937" s="66"/>
    </row>
    <row r="938" ht="14.25" customHeight="1">
      <c r="E938" s="65"/>
      <c r="O938" s="66"/>
      <c r="P938" s="66"/>
      <c r="R938" s="66"/>
      <c r="S938" s="66"/>
      <c r="T938" s="66"/>
      <c r="U938" s="66"/>
    </row>
    <row r="939" ht="14.25" customHeight="1">
      <c r="E939" s="65"/>
      <c r="O939" s="66"/>
      <c r="P939" s="66"/>
      <c r="R939" s="66"/>
      <c r="S939" s="66"/>
      <c r="T939" s="66"/>
      <c r="U939" s="66"/>
    </row>
    <row r="940" ht="14.25" customHeight="1">
      <c r="E940" s="65"/>
      <c r="O940" s="66"/>
      <c r="P940" s="66"/>
      <c r="R940" s="66"/>
      <c r="S940" s="66"/>
      <c r="T940" s="66"/>
      <c r="U940" s="66"/>
    </row>
    <row r="941" ht="14.25" customHeight="1">
      <c r="E941" s="65"/>
      <c r="O941" s="66"/>
      <c r="P941" s="66"/>
      <c r="R941" s="66"/>
      <c r="S941" s="66"/>
      <c r="T941" s="66"/>
      <c r="U941" s="66"/>
    </row>
    <row r="942" ht="14.25" customHeight="1">
      <c r="E942" s="65"/>
      <c r="O942" s="66"/>
      <c r="P942" s="66"/>
      <c r="R942" s="66"/>
      <c r="S942" s="66"/>
      <c r="T942" s="66"/>
      <c r="U942" s="66"/>
    </row>
    <row r="943" ht="14.25" customHeight="1">
      <c r="E943" s="65"/>
      <c r="O943" s="66"/>
      <c r="P943" s="66"/>
      <c r="R943" s="66"/>
      <c r="S943" s="66"/>
      <c r="T943" s="66"/>
      <c r="U943" s="66"/>
    </row>
    <row r="944" ht="14.25" customHeight="1">
      <c r="E944" s="65"/>
      <c r="O944" s="66"/>
      <c r="P944" s="66"/>
      <c r="R944" s="66"/>
      <c r="S944" s="66"/>
      <c r="T944" s="66"/>
      <c r="U944" s="66"/>
    </row>
    <row r="945" ht="14.25" customHeight="1">
      <c r="E945" s="65"/>
      <c r="O945" s="66"/>
      <c r="P945" s="66"/>
      <c r="R945" s="66"/>
      <c r="S945" s="66"/>
      <c r="T945" s="66"/>
      <c r="U945" s="66"/>
    </row>
    <row r="946" ht="14.25" customHeight="1">
      <c r="E946" s="65"/>
      <c r="O946" s="66"/>
      <c r="P946" s="66"/>
      <c r="R946" s="66"/>
      <c r="S946" s="66"/>
      <c r="T946" s="66"/>
      <c r="U946" s="66"/>
    </row>
    <row r="947" ht="14.25" customHeight="1">
      <c r="E947" s="65"/>
      <c r="O947" s="66"/>
      <c r="P947" s="66"/>
      <c r="R947" s="66"/>
      <c r="S947" s="66"/>
      <c r="T947" s="66"/>
      <c r="U947" s="66"/>
    </row>
    <row r="948" ht="14.25" customHeight="1">
      <c r="E948" s="65"/>
      <c r="O948" s="66"/>
      <c r="P948" s="66"/>
      <c r="R948" s="66"/>
      <c r="S948" s="66"/>
      <c r="T948" s="66"/>
      <c r="U948" s="66"/>
    </row>
    <row r="949" ht="14.25" customHeight="1">
      <c r="E949" s="65"/>
      <c r="O949" s="66"/>
      <c r="P949" s="66"/>
      <c r="R949" s="66"/>
      <c r="S949" s="66"/>
      <c r="T949" s="66"/>
      <c r="U949" s="66"/>
    </row>
    <row r="950" ht="14.25" customHeight="1">
      <c r="E950" s="65"/>
      <c r="O950" s="66"/>
      <c r="P950" s="66"/>
      <c r="R950" s="66"/>
      <c r="S950" s="66"/>
      <c r="T950" s="66"/>
      <c r="U950" s="66"/>
    </row>
    <row r="951" ht="14.25" customHeight="1">
      <c r="E951" s="65"/>
      <c r="O951" s="66"/>
      <c r="P951" s="66"/>
      <c r="R951" s="66"/>
      <c r="S951" s="66"/>
      <c r="T951" s="66"/>
      <c r="U951" s="66"/>
    </row>
    <row r="952" ht="14.25" customHeight="1">
      <c r="E952" s="65"/>
      <c r="O952" s="66"/>
      <c r="P952" s="66"/>
      <c r="R952" s="66"/>
      <c r="S952" s="66"/>
      <c r="T952" s="66"/>
      <c r="U952" s="66"/>
    </row>
    <row r="953" ht="14.25" customHeight="1">
      <c r="E953" s="65"/>
      <c r="O953" s="66"/>
      <c r="P953" s="66"/>
      <c r="R953" s="66"/>
      <c r="S953" s="66"/>
      <c r="T953" s="66"/>
      <c r="U953" s="66"/>
    </row>
    <row r="954" ht="14.25" customHeight="1">
      <c r="E954" s="65"/>
      <c r="O954" s="66"/>
      <c r="P954" s="66"/>
      <c r="R954" s="66"/>
      <c r="S954" s="66"/>
      <c r="T954" s="66"/>
      <c r="U954" s="66"/>
    </row>
    <row r="955" ht="14.25" customHeight="1">
      <c r="E955" s="65"/>
      <c r="O955" s="66"/>
      <c r="P955" s="66"/>
      <c r="R955" s="66"/>
      <c r="S955" s="66"/>
      <c r="T955" s="66"/>
      <c r="U955" s="66"/>
    </row>
    <row r="956" ht="14.25" customHeight="1">
      <c r="E956" s="65"/>
      <c r="O956" s="66"/>
      <c r="P956" s="66"/>
      <c r="R956" s="66"/>
      <c r="S956" s="66"/>
      <c r="T956" s="66"/>
      <c r="U956" s="66"/>
    </row>
    <row r="957" ht="14.25" customHeight="1">
      <c r="E957" s="65"/>
      <c r="O957" s="66"/>
      <c r="P957" s="66"/>
      <c r="R957" s="66"/>
      <c r="S957" s="66"/>
      <c r="T957" s="66"/>
      <c r="U957" s="66"/>
    </row>
    <row r="958" ht="14.25" customHeight="1">
      <c r="E958" s="65"/>
      <c r="O958" s="66"/>
      <c r="P958" s="66"/>
      <c r="R958" s="66"/>
      <c r="S958" s="66"/>
      <c r="T958" s="66"/>
      <c r="U958" s="66"/>
    </row>
    <row r="959" ht="14.25" customHeight="1">
      <c r="E959" s="65"/>
      <c r="O959" s="66"/>
      <c r="P959" s="66"/>
      <c r="R959" s="66"/>
      <c r="S959" s="66"/>
      <c r="T959" s="66"/>
      <c r="U959" s="66"/>
    </row>
    <row r="960" ht="14.25" customHeight="1">
      <c r="E960" s="65"/>
      <c r="O960" s="66"/>
      <c r="P960" s="66"/>
      <c r="R960" s="66"/>
      <c r="S960" s="66"/>
      <c r="T960" s="66"/>
      <c r="U960" s="66"/>
    </row>
    <row r="961" ht="14.25" customHeight="1">
      <c r="E961" s="65"/>
      <c r="O961" s="66"/>
      <c r="P961" s="66"/>
      <c r="R961" s="66"/>
      <c r="S961" s="66"/>
      <c r="T961" s="66"/>
      <c r="U961" s="66"/>
    </row>
    <row r="962" ht="14.25" customHeight="1">
      <c r="E962" s="65"/>
      <c r="O962" s="66"/>
      <c r="P962" s="66"/>
      <c r="R962" s="66"/>
      <c r="S962" s="66"/>
      <c r="T962" s="66"/>
      <c r="U962" s="66"/>
    </row>
    <row r="963" ht="14.25" customHeight="1">
      <c r="E963" s="65"/>
      <c r="O963" s="66"/>
      <c r="P963" s="66"/>
      <c r="R963" s="66"/>
      <c r="S963" s="66"/>
      <c r="T963" s="66"/>
      <c r="U963" s="66"/>
    </row>
    <row r="964" ht="14.25" customHeight="1">
      <c r="E964" s="65"/>
      <c r="O964" s="66"/>
      <c r="P964" s="66"/>
      <c r="R964" s="66"/>
      <c r="S964" s="66"/>
      <c r="T964" s="66"/>
      <c r="U964" s="66"/>
    </row>
    <row r="965" ht="14.25" customHeight="1">
      <c r="E965" s="65"/>
      <c r="O965" s="66"/>
      <c r="P965" s="66"/>
      <c r="R965" s="66"/>
      <c r="S965" s="66"/>
      <c r="T965" s="66"/>
      <c r="U965" s="66"/>
    </row>
    <row r="966" ht="14.25" customHeight="1">
      <c r="E966" s="65"/>
      <c r="O966" s="66"/>
      <c r="P966" s="66"/>
      <c r="R966" s="66"/>
      <c r="S966" s="66"/>
      <c r="T966" s="66"/>
      <c r="U966" s="66"/>
    </row>
    <row r="967" ht="14.25" customHeight="1">
      <c r="E967" s="65"/>
      <c r="O967" s="66"/>
      <c r="P967" s="66"/>
      <c r="R967" s="66"/>
      <c r="S967" s="66"/>
      <c r="T967" s="66"/>
      <c r="U967" s="66"/>
    </row>
    <row r="968" ht="14.25" customHeight="1">
      <c r="E968" s="65"/>
      <c r="O968" s="66"/>
      <c r="P968" s="66"/>
      <c r="R968" s="66"/>
      <c r="S968" s="66"/>
      <c r="T968" s="66"/>
      <c r="U968" s="66"/>
    </row>
    <row r="969" ht="14.25" customHeight="1">
      <c r="E969" s="65"/>
      <c r="O969" s="66"/>
      <c r="P969" s="66"/>
      <c r="R969" s="66"/>
      <c r="S969" s="66"/>
      <c r="T969" s="66"/>
      <c r="U969" s="66"/>
    </row>
    <row r="970" ht="14.25" customHeight="1">
      <c r="E970" s="65"/>
      <c r="O970" s="66"/>
      <c r="P970" s="66"/>
      <c r="R970" s="66"/>
      <c r="S970" s="66"/>
      <c r="T970" s="66"/>
      <c r="U970" s="66"/>
    </row>
    <row r="971" ht="14.25" customHeight="1">
      <c r="E971" s="65"/>
      <c r="O971" s="66"/>
      <c r="P971" s="66"/>
      <c r="R971" s="66"/>
      <c r="S971" s="66"/>
      <c r="T971" s="66"/>
      <c r="U971" s="66"/>
    </row>
    <row r="972" ht="14.25" customHeight="1">
      <c r="E972" s="65"/>
      <c r="O972" s="66"/>
      <c r="P972" s="66"/>
      <c r="R972" s="66"/>
      <c r="S972" s="66"/>
      <c r="T972" s="66"/>
      <c r="U972" s="66"/>
    </row>
    <row r="973" ht="14.25" customHeight="1">
      <c r="E973" s="65"/>
      <c r="O973" s="66"/>
      <c r="P973" s="66"/>
      <c r="R973" s="66"/>
      <c r="S973" s="66"/>
      <c r="T973" s="66"/>
      <c r="U973" s="66"/>
    </row>
    <row r="974" ht="14.25" customHeight="1">
      <c r="E974" s="65"/>
      <c r="O974" s="66"/>
      <c r="P974" s="66"/>
      <c r="R974" s="66"/>
      <c r="S974" s="66"/>
      <c r="T974" s="66"/>
      <c r="U974" s="66"/>
    </row>
    <row r="975" ht="14.25" customHeight="1">
      <c r="E975" s="65"/>
      <c r="O975" s="66"/>
      <c r="P975" s="66"/>
      <c r="R975" s="66"/>
      <c r="S975" s="66"/>
      <c r="T975" s="66"/>
      <c r="U975" s="66"/>
    </row>
    <row r="976" ht="14.25" customHeight="1">
      <c r="E976" s="65"/>
      <c r="O976" s="66"/>
      <c r="P976" s="66"/>
      <c r="R976" s="66"/>
      <c r="S976" s="66"/>
      <c r="T976" s="66"/>
      <c r="U976" s="66"/>
    </row>
    <row r="977" ht="14.25" customHeight="1">
      <c r="E977" s="65"/>
      <c r="O977" s="66"/>
      <c r="P977" s="66"/>
      <c r="R977" s="66"/>
      <c r="S977" s="66"/>
      <c r="T977" s="66"/>
      <c r="U977" s="66"/>
    </row>
    <row r="978" ht="14.25" customHeight="1">
      <c r="E978" s="65"/>
      <c r="O978" s="66"/>
      <c r="P978" s="66"/>
      <c r="R978" s="66"/>
      <c r="S978" s="66"/>
      <c r="T978" s="66"/>
      <c r="U978" s="66"/>
    </row>
    <row r="979" ht="14.25" customHeight="1">
      <c r="E979" s="65"/>
      <c r="O979" s="66"/>
      <c r="P979" s="66"/>
      <c r="R979" s="66"/>
      <c r="S979" s="66"/>
      <c r="T979" s="66"/>
      <c r="U979" s="66"/>
    </row>
    <row r="980" ht="14.25" customHeight="1">
      <c r="E980" s="65"/>
      <c r="O980" s="66"/>
      <c r="P980" s="66"/>
      <c r="R980" s="66"/>
      <c r="S980" s="66"/>
      <c r="T980" s="66"/>
      <c r="U980" s="66"/>
    </row>
    <row r="981" ht="14.25" customHeight="1">
      <c r="E981" s="65"/>
      <c r="O981" s="66"/>
      <c r="P981" s="66"/>
      <c r="R981" s="66"/>
      <c r="S981" s="66"/>
      <c r="T981" s="66"/>
      <c r="U981" s="66"/>
    </row>
    <row r="982" ht="14.25" customHeight="1">
      <c r="E982" s="65"/>
      <c r="O982" s="66"/>
      <c r="P982" s="66"/>
      <c r="R982" s="66"/>
      <c r="S982" s="66"/>
      <c r="T982" s="66"/>
      <c r="U982" s="66"/>
    </row>
    <row r="983" ht="14.25" customHeight="1">
      <c r="E983" s="65"/>
      <c r="O983" s="66"/>
      <c r="P983" s="66"/>
      <c r="R983" s="66"/>
      <c r="S983" s="66"/>
      <c r="T983" s="66"/>
      <c r="U983" s="66"/>
    </row>
    <row r="984" ht="14.25" customHeight="1">
      <c r="E984" s="65"/>
      <c r="O984" s="66"/>
      <c r="P984" s="66"/>
      <c r="R984" s="66"/>
      <c r="S984" s="66"/>
      <c r="T984" s="66"/>
      <c r="U984" s="66"/>
    </row>
    <row r="985" ht="14.25" customHeight="1">
      <c r="E985" s="65"/>
      <c r="O985" s="66"/>
      <c r="P985" s="66"/>
      <c r="R985" s="66"/>
      <c r="S985" s="66"/>
      <c r="T985" s="66"/>
      <c r="U985" s="66"/>
    </row>
    <row r="986" ht="14.25" customHeight="1">
      <c r="E986" s="65"/>
      <c r="O986" s="66"/>
      <c r="P986" s="66"/>
      <c r="R986" s="66"/>
      <c r="S986" s="66"/>
      <c r="T986" s="66"/>
      <c r="U986" s="66"/>
    </row>
    <row r="987" ht="14.25" customHeight="1">
      <c r="E987" s="65"/>
      <c r="O987" s="66"/>
      <c r="P987" s="66"/>
      <c r="R987" s="66"/>
      <c r="S987" s="66"/>
      <c r="T987" s="66"/>
      <c r="U987" s="66"/>
    </row>
    <row r="988" ht="14.25" customHeight="1">
      <c r="E988" s="65"/>
      <c r="O988" s="66"/>
      <c r="P988" s="66"/>
      <c r="R988" s="66"/>
      <c r="S988" s="66"/>
      <c r="T988" s="66"/>
      <c r="U988" s="66"/>
    </row>
    <row r="989" ht="14.25" customHeight="1">
      <c r="E989" s="65"/>
      <c r="O989" s="66"/>
      <c r="P989" s="66"/>
      <c r="R989" s="66"/>
      <c r="S989" s="66"/>
      <c r="T989" s="66"/>
      <c r="U989" s="66"/>
    </row>
    <row r="990" ht="14.25" customHeight="1">
      <c r="E990" s="65"/>
      <c r="O990" s="66"/>
      <c r="P990" s="66"/>
      <c r="R990" s="66"/>
      <c r="S990" s="66"/>
      <c r="T990" s="66"/>
      <c r="U990" s="66"/>
    </row>
    <row r="991" ht="14.25" customHeight="1">
      <c r="E991" s="65"/>
      <c r="O991" s="66"/>
      <c r="P991" s="66"/>
      <c r="R991" s="66"/>
      <c r="S991" s="66"/>
      <c r="T991" s="66"/>
      <c r="U991" s="66"/>
    </row>
    <row r="992" ht="14.25" customHeight="1">
      <c r="E992" s="65"/>
      <c r="O992" s="66"/>
      <c r="P992" s="66"/>
      <c r="R992" s="66"/>
      <c r="S992" s="66"/>
      <c r="T992" s="66"/>
      <c r="U992" s="66"/>
    </row>
    <row r="993" ht="14.25" customHeight="1">
      <c r="E993" s="65"/>
      <c r="O993" s="66"/>
      <c r="P993" s="66"/>
      <c r="R993" s="66"/>
      <c r="S993" s="66"/>
      <c r="T993" s="66"/>
      <c r="U993" s="66"/>
    </row>
    <row r="994" ht="14.25" customHeight="1">
      <c r="E994" s="65"/>
      <c r="O994" s="66"/>
      <c r="P994" s="66"/>
      <c r="R994" s="66"/>
      <c r="S994" s="66"/>
      <c r="T994" s="66"/>
      <c r="U994" s="66"/>
    </row>
    <row r="995" ht="14.25" customHeight="1">
      <c r="E995" s="65"/>
      <c r="O995" s="66"/>
      <c r="P995" s="66"/>
      <c r="R995" s="66"/>
      <c r="S995" s="66"/>
      <c r="T995" s="66"/>
      <c r="U995" s="66"/>
    </row>
    <row r="996" ht="14.25" customHeight="1">
      <c r="E996" s="65"/>
      <c r="O996" s="66"/>
      <c r="P996" s="66"/>
      <c r="R996" s="66"/>
      <c r="S996" s="66"/>
      <c r="T996" s="66"/>
      <c r="U996" s="66"/>
    </row>
    <row r="997" ht="14.25" customHeight="1">
      <c r="E997" s="65"/>
      <c r="O997" s="66"/>
      <c r="P997" s="66"/>
      <c r="R997" s="66"/>
      <c r="S997" s="66"/>
      <c r="T997" s="66"/>
      <c r="U997" s="66"/>
    </row>
    <row r="998" ht="14.25" customHeight="1">
      <c r="E998" s="65"/>
      <c r="O998" s="66"/>
      <c r="P998" s="66"/>
      <c r="R998" s="66"/>
      <c r="S998" s="66"/>
      <c r="T998" s="66"/>
      <c r="U998" s="66"/>
    </row>
    <row r="999" ht="14.25" customHeight="1">
      <c r="E999" s="65"/>
      <c r="O999" s="66"/>
      <c r="P999" s="66"/>
      <c r="R999" s="66"/>
      <c r="S999" s="66"/>
      <c r="T999" s="66"/>
      <c r="U999" s="66"/>
    </row>
    <row r="1000" ht="14.25" customHeight="1">
      <c r="E1000" s="65"/>
      <c r="O1000" s="66"/>
      <c r="P1000" s="66"/>
      <c r="R1000" s="66"/>
      <c r="S1000" s="66"/>
      <c r="T1000" s="66"/>
      <c r="U1000" s="66"/>
    </row>
  </sheetData>
  <autoFilter ref="$A$1:$Z$119"/>
  <mergeCells count="1">
    <mergeCell ref="X106:X108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2" width="17.43"/>
    <col customWidth="1" min="3" max="3" width="15.29"/>
    <col customWidth="1" min="4" max="4" width="17.43"/>
    <col customWidth="1" min="5" max="5" width="21.86"/>
    <col customWidth="1" min="6" max="6" width="19.57"/>
    <col customWidth="1" min="7" max="7" width="22.86"/>
    <col customWidth="1" min="8" max="8" width="17.43"/>
    <col customWidth="1" min="9" max="9" width="15.29"/>
    <col customWidth="1" min="10" max="10" width="17.43"/>
    <col customWidth="1" min="11" max="11" width="21.86"/>
    <col customWidth="1" min="12" max="12" width="19.57"/>
    <col customWidth="1" min="13" max="13" width="22.86"/>
    <col customWidth="1" min="14" max="14" width="17.43"/>
    <col customWidth="1" min="15" max="15" width="15.29"/>
    <col customWidth="1" min="16" max="16" width="17.43"/>
    <col customWidth="1" min="17" max="17" width="21.86"/>
    <col customWidth="1" min="18" max="18" width="19.57"/>
    <col customWidth="1" min="19" max="19" width="22.86"/>
    <col customWidth="1" min="20" max="20" width="17.43"/>
    <col customWidth="1" min="21" max="21" width="15.29"/>
    <col customWidth="1" min="22" max="22" width="17.43"/>
    <col customWidth="1" min="23" max="23" width="21.86"/>
    <col customWidth="1" min="24" max="24" width="19.57"/>
    <col customWidth="1" min="25" max="25" width="22.86"/>
    <col customWidth="1" min="26" max="28" width="27.29"/>
    <col customWidth="1" min="29" max="29" width="114.57"/>
    <col customWidth="1" min="30" max="30" width="60.0"/>
    <col customWidth="1" min="31" max="31" width="19.57"/>
    <col customWidth="1" min="32" max="32" width="21.86"/>
    <col customWidth="1" min="33" max="33" width="24.0"/>
    <col customWidth="1" min="34" max="34" width="21.86"/>
    <col customWidth="1" min="35" max="35" width="26.14"/>
    <col customWidth="1" min="36" max="36" width="60.0"/>
    <col customWidth="1" min="37" max="37" width="19.57"/>
    <col customWidth="1" min="38" max="38" width="21.86"/>
    <col customWidth="1" min="39" max="39" width="24.0"/>
    <col customWidth="1" min="40" max="40" width="21.86"/>
    <col customWidth="1" min="41" max="41" width="26.14"/>
    <col customWidth="1" min="42" max="42" width="60.0"/>
    <col customWidth="1" min="43" max="43" width="19.57"/>
    <col customWidth="1" min="44" max="44" width="21.86"/>
    <col customWidth="1" min="45" max="45" width="24.0"/>
    <col customWidth="1" min="46" max="46" width="21.86"/>
    <col customWidth="1" min="47" max="47" width="26.14"/>
    <col customWidth="1" min="48" max="48" width="60.0"/>
    <col customWidth="1" min="49" max="49" width="19.57"/>
    <col customWidth="1" min="50" max="50" width="21.86"/>
    <col customWidth="1" min="51" max="51" width="24.0"/>
    <col customWidth="1" min="52" max="52" width="21.86"/>
    <col customWidth="1" min="53" max="53" width="26.14"/>
    <col customWidth="1" min="54" max="56" width="31.57"/>
  </cols>
  <sheetData>
    <row r="1" ht="25.5" customHeight="1">
      <c r="A1" s="11" t="s">
        <v>23</v>
      </c>
      <c r="B1" s="13"/>
      <c r="C1" s="13"/>
      <c r="D1" s="13"/>
      <c r="E1" s="13"/>
      <c r="F1" s="13"/>
      <c r="G1" s="13"/>
      <c r="H1" s="17" t="s">
        <v>37</v>
      </c>
      <c r="I1" s="13"/>
      <c r="J1" s="13"/>
      <c r="K1" s="13"/>
      <c r="L1" s="13"/>
      <c r="M1" s="13"/>
      <c r="N1" s="23" t="s">
        <v>41</v>
      </c>
      <c r="O1" s="13"/>
      <c r="P1" s="13"/>
      <c r="Q1" s="13"/>
      <c r="R1" s="13"/>
      <c r="S1" s="13"/>
      <c r="T1" s="23" t="s">
        <v>45</v>
      </c>
      <c r="U1" s="13"/>
      <c r="V1" s="13"/>
      <c r="W1" s="13"/>
      <c r="X1" s="13"/>
      <c r="Y1" s="13"/>
      <c r="Z1" s="11" t="s">
        <v>46</v>
      </c>
      <c r="AA1" s="13"/>
      <c r="AB1" s="13"/>
      <c r="AC1" s="13"/>
      <c r="AD1" s="35" t="s">
        <v>61</v>
      </c>
      <c r="AE1" s="13"/>
      <c r="AF1" s="13"/>
      <c r="AG1" s="13"/>
      <c r="AH1" s="13"/>
      <c r="AI1" s="13"/>
      <c r="AJ1" s="36" t="s">
        <v>94</v>
      </c>
      <c r="AK1" s="13"/>
      <c r="AL1" s="13"/>
      <c r="AM1" s="13"/>
      <c r="AN1" s="13"/>
      <c r="AO1" s="13"/>
      <c r="AP1" s="35" t="s">
        <v>101</v>
      </c>
      <c r="AQ1" s="13"/>
      <c r="AR1" s="13"/>
      <c r="AS1" s="13"/>
      <c r="AT1" s="13"/>
      <c r="AU1" s="13"/>
      <c r="AV1" s="36" t="s">
        <v>107</v>
      </c>
      <c r="AW1" s="13"/>
      <c r="AX1" s="13"/>
      <c r="AY1" s="13"/>
      <c r="AZ1" s="13"/>
      <c r="BA1" s="13"/>
      <c r="BB1" s="40" t="s">
        <v>111</v>
      </c>
      <c r="BC1" s="13"/>
      <c r="BD1" s="13"/>
    </row>
    <row r="2" ht="42.0" customHeight="1">
      <c r="A2" s="34" t="s">
        <v>0</v>
      </c>
      <c r="B2" s="34" t="s">
        <v>130</v>
      </c>
      <c r="C2" s="34" t="s">
        <v>1</v>
      </c>
      <c r="D2" s="34" t="s">
        <v>85</v>
      </c>
      <c r="E2" s="34" t="s">
        <v>6</v>
      </c>
      <c r="F2" s="34" t="s">
        <v>93</v>
      </c>
      <c r="G2" s="34" t="s">
        <v>8</v>
      </c>
      <c r="H2" s="38" t="s">
        <v>160</v>
      </c>
      <c r="I2" s="38" t="s">
        <v>167</v>
      </c>
      <c r="J2" s="38" t="s">
        <v>170</v>
      </c>
      <c r="K2" s="38" t="s">
        <v>171</v>
      </c>
      <c r="L2" s="38" t="s">
        <v>173</v>
      </c>
      <c r="M2" s="38" t="s">
        <v>181</v>
      </c>
      <c r="N2" s="43" t="s">
        <v>185</v>
      </c>
      <c r="O2" s="43" t="s">
        <v>188</v>
      </c>
      <c r="P2" s="43" t="s">
        <v>190</v>
      </c>
      <c r="Q2" s="43" t="s">
        <v>193</v>
      </c>
      <c r="R2" s="43" t="s">
        <v>197</v>
      </c>
      <c r="S2" s="43" t="s">
        <v>204</v>
      </c>
      <c r="T2" s="43" t="s">
        <v>205</v>
      </c>
      <c r="U2" s="43" t="s">
        <v>208</v>
      </c>
      <c r="V2" s="43" t="s">
        <v>210</v>
      </c>
      <c r="W2" s="43" t="s">
        <v>213</v>
      </c>
      <c r="X2" s="43" t="s">
        <v>219</v>
      </c>
      <c r="Y2" s="43" t="s">
        <v>222</v>
      </c>
      <c r="Z2" s="34" t="s">
        <v>153</v>
      </c>
      <c r="AA2" s="34" t="s">
        <v>159</v>
      </c>
      <c r="AB2" s="34" t="s">
        <v>163</v>
      </c>
      <c r="AC2" s="34" t="s">
        <v>169</v>
      </c>
      <c r="AD2" s="53" t="s">
        <v>241</v>
      </c>
      <c r="AE2" s="53" t="s">
        <v>250</v>
      </c>
      <c r="AF2" s="53" t="s">
        <v>254</v>
      </c>
      <c r="AG2" s="53" t="s">
        <v>255</v>
      </c>
      <c r="AH2" s="53" t="s">
        <v>257</v>
      </c>
      <c r="AI2" s="53" t="s">
        <v>264</v>
      </c>
      <c r="AJ2" s="54" t="s">
        <v>271</v>
      </c>
      <c r="AK2" s="54" t="s">
        <v>273</v>
      </c>
      <c r="AL2" s="54" t="s">
        <v>275</v>
      </c>
      <c r="AM2" s="54" t="s">
        <v>280</v>
      </c>
      <c r="AN2" s="54" t="s">
        <v>285</v>
      </c>
      <c r="AO2" s="54" t="s">
        <v>290</v>
      </c>
      <c r="AP2" s="53" t="s">
        <v>293</v>
      </c>
      <c r="AQ2" s="53" t="s">
        <v>295</v>
      </c>
      <c r="AR2" s="53" t="s">
        <v>298</v>
      </c>
      <c r="AS2" s="53" t="s">
        <v>304</v>
      </c>
      <c r="AT2" s="53" t="s">
        <v>310</v>
      </c>
      <c r="AU2" s="53" t="s">
        <v>313</v>
      </c>
      <c r="AV2" s="54" t="s">
        <v>318</v>
      </c>
      <c r="AW2" s="54" t="s">
        <v>320</v>
      </c>
      <c r="AX2" s="54" t="s">
        <v>324</v>
      </c>
      <c r="AY2" s="54" t="s">
        <v>331</v>
      </c>
      <c r="AZ2" s="54" t="s">
        <v>334</v>
      </c>
      <c r="BA2" s="54" t="s">
        <v>338</v>
      </c>
      <c r="BB2" s="34" t="s">
        <v>339</v>
      </c>
      <c r="BC2" s="34" t="s">
        <v>341</v>
      </c>
      <c r="BD2" s="34" t="s">
        <v>343</v>
      </c>
    </row>
    <row r="3" ht="129.75" customHeight="1">
      <c r="A3" s="49" t="s">
        <v>40</v>
      </c>
      <c r="B3" s="49" t="str">
        <f t="array" ref="B3">INDEX('HD cty 2024'!B:B,MATCH('F0, F1, F2, ...'!$C3,'HD cty 2024'!B:B,0))</f>
        <v>#N/A</v>
      </c>
      <c r="C3" s="49">
        <v>3.0</v>
      </c>
      <c r="D3" s="50">
        <v>45301.0</v>
      </c>
      <c r="E3" s="51">
        <v>1.133413E7</v>
      </c>
      <c r="F3" s="51">
        <v>906730.0</v>
      </c>
      <c r="G3" s="51">
        <v>1.224086E7</v>
      </c>
      <c r="H3" s="49" t="s">
        <v>414</v>
      </c>
      <c r="I3" s="52" t="s">
        <v>418</v>
      </c>
      <c r="J3" s="50">
        <v>45773.0</v>
      </c>
      <c r="K3" s="51">
        <v>-356085.0</v>
      </c>
      <c r="L3" s="51">
        <v>-28487.0</v>
      </c>
      <c r="M3" s="51">
        <v>-384572.0</v>
      </c>
      <c r="N3" s="49"/>
      <c r="O3" s="52"/>
      <c r="P3" s="50"/>
      <c r="Q3" s="51"/>
      <c r="R3" s="51"/>
      <c r="S3" s="51"/>
      <c r="T3" s="49"/>
      <c r="U3" s="52"/>
      <c r="V3" s="50"/>
      <c r="W3" s="51"/>
      <c r="X3" s="51"/>
      <c r="Y3" s="51"/>
      <c r="Z3" s="51">
        <v>1.0978045E7</v>
      </c>
      <c r="AA3" s="51">
        <v>878243.0</v>
      </c>
      <c r="AB3" s="51">
        <v>1.1856288E7</v>
      </c>
      <c r="AC3" s="47" t="s">
        <v>452</v>
      </c>
      <c r="AD3" s="47" t="s">
        <v>457</v>
      </c>
      <c r="AE3" s="48"/>
      <c r="AF3" s="50">
        <v>46314.0</v>
      </c>
      <c r="AG3" s="51">
        <v>-1.133413E7</v>
      </c>
      <c r="AH3" s="51">
        <v>-906730.0</v>
      </c>
      <c r="AI3" s="51">
        <v>-1.224086E7</v>
      </c>
      <c r="AJ3" s="47" t="s">
        <v>470</v>
      </c>
      <c r="AK3" s="48"/>
      <c r="AL3" s="50">
        <v>46314.0</v>
      </c>
      <c r="AM3" s="51">
        <v>356085.0</v>
      </c>
      <c r="AN3" s="51">
        <v>28487.0</v>
      </c>
      <c r="AO3" s="51">
        <v>384572.0</v>
      </c>
      <c r="AP3" s="47"/>
      <c r="AQ3" s="48"/>
      <c r="AR3" s="50"/>
      <c r="AS3" s="51"/>
      <c r="AT3" s="51"/>
      <c r="AU3" s="51"/>
      <c r="AV3" s="47"/>
      <c r="AW3" s="48"/>
      <c r="AX3" s="50"/>
      <c r="AY3" s="51"/>
      <c r="AZ3" s="51"/>
      <c r="BA3" s="51"/>
      <c r="BB3" s="51">
        <f t="shared" ref="BB3:BD3" si="1">SUM(Z3,AG3,AM3,AS3,AY3)</f>
        <v>0</v>
      </c>
      <c r="BC3" s="51">
        <f t="shared" si="1"/>
        <v>0</v>
      </c>
      <c r="BD3" s="51">
        <f t="shared" si="1"/>
        <v>0</v>
      </c>
    </row>
    <row r="4" ht="48.0" customHeight="1">
      <c r="A4" s="49" t="s">
        <v>40</v>
      </c>
      <c r="B4" s="49" t="str">
        <f t="array" ref="B4">INDEX('HD cty 2024'!B:B,MATCH('F0, F1, F2, ...'!$C4,'HD cty 2024'!B:B,0))</f>
        <v>#N/A</v>
      </c>
      <c r="C4" s="49">
        <v>4.0</v>
      </c>
      <c r="D4" s="50">
        <v>45301.0</v>
      </c>
      <c r="E4" s="51">
        <v>3.2002666E7</v>
      </c>
      <c r="F4" s="51">
        <v>2560213.0</v>
      </c>
      <c r="G4" s="51">
        <v>3.4562879E7</v>
      </c>
      <c r="H4" s="49" t="s">
        <v>414</v>
      </c>
      <c r="I4" s="52" t="s">
        <v>582</v>
      </c>
      <c r="J4" s="50">
        <v>45801.0</v>
      </c>
      <c r="K4" s="51">
        <v>2147334.0</v>
      </c>
      <c r="L4" s="51">
        <v>171787.0</v>
      </c>
      <c r="M4" s="51">
        <v>2319121.0</v>
      </c>
      <c r="N4" s="49"/>
      <c r="O4" s="52"/>
      <c r="P4" s="50"/>
      <c r="Q4" s="51"/>
      <c r="R4" s="51"/>
      <c r="S4" s="51"/>
      <c r="T4" s="49"/>
      <c r="U4" s="52"/>
      <c r="V4" s="50"/>
      <c r="W4" s="51"/>
      <c r="X4" s="51"/>
      <c r="Y4" s="51"/>
      <c r="Z4" s="51">
        <v>3.415E7</v>
      </c>
      <c r="AA4" s="51">
        <v>2732000.0</v>
      </c>
      <c r="AB4" s="51">
        <v>3.6882E7</v>
      </c>
      <c r="AC4" s="47"/>
      <c r="AD4" s="47" t="s">
        <v>612</v>
      </c>
      <c r="AE4" s="48"/>
      <c r="AF4" s="50"/>
      <c r="AG4" s="51">
        <v>-2147334.0</v>
      </c>
      <c r="AH4" s="51">
        <v>-171787.0</v>
      </c>
      <c r="AI4" s="51">
        <v>-2319121.0</v>
      </c>
      <c r="AJ4" s="47" t="s">
        <v>629</v>
      </c>
      <c r="AK4" s="48"/>
      <c r="AL4" s="50"/>
      <c r="AM4" s="51">
        <v>-3.2002666E7</v>
      </c>
      <c r="AN4" s="51">
        <v>-2560213.0</v>
      </c>
      <c r="AO4" s="51">
        <v>-3.4562879E7</v>
      </c>
      <c r="AP4" s="47"/>
      <c r="AQ4" s="48"/>
      <c r="AR4" s="50"/>
      <c r="AS4" s="51"/>
      <c r="AT4" s="51"/>
      <c r="AU4" s="51"/>
      <c r="AV4" s="47"/>
      <c r="AW4" s="48"/>
      <c r="AX4" s="50"/>
      <c r="AY4" s="51"/>
      <c r="AZ4" s="51"/>
      <c r="BA4" s="51"/>
      <c r="BB4" s="51">
        <f t="shared" ref="BB4:BD4" si="2">IF(AND(ISNUMBER(Z4),COUNT(AG4,AM4,AS4,AY4)=2),Z4+SUM(AG4,AM4,AS4,AY4),"")</f>
        <v>0</v>
      </c>
      <c r="BC4" s="51">
        <f t="shared" si="2"/>
        <v>0</v>
      </c>
      <c r="BD4" s="51">
        <f t="shared" si="2"/>
        <v>0</v>
      </c>
    </row>
    <row r="5" ht="48.0" customHeight="1">
      <c r="A5" s="49" t="s">
        <v>40</v>
      </c>
      <c r="B5" s="49" t="str">
        <f t="array" ref="B5">INDEX('HD cty 2024'!B:B,MATCH('F0, F1, F2, ...'!$C5,'HD cty 2024'!B:B,0))</f>
        <v>#N/A</v>
      </c>
      <c r="C5" s="49">
        <v>5.0</v>
      </c>
      <c r="D5" s="50">
        <v>45301.0</v>
      </c>
      <c r="E5" s="51">
        <v>2.9093426E7</v>
      </c>
      <c r="F5" s="51">
        <v>2327474.0</v>
      </c>
      <c r="G5" s="51">
        <v>3.14209E7</v>
      </c>
      <c r="H5" s="49" t="s">
        <v>414</v>
      </c>
      <c r="I5" s="52" t="s">
        <v>746</v>
      </c>
      <c r="J5" s="50">
        <v>45801.0</v>
      </c>
      <c r="K5" s="51">
        <v>1541759.0</v>
      </c>
      <c r="L5" s="51">
        <v>123341.0</v>
      </c>
      <c r="M5" s="51">
        <v>1665100.0</v>
      </c>
      <c r="N5" s="49"/>
      <c r="O5" s="52"/>
      <c r="P5" s="50"/>
      <c r="Q5" s="51"/>
      <c r="R5" s="51"/>
      <c r="S5" s="51"/>
      <c r="T5" s="49"/>
      <c r="U5" s="52"/>
      <c r="V5" s="50"/>
      <c r="W5" s="51"/>
      <c r="X5" s="51"/>
      <c r="Y5" s="51"/>
      <c r="Z5" s="51">
        <v>3.0635185E7</v>
      </c>
      <c r="AA5" s="51">
        <v>2450815.0</v>
      </c>
      <c r="AB5" s="51">
        <v>3.3086E7</v>
      </c>
      <c r="AC5" s="47"/>
      <c r="AD5" s="47" t="s">
        <v>770</v>
      </c>
      <c r="AE5" s="48"/>
      <c r="AF5" s="50"/>
      <c r="AG5" s="51">
        <v>-1541759.0</v>
      </c>
      <c r="AH5" s="51">
        <v>-123341.0</v>
      </c>
      <c r="AI5" s="51">
        <v>-1665100.0</v>
      </c>
      <c r="AJ5" s="47" t="s">
        <v>780</v>
      </c>
      <c r="AK5" s="48"/>
      <c r="AL5" s="50"/>
      <c r="AM5" s="51">
        <v>-2.9093426E7</v>
      </c>
      <c r="AN5" s="51">
        <v>-2327474.0</v>
      </c>
      <c r="AO5" s="51">
        <v>-3.14209E7</v>
      </c>
      <c r="AP5" s="47"/>
      <c r="AQ5" s="48"/>
      <c r="AR5" s="50"/>
      <c r="AS5" s="51"/>
      <c r="AT5" s="51"/>
      <c r="AU5" s="51"/>
      <c r="AV5" s="47"/>
      <c r="AW5" s="48"/>
      <c r="AX5" s="50"/>
      <c r="AY5" s="51"/>
      <c r="AZ5" s="51"/>
      <c r="BA5" s="51"/>
      <c r="BB5" s="51">
        <f t="shared" ref="BB5:BD5" si="3">IF(AND(ISNUMBER(Z5),COUNT(AG5,AM5,AS5,AY5)=2),Z5+SUM(AG5,AM5,AS5,AY5),"")</f>
        <v>0</v>
      </c>
      <c r="BC5" s="51">
        <f t="shared" si="3"/>
        <v>0</v>
      </c>
      <c r="BD5" s="51">
        <f t="shared" si="3"/>
        <v>0</v>
      </c>
    </row>
    <row r="6" ht="48.0" customHeight="1">
      <c r="A6" s="49" t="s">
        <v>40</v>
      </c>
      <c r="B6" s="49" t="str">
        <f t="array" ref="B6">INDEX('HD cty 2024'!B:B,MATCH('F0, F1, F2, ...'!$C6,'HD cty 2024'!B:B,0))</f>
        <v>#N/A</v>
      </c>
      <c r="C6" s="49">
        <v>6.0</v>
      </c>
      <c r="D6" s="50">
        <v>45307.0</v>
      </c>
      <c r="E6" s="51">
        <v>8257501.0</v>
      </c>
      <c r="F6" s="51">
        <v>660600.0</v>
      </c>
      <c r="G6" s="51">
        <v>8918101.0</v>
      </c>
      <c r="H6" s="49" t="s">
        <v>414</v>
      </c>
      <c r="I6" s="52" t="s">
        <v>898</v>
      </c>
      <c r="J6" s="50">
        <v>45801.0</v>
      </c>
      <c r="K6" s="51">
        <v>543425.0</v>
      </c>
      <c r="L6" s="51">
        <v>43474.0</v>
      </c>
      <c r="M6" s="51">
        <v>586899.0</v>
      </c>
      <c r="N6" s="49"/>
      <c r="O6" s="52"/>
      <c r="P6" s="50"/>
      <c r="Q6" s="51"/>
      <c r="R6" s="51"/>
      <c r="S6" s="51"/>
      <c r="T6" s="49"/>
      <c r="U6" s="52"/>
      <c r="V6" s="50"/>
      <c r="W6" s="51"/>
      <c r="X6" s="51"/>
      <c r="Y6" s="51"/>
      <c r="Z6" s="51">
        <v>8800926.0</v>
      </c>
      <c r="AA6" s="51">
        <v>704074.0</v>
      </c>
      <c r="AB6" s="51">
        <v>9505000.0</v>
      </c>
      <c r="AC6" s="47"/>
      <c r="AD6" s="47" t="s">
        <v>948</v>
      </c>
      <c r="AE6" s="48"/>
      <c r="AF6" s="50"/>
      <c r="AG6" s="51">
        <v>-543425.0</v>
      </c>
      <c r="AH6" s="51">
        <v>-43474.0</v>
      </c>
      <c r="AI6" s="51">
        <v>-586899.0</v>
      </c>
      <c r="AJ6" s="47" t="s">
        <v>965</v>
      </c>
      <c r="AK6" s="48"/>
      <c r="AL6" s="50"/>
      <c r="AM6" s="51">
        <v>-8257501.0</v>
      </c>
      <c r="AN6" s="51">
        <v>-660600.0</v>
      </c>
      <c r="AO6" s="51">
        <v>-8918101.0</v>
      </c>
      <c r="AP6" s="47"/>
      <c r="AQ6" s="48"/>
      <c r="AR6" s="50"/>
      <c r="AS6" s="51"/>
      <c r="AT6" s="51"/>
      <c r="AU6" s="51"/>
      <c r="AV6" s="47"/>
      <c r="AW6" s="48"/>
      <c r="AX6" s="50"/>
      <c r="AY6" s="51"/>
      <c r="AZ6" s="51"/>
      <c r="BA6" s="51"/>
      <c r="BB6" s="51">
        <f t="shared" ref="BB6:BD6" si="4">IF(AND(ISNUMBER(Z6),COUNT(AG6,AM6,AS6,AY6)=2),Z6+SUM(AG6,AM6,AS6,AY6),"")</f>
        <v>0</v>
      </c>
      <c r="BC6" s="51">
        <f t="shared" si="4"/>
        <v>0</v>
      </c>
      <c r="BD6" s="51">
        <f t="shared" si="4"/>
        <v>0</v>
      </c>
    </row>
    <row r="7" ht="48.0" customHeight="1">
      <c r="A7" s="49" t="s">
        <v>40</v>
      </c>
      <c r="B7" s="49" t="str">
        <f t="array" ref="B7">INDEX('HD cty 2024'!B:B,MATCH('F0, F1, F2, ...'!$C7,'HD cty 2024'!B:B,0))</f>
        <v>#N/A</v>
      </c>
      <c r="C7" s="49">
        <v>7.0</v>
      </c>
      <c r="D7" s="50">
        <v>45307.0</v>
      </c>
      <c r="E7" s="51">
        <v>2.3677893E7</v>
      </c>
      <c r="F7" s="51">
        <v>1894231.0</v>
      </c>
      <c r="G7" s="51">
        <v>2.5572124E7</v>
      </c>
      <c r="H7" s="49" t="s">
        <v>414</v>
      </c>
      <c r="I7" s="52" t="s">
        <v>1072</v>
      </c>
      <c r="J7" s="50">
        <v>45802.0</v>
      </c>
      <c r="K7" s="51">
        <v>-485300.0</v>
      </c>
      <c r="L7" s="51">
        <v>-38824.0</v>
      </c>
      <c r="M7" s="51">
        <v>-524124.0</v>
      </c>
      <c r="N7" s="49"/>
      <c r="O7" s="52"/>
      <c r="P7" s="50"/>
      <c r="Q7" s="51"/>
      <c r="R7" s="51"/>
      <c r="S7" s="51"/>
      <c r="T7" s="49"/>
      <c r="U7" s="52"/>
      <c r="V7" s="50"/>
      <c r="W7" s="51"/>
      <c r="X7" s="51"/>
      <c r="Y7" s="51"/>
      <c r="Z7" s="51">
        <v>2.3192593E7</v>
      </c>
      <c r="AA7" s="51">
        <v>1855407.0</v>
      </c>
      <c r="AB7" s="51">
        <v>2.5048E7</v>
      </c>
      <c r="AC7" s="47"/>
      <c r="AD7" s="47" t="s">
        <v>1105</v>
      </c>
      <c r="AE7" s="48"/>
      <c r="AF7" s="50"/>
      <c r="AG7" s="51">
        <v>485300.0</v>
      </c>
      <c r="AH7" s="51">
        <v>38824.0</v>
      </c>
      <c r="AI7" s="51">
        <v>524124.0</v>
      </c>
      <c r="AJ7" s="47" t="s">
        <v>1119</v>
      </c>
      <c r="AK7" s="48"/>
      <c r="AL7" s="50"/>
      <c r="AM7" s="51">
        <v>-2.3677893E7</v>
      </c>
      <c r="AN7" s="51">
        <v>-1894231.0</v>
      </c>
      <c r="AO7" s="51">
        <v>-2.5572124E7</v>
      </c>
      <c r="AP7" s="47"/>
      <c r="AQ7" s="48"/>
      <c r="AR7" s="50"/>
      <c r="AS7" s="51"/>
      <c r="AT7" s="51"/>
      <c r="AU7" s="51"/>
      <c r="AV7" s="47"/>
      <c r="AW7" s="48"/>
      <c r="AX7" s="50"/>
      <c r="AY7" s="51"/>
      <c r="AZ7" s="51"/>
      <c r="BA7" s="51"/>
      <c r="BB7" s="51">
        <f t="shared" ref="BB7:BD7" si="5">IF(AND(ISNUMBER(Z7),COUNT(AG7,AM7,AS7,AY7)=2),Z7+SUM(AG7,AM7,AS7,AY7),"")</f>
        <v>0</v>
      </c>
      <c r="BC7" s="51">
        <f t="shared" si="5"/>
        <v>0</v>
      </c>
      <c r="BD7" s="51">
        <f t="shared" si="5"/>
        <v>0</v>
      </c>
    </row>
    <row r="8" ht="48.0" customHeight="1">
      <c r="A8" s="49" t="s">
        <v>40</v>
      </c>
      <c r="B8" s="49" t="str">
        <f t="array" ref="B8">INDEX('HD cty 2024'!B:B,MATCH('F0, F1, F2, ...'!$C8,'HD cty 2024'!B:B,0))</f>
        <v>#N/A</v>
      </c>
      <c r="C8" s="49">
        <v>8.0</v>
      </c>
      <c r="D8" s="50">
        <v>45307.0</v>
      </c>
      <c r="E8" s="51">
        <v>2.7250819E7</v>
      </c>
      <c r="F8" s="51">
        <v>2180066.0</v>
      </c>
      <c r="G8" s="51">
        <v>2.9430885E7</v>
      </c>
      <c r="H8" s="49" t="s">
        <v>414</v>
      </c>
      <c r="I8" s="52" t="s">
        <v>1215</v>
      </c>
      <c r="J8" s="50">
        <v>45802.0</v>
      </c>
      <c r="K8" s="51">
        <v>-3474893.0</v>
      </c>
      <c r="L8" s="51">
        <v>-277991.0</v>
      </c>
      <c r="M8" s="51">
        <v>-3752884.0</v>
      </c>
      <c r="N8" s="49"/>
      <c r="O8" s="52"/>
      <c r="P8" s="50"/>
      <c r="Q8" s="51"/>
      <c r="R8" s="51"/>
      <c r="S8" s="51"/>
      <c r="T8" s="49"/>
      <c r="U8" s="52"/>
      <c r="V8" s="50"/>
      <c r="W8" s="51"/>
      <c r="X8" s="51"/>
      <c r="Y8" s="51"/>
      <c r="Z8" s="51">
        <v>2.3775926E7</v>
      </c>
      <c r="AA8" s="51">
        <v>1902075.0</v>
      </c>
      <c r="AB8" s="51">
        <v>2.5678001E7</v>
      </c>
      <c r="AC8" s="47"/>
      <c r="AD8" s="47" t="s">
        <v>1253</v>
      </c>
      <c r="AE8" s="48"/>
      <c r="AF8" s="50"/>
      <c r="AG8" s="51">
        <v>3474893.0</v>
      </c>
      <c r="AH8" s="51">
        <v>277991.0</v>
      </c>
      <c r="AI8" s="51">
        <v>3752884.0</v>
      </c>
      <c r="AJ8" s="47" t="s">
        <v>1267</v>
      </c>
      <c r="AK8" s="48"/>
      <c r="AL8" s="50"/>
      <c r="AM8" s="51">
        <v>-2.7250819E7</v>
      </c>
      <c r="AN8" s="51">
        <v>-2180066.0</v>
      </c>
      <c r="AO8" s="51">
        <v>-2.9430885E7</v>
      </c>
      <c r="AP8" s="47"/>
      <c r="AQ8" s="48"/>
      <c r="AR8" s="50"/>
      <c r="AS8" s="51"/>
      <c r="AT8" s="51"/>
      <c r="AU8" s="51"/>
      <c r="AV8" s="47"/>
      <c r="AW8" s="48"/>
      <c r="AX8" s="50"/>
      <c r="AY8" s="51"/>
      <c r="AZ8" s="51"/>
      <c r="BA8" s="51"/>
      <c r="BB8" s="51">
        <f t="shared" ref="BB8:BD8" si="6">IF(AND(ISNUMBER(Z8),COUNT(AG8,AM8,AS8,AY8)=2),Z8+SUM(AG8,AM8,AS8,AY8),"")</f>
        <v>0</v>
      </c>
      <c r="BC8" s="51">
        <f t="shared" si="6"/>
        <v>0</v>
      </c>
      <c r="BD8" s="51">
        <f t="shared" si="6"/>
        <v>0</v>
      </c>
    </row>
    <row r="9" ht="48.0" customHeight="1">
      <c r="A9" s="49" t="s">
        <v>40</v>
      </c>
      <c r="B9" s="49" t="str">
        <f t="array" ref="B9">INDEX('HD cty 2024'!B:B,MATCH('F0, F1, F2, ...'!$C9,'HD cty 2024'!B:B,0))</f>
        <v>#N/A</v>
      </c>
      <c r="C9" s="49">
        <v>9.0</v>
      </c>
      <c r="D9" s="50">
        <v>45307.0</v>
      </c>
      <c r="E9" s="51">
        <v>1.9665616E7</v>
      </c>
      <c r="F9" s="51">
        <v>1573249.0</v>
      </c>
      <c r="G9" s="51">
        <v>2.1238865E7</v>
      </c>
      <c r="H9" s="49" t="s">
        <v>414</v>
      </c>
      <c r="I9" s="52" t="s">
        <v>1377</v>
      </c>
      <c r="J9" s="50">
        <v>45802.0</v>
      </c>
      <c r="K9" s="51">
        <v>-1422535.0</v>
      </c>
      <c r="L9" s="51">
        <v>-113803.0</v>
      </c>
      <c r="M9" s="51">
        <v>-1536338.0</v>
      </c>
      <c r="N9" s="49"/>
      <c r="O9" s="52"/>
      <c r="P9" s="50"/>
      <c r="Q9" s="51"/>
      <c r="R9" s="51"/>
      <c r="S9" s="51"/>
      <c r="T9" s="49"/>
      <c r="U9" s="52"/>
      <c r="V9" s="50"/>
      <c r="W9" s="51"/>
      <c r="X9" s="51"/>
      <c r="Y9" s="51"/>
      <c r="Z9" s="51">
        <v>1.8243081E7</v>
      </c>
      <c r="AA9" s="51">
        <v>1459446.0</v>
      </c>
      <c r="AB9" s="51">
        <v>1.9702527E7</v>
      </c>
      <c r="AC9" s="47"/>
      <c r="AD9" s="47" t="s">
        <v>1408</v>
      </c>
      <c r="AE9" s="48"/>
      <c r="AF9" s="50"/>
      <c r="AG9" s="51">
        <v>1422535.0</v>
      </c>
      <c r="AH9" s="51">
        <v>113803.0</v>
      </c>
      <c r="AI9" s="51">
        <v>1536338.0</v>
      </c>
      <c r="AJ9" s="47" t="s">
        <v>1423</v>
      </c>
      <c r="AK9" s="48"/>
      <c r="AL9" s="50"/>
      <c r="AM9" s="51">
        <v>-1.9665616E7</v>
      </c>
      <c r="AN9" s="51">
        <v>-1573249.0</v>
      </c>
      <c r="AO9" s="51">
        <v>-2.1238865E7</v>
      </c>
      <c r="AP9" s="47"/>
      <c r="AQ9" s="48"/>
      <c r="AR9" s="50"/>
      <c r="AS9" s="51"/>
      <c r="AT9" s="51"/>
      <c r="AU9" s="51"/>
      <c r="AV9" s="47"/>
      <c r="AW9" s="48"/>
      <c r="AX9" s="50"/>
      <c r="AY9" s="51"/>
      <c r="AZ9" s="51"/>
      <c r="BA9" s="51"/>
      <c r="BB9" s="51">
        <f t="shared" ref="BB9:BD9" si="7">IF(AND(ISNUMBER(Z9),COUNT(AG9,AM9,AS9,AY9)=2),Z9+SUM(AG9,AM9,AS9,AY9),"")</f>
        <v>0</v>
      </c>
      <c r="BC9" s="51">
        <f t="shared" si="7"/>
        <v>0</v>
      </c>
      <c r="BD9" s="51">
        <f t="shared" si="7"/>
        <v>0</v>
      </c>
    </row>
    <row r="10" ht="48.0" customHeight="1">
      <c r="A10" s="49" t="s">
        <v>40</v>
      </c>
      <c r="B10" s="49" t="str">
        <f t="array" ref="B10">INDEX('HD cty 2024'!B:B,MATCH('F0, F1, F2, ...'!$C10,'HD cty 2024'!B:B,0))</f>
        <v>#N/A</v>
      </c>
      <c r="C10" s="49">
        <v>10.0</v>
      </c>
      <c r="D10" s="50">
        <v>45307.0</v>
      </c>
      <c r="E10" s="51">
        <v>4.2723469E7</v>
      </c>
      <c r="F10" s="51">
        <v>3417878.0</v>
      </c>
      <c r="G10" s="51">
        <v>4.6141347E7</v>
      </c>
      <c r="H10" s="49" t="s">
        <v>414</v>
      </c>
      <c r="I10" s="52" t="s">
        <v>1512</v>
      </c>
      <c r="J10" s="50">
        <v>45808.0</v>
      </c>
      <c r="K10" s="51">
        <v>1960615.0</v>
      </c>
      <c r="L10" s="51">
        <v>156849.0</v>
      </c>
      <c r="M10" s="51">
        <v>2117464.0</v>
      </c>
      <c r="N10" s="49"/>
      <c r="O10" s="52"/>
      <c r="P10" s="50"/>
      <c r="Q10" s="51"/>
      <c r="R10" s="51"/>
      <c r="S10" s="51"/>
      <c r="T10" s="49"/>
      <c r="U10" s="52"/>
      <c r="V10" s="50"/>
      <c r="W10" s="51"/>
      <c r="X10" s="51"/>
      <c r="Y10" s="51"/>
      <c r="Z10" s="51">
        <v>4.4684084E7</v>
      </c>
      <c r="AA10" s="51">
        <v>3574727.0</v>
      </c>
      <c r="AB10" s="51">
        <v>4.8258811E7</v>
      </c>
      <c r="AC10" s="47"/>
      <c r="AD10" s="47" t="s">
        <v>1544</v>
      </c>
      <c r="AE10" s="48"/>
      <c r="AF10" s="50"/>
      <c r="AG10" s="51">
        <v>-1960615.0</v>
      </c>
      <c r="AH10" s="51">
        <v>-156849.0</v>
      </c>
      <c r="AI10" s="51">
        <v>-2117464.0</v>
      </c>
      <c r="AJ10" s="47" t="s">
        <v>1557</v>
      </c>
      <c r="AK10" s="48"/>
      <c r="AL10" s="50"/>
      <c r="AM10" s="51">
        <v>-4.2723469E7</v>
      </c>
      <c r="AN10" s="51">
        <v>-3417878.0</v>
      </c>
      <c r="AO10" s="51">
        <v>-4.6141347E7</v>
      </c>
      <c r="AP10" s="47"/>
      <c r="AQ10" s="48"/>
      <c r="AR10" s="50"/>
      <c r="AS10" s="51"/>
      <c r="AT10" s="51"/>
      <c r="AU10" s="51"/>
      <c r="AV10" s="47"/>
      <c r="AW10" s="48"/>
      <c r="AX10" s="50"/>
      <c r="AY10" s="51"/>
      <c r="AZ10" s="51"/>
      <c r="BA10" s="51"/>
      <c r="BB10" s="51">
        <f t="shared" ref="BB10:BD10" si="8">IF(AND(ISNUMBER(Z10),COUNT(AG10,AM10,AS10,AY10)=2),Z10+SUM(AG10,AM10,AS10,AY10),"")</f>
        <v>0</v>
      </c>
      <c r="BC10" s="51">
        <f t="shared" si="8"/>
        <v>0</v>
      </c>
      <c r="BD10" s="51">
        <f t="shared" si="8"/>
        <v>0</v>
      </c>
    </row>
    <row r="11" ht="48.0" customHeight="1">
      <c r="A11" s="49" t="s">
        <v>40</v>
      </c>
      <c r="B11" s="49" t="str">
        <f t="array" ref="B11">INDEX('HD cty 2024'!B:B,MATCH('F0, F1, F2, ...'!$C11,'HD cty 2024'!B:B,0))</f>
        <v>#N/A</v>
      </c>
      <c r="C11" s="49">
        <v>11.0</v>
      </c>
      <c r="D11" s="50">
        <v>45307.0</v>
      </c>
      <c r="E11" s="51">
        <v>6000325.0</v>
      </c>
      <c r="F11" s="51">
        <v>480026.0</v>
      </c>
      <c r="G11" s="51">
        <v>6480351.0</v>
      </c>
      <c r="H11" s="49" t="s">
        <v>414</v>
      </c>
      <c r="I11" s="52" t="s">
        <v>1638</v>
      </c>
      <c r="J11" s="50">
        <v>45773.0</v>
      </c>
      <c r="K11" s="51">
        <v>-355562.0</v>
      </c>
      <c r="L11" s="51">
        <v>-28445.0</v>
      </c>
      <c r="M11" s="51">
        <v>-384007.0</v>
      </c>
      <c r="N11" s="49"/>
      <c r="O11" s="52"/>
      <c r="P11" s="50"/>
      <c r="Q11" s="51"/>
      <c r="R11" s="51"/>
      <c r="S11" s="51"/>
      <c r="T11" s="49"/>
      <c r="U11" s="52"/>
      <c r="V11" s="50"/>
      <c r="W11" s="51"/>
      <c r="X11" s="51"/>
      <c r="Y11" s="51"/>
      <c r="Z11" s="51">
        <v>5644763.0</v>
      </c>
      <c r="AA11" s="51">
        <v>451581.0</v>
      </c>
      <c r="AB11" s="51">
        <v>6096344.0</v>
      </c>
      <c r="AC11" s="47"/>
      <c r="AD11" s="47" t="s">
        <v>1668</v>
      </c>
      <c r="AE11" s="48"/>
      <c r="AF11" s="50"/>
      <c r="AG11" s="51">
        <v>355562.0</v>
      </c>
      <c r="AH11" s="51">
        <v>28445.0</v>
      </c>
      <c r="AI11" s="51">
        <v>384007.0</v>
      </c>
      <c r="AJ11" s="47" t="s">
        <v>1679</v>
      </c>
      <c r="AK11" s="48"/>
      <c r="AL11" s="50"/>
      <c r="AM11" s="51">
        <v>-6000325.0</v>
      </c>
      <c r="AN11" s="51">
        <v>-480026.0</v>
      </c>
      <c r="AO11" s="51">
        <v>-6480351.0</v>
      </c>
      <c r="AP11" s="47"/>
      <c r="AQ11" s="48"/>
      <c r="AR11" s="50"/>
      <c r="AS11" s="51"/>
      <c r="AT11" s="51"/>
      <c r="AU11" s="51"/>
      <c r="AV11" s="47"/>
      <c r="AW11" s="48"/>
      <c r="AX11" s="50"/>
      <c r="AY11" s="51"/>
      <c r="AZ11" s="51"/>
      <c r="BA11" s="51"/>
      <c r="BB11" s="51">
        <f t="shared" ref="BB11:BD11" si="9">IF(AND(ISNUMBER(Z11),COUNT(AG11,AM11,AS11,AY11)=2),Z11+SUM(AG11,AM11,AS11,AY11),"")</f>
        <v>0</v>
      </c>
      <c r="BC11" s="51">
        <f t="shared" si="9"/>
        <v>0</v>
      </c>
      <c r="BD11" s="51">
        <f t="shared" si="9"/>
        <v>0</v>
      </c>
    </row>
    <row r="12" ht="48.0" customHeight="1">
      <c r="A12" s="49" t="s">
        <v>40</v>
      </c>
      <c r="B12" s="49" t="str">
        <f t="array" ref="B12">INDEX('HD cty 2024'!B:B,MATCH('F0, F1, F2, ...'!$C12,'HD cty 2024'!B:B,0))</f>
        <v>#N/A</v>
      </c>
      <c r="C12" s="49">
        <v>12.0</v>
      </c>
      <c r="D12" s="50">
        <v>45307.0</v>
      </c>
      <c r="E12" s="51">
        <v>4.3046669E7</v>
      </c>
      <c r="F12" s="51">
        <v>3443734.0</v>
      </c>
      <c r="G12" s="51">
        <v>4.6490403E7</v>
      </c>
      <c r="H12" s="49" t="s">
        <v>414</v>
      </c>
      <c r="I12" s="52" t="s">
        <v>1759</v>
      </c>
      <c r="J12" s="50">
        <v>45802.0</v>
      </c>
      <c r="K12" s="51">
        <v>-1402538.0</v>
      </c>
      <c r="L12" s="51">
        <v>-112203.0</v>
      </c>
      <c r="M12" s="51">
        <v>-1514741.0</v>
      </c>
      <c r="N12" s="49"/>
      <c r="O12" s="52"/>
      <c r="P12" s="50"/>
      <c r="Q12" s="51"/>
      <c r="R12" s="51"/>
      <c r="S12" s="51"/>
      <c r="T12" s="49"/>
      <c r="U12" s="52"/>
      <c r="V12" s="50"/>
      <c r="W12" s="51"/>
      <c r="X12" s="51"/>
      <c r="Y12" s="51"/>
      <c r="Z12" s="51">
        <v>4.1644131E7</v>
      </c>
      <c r="AA12" s="51">
        <v>3331531.0</v>
      </c>
      <c r="AB12" s="51">
        <v>4.4975662E7</v>
      </c>
      <c r="AC12" s="47"/>
      <c r="AD12" s="47" t="s">
        <v>1787</v>
      </c>
      <c r="AE12" s="48"/>
      <c r="AF12" s="50"/>
      <c r="AG12" s="51">
        <v>1402538.0</v>
      </c>
      <c r="AH12" s="51">
        <v>112203.0</v>
      </c>
      <c r="AI12" s="51">
        <v>1514741.0</v>
      </c>
      <c r="AJ12" s="47" t="s">
        <v>1794</v>
      </c>
      <c r="AK12" s="48"/>
      <c r="AL12" s="50"/>
      <c r="AM12" s="51">
        <v>-4.3046669E7</v>
      </c>
      <c r="AN12" s="51">
        <v>-3443734.0</v>
      </c>
      <c r="AO12" s="51">
        <v>-4.6490403E7</v>
      </c>
      <c r="AP12" s="47"/>
      <c r="AQ12" s="48"/>
      <c r="AR12" s="50"/>
      <c r="AS12" s="51"/>
      <c r="AT12" s="51"/>
      <c r="AU12" s="51"/>
      <c r="AV12" s="47"/>
      <c r="AW12" s="48"/>
      <c r="AX12" s="50"/>
      <c r="AY12" s="51"/>
      <c r="AZ12" s="51"/>
      <c r="BA12" s="51"/>
      <c r="BB12" s="51">
        <f t="shared" ref="BB12:BD12" si="10">IF(AND(ISNUMBER(Z12),COUNT(AG12,AM12,AS12,AY12)=2),Z12+SUM(AG12,AM12,AS12,AY12),"")</f>
        <v>0</v>
      </c>
      <c r="BC12" s="51">
        <f t="shared" si="10"/>
        <v>0</v>
      </c>
      <c r="BD12" s="51">
        <f t="shared" si="10"/>
        <v>0</v>
      </c>
    </row>
    <row r="13" ht="48.0" customHeight="1">
      <c r="A13" s="49" t="s">
        <v>40</v>
      </c>
      <c r="B13" s="49" t="str">
        <f t="array" ref="B13">INDEX('HD cty 2024'!B:B,MATCH('F0, F1, F2, ...'!$C13,'HD cty 2024'!B:B,0))</f>
        <v>#N/A</v>
      </c>
      <c r="C13" s="49">
        <v>13.0</v>
      </c>
      <c r="D13" s="50">
        <v>45307.0</v>
      </c>
      <c r="E13" s="51">
        <v>6.8151637E7</v>
      </c>
      <c r="F13" s="51">
        <v>5452131.0</v>
      </c>
      <c r="G13" s="51">
        <v>7.3603768E7</v>
      </c>
      <c r="H13" s="49" t="s">
        <v>414</v>
      </c>
      <c r="I13" s="52" t="s">
        <v>1840</v>
      </c>
      <c r="J13" s="50">
        <v>45802.0</v>
      </c>
      <c r="K13" s="51">
        <v>2917057.0</v>
      </c>
      <c r="L13" s="51">
        <v>233365.0</v>
      </c>
      <c r="M13" s="51">
        <v>3150422.0</v>
      </c>
      <c r="N13" s="49"/>
      <c r="O13" s="52"/>
      <c r="P13" s="50"/>
      <c r="Q13" s="51"/>
      <c r="R13" s="51"/>
      <c r="S13" s="51"/>
      <c r="T13" s="49"/>
      <c r="U13" s="52"/>
      <c r="V13" s="50"/>
      <c r="W13" s="51"/>
      <c r="X13" s="51"/>
      <c r="Y13" s="51"/>
      <c r="Z13" s="51">
        <v>7.1068694E7</v>
      </c>
      <c r="AA13" s="51">
        <v>5685496.0</v>
      </c>
      <c r="AB13" s="51">
        <v>7.675419E7</v>
      </c>
      <c r="AC13" s="47"/>
      <c r="AD13" s="47" t="s">
        <v>1861</v>
      </c>
      <c r="AE13" s="48"/>
      <c r="AF13" s="50"/>
      <c r="AG13" s="51">
        <v>-2917057.0</v>
      </c>
      <c r="AH13" s="51">
        <v>-233365.0</v>
      </c>
      <c r="AI13" s="51">
        <v>-3150422.0</v>
      </c>
      <c r="AJ13" s="47" t="s">
        <v>1869</v>
      </c>
      <c r="AK13" s="48"/>
      <c r="AL13" s="50"/>
      <c r="AM13" s="51">
        <v>-6.8151637E7</v>
      </c>
      <c r="AN13" s="51">
        <v>-5452131.0</v>
      </c>
      <c r="AO13" s="51">
        <v>-7.3603768E7</v>
      </c>
      <c r="AP13" s="47"/>
      <c r="AQ13" s="48"/>
      <c r="AR13" s="50"/>
      <c r="AS13" s="51"/>
      <c r="AT13" s="51"/>
      <c r="AU13" s="51"/>
      <c r="AV13" s="47"/>
      <c r="AW13" s="48"/>
      <c r="AX13" s="50"/>
      <c r="AY13" s="51"/>
      <c r="AZ13" s="51"/>
      <c r="BA13" s="51"/>
      <c r="BB13" s="51">
        <f t="shared" ref="BB13:BD13" si="11">IF(AND(ISNUMBER(Z13),COUNT(AG13,AM13,AS13,AY13)=2),Z13+SUM(AG13,AM13,AS13,AY13),"")</f>
        <v>0</v>
      </c>
      <c r="BC13" s="51">
        <f t="shared" si="11"/>
        <v>0</v>
      </c>
      <c r="BD13" s="51">
        <f t="shared" si="11"/>
        <v>0</v>
      </c>
    </row>
    <row r="14" ht="48.0" customHeight="1">
      <c r="A14" s="49" t="s">
        <v>40</v>
      </c>
      <c r="B14" s="49" t="str">
        <f t="array" ref="B14">INDEX('HD cty 2024'!B:B,MATCH('F0, F1, F2, ...'!$C14,'HD cty 2024'!B:B,0))</f>
        <v>#N/A</v>
      </c>
      <c r="C14" s="49">
        <v>14.0</v>
      </c>
      <c r="D14" s="50">
        <v>45307.0</v>
      </c>
      <c r="E14" s="51">
        <v>9.7195166E7</v>
      </c>
      <c r="F14" s="51">
        <v>7775613.0</v>
      </c>
      <c r="G14" s="51">
        <v>1.04970779E8</v>
      </c>
      <c r="H14" s="49" t="s">
        <v>414</v>
      </c>
      <c r="I14" s="52" t="s">
        <v>1923</v>
      </c>
      <c r="J14" s="50">
        <v>45802.0</v>
      </c>
      <c r="K14" s="51">
        <v>3082612.0</v>
      </c>
      <c r="L14" s="51">
        <v>246609.0</v>
      </c>
      <c r="M14" s="51">
        <v>3329221.0</v>
      </c>
      <c r="N14" s="49"/>
      <c r="O14" s="52"/>
      <c r="P14" s="50"/>
      <c r="Q14" s="51"/>
      <c r="R14" s="51"/>
      <c r="S14" s="51"/>
      <c r="T14" s="49"/>
      <c r="U14" s="52"/>
      <c r="V14" s="50"/>
      <c r="W14" s="51"/>
      <c r="X14" s="51"/>
      <c r="Y14" s="51"/>
      <c r="Z14" s="51">
        <v>1.00277778E8</v>
      </c>
      <c r="AA14" s="51">
        <v>8022222.0</v>
      </c>
      <c r="AB14" s="51">
        <v>1.083E8</v>
      </c>
      <c r="AC14" s="47"/>
      <c r="AD14" s="47" t="s">
        <v>1936</v>
      </c>
      <c r="AE14" s="48"/>
      <c r="AF14" s="50"/>
      <c r="AG14" s="51">
        <v>-3082612.0</v>
      </c>
      <c r="AH14" s="51">
        <v>-246609.0</v>
      </c>
      <c r="AI14" s="51">
        <v>-3329221.0</v>
      </c>
      <c r="AJ14" s="47" t="s">
        <v>1943</v>
      </c>
      <c r="AK14" s="48"/>
      <c r="AL14" s="50"/>
      <c r="AM14" s="51">
        <v>-9.7195166E7</v>
      </c>
      <c r="AN14" s="51">
        <v>-7775613.0</v>
      </c>
      <c r="AO14" s="51">
        <v>-1.04970779E8</v>
      </c>
      <c r="AP14" s="47"/>
      <c r="AQ14" s="48"/>
      <c r="AR14" s="50"/>
      <c r="AS14" s="51"/>
      <c r="AT14" s="51"/>
      <c r="AU14" s="51"/>
      <c r="AV14" s="47"/>
      <c r="AW14" s="48"/>
      <c r="AX14" s="50"/>
      <c r="AY14" s="51"/>
      <c r="AZ14" s="51"/>
      <c r="BA14" s="51"/>
      <c r="BB14" s="51">
        <f t="shared" ref="BB14:BD14" si="12">IF(AND(ISNUMBER(Z14),COUNT(AG14,AM14,AS14,AY14)=2),Z14+SUM(AG14,AM14,AS14,AY14),"")</f>
        <v>0</v>
      </c>
      <c r="BC14" s="51">
        <f t="shared" si="12"/>
        <v>0</v>
      </c>
      <c r="BD14" s="51">
        <f t="shared" si="12"/>
        <v>0</v>
      </c>
    </row>
    <row r="15" ht="48.0" customHeight="1">
      <c r="A15" s="49" t="s">
        <v>40</v>
      </c>
      <c r="B15" s="49" t="str">
        <f t="array" ref="B15">INDEX('HD cty 2024'!B:B,MATCH('F0, F1, F2, ...'!$C15,'HD cty 2024'!B:B,0))</f>
        <v>#N/A</v>
      </c>
      <c r="C15" s="49">
        <v>15.0</v>
      </c>
      <c r="D15" s="50">
        <v>45307.0</v>
      </c>
      <c r="E15" s="51">
        <v>9.3625335E7</v>
      </c>
      <c r="F15" s="51">
        <v>7490027.0</v>
      </c>
      <c r="G15" s="51">
        <v>1.01115362E8</v>
      </c>
      <c r="H15" s="49" t="s">
        <v>414</v>
      </c>
      <c r="I15" s="52" t="s">
        <v>1975</v>
      </c>
      <c r="J15" s="50">
        <v>45802.0</v>
      </c>
      <c r="K15" s="51">
        <v>2004295.0</v>
      </c>
      <c r="L15" s="51">
        <v>160344.0</v>
      </c>
      <c r="M15" s="51">
        <v>2164639.0</v>
      </c>
      <c r="N15" s="49"/>
      <c r="O15" s="52"/>
      <c r="P15" s="50"/>
      <c r="Q15" s="51"/>
      <c r="R15" s="51"/>
      <c r="S15" s="51"/>
      <c r="T15" s="49"/>
      <c r="U15" s="52"/>
      <c r="V15" s="50"/>
      <c r="W15" s="51"/>
      <c r="X15" s="51"/>
      <c r="Y15" s="51"/>
      <c r="Z15" s="51">
        <v>9.562963E7</v>
      </c>
      <c r="AA15" s="51">
        <v>7650371.0</v>
      </c>
      <c r="AB15" s="51">
        <v>1.03280001E8</v>
      </c>
      <c r="AC15" s="47"/>
      <c r="AD15" s="47" t="s">
        <v>1991</v>
      </c>
      <c r="AE15" s="48"/>
      <c r="AF15" s="50"/>
      <c r="AG15" s="51">
        <v>-2004295.0</v>
      </c>
      <c r="AH15" s="51">
        <v>-160344.0</v>
      </c>
      <c r="AI15" s="51">
        <v>-2164639.0</v>
      </c>
      <c r="AJ15" s="47" t="s">
        <v>1998</v>
      </c>
      <c r="AK15" s="48"/>
      <c r="AL15" s="50"/>
      <c r="AM15" s="51">
        <v>-9.3625335E7</v>
      </c>
      <c r="AN15" s="51">
        <v>-7490027.0</v>
      </c>
      <c r="AO15" s="51">
        <v>-1.01115362E8</v>
      </c>
      <c r="AP15" s="47"/>
      <c r="AQ15" s="48"/>
      <c r="AR15" s="50"/>
      <c r="AS15" s="51"/>
      <c r="AT15" s="51"/>
      <c r="AU15" s="51"/>
      <c r="AV15" s="47"/>
      <c r="AW15" s="48"/>
      <c r="AX15" s="50"/>
      <c r="AY15" s="51"/>
      <c r="AZ15" s="51"/>
      <c r="BA15" s="51"/>
      <c r="BB15" s="51">
        <f t="shared" ref="BB15:BD15" si="13">IF(AND(ISNUMBER(Z15),COUNT(AG15,AM15,AS15,AY15)=2),Z15+SUM(AG15,AM15,AS15,AY15),"")</f>
        <v>0</v>
      </c>
      <c r="BC15" s="51">
        <f t="shared" si="13"/>
        <v>0</v>
      </c>
      <c r="BD15" s="51">
        <f t="shared" si="13"/>
        <v>0</v>
      </c>
    </row>
    <row r="16" ht="48.0" customHeight="1">
      <c r="A16" s="49" t="s">
        <v>40</v>
      </c>
      <c r="B16" s="49" t="str">
        <f t="array" ref="B16">INDEX('HD cty 2024'!B:B,MATCH('F0, F1, F2, ...'!$C16,'HD cty 2024'!B:B,0))</f>
        <v>#N/A</v>
      </c>
      <c r="C16" s="49">
        <v>16.0</v>
      </c>
      <c r="D16" s="50">
        <v>45307.0</v>
      </c>
      <c r="E16" s="51">
        <v>7.4404869E7</v>
      </c>
      <c r="F16" s="51">
        <v>5952390.0</v>
      </c>
      <c r="G16" s="51">
        <v>8.0357259E7</v>
      </c>
      <c r="H16" s="49" t="s">
        <v>414</v>
      </c>
      <c r="I16" s="52" t="s">
        <v>2057</v>
      </c>
      <c r="J16" s="50">
        <v>45802.0</v>
      </c>
      <c r="K16" s="51">
        <v>1378175.0</v>
      </c>
      <c r="L16" s="51">
        <v>110254.0</v>
      </c>
      <c r="M16" s="51">
        <v>1488429.0</v>
      </c>
      <c r="N16" s="49"/>
      <c r="O16" s="52"/>
      <c r="P16" s="50"/>
      <c r="Q16" s="51"/>
      <c r="R16" s="51"/>
      <c r="S16" s="51"/>
      <c r="T16" s="49"/>
      <c r="U16" s="52"/>
      <c r="V16" s="50"/>
      <c r="W16" s="51"/>
      <c r="X16" s="51"/>
      <c r="Y16" s="51"/>
      <c r="Z16" s="51">
        <v>7.5783044E7</v>
      </c>
      <c r="AA16" s="51">
        <v>6062644.0</v>
      </c>
      <c r="AB16" s="51">
        <v>8.1845688E7</v>
      </c>
      <c r="AC16" s="47"/>
      <c r="AD16" s="47" t="s">
        <v>2079</v>
      </c>
      <c r="AE16" s="48"/>
      <c r="AF16" s="50"/>
      <c r="AG16" s="51">
        <v>-1378175.0</v>
      </c>
      <c r="AH16" s="51">
        <v>-110254.0</v>
      </c>
      <c r="AI16" s="51">
        <v>-1488429.0</v>
      </c>
      <c r="AJ16" s="47" t="s">
        <v>2085</v>
      </c>
      <c r="AK16" s="48"/>
      <c r="AL16" s="50"/>
      <c r="AM16" s="51">
        <v>-7.4404869E7</v>
      </c>
      <c r="AN16" s="51">
        <v>-5952390.0</v>
      </c>
      <c r="AO16" s="51">
        <v>-8.0357259E7</v>
      </c>
      <c r="AP16" s="47"/>
      <c r="AQ16" s="48"/>
      <c r="AR16" s="50"/>
      <c r="AS16" s="51"/>
      <c r="AT16" s="51"/>
      <c r="AU16" s="51"/>
      <c r="AV16" s="47"/>
      <c r="AW16" s="48"/>
      <c r="AX16" s="50"/>
      <c r="AY16" s="51"/>
      <c r="AZ16" s="51"/>
      <c r="BA16" s="51"/>
      <c r="BB16" s="51">
        <f t="shared" ref="BB16:BD16" si="14">IF(AND(ISNUMBER(Z16),COUNT(AG16,AM16,AS16,AY16)=2),Z16+SUM(AG16,AM16,AS16,AY16),"")</f>
        <v>0</v>
      </c>
      <c r="BC16" s="51">
        <f t="shared" si="14"/>
        <v>0</v>
      </c>
      <c r="BD16" s="51">
        <f t="shared" si="14"/>
        <v>0</v>
      </c>
    </row>
    <row r="17" ht="48.0" customHeight="1">
      <c r="A17" s="49" t="s">
        <v>40</v>
      </c>
      <c r="B17" s="49" t="str">
        <f t="array" ref="B17">INDEX('HD cty 2024'!B:B,MATCH('F0, F1, F2, ...'!$C17,'HD cty 2024'!B:B,0))</f>
        <v>#N/A</v>
      </c>
      <c r="C17" s="49">
        <v>17.0</v>
      </c>
      <c r="D17" s="50">
        <v>45307.0</v>
      </c>
      <c r="E17" s="51">
        <v>3.8414084E7</v>
      </c>
      <c r="F17" s="51">
        <v>3073127.0</v>
      </c>
      <c r="G17" s="51">
        <v>4.1487211E7</v>
      </c>
      <c r="H17" s="49" t="s">
        <v>414</v>
      </c>
      <c r="I17" s="52" t="s">
        <v>2144</v>
      </c>
      <c r="J17" s="50">
        <v>45802.0</v>
      </c>
      <c r="K17" s="51">
        <v>-1419640.0</v>
      </c>
      <c r="L17" s="51">
        <v>-113571.0</v>
      </c>
      <c r="M17" s="51">
        <v>-1533211.0</v>
      </c>
      <c r="N17" s="49"/>
      <c r="O17" s="52"/>
      <c r="P17" s="50"/>
      <c r="Q17" s="51"/>
      <c r="R17" s="51"/>
      <c r="S17" s="51"/>
      <c r="T17" s="49"/>
      <c r="U17" s="52"/>
      <c r="V17" s="50"/>
      <c r="W17" s="51"/>
      <c r="X17" s="51"/>
      <c r="Y17" s="51"/>
      <c r="Z17" s="51">
        <v>3.6994444E7</v>
      </c>
      <c r="AA17" s="51">
        <v>2959556.0</v>
      </c>
      <c r="AB17" s="51">
        <v>3.9954E7</v>
      </c>
      <c r="AC17" s="47"/>
      <c r="AD17" s="47" t="s">
        <v>2163</v>
      </c>
      <c r="AE17" s="48"/>
      <c r="AF17" s="50"/>
      <c r="AG17" s="51">
        <v>1419640.0</v>
      </c>
      <c r="AH17" s="51">
        <v>113571.0</v>
      </c>
      <c r="AI17" s="51">
        <v>1533211.0</v>
      </c>
      <c r="AJ17" s="47" t="s">
        <v>2175</v>
      </c>
      <c r="AK17" s="48"/>
      <c r="AL17" s="50"/>
      <c r="AM17" s="51">
        <v>-3.8414084E7</v>
      </c>
      <c r="AN17" s="51">
        <v>-3073127.0</v>
      </c>
      <c r="AO17" s="51">
        <v>-4.1487211E7</v>
      </c>
      <c r="AP17" s="47"/>
      <c r="AQ17" s="48"/>
      <c r="AR17" s="50"/>
      <c r="AS17" s="51"/>
      <c r="AT17" s="51"/>
      <c r="AU17" s="51"/>
      <c r="AV17" s="47"/>
      <c r="AW17" s="48"/>
      <c r="AX17" s="50"/>
      <c r="AY17" s="51"/>
      <c r="AZ17" s="51"/>
      <c r="BA17" s="51"/>
      <c r="BB17" s="51">
        <f t="shared" ref="BB17:BD17" si="15">IF(AND(ISNUMBER(Z17),COUNT(AG17,AM17,AS17,AY17)=2),Z17+SUM(AG17,AM17,AS17,AY17),"")</f>
        <v>0</v>
      </c>
      <c r="BC17" s="51">
        <f t="shared" si="15"/>
        <v>0</v>
      </c>
      <c r="BD17" s="51">
        <f t="shared" si="15"/>
        <v>0</v>
      </c>
    </row>
    <row r="18" ht="48.0" customHeight="1">
      <c r="A18" s="49" t="s">
        <v>40</v>
      </c>
      <c r="B18" s="49" t="str">
        <f t="array" ref="B18">INDEX('HD cty 2024'!B:B,MATCH('F0, F1, F2, ...'!$C18,'HD cty 2024'!B:B,0))</f>
        <v>#N/A</v>
      </c>
      <c r="C18" s="49">
        <v>18.0</v>
      </c>
      <c r="D18" s="50">
        <v>45307.0</v>
      </c>
      <c r="E18" s="51">
        <v>2.6301856E7</v>
      </c>
      <c r="F18" s="51">
        <v>2104148.0</v>
      </c>
      <c r="G18" s="51">
        <v>2.8406004E7</v>
      </c>
      <c r="H18" s="49" t="s">
        <v>414</v>
      </c>
      <c r="I18" s="52" t="s">
        <v>2233</v>
      </c>
      <c r="J18" s="50">
        <v>45802.0</v>
      </c>
      <c r="K18" s="51">
        <v>666188.0</v>
      </c>
      <c r="L18" s="51">
        <v>53295.0</v>
      </c>
      <c r="M18" s="51">
        <v>719483.0</v>
      </c>
      <c r="N18" s="49"/>
      <c r="O18" s="52"/>
      <c r="P18" s="50"/>
      <c r="Q18" s="51"/>
      <c r="R18" s="51"/>
      <c r="S18" s="51"/>
      <c r="T18" s="49"/>
      <c r="U18" s="52"/>
      <c r="V18" s="50"/>
      <c r="W18" s="51"/>
      <c r="X18" s="51"/>
      <c r="Y18" s="51"/>
      <c r="Z18" s="51">
        <v>2.6968044E7</v>
      </c>
      <c r="AA18" s="51">
        <v>2157443.0</v>
      </c>
      <c r="AB18" s="51">
        <v>2.9125487E7</v>
      </c>
      <c r="AC18" s="47"/>
      <c r="AD18" s="47" t="s">
        <v>2259</v>
      </c>
      <c r="AE18" s="48"/>
      <c r="AF18" s="50"/>
      <c r="AG18" s="51">
        <v>-666188.0</v>
      </c>
      <c r="AH18" s="51">
        <v>-53295.0</v>
      </c>
      <c r="AI18" s="51">
        <v>-719483.0</v>
      </c>
      <c r="AJ18" s="47" t="s">
        <v>2269</v>
      </c>
      <c r="AK18" s="48"/>
      <c r="AL18" s="50"/>
      <c r="AM18" s="51">
        <v>-2.6301856E7</v>
      </c>
      <c r="AN18" s="51">
        <v>-2104148.0</v>
      </c>
      <c r="AO18" s="51">
        <v>-2.8406004E7</v>
      </c>
      <c r="AP18" s="47"/>
      <c r="AQ18" s="48"/>
      <c r="AR18" s="50"/>
      <c r="AS18" s="51"/>
      <c r="AT18" s="51"/>
      <c r="AU18" s="51"/>
      <c r="AV18" s="47"/>
      <c r="AW18" s="48"/>
      <c r="AX18" s="50"/>
      <c r="AY18" s="51"/>
      <c r="AZ18" s="51"/>
      <c r="BA18" s="51"/>
      <c r="BB18" s="51">
        <f t="shared" ref="BB18:BD18" si="16">IF(AND(ISNUMBER(Z18),COUNT(AG18,AM18,AS18,AY18)=2),Z18+SUM(AG18,AM18,AS18,AY18),"")</f>
        <v>0</v>
      </c>
      <c r="BC18" s="51">
        <f t="shared" si="16"/>
        <v>0</v>
      </c>
      <c r="BD18" s="51">
        <f t="shared" si="16"/>
        <v>0</v>
      </c>
    </row>
    <row r="19" ht="48.0" customHeight="1">
      <c r="A19" s="49" t="s">
        <v>40</v>
      </c>
      <c r="B19" s="49" t="str">
        <f t="array" ref="B19">INDEX('HD cty 2024'!B:B,MATCH('F0, F1, F2, ...'!$C19,'HD cty 2024'!B:B,0))</f>
        <v>#N/A</v>
      </c>
      <c r="C19" s="49">
        <v>19.0</v>
      </c>
      <c r="D19" s="50">
        <v>45308.0</v>
      </c>
      <c r="E19" s="51">
        <v>2793115.0</v>
      </c>
      <c r="F19" s="51">
        <v>223449.0</v>
      </c>
      <c r="G19" s="51">
        <v>3016564.0</v>
      </c>
      <c r="H19" s="49" t="s">
        <v>414</v>
      </c>
      <c r="I19" s="52" t="s">
        <v>2315</v>
      </c>
      <c r="J19" s="50">
        <v>45773.0</v>
      </c>
      <c r="K19" s="51">
        <v>27778.0</v>
      </c>
      <c r="L19" s="51">
        <v>2222.0</v>
      </c>
      <c r="M19" s="51">
        <v>30000.0</v>
      </c>
      <c r="N19" s="49"/>
      <c r="O19" s="52"/>
      <c r="P19" s="50"/>
      <c r="Q19" s="51"/>
      <c r="R19" s="51"/>
      <c r="S19" s="51"/>
      <c r="T19" s="49"/>
      <c r="U19" s="52"/>
      <c r="V19" s="50"/>
      <c r="W19" s="51"/>
      <c r="X19" s="51"/>
      <c r="Y19" s="51"/>
      <c r="Z19" s="51">
        <v>2820893.0</v>
      </c>
      <c r="AA19" s="51">
        <v>225671.0</v>
      </c>
      <c r="AB19" s="51">
        <v>3046564.0</v>
      </c>
      <c r="AC19" s="47"/>
      <c r="AD19" s="47" t="s">
        <v>2336</v>
      </c>
      <c r="AE19" s="48"/>
      <c r="AF19" s="50"/>
      <c r="AG19" s="51">
        <v>-27778.0</v>
      </c>
      <c r="AH19" s="51">
        <v>-2222.0</v>
      </c>
      <c r="AI19" s="51">
        <v>-30000.0</v>
      </c>
      <c r="AJ19" s="47" t="s">
        <v>2345</v>
      </c>
      <c r="AK19" s="48"/>
      <c r="AL19" s="50"/>
      <c r="AM19" s="51">
        <v>-2793115.0</v>
      </c>
      <c r="AN19" s="51">
        <v>-223449.0</v>
      </c>
      <c r="AO19" s="51">
        <v>-3016564.0</v>
      </c>
      <c r="AP19" s="47"/>
      <c r="AQ19" s="48"/>
      <c r="AR19" s="50"/>
      <c r="AS19" s="51"/>
      <c r="AT19" s="51"/>
      <c r="AU19" s="51"/>
      <c r="AV19" s="47"/>
      <c r="AW19" s="48"/>
      <c r="AX19" s="50"/>
      <c r="AY19" s="51"/>
      <c r="AZ19" s="51"/>
      <c r="BA19" s="51"/>
      <c r="BB19" s="51">
        <f t="shared" ref="BB19:BD19" si="17">IF(AND(ISNUMBER(Z19),COUNT(AG19,AM19,AS19,AY19)=2),Z19+SUM(AG19,AM19,AS19,AY19),"")</f>
        <v>0</v>
      </c>
      <c r="BC19" s="51">
        <f t="shared" si="17"/>
        <v>0</v>
      </c>
      <c r="BD19" s="51">
        <f t="shared" si="17"/>
        <v>0</v>
      </c>
    </row>
    <row r="20" ht="48.0" customHeight="1">
      <c r="A20" s="49" t="s">
        <v>40</v>
      </c>
      <c r="B20" s="49" t="str">
        <f t="array" ref="B20">INDEX('HD cty 2024'!B:B,MATCH('F0, F1, F2, ...'!$C20,'HD cty 2024'!B:B,0))</f>
        <v>#N/A</v>
      </c>
      <c r="C20" s="49">
        <v>20.0</v>
      </c>
      <c r="D20" s="50">
        <v>45308.0</v>
      </c>
      <c r="E20" s="51">
        <v>3.6693645E7</v>
      </c>
      <c r="F20" s="51">
        <v>2935492.0</v>
      </c>
      <c r="G20" s="51">
        <v>3.9629137E7</v>
      </c>
      <c r="H20" s="49" t="s">
        <v>414</v>
      </c>
      <c r="I20" s="52" t="s">
        <v>2364</v>
      </c>
      <c r="J20" s="50">
        <v>45802.0</v>
      </c>
      <c r="K20" s="51">
        <v>702651.0</v>
      </c>
      <c r="L20" s="51">
        <v>56212.0</v>
      </c>
      <c r="M20" s="51">
        <v>758863.0</v>
      </c>
      <c r="N20" s="49"/>
      <c r="O20" s="52"/>
      <c r="P20" s="50"/>
      <c r="Q20" s="51"/>
      <c r="R20" s="51"/>
      <c r="S20" s="51"/>
      <c r="T20" s="49"/>
      <c r="U20" s="52"/>
      <c r="V20" s="50"/>
      <c r="W20" s="51"/>
      <c r="X20" s="51"/>
      <c r="Y20" s="51"/>
      <c r="Z20" s="51">
        <v>3.7396296E7</v>
      </c>
      <c r="AA20" s="51">
        <v>2991704.0</v>
      </c>
      <c r="AB20" s="51">
        <v>4.0388E7</v>
      </c>
      <c r="AC20" s="47"/>
      <c r="AD20" s="47" t="s">
        <v>2365</v>
      </c>
      <c r="AE20" s="48"/>
      <c r="AF20" s="50"/>
      <c r="AG20" s="51">
        <v>-702651.0</v>
      </c>
      <c r="AH20" s="51">
        <v>-56212.0</v>
      </c>
      <c r="AI20" s="51">
        <v>-758863.0</v>
      </c>
      <c r="AJ20" s="47" t="s">
        <v>2366</v>
      </c>
      <c r="AK20" s="48"/>
      <c r="AL20" s="50"/>
      <c r="AM20" s="51">
        <v>-3.6693645E7</v>
      </c>
      <c r="AN20" s="51">
        <v>-2935492.0</v>
      </c>
      <c r="AO20" s="51">
        <v>-3.9629137E7</v>
      </c>
      <c r="AP20" s="47"/>
      <c r="AQ20" s="48"/>
      <c r="AR20" s="50"/>
      <c r="AS20" s="51"/>
      <c r="AT20" s="51"/>
      <c r="AU20" s="51"/>
      <c r="AV20" s="47"/>
      <c r="AW20" s="48"/>
      <c r="AX20" s="50"/>
      <c r="AY20" s="51"/>
      <c r="AZ20" s="51"/>
      <c r="BA20" s="51"/>
      <c r="BB20" s="51">
        <f t="shared" ref="BB20:BD20" si="18">IF(AND(ISNUMBER(Z20),COUNT(AG20,AM20,AS20,AY20)=2),Z20+SUM(AG20,AM20,AS20,AY20),"")</f>
        <v>0</v>
      </c>
      <c r="BC20" s="51">
        <f t="shared" si="18"/>
        <v>0</v>
      </c>
      <c r="BD20" s="51">
        <f t="shared" si="18"/>
        <v>0</v>
      </c>
    </row>
    <row r="21" ht="48.0" customHeight="1">
      <c r="A21" s="49" t="s">
        <v>40</v>
      </c>
      <c r="B21" s="49" t="str">
        <f t="array" ref="B21">INDEX('HD cty 2024'!B:B,MATCH('F0, F1, F2, ...'!$C21,'HD cty 2024'!B:B,0))</f>
        <v>#N/A</v>
      </c>
      <c r="C21" s="49">
        <v>24.0</v>
      </c>
      <c r="D21" s="50">
        <v>45316.0</v>
      </c>
      <c r="E21" s="51">
        <v>1.5609101E7</v>
      </c>
      <c r="F21" s="51">
        <v>1248728.0</v>
      </c>
      <c r="G21" s="51">
        <v>1.6857829E7</v>
      </c>
      <c r="H21" s="49" t="s">
        <v>414</v>
      </c>
      <c r="I21" s="52" t="s">
        <v>2367</v>
      </c>
      <c r="J21" s="50">
        <v>45773.0</v>
      </c>
      <c r="K21" s="51">
        <v>-216995.0</v>
      </c>
      <c r="L21" s="51">
        <v>-17360.0</v>
      </c>
      <c r="M21" s="51">
        <v>-234355.0</v>
      </c>
      <c r="N21" s="49"/>
      <c r="O21" s="52"/>
      <c r="P21" s="50"/>
      <c r="Q21" s="51"/>
      <c r="R21" s="51"/>
      <c r="S21" s="51"/>
      <c r="T21" s="49"/>
      <c r="U21" s="52"/>
      <c r="V21" s="50"/>
      <c r="W21" s="51"/>
      <c r="X21" s="51"/>
      <c r="Y21" s="51"/>
      <c r="Z21" s="51">
        <v>1.5392106E7</v>
      </c>
      <c r="AA21" s="51">
        <v>1231368.0</v>
      </c>
      <c r="AB21" s="51">
        <v>1.6623474E7</v>
      </c>
      <c r="AC21" s="47"/>
      <c r="AD21" s="47" t="s">
        <v>2368</v>
      </c>
      <c r="AE21" s="48"/>
      <c r="AF21" s="50"/>
      <c r="AG21" s="51">
        <v>216995.0</v>
      </c>
      <c r="AH21" s="51">
        <v>17360.0</v>
      </c>
      <c r="AI21" s="51">
        <v>234355.0</v>
      </c>
      <c r="AJ21" s="47" t="s">
        <v>2369</v>
      </c>
      <c r="AK21" s="48"/>
      <c r="AL21" s="50"/>
      <c r="AM21" s="51">
        <v>-1.5609101E7</v>
      </c>
      <c r="AN21" s="51">
        <v>-1248728.0</v>
      </c>
      <c r="AO21" s="51">
        <v>-1.6857829E7</v>
      </c>
      <c r="AP21" s="47"/>
      <c r="AQ21" s="48"/>
      <c r="AR21" s="50"/>
      <c r="AS21" s="51"/>
      <c r="AT21" s="51"/>
      <c r="AU21" s="51"/>
      <c r="AV21" s="47"/>
      <c r="AW21" s="48"/>
      <c r="AX21" s="50"/>
      <c r="AY21" s="51"/>
      <c r="AZ21" s="51"/>
      <c r="BA21" s="51"/>
      <c r="BB21" s="51">
        <f t="shared" ref="BB21:BD21" si="19">IF(AND(ISNUMBER(Z21),COUNT(AG21,AM21,AS21,AY21)=2),Z21+SUM(AG21,AM21,AS21,AY21),"")</f>
        <v>0</v>
      </c>
      <c r="BC21" s="51">
        <f t="shared" si="19"/>
        <v>0</v>
      </c>
      <c r="BD21" s="51">
        <f t="shared" si="19"/>
        <v>0</v>
      </c>
    </row>
    <row r="22" ht="48.0" customHeight="1">
      <c r="A22" s="49" t="s">
        <v>40</v>
      </c>
      <c r="B22" s="49" t="str">
        <f t="array" ref="B22">INDEX('HD cty 2024'!B:B,MATCH('F0, F1, F2, ...'!$C22,'HD cty 2024'!B:B,0))</f>
        <v>#N/A</v>
      </c>
      <c r="C22" s="49">
        <v>25.0</v>
      </c>
      <c r="D22" s="50">
        <v>45316.0</v>
      </c>
      <c r="E22" s="51">
        <v>3.5717417E7</v>
      </c>
      <c r="F22" s="51">
        <v>2857393.0</v>
      </c>
      <c r="G22" s="51">
        <v>3.857481E7</v>
      </c>
      <c r="H22" s="49" t="s">
        <v>414</v>
      </c>
      <c r="I22" s="52" t="s">
        <v>2370</v>
      </c>
      <c r="J22" s="50">
        <v>45801.0</v>
      </c>
      <c r="K22" s="51">
        <v>2656657.0</v>
      </c>
      <c r="L22" s="51">
        <v>212533.0</v>
      </c>
      <c r="M22" s="51">
        <v>2869190.0</v>
      </c>
      <c r="N22" s="49"/>
      <c r="O22" s="52"/>
      <c r="P22" s="50"/>
      <c r="Q22" s="51"/>
      <c r="R22" s="51"/>
      <c r="S22" s="51"/>
      <c r="T22" s="49"/>
      <c r="U22" s="52"/>
      <c r="V22" s="50"/>
      <c r="W22" s="51"/>
      <c r="X22" s="51"/>
      <c r="Y22" s="51"/>
      <c r="Z22" s="51">
        <v>3.8374074E7</v>
      </c>
      <c r="AA22" s="51">
        <v>3069926.0</v>
      </c>
      <c r="AB22" s="51">
        <v>4.1444E7</v>
      </c>
      <c r="AC22" s="47"/>
      <c r="AD22" s="47" t="s">
        <v>2373</v>
      </c>
      <c r="AE22" s="48"/>
      <c r="AF22" s="50"/>
      <c r="AG22" s="51">
        <v>-2656657.0</v>
      </c>
      <c r="AH22" s="51">
        <v>-212533.0</v>
      </c>
      <c r="AI22" s="51">
        <v>-2869190.0</v>
      </c>
      <c r="AJ22" s="47" t="s">
        <v>2374</v>
      </c>
      <c r="AK22" s="48"/>
      <c r="AL22" s="50"/>
      <c r="AM22" s="51">
        <v>-3.5717417E7</v>
      </c>
      <c r="AN22" s="51">
        <v>-2857393.0</v>
      </c>
      <c r="AO22" s="51">
        <v>-3.857481E7</v>
      </c>
      <c r="AP22" s="47"/>
      <c r="AQ22" s="48"/>
      <c r="AR22" s="50"/>
      <c r="AS22" s="51"/>
      <c r="AT22" s="51"/>
      <c r="AU22" s="51"/>
      <c r="AV22" s="47"/>
      <c r="AW22" s="48"/>
      <c r="AX22" s="50"/>
      <c r="AY22" s="51"/>
      <c r="AZ22" s="51"/>
      <c r="BA22" s="51"/>
      <c r="BB22" s="51">
        <f t="shared" ref="BB22:BD22" si="20">IF(AND(ISNUMBER(Z22),COUNT(AG22,AM22,AS22,AY22)=2),Z22+SUM(AG22,AM22,AS22,AY22),"")</f>
        <v>0</v>
      </c>
      <c r="BC22" s="51">
        <f t="shared" si="20"/>
        <v>0</v>
      </c>
      <c r="BD22" s="51">
        <f t="shared" si="20"/>
        <v>0</v>
      </c>
    </row>
    <row r="23" ht="48.0" customHeight="1">
      <c r="A23" s="49" t="s">
        <v>40</v>
      </c>
      <c r="B23" s="49" t="str">
        <f t="array" ref="B23">INDEX('HD cty 2024'!B:B,MATCH('F0, F1, F2, ...'!$C23,'HD cty 2024'!B:B,0))</f>
        <v>#N/A</v>
      </c>
      <c r="C23" s="49">
        <v>26.0</v>
      </c>
      <c r="D23" s="50">
        <v>45316.0</v>
      </c>
      <c r="E23" s="51">
        <v>1.8519308E7</v>
      </c>
      <c r="F23" s="51">
        <v>1481545.0</v>
      </c>
      <c r="G23" s="51">
        <v>2.0000853E7</v>
      </c>
      <c r="H23" s="49" t="s">
        <v>414</v>
      </c>
      <c r="I23" s="52" t="s">
        <v>2412</v>
      </c>
      <c r="J23" s="50">
        <v>45773.0</v>
      </c>
      <c r="K23" s="51">
        <v>-577062.0</v>
      </c>
      <c r="L23" s="51">
        <v>-46166.0</v>
      </c>
      <c r="M23" s="51">
        <v>-623228.0</v>
      </c>
      <c r="N23" s="49" t="s">
        <v>414</v>
      </c>
      <c r="O23" s="52" t="s">
        <v>2417</v>
      </c>
      <c r="P23" s="50">
        <v>45807.0</v>
      </c>
      <c r="Q23" s="51">
        <v>-509259.0</v>
      </c>
      <c r="R23" s="51">
        <v>-40741.0</v>
      </c>
      <c r="S23" s="51">
        <v>-550000.0</v>
      </c>
      <c r="T23" s="49"/>
      <c r="U23" s="52"/>
      <c r="V23" s="50"/>
      <c r="W23" s="51"/>
      <c r="X23" s="51"/>
      <c r="Y23" s="51"/>
      <c r="Z23" s="51">
        <v>1.7432987E7</v>
      </c>
      <c r="AA23" s="51">
        <v>1394638.0</v>
      </c>
      <c r="AB23" s="51">
        <v>1.8827625E7</v>
      </c>
      <c r="AC23" s="47"/>
      <c r="AD23" s="47" t="s">
        <v>2422</v>
      </c>
      <c r="AE23" s="48"/>
      <c r="AF23" s="50"/>
      <c r="AG23" s="51">
        <v>577062.0</v>
      </c>
      <c r="AH23" s="51">
        <v>46166.0</v>
      </c>
      <c r="AI23" s="51">
        <v>623228.0</v>
      </c>
      <c r="AJ23" s="47" t="s">
        <v>2427</v>
      </c>
      <c r="AK23" s="48"/>
      <c r="AL23" s="50"/>
      <c r="AM23" s="51">
        <v>509259.0</v>
      </c>
      <c r="AN23" s="51">
        <v>40741.0</v>
      </c>
      <c r="AO23" s="51">
        <v>550000.0</v>
      </c>
      <c r="AP23" s="47" t="s">
        <v>2432</v>
      </c>
      <c r="AQ23" s="48"/>
      <c r="AR23" s="50"/>
      <c r="AS23" s="51">
        <v>-1.8519308E7</v>
      </c>
      <c r="AT23" s="51">
        <v>-1481545.0</v>
      </c>
      <c r="AU23" s="51">
        <v>-2.0000853E7</v>
      </c>
      <c r="AV23" s="47"/>
      <c r="AW23" s="48"/>
      <c r="AX23" s="50"/>
      <c r="AY23" s="51"/>
      <c r="AZ23" s="51"/>
      <c r="BA23" s="51"/>
      <c r="BB23" s="51">
        <f t="shared" ref="BB23:BD23" si="21">IF(AND(ISNUMBER(Z23),COUNT(AG23,AM23,AS23,AY23)=3),Z23+SUM(AG23,AM23,AS23,AY23),"")</f>
        <v>0</v>
      </c>
      <c r="BC23" s="51">
        <f t="shared" si="21"/>
        <v>0</v>
      </c>
      <c r="BD23" s="51">
        <f t="shared" si="21"/>
        <v>0</v>
      </c>
    </row>
    <row r="24" ht="48.0" customHeight="1">
      <c r="A24" s="49" t="s">
        <v>40</v>
      </c>
      <c r="B24" s="49" t="str">
        <f t="array" ref="B24">INDEX('HD cty 2024'!B:B,MATCH('F0, F1, F2, ...'!$C24,'HD cty 2024'!B:B,0))</f>
        <v>#N/A</v>
      </c>
      <c r="C24" s="49">
        <v>27.0</v>
      </c>
      <c r="D24" s="50">
        <v>45316.0</v>
      </c>
      <c r="E24" s="51">
        <v>2.5776463E7</v>
      </c>
      <c r="F24" s="51">
        <v>2062117.0</v>
      </c>
      <c r="G24" s="51">
        <v>2.783858E7</v>
      </c>
      <c r="H24" s="49" t="s">
        <v>414</v>
      </c>
      <c r="I24" s="52" t="s">
        <v>2479</v>
      </c>
      <c r="J24" s="50">
        <v>45801.0</v>
      </c>
      <c r="K24" s="51">
        <v>1217056.0</v>
      </c>
      <c r="L24" s="51">
        <v>97364.0</v>
      </c>
      <c r="M24" s="51">
        <v>1314420.0</v>
      </c>
      <c r="N24" s="49"/>
      <c r="O24" s="52"/>
      <c r="P24" s="50"/>
      <c r="Q24" s="51"/>
      <c r="R24" s="51"/>
      <c r="S24" s="51"/>
      <c r="T24" s="49"/>
      <c r="U24" s="52"/>
      <c r="V24" s="50"/>
      <c r="W24" s="51"/>
      <c r="X24" s="51"/>
      <c r="Y24" s="51"/>
      <c r="Z24" s="51">
        <v>2.6993519E7</v>
      </c>
      <c r="AA24" s="51">
        <v>2159481.0</v>
      </c>
      <c r="AB24" s="51">
        <v>2.9153E7</v>
      </c>
      <c r="AC24" s="47"/>
      <c r="AD24" s="47" t="s">
        <v>2497</v>
      </c>
      <c r="AE24" s="48"/>
      <c r="AF24" s="50"/>
      <c r="AG24" s="51">
        <v>-1217056.0</v>
      </c>
      <c r="AH24" s="51">
        <v>-97364.0</v>
      </c>
      <c r="AI24" s="51">
        <v>-1314420.0</v>
      </c>
      <c r="AJ24" s="47" t="s">
        <v>2508</v>
      </c>
      <c r="AK24" s="48"/>
      <c r="AL24" s="50"/>
      <c r="AM24" s="51">
        <v>-2.5776463E7</v>
      </c>
      <c r="AN24" s="51">
        <v>-2062117.0</v>
      </c>
      <c r="AO24" s="51">
        <v>-2.783858E7</v>
      </c>
      <c r="AP24" s="47"/>
      <c r="AQ24" s="48"/>
      <c r="AR24" s="50"/>
      <c r="AS24" s="51"/>
      <c r="AT24" s="51"/>
      <c r="AU24" s="51"/>
      <c r="AV24" s="47"/>
      <c r="AW24" s="48"/>
      <c r="AX24" s="50"/>
      <c r="AY24" s="51"/>
      <c r="AZ24" s="51"/>
      <c r="BA24" s="51"/>
      <c r="BB24" s="51">
        <f t="shared" ref="BB24:BD24" si="22">IF(AND(ISNUMBER(Z24),COUNT(AG24,AM24,AS24,AY24)=2),Z24+SUM(AG24,AM24,AS24,AY24),"")</f>
        <v>0</v>
      </c>
      <c r="BC24" s="51">
        <f t="shared" si="22"/>
        <v>0</v>
      </c>
      <c r="BD24" s="51">
        <f t="shared" si="22"/>
        <v>0</v>
      </c>
    </row>
    <row r="25" ht="48.0" customHeight="1">
      <c r="A25" s="49" t="s">
        <v>40</v>
      </c>
      <c r="B25" s="49" t="str">
        <f t="array" ref="B25">INDEX('HD cty 2024'!B:B,MATCH('F0, F1, F2, ...'!$C25,'HD cty 2024'!B:B,0))</f>
        <v>#N/A</v>
      </c>
      <c r="C25" s="49">
        <v>29.0</v>
      </c>
      <c r="D25" s="50">
        <v>45322.0</v>
      </c>
      <c r="E25" s="51">
        <v>1.7610388E7</v>
      </c>
      <c r="F25" s="51">
        <v>1408831.0</v>
      </c>
      <c r="G25" s="51">
        <v>1.9019219E7</v>
      </c>
      <c r="H25" s="49" t="s">
        <v>414</v>
      </c>
      <c r="I25" s="52" t="s">
        <v>2550</v>
      </c>
      <c r="J25" s="50">
        <v>45773.0</v>
      </c>
      <c r="K25" s="51">
        <v>-306867.0</v>
      </c>
      <c r="L25" s="51">
        <v>-24551.0</v>
      </c>
      <c r="M25" s="51">
        <v>-331418.0</v>
      </c>
      <c r="N25" s="49"/>
      <c r="O25" s="52"/>
      <c r="P25" s="50"/>
      <c r="Q25" s="51"/>
      <c r="R25" s="51"/>
      <c r="S25" s="51"/>
      <c r="T25" s="49"/>
      <c r="U25" s="52"/>
      <c r="V25" s="50"/>
      <c r="W25" s="51"/>
      <c r="X25" s="51"/>
      <c r="Y25" s="51"/>
      <c r="Z25" s="51">
        <v>1.7303521E7</v>
      </c>
      <c r="AA25" s="51">
        <v>1384280.0</v>
      </c>
      <c r="AB25" s="51">
        <v>1.8687801E7</v>
      </c>
      <c r="AC25" s="47"/>
      <c r="AD25" s="47" t="s">
        <v>2570</v>
      </c>
      <c r="AE25" s="48"/>
      <c r="AF25" s="50"/>
      <c r="AG25" s="51">
        <v>306867.0</v>
      </c>
      <c r="AH25" s="51">
        <v>24551.0</v>
      </c>
      <c r="AI25" s="51">
        <v>331418.0</v>
      </c>
      <c r="AJ25" s="47" t="s">
        <v>2577</v>
      </c>
      <c r="AK25" s="48"/>
      <c r="AL25" s="50"/>
      <c r="AM25" s="51">
        <v>-1.7610388E7</v>
      </c>
      <c r="AN25" s="51">
        <v>-1408831.0</v>
      </c>
      <c r="AO25" s="51">
        <v>-1.9019219E7</v>
      </c>
      <c r="AP25" s="47"/>
      <c r="AQ25" s="48"/>
      <c r="AR25" s="50"/>
      <c r="AS25" s="51"/>
      <c r="AT25" s="51"/>
      <c r="AU25" s="51"/>
      <c r="AV25" s="47"/>
      <c r="AW25" s="48"/>
      <c r="AX25" s="50"/>
      <c r="AY25" s="51"/>
      <c r="AZ25" s="51"/>
      <c r="BA25" s="51"/>
      <c r="BB25" s="51">
        <f t="shared" ref="BB25:BD25" si="23">IF(AND(ISNUMBER(Z25),COUNT(AG25,AM25,AS25,AY25)=2),Z25+SUM(AG25,AM25,AS25,AY25),"")</f>
        <v>0</v>
      </c>
      <c r="BC25" s="51">
        <f t="shared" si="23"/>
        <v>0</v>
      </c>
      <c r="BD25" s="51">
        <f t="shared" si="23"/>
        <v>0</v>
      </c>
    </row>
    <row r="26" ht="48.0" customHeight="1">
      <c r="A26" s="49" t="s">
        <v>40</v>
      </c>
      <c r="B26" s="49" t="str">
        <f t="array" ref="B26">INDEX('HD cty 2024'!B:B,MATCH('F0, F1, F2, ...'!$C26,'HD cty 2024'!B:B,0))</f>
        <v>#N/A</v>
      </c>
      <c r="C26" s="49">
        <v>30.0</v>
      </c>
      <c r="D26" s="50">
        <v>45322.0</v>
      </c>
      <c r="E26" s="51">
        <v>3.2152932E7</v>
      </c>
      <c r="F26" s="51">
        <v>2572235.0</v>
      </c>
      <c r="G26" s="51">
        <v>3.4725167E7</v>
      </c>
      <c r="H26" s="49" t="s">
        <v>414</v>
      </c>
      <c r="I26" s="52" t="s">
        <v>2608</v>
      </c>
      <c r="J26" s="50">
        <v>45801.0</v>
      </c>
      <c r="K26" s="51">
        <v>2961883.0</v>
      </c>
      <c r="L26" s="51">
        <v>236951.0</v>
      </c>
      <c r="M26" s="51">
        <v>3198834.0</v>
      </c>
      <c r="N26" s="49"/>
      <c r="O26" s="52"/>
      <c r="P26" s="50"/>
      <c r="Q26" s="51"/>
      <c r="R26" s="51"/>
      <c r="S26" s="51"/>
      <c r="T26" s="49"/>
      <c r="U26" s="52"/>
      <c r="V26" s="50"/>
      <c r="W26" s="51"/>
      <c r="X26" s="51"/>
      <c r="Y26" s="51"/>
      <c r="Z26" s="51">
        <v>3.5114815E7</v>
      </c>
      <c r="AA26" s="51">
        <v>2809186.0</v>
      </c>
      <c r="AB26" s="51">
        <v>3.7924001E7</v>
      </c>
      <c r="AC26" s="47"/>
      <c r="AD26" s="47" t="s">
        <v>2609</v>
      </c>
      <c r="AE26" s="48"/>
      <c r="AF26" s="50"/>
      <c r="AG26" s="51">
        <v>-2961883.0</v>
      </c>
      <c r="AH26" s="51">
        <v>-236951.0</v>
      </c>
      <c r="AI26" s="51">
        <v>-3198834.0</v>
      </c>
      <c r="AJ26" s="47" t="s">
        <v>2610</v>
      </c>
      <c r="AK26" s="48"/>
      <c r="AL26" s="50"/>
      <c r="AM26" s="51">
        <v>-3.2152932E7</v>
      </c>
      <c r="AN26" s="51">
        <v>-2572235.0</v>
      </c>
      <c r="AO26" s="51">
        <v>-3.4725167E7</v>
      </c>
      <c r="AP26" s="47"/>
      <c r="AQ26" s="48"/>
      <c r="AR26" s="50"/>
      <c r="AS26" s="51"/>
      <c r="AT26" s="51"/>
      <c r="AU26" s="51"/>
      <c r="AV26" s="47"/>
      <c r="AW26" s="48"/>
      <c r="AX26" s="50"/>
      <c r="AY26" s="51"/>
      <c r="AZ26" s="51"/>
      <c r="BA26" s="51"/>
      <c r="BB26" s="51">
        <f t="shared" ref="BB26:BD26" si="24">IF(AND(ISNUMBER(Z26),COUNT(AG26,AM26,AS26,AY26)=2),Z26+SUM(AG26,AM26,AS26,AY26),"")</f>
        <v>0</v>
      </c>
      <c r="BC26" s="51">
        <f t="shared" si="24"/>
        <v>0</v>
      </c>
      <c r="BD26" s="51">
        <f t="shared" si="24"/>
        <v>0</v>
      </c>
    </row>
    <row r="27" ht="48.0" customHeight="1">
      <c r="A27" s="49" t="s">
        <v>40</v>
      </c>
      <c r="B27" s="49" t="str">
        <f t="array" ref="B27">INDEX('HD cty 2024'!B:B,MATCH('F0, F1, F2, ...'!$C27,'HD cty 2024'!B:B,0))</f>
        <v>#N/A</v>
      </c>
      <c r="C27" s="49">
        <v>31.0</v>
      </c>
      <c r="D27" s="50">
        <v>45325.0</v>
      </c>
      <c r="E27" s="51">
        <v>2.6518307E7</v>
      </c>
      <c r="F27" s="51">
        <v>2121465.0</v>
      </c>
      <c r="G27" s="51">
        <v>2.8639772E7</v>
      </c>
      <c r="H27" s="49" t="s">
        <v>414</v>
      </c>
      <c r="I27" s="52" t="s">
        <v>2611</v>
      </c>
      <c r="J27" s="50">
        <v>45808.0</v>
      </c>
      <c r="K27" s="51">
        <v>2774286.0</v>
      </c>
      <c r="L27" s="51">
        <v>221943.0</v>
      </c>
      <c r="M27" s="51">
        <v>2996229.0</v>
      </c>
      <c r="N27" s="49"/>
      <c r="O27" s="52"/>
      <c r="P27" s="50"/>
      <c r="Q27" s="51"/>
      <c r="R27" s="51"/>
      <c r="S27" s="51"/>
      <c r="T27" s="49"/>
      <c r="U27" s="52"/>
      <c r="V27" s="50"/>
      <c r="W27" s="51"/>
      <c r="X27" s="51"/>
      <c r="Y27" s="51"/>
      <c r="Z27" s="51">
        <v>2.9292593E7</v>
      </c>
      <c r="AA27" s="51">
        <v>2343408.0</v>
      </c>
      <c r="AB27" s="51">
        <v>3.1636001E7</v>
      </c>
      <c r="AC27" s="47"/>
      <c r="AD27" s="47" t="s">
        <v>2612</v>
      </c>
      <c r="AE27" s="48"/>
      <c r="AF27" s="50"/>
      <c r="AG27" s="51">
        <v>-2774286.0</v>
      </c>
      <c r="AH27" s="51">
        <v>-221943.0</v>
      </c>
      <c r="AI27" s="51">
        <v>-2996229.0</v>
      </c>
      <c r="AJ27" s="47" t="s">
        <v>2613</v>
      </c>
      <c r="AK27" s="48"/>
      <c r="AL27" s="50"/>
      <c r="AM27" s="51">
        <v>-2.6518307E7</v>
      </c>
      <c r="AN27" s="51">
        <v>-2121465.0</v>
      </c>
      <c r="AO27" s="51">
        <v>-2.8639772E7</v>
      </c>
      <c r="AP27" s="47"/>
      <c r="AQ27" s="48"/>
      <c r="AR27" s="50"/>
      <c r="AS27" s="51"/>
      <c r="AT27" s="51"/>
      <c r="AU27" s="51"/>
      <c r="AV27" s="47"/>
      <c r="AW27" s="48"/>
      <c r="AX27" s="50"/>
      <c r="AY27" s="51"/>
      <c r="AZ27" s="51"/>
      <c r="BA27" s="51"/>
      <c r="BB27" s="51">
        <f t="shared" ref="BB27:BD27" si="25">IF(AND(ISNUMBER(Z27),COUNT(AG27,AM27,AS27,AY27)=2),Z27+SUM(AG27,AM27,AS27,AY27),"")</f>
        <v>0</v>
      </c>
      <c r="BC27" s="51">
        <f t="shared" si="25"/>
        <v>0</v>
      </c>
      <c r="BD27" s="51">
        <f t="shared" si="25"/>
        <v>0</v>
      </c>
    </row>
    <row r="28" ht="48.0" customHeight="1">
      <c r="A28" s="49" t="s">
        <v>40</v>
      </c>
      <c r="B28" s="49" t="str">
        <f t="array" ref="B28">INDEX('HD cty 2024'!B:B,MATCH('F0, F1, F2, ...'!$C28,'HD cty 2024'!B:B,0))</f>
        <v>#N/A</v>
      </c>
      <c r="C28" s="49">
        <v>32.0</v>
      </c>
      <c r="D28" s="50">
        <v>45325.0</v>
      </c>
      <c r="E28" s="51">
        <v>4.7807398E7</v>
      </c>
      <c r="F28" s="51">
        <v>3824592.0</v>
      </c>
      <c r="G28" s="51">
        <v>5.163199E7</v>
      </c>
      <c r="H28" s="49" t="s">
        <v>414</v>
      </c>
      <c r="I28" s="52" t="s">
        <v>2614</v>
      </c>
      <c r="J28" s="50">
        <v>45801.0</v>
      </c>
      <c r="K28" s="51">
        <v>3019454.0</v>
      </c>
      <c r="L28" s="51">
        <v>241556.0</v>
      </c>
      <c r="M28" s="51">
        <v>3261010.0</v>
      </c>
      <c r="N28" s="49"/>
      <c r="O28" s="52"/>
      <c r="P28" s="50"/>
      <c r="Q28" s="51"/>
      <c r="R28" s="51"/>
      <c r="S28" s="51"/>
      <c r="T28" s="49"/>
      <c r="U28" s="52"/>
      <c r="V28" s="50"/>
      <c r="W28" s="51"/>
      <c r="X28" s="51"/>
      <c r="Y28" s="51"/>
      <c r="Z28" s="51">
        <v>5.0826852E7</v>
      </c>
      <c r="AA28" s="51">
        <v>4066148.0</v>
      </c>
      <c r="AB28" s="51">
        <v>5.4893E7</v>
      </c>
      <c r="AC28" s="47"/>
      <c r="AD28" s="47" t="s">
        <v>2615</v>
      </c>
      <c r="AE28" s="48"/>
      <c r="AF28" s="50"/>
      <c r="AG28" s="51">
        <v>-3019454.0</v>
      </c>
      <c r="AH28" s="51">
        <v>-241556.0</v>
      </c>
      <c r="AI28" s="51">
        <v>-3261010.0</v>
      </c>
      <c r="AJ28" s="47" t="s">
        <v>2616</v>
      </c>
      <c r="AK28" s="48"/>
      <c r="AL28" s="50"/>
      <c r="AM28" s="51">
        <v>-4.7807398E7</v>
      </c>
      <c r="AN28" s="51">
        <v>-3824592.0</v>
      </c>
      <c r="AO28" s="51">
        <v>-5.163199E7</v>
      </c>
      <c r="AP28" s="47"/>
      <c r="AQ28" s="48"/>
      <c r="AR28" s="50"/>
      <c r="AS28" s="51"/>
      <c r="AT28" s="51"/>
      <c r="AU28" s="51"/>
      <c r="AV28" s="47"/>
      <c r="AW28" s="48"/>
      <c r="AX28" s="50"/>
      <c r="AY28" s="51"/>
      <c r="AZ28" s="51"/>
      <c r="BA28" s="51"/>
      <c r="BB28" s="51">
        <f t="shared" ref="BB28:BD28" si="26">IF(AND(ISNUMBER(Z28),COUNT(AG28,AM28,AS28,AY28)=2),Z28+SUM(AG28,AM28,AS28,AY28),"")</f>
        <v>0</v>
      </c>
      <c r="BC28" s="51">
        <f t="shared" si="26"/>
        <v>0</v>
      </c>
      <c r="BD28" s="51">
        <f t="shared" si="26"/>
        <v>0</v>
      </c>
    </row>
    <row r="29" ht="48.0" customHeight="1">
      <c r="A29" s="49" t="s">
        <v>40</v>
      </c>
      <c r="B29" s="49" t="str">
        <f t="array" ref="B29">INDEX('HD cty 2024'!B:B,MATCH('F0, F1, F2, ...'!$C29,'HD cty 2024'!B:B,0))</f>
        <v>#N/A</v>
      </c>
      <c r="C29" s="49">
        <v>33.0</v>
      </c>
      <c r="D29" s="50">
        <v>45325.0</v>
      </c>
      <c r="E29" s="51">
        <v>4.2989657E7</v>
      </c>
      <c r="F29" s="51">
        <v>3439173.0</v>
      </c>
      <c r="G29" s="51">
        <v>4.642883E7</v>
      </c>
      <c r="H29" s="49" t="s">
        <v>414</v>
      </c>
      <c r="I29" s="52" t="s">
        <v>2617</v>
      </c>
      <c r="J29" s="50">
        <v>45808.0</v>
      </c>
      <c r="K29" s="51">
        <v>2032250.0</v>
      </c>
      <c r="L29" s="51">
        <v>162580.0</v>
      </c>
      <c r="M29" s="51">
        <v>2194830.0</v>
      </c>
      <c r="N29" s="49"/>
      <c r="O29" s="52"/>
      <c r="P29" s="50"/>
      <c r="Q29" s="51"/>
      <c r="R29" s="51"/>
      <c r="S29" s="51"/>
      <c r="T29" s="49"/>
      <c r="U29" s="52"/>
      <c r="V29" s="50"/>
      <c r="W29" s="51"/>
      <c r="X29" s="51"/>
      <c r="Y29" s="51"/>
      <c r="Z29" s="51">
        <v>4.5021907E7</v>
      </c>
      <c r="AA29" s="51">
        <v>3601753.0</v>
      </c>
      <c r="AB29" s="51">
        <v>4.862366E7</v>
      </c>
      <c r="AC29" s="47"/>
      <c r="AD29" s="47" t="s">
        <v>2618</v>
      </c>
      <c r="AE29" s="48"/>
      <c r="AF29" s="50"/>
      <c r="AG29" s="51">
        <v>-2032250.0</v>
      </c>
      <c r="AH29" s="51">
        <v>-162580.0</v>
      </c>
      <c r="AI29" s="51">
        <v>-2194830.0</v>
      </c>
      <c r="AJ29" s="47" t="s">
        <v>2619</v>
      </c>
      <c r="AK29" s="48"/>
      <c r="AL29" s="50"/>
      <c r="AM29" s="51">
        <v>-4.2989657E7</v>
      </c>
      <c r="AN29" s="51">
        <v>-3439173.0</v>
      </c>
      <c r="AO29" s="51">
        <v>-4.642883E7</v>
      </c>
      <c r="AP29" s="47"/>
      <c r="AQ29" s="48"/>
      <c r="AR29" s="50"/>
      <c r="AS29" s="51"/>
      <c r="AT29" s="51"/>
      <c r="AU29" s="51"/>
      <c r="AV29" s="47"/>
      <c r="AW29" s="48"/>
      <c r="AX29" s="50"/>
      <c r="AY29" s="51"/>
      <c r="AZ29" s="51"/>
      <c r="BA29" s="51"/>
      <c r="BB29" s="51">
        <f t="shared" ref="BB29:BD29" si="27">IF(AND(ISNUMBER(Z29),COUNT(AG29,AM29,AS29,AY29)=2),Z29+SUM(AG29,AM29,AS29,AY29),"")</f>
        <v>0</v>
      </c>
      <c r="BC29" s="51">
        <f t="shared" si="27"/>
        <v>0</v>
      </c>
      <c r="BD29" s="51">
        <f t="shared" si="27"/>
        <v>0</v>
      </c>
    </row>
    <row r="30" ht="48.0" customHeight="1">
      <c r="A30" s="49" t="s">
        <v>40</v>
      </c>
      <c r="B30" s="49" t="str">
        <f t="array" ref="B30">INDEX('HD cty 2024'!B:B,MATCH('F0, F1, F2, ...'!$C30,'HD cty 2024'!B:B,0))</f>
        <v>#N/A</v>
      </c>
      <c r="C30" s="49">
        <v>34.0</v>
      </c>
      <c r="D30" s="50">
        <v>45325.0</v>
      </c>
      <c r="E30" s="51">
        <v>4.0842829E7</v>
      </c>
      <c r="F30" s="51">
        <v>3267426.0</v>
      </c>
      <c r="G30" s="51">
        <v>4.4110255E7</v>
      </c>
      <c r="H30" s="49" t="s">
        <v>414</v>
      </c>
      <c r="I30" s="52" t="s">
        <v>2620</v>
      </c>
      <c r="J30" s="50">
        <v>45808.0</v>
      </c>
      <c r="K30" s="51">
        <v>7617356.0</v>
      </c>
      <c r="L30" s="51">
        <v>609388.0</v>
      </c>
      <c r="M30" s="51">
        <v>8226744.0</v>
      </c>
      <c r="N30" s="49" t="s">
        <v>414</v>
      </c>
      <c r="O30" s="52" t="s">
        <v>2621</v>
      </c>
      <c r="P30" s="50">
        <v>45808.0</v>
      </c>
      <c r="Q30" s="51">
        <v>-3757407.0</v>
      </c>
      <c r="R30" s="51">
        <v>-300593.0</v>
      </c>
      <c r="S30" s="51">
        <v>-4058000.0</v>
      </c>
      <c r="T30" s="49"/>
      <c r="U30" s="52"/>
      <c r="V30" s="50"/>
      <c r="W30" s="51"/>
      <c r="X30" s="51"/>
      <c r="Y30" s="51"/>
      <c r="Z30" s="51">
        <v>4.4702778E7</v>
      </c>
      <c r="AA30" s="51">
        <v>3576221.0</v>
      </c>
      <c r="AB30" s="51">
        <v>4.8278999E7</v>
      </c>
      <c r="AC30" s="47"/>
      <c r="AD30" s="47" t="s">
        <v>2622</v>
      </c>
      <c r="AE30" s="48"/>
      <c r="AF30" s="50"/>
      <c r="AG30" s="51">
        <v>-7617356.0</v>
      </c>
      <c r="AH30" s="51">
        <v>-609388.0</v>
      </c>
      <c r="AI30" s="51">
        <v>-8226744.0</v>
      </c>
      <c r="AJ30" s="47" t="s">
        <v>2623</v>
      </c>
      <c r="AK30" s="48"/>
      <c r="AL30" s="50"/>
      <c r="AM30" s="51">
        <v>3757407.0</v>
      </c>
      <c r="AN30" s="51">
        <v>300593.0</v>
      </c>
      <c r="AO30" s="51">
        <v>4058000.0</v>
      </c>
      <c r="AP30" s="47" t="s">
        <v>2624</v>
      </c>
      <c r="AQ30" s="48"/>
      <c r="AR30" s="50"/>
      <c r="AS30" s="51">
        <v>-4.0842829E7</v>
      </c>
      <c r="AT30" s="51">
        <v>-3267426.0</v>
      </c>
      <c r="AU30" s="51">
        <v>-4.4110255E7</v>
      </c>
      <c r="AV30" s="47"/>
      <c r="AW30" s="48"/>
      <c r="AX30" s="50"/>
      <c r="AY30" s="51"/>
      <c r="AZ30" s="51"/>
      <c r="BA30" s="51"/>
      <c r="BB30" s="51">
        <f t="shared" ref="BB30:BD30" si="28">IF(AND(ISNUMBER(Z30),COUNT(AG30,AM30,AS30,AY30)=3),Z30+SUM(AG30,AM30,AS30,AY30),"")</f>
        <v>0</v>
      </c>
      <c r="BC30" s="51">
        <f t="shared" si="28"/>
        <v>0</v>
      </c>
      <c r="BD30" s="51">
        <f t="shared" si="28"/>
        <v>0</v>
      </c>
    </row>
    <row r="31" ht="48.0" customHeight="1">
      <c r="A31" s="49" t="s">
        <v>40</v>
      </c>
      <c r="B31" s="49" t="str">
        <f t="array" ref="B31">INDEX('HD cty 2024'!B:B,MATCH('F0, F1, F2, ...'!$C31,'HD cty 2024'!B:B,0))</f>
        <v>#N/A</v>
      </c>
      <c r="C31" s="49">
        <v>35.0</v>
      </c>
      <c r="D31" s="50">
        <v>45325.0</v>
      </c>
      <c r="E31" s="51">
        <v>4.0743073E7</v>
      </c>
      <c r="F31" s="51">
        <v>3259446.0</v>
      </c>
      <c r="G31" s="51">
        <v>4.4002519E7</v>
      </c>
      <c r="H31" s="49" t="s">
        <v>414</v>
      </c>
      <c r="I31" s="52" t="s">
        <v>2625</v>
      </c>
      <c r="J31" s="50">
        <v>45801.0</v>
      </c>
      <c r="K31" s="51">
        <v>4468038.0</v>
      </c>
      <c r="L31" s="51">
        <v>357443.0</v>
      </c>
      <c r="M31" s="51">
        <v>4825481.0</v>
      </c>
      <c r="N31" s="49"/>
      <c r="O31" s="52"/>
      <c r="P31" s="50"/>
      <c r="Q31" s="51"/>
      <c r="R31" s="51"/>
      <c r="S31" s="51"/>
      <c r="T31" s="49"/>
      <c r="U31" s="52"/>
      <c r="V31" s="50"/>
      <c r="W31" s="51"/>
      <c r="X31" s="51"/>
      <c r="Y31" s="51"/>
      <c r="Z31" s="51">
        <v>4.5211111E7</v>
      </c>
      <c r="AA31" s="51">
        <v>3616889.0</v>
      </c>
      <c r="AB31" s="51">
        <v>4.8828E7</v>
      </c>
      <c r="AC31" s="47"/>
      <c r="AD31" s="47" t="s">
        <v>2626</v>
      </c>
      <c r="AE31" s="48"/>
      <c r="AF31" s="50"/>
      <c r="AG31" s="51">
        <v>-4468038.0</v>
      </c>
      <c r="AH31" s="51">
        <v>-357443.0</v>
      </c>
      <c r="AI31" s="51">
        <v>-4825481.0</v>
      </c>
      <c r="AJ31" s="47" t="s">
        <v>2627</v>
      </c>
      <c r="AK31" s="48"/>
      <c r="AL31" s="50"/>
      <c r="AM31" s="51">
        <v>-4.0743073E7</v>
      </c>
      <c r="AN31" s="51">
        <v>-3259446.0</v>
      </c>
      <c r="AO31" s="51">
        <v>-4.4002519E7</v>
      </c>
      <c r="AP31" s="47"/>
      <c r="AQ31" s="48"/>
      <c r="AR31" s="50"/>
      <c r="AS31" s="51"/>
      <c r="AT31" s="51"/>
      <c r="AU31" s="51"/>
      <c r="AV31" s="47"/>
      <c r="AW31" s="48"/>
      <c r="AX31" s="50"/>
      <c r="AY31" s="51"/>
      <c r="AZ31" s="51"/>
      <c r="BA31" s="51"/>
      <c r="BB31" s="51">
        <f t="shared" ref="BB31:BD31" si="29">IF(AND(ISNUMBER(Z31),COUNT(AG31,AM31,AS31,AY31)=2),Z31+SUM(AG31,AM31,AS31,AY31),"")</f>
        <v>0</v>
      </c>
      <c r="BC31" s="51">
        <f t="shared" si="29"/>
        <v>0</v>
      </c>
      <c r="BD31" s="51">
        <f t="shared" si="29"/>
        <v>0</v>
      </c>
    </row>
    <row r="32" ht="48.0" customHeight="1">
      <c r="A32" s="49" t="s">
        <v>40</v>
      </c>
      <c r="B32" s="49" t="str">
        <f t="array" ref="B32">INDEX('HD cty 2024'!B:B,MATCH('F0, F1, F2, ...'!$C32,'HD cty 2024'!B:B,0))</f>
        <v>#N/A</v>
      </c>
      <c r="C32" s="49">
        <v>36.0</v>
      </c>
      <c r="D32" s="50">
        <v>45325.0</v>
      </c>
      <c r="E32" s="51">
        <v>4.2218239E7</v>
      </c>
      <c r="F32" s="51">
        <v>3377459.0</v>
      </c>
      <c r="G32" s="51">
        <v>4.5595698E7</v>
      </c>
      <c r="H32" s="49" t="s">
        <v>414</v>
      </c>
      <c r="I32" s="52" t="s">
        <v>2628</v>
      </c>
      <c r="J32" s="50">
        <v>45803.0</v>
      </c>
      <c r="K32" s="51">
        <v>3638377.0</v>
      </c>
      <c r="L32" s="51">
        <v>291070.0</v>
      </c>
      <c r="M32" s="51">
        <v>3929447.0</v>
      </c>
      <c r="N32" s="49"/>
      <c r="O32" s="52"/>
      <c r="P32" s="50"/>
      <c r="Q32" s="51"/>
      <c r="R32" s="51"/>
      <c r="S32" s="51"/>
      <c r="T32" s="49"/>
      <c r="U32" s="52"/>
      <c r="V32" s="50"/>
      <c r="W32" s="51"/>
      <c r="X32" s="51"/>
      <c r="Y32" s="51"/>
      <c r="Z32" s="51">
        <v>4.5856616E7</v>
      </c>
      <c r="AA32" s="51">
        <v>3668529.0</v>
      </c>
      <c r="AB32" s="51">
        <v>4.9525145E7</v>
      </c>
      <c r="AC32" s="47"/>
      <c r="AD32" s="47" t="s">
        <v>2629</v>
      </c>
      <c r="AE32" s="48"/>
      <c r="AF32" s="50"/>
      <c r="AG32" s="51">
        <v>-3638377.0</v>
      </c>
      <c r="AH32" s="51">
        <v>-291070.0</v>
      </c>
      <c r="AI32" s="51">
        <v>-3929447.0</v>
      </c>
      <c r="AJ32" s="47" t="s">
        <v>2630</v>
      </c>
      <c r="AK32" s="48"/>
      <c r="AL32" s="50"/>
      <c r="AM32" s="51">
        <v>-4.2218239E7</v>
      </c>
      <c r="AN32" s="51">
        <v>-3377459.0</v>
      </c>
      <c r="AO32" s="51">
        <v>-4.5595698E7</v>
      </c>
      <c r="AP32" s="47"/>
      <c r="AQ32" s="48"/>
      <c r="AR32" s="50"/>
      <c r="AS32" s="51"/>
      <c r="AT32" s="51"/>
      <c r="AU32" s="51"/>
      <c r="AV32" s="47"/>
      <c r="AW32" s="48"/>
      <c r="AX32" s="50"/>
      <c r="AY32" s="51"/>
      <c r="AZ32" s="51"/>
      <c r="BA32" s="51"/>
      <c r="BB32" s="51">
        <f t="shared" ref="BB32:BD32" si="30">IF(AND(ISNUMBER(Z32),COUNT(AG32,AM32,AS32,AY32)=2),Z32+SUM(AG32,AM32,AS32,AY32),"")</f>
        <v>0</v>
      </c>
      <c r="BC32" s="51">
        <f t="shared" si="30"/>
        <v>0</v>
      </c>
      <c r="BD32" s="51">
        <f t="shared" si="30"/>
        <v>0</v>
      </c>
    </row>
    <row r="33" ht="48.0" customHeight="1">
      <c r="A33" s="49" t="s">
        <v>40</v>
      </c>
      <c r="B33" s="49" t="str">
        <f t="array" ref="B33">INDEX('HD cty 2024'!B:B,MATCH('F0, F1, F2, ...'!$C33,'HD cty 2024'!B:B,0))</f>
        <v>#N/A</v>
      </c>
      <c r="C33" s="49">
        <v>37.0</v>
      </c>
      <c r="D33" s="50">
        <v>45325.0</v>
      </c>
      <c r="E33" s="51">
        <v>4.6638353E7</v>
      </c>
      <c r="F33" s="51">
        <v>3731068.0</v>
      </c>
      <c r="G33" s="51">
        <v>5.0369421E7</v>
      </c>
      <c r="H33" s="49" t="s">
        <v>414</v>
      </c>
      <c r="I33" s="52" t="s">
        <v>2631</v>
      </c>
      <c r="J33" s="50">
        <v>45801.0</v>
      </c>
      <c r="K33" s="51">
        <v>2904240.0</v>
      </c>
      <c r="L33" s="51">
        <v>232339.0</v>
      </c>
      <c r="M33" s="51">
        <v>3136579.0</v>
      </c>
      <c r="N33" s="49"/>
      <c r="O33" s="52"/>
      <c r="P33" s="50"/>
      <c r="Q33" s="51"/>
      <c r="R33" s="51"/>
      <c r="S33" s="51"/>
      <c r="T33" s="49"/>
      <c r="U33" s="52"/>
      <c r="V33" s="50"/>
      <c r="W33" s="51"/>
      <c r="X33" s="51"/>
      <c r="Y33" s="51"/>
      <c r="Z33" s="51">
        <v>4.9542593E7</v>
      </c>
      <c r="AA33" s="51">
        <v>3963407.0</v>
      </c>
      <c r="AB33" s="51">
        <v>5.3506E7</v>
      </c>
      <c r="AC33" s="47"/>
      <c r="AD33" s="47" t="s">
        <v>2632</v>
      </c>
      <c r="AE33" s="48"/>
      <c r="AF33" s="50"/>
      <c r="AG33" s="51">
        <v>-2904240.0</v>
      </c>
      <c r="AH33" s="51">
        <v>-232339.0</v>
      </c>
      <c r="AI33" s="51">
        <v>-3136579.0</v>
      </c>
      <c r="AJ33" s="47" t="s">
        <v>2633</v>
      </c>
      <c r="AK33" s="48"/>
      <c r="AL33" s="50"/>
      <c r="AM33" s="51">
        <v>-4.6638353E7</v>
      </c>
      <c r="AN33" s="51">
        <v>-3731068.0</v>
      </c>
      <c r="AO33" s="51">
        <v>-5.0369421E7</v>
      </c>
      <c r="AP33" s="47"/>
      <c r="AQ33" s="48"/>
      <c r="AR33" s="50"/>
      <c r="AS33" s="51"/>
      <c r="AT33" s="51"/>
      <c r="AU33" s="51"/>
      <c r="AV33" s="47"/>
      <c r="AW33" s="48"/>
      <c r="AX33" s="50"/>
      <c r="AY33" s="51"/>
      <c r="AZ33" s="51"/>
      <c r="BA33" s="51"/>
      <c r="BB33" s="51">
        <f t="shared" ref="BB33:BD33" si="31">IF(AND(ISNUMBER(Z33),COUNT(AG33,AM33,AS33,AY33)=2),Z33+SUM(AG33,AM33,AS33,AY33),"")</f>
        <v>0</v>
      </c>
      <c r="BC33" s="51">
        <f t="shared" si="31"/>
        <v>0</v>
      </c>
      <c r="BD33" s="51">
        <f t="shared" si="31"/>
        <v>0</v>
      </c>
    </row>
    <row r="34" ht="48.0" customHeight="1">
      <c r="A34" s="49" t="s">
        <v>40</v>
      </c>
      <c r="B34" s="49" t="str">
        <f t="array" ref="B34">INDEX('HD cty 2024'!B:B,MATCH('F0, F1, F2, ...'!$C34,'HD cty 2024'!B:B,0))</f>
        <v>#N/A</v>
      </c>
      <c r="C34" s="49">
        <v>38.0</v>
      </c>
      <c r="D34" s="50">
        <v>45326.0</v>
      </c>
      <c r="E34" s="51">
        <v>3.1063215E7</v>
      </c>
      <c r="F34" s="51">
        <v>2485057.0</v>
      </c>
      <c r="G34" s="51">
        <v>3.3548272E7</v>
      </c>
      <c r="H34" s="49" t="s">
        <v>414</v>
      </c>
      <c r="I34" s="52" t="s">
        <v>2634</v>
      </c>
      <c r="J34" s="50">
        <v>45801.0</v>
      </c>
      <c r="K34" s="51">
        <v>1578452.0</v>
      </c>
      <c r="L34" s="51">
        <v>126276.0</v>
      </c>
      <c r="M34" s="51">
        <v>1704728.0</v>
      </c>
      <c r="N34" s="49"/>
      <c r="O34" s="52"/>
      <c r="P34" s="50"/>
      <c r="Q34" s="51"/>
      <c r="R34" s="51"/>
      <c r="S34" s="51"/>
      <c r="T34" s="49"/>
      <c r="U34" s="52"/>
      <c r="V34" s="50"/>
      <c r="W34" s="51"/>
      <c r="X34" s="51"/>
      <c r="Y34" s="51"/>
      <c r="Z34" s="51">
        <v>3.2641667E7</v>
      </c>
      <c r="AA34" s="51">
        <v>2611333.0</v>
      </c>
      <c r="AB34" s="51">
        <v>3.5253E7</v>
      </c>
      <c r="AC34" s="47"/>
      <c r="AD34" s="47" t="s">
        <v>2635</v>
      </c>
      <c r="AE34" s="48"/>
      <c r="AF34" s="50"/>
      <c r="AG34" s="51">
        <v>-1578452.0</v>
      </c>
      <c r="AH34" s="51">
        <v>-126276.0</v>
      </c>
      <c r="AI34" s="51">
        <v>-1704728.0</v>
      </c>
      <c r="AJ34" s="47" t="s">
        <v>2636</v>
      </c>
      <c r="AK34" s="48"/>
      <c r="AL34" s="50"/>
      <c r="AM34" s="51">
        <v>-3.1063215E7</v>
      </c>
      <c r="AN34" s="51">
        <v>-2485057.0</v>
      </c>
      <c r="AO34" s="51">
        <v>-3.3548272E7</v>
      </c>
      <c r="AP34" s="47"/>
      <c r="AQ34" s="48"/>
      <c r="AR34" s="50"/>
      <c r="AS34" s="51"/>
      <c r="AT34" s="51"/>
      <c r="AU34" s="51"/>
      <c r="AV34" s="47"/>
      <c r="AW34" s="48"/>
      <c r="AX34" s="50"/>
      <c r="AY34" s="51"/>
      <c r="AZ34" s="51"/>
      <c r="BA34" s="51"/>
      <c r="BB34" s="51">
        <f t="shared" ref="BB34:BD34" si="32">IF(AND(ISNUMBER(Z34),COUNT(AG34,AM34,AS34,AY34)=2),Z34+SUM(AG34,AM34,AS34,AY34),"")</f>
        <v>0</v>
      </c>
      <c r="BC34" s="51">
        <f t="shared" si="32"/>
        <v>0</v>
      </c>
      <c r="BD34" s="51">
        <f t="shared" si="32"/>
        <v>0</v>
      </c>
    </row>
    <row r="35" ht="48.0" customHeight="1">
      <c r="A35" s="49" t="s">
        <v>40</v>
      </c>
      <c r="B35" s="49" t="str">
        <f t="array" ref="B35">INDEX('HD cty 2024'!B:B,MATCH('F0, F1, F2, ...'!$C35,'HD cty 2024'!B:B,0))</f>
        <v>#N/A</v>
      </c>
      <c r="C35" s="49">
        <v>39.0</v>
      </c>
      <c r="D35" s="50">
        <v>45326.0</v>
      </c>
      <c r="E35" s="51">
        <v>6.8490865E7</v>
      </c>
      <c r="F35" s="51">
        <v>5479269.0</v>
      </c>
      <c r="G35" s="51">
        <v>7.3970134E7</v>
      </c>
      <c r="H35" s="49" t="s">
        <v>414</v>
      </c>
      <c r="I35" s="52" t="s">
        <v>2638</v>
      </c>
      <c r="J35" s="50">
        <v>45803.0</v>
      </c>
      <c r="K35" s="51">
        <v>5217126.0</v>
      </c>
      <c r="L35" s="51">
        <v>417370.0</v>
      </c>
      <c r="M35" s="51">
        <v>5634496.0</v>
      </c>
      <c r="N35" s="49"/>
      <c r="O35" s="52"/>
      <c r="P35" s="50"/>
      <c r="Q35" s="51"/>
      <c r="R35" s="51"/>
      <c r="S35" s="51"/>
      <c r="T35" s="49"/>
      <c r="U35" s="52"/>
      <c r="V35" s="50"/>
      <c r="W35" s="51"/>
      <c r="X35" s="51"/>
      <c r="Y35" s="51"/>
      <c r="Z35" s="51">
        <v>7.3707991E7</v>
      </c>
      <c r="AA35" s="51">
        <v>5896639.0</v>
      </c>
      <c r="AB35" s="51">
        <v>7.960463E7</v>
      </c>
      <c r="AC35" s="47"/>
      <c r="AD35" s="47" t="s">
        <v>2639</v>
      </c>
      <c r="AE35" s="48"/>
      <c r="AF35" s="50"/>
      <c r="AG35" s="51">
        <v>-5217126.0</v>
      </c>
      <c r="AH35" s="51">
        <v>-417370.0</v>
      </c>
      <c r="AI35" s="51">
        <v>-5634496.0</v>
      </c>
      <c r="AJ35" s="47" t="s">
        <v>2640</v>
      </c>
      <c r="AK35" s="48"/>
      <c r="AL35" s="50"/>
      <c r="AM35" s="51">
        <v>-6.8490865E7</v>
      </c>
      <c r="AN35" s="51">
        <v>-5479269.0</v>
      </c>
      <c r="AO35" s="51">
        <v>-7.3970134E7</v>
      </c>
      <c r="AP35" s="47"/>
      <c r="AQ35" s="48"/>
      <c r="AR35" s="50"/>
      <c r="AS35" s="51"/>
      <c r="AT35" s="51"/>
      <c r="AU35" s="51"/>
      <c r="AV35" s="47"/>
      <c r="AW35" s="48"/>
      <c r="AX35" s="50"/>
      <c r="AY35" s="51"/>
      <c r="AZ35" s="51"/>
      <c r="BA35" s="51"/>
      <c r="BB35" s="51">
        <f t="shared" ref="BB35:BD35" si="33">IF(AND(ISNUMBER(Z35),COUNT(AG35,AM35,AS35,AY35)=2),Z35+SUM(AG35,AM35,AS35,AY35),"")</f>
        <v>0</v>
      </c>
      <c r="BC35" s="51">
        <f t="shared" si="33"/>
        <v>0</v>
      </c>
      <c r="BD35" s="51">
        <f t="shared" si="33"/>
        <v>0</v>
      </c>
    </row>
    <row r="36" ht="48.0" customHeight="1">
      <c r="A36" s="49" t="s">
        <v>40</v>
      </c>
      <c r="B36" s="49" t="str">
        <f t="array" ref="B36">INDEX('HD cty 2024'!B:B,MATCH('F0, F1, F2, ...'!$C36,'HD cty 2024'!B:B,0))</f>
        <v>#N/A</v>
      </c>
      <c r="C36" s="49">
        <v>40.0</v>
      </c>
      <c r="D36" s="50">
        <v>45327.0</v>
      </c>
      <c r="E36" s="51">
        <v>2.7631166E7</v>
      </c>
      <c r="F36" s="51">
        <v>2210493.0</v>
      </c>
      <c r="G36" s="51">
        <v>2.9841659E7</v>
      </c>
      <c r="H36" s="49" t="s">
        <v>414</v>
      </c>
      <c r="I36" s="52" t="s">
        <v>2641</v>
      </c>
      <c r="J36" s="50">
        <v>45801.0</v>
      </c>
      <c r="K36" s="51">
        <v>606797.0</v>
      </c>
      <c r="L36" s="51">
        <v>48544.0</v>
      </c>
      <c r="M36" s="51">
        <v>655341.0</v>
      </c>
      <c r="N36" s="49"/>
      <c r="O36" s="52"/>
      <c r="P36" s="50"/>
      <c r="Q36" s="51"/>
      <c r="R36" s="51"/>
      <c r="S36" s="51"/>
      <c r="T36" s="49"/>
      <c r="U36" s="52"/>
      <c r="V36" s="50"/>
      <c r="W36" s="51"/>
      <c r="X36" s="51"/>
      <c r="Y36" s="51"/>
      <c r="Z36" s="51">
        <v>2.8237963E7</v>
      </c>
      <c r="AA36" s="51">
        <v>2259037.0</v>
      </c>
      <c r="AB36" s="51">
        <v>3.0497E7</v>
      </c>
      <c r="AC36" s="47"/>
      <c r="AD36" s="47" t="s">
        <v>2642</v>
      </c>
      <c r="AE36" s="48"/>
      <c r="AF36" s="50"/>
      <c r="AG36" s="51">
        <v>-606797.0</v>
      </c>
      <c r="AH36" s="51">
        <v>-48544.0</v>
      </c>
      <c r="AI36" s="51">
        <v>-655341.0</v>
      </c>
      <c r="AJ36" s="47" t="s">
        <v>2643</v>
      </c>
      <c r="AK36" s="48"/>
      <c r="AL36" s="50"/>
      <c r="AM36" s="51">
        <v>-2.7631166E7</v>
      </c>
      <c r="AN36" s="51">
        <v>-2210493.0</v>
      </c>
      <c r="AO36" s="51">
        <v>-2.9841659E7</v>
      </c>
      <c r="AP36" s="47"/>
      <c r="AQ36" s="48"/>
      <c r="AR36" s="50"/>
      <c r="AS36" s="51"/>
      <c r="AT36" s="51"/>
      <c r="AU36" s="51"/>
      <c r="AV36" s="47"/>
      <c r="AW36" s="48"/>
      <c r="AX36" s="50"/>
      <c r="AY36" s="51"/>
      <c r="AZ36" s="51"/>
      <c r="BA36" s="51"/>
      <c r="BB36" s="51">
        <f t="shared" ref="BB36:BD36" si="34">IF(AND(ISNUMBER(Z36),COUNT(AG36,AM36,AS36,AY36)=2),Z36+SUM(AG36,AM36,AS36,AY36),"")</f>
        <v>0</v>
      </c>
      <c r="BC36" s="51">
        <f t="shared" si="34"/>
        <v>0</v>
      </c>
      <c r="BD36" s="51">
        <f t="shared" si="34"/>
        <v>0</v>
      </c>
    </row>
    <row r="37" ht="48.0" customHeight="1">
      <c r="A37" s="49" t="s">
        <v>40</v>
      </c>
      <c r="B37" s="49" t="str">
        <f t="array" ref="B37">INDEX('HD cty 2024'!B:B,MATCH('F0, F1, F2, ...'!$C37,'HD cty 2024'!B:B,0))</f>
        <v>#N/A</v>
      </c>
      <c r="C37" s="49">
        <v>41.0</v>
      </c>
      <c r="D37" s="50">
        <v>45327.0</v>
      </c>
      <c r="E37" s="51">
        <v>9.8810581E7</v>
      </c>
      <c r="F37" s="51">
        <v>7904846.0</v>
      </c>
      <c r="G37" s="51">
        <v>1.06715427E8</v>
      </c>
      <c r="H37" s="49" t="s">
        <v>414</v>
      </c>
      <c r="I37" s="52" t="s">
        <v>2644</v>
      </c>
      <c r="J37" s="50">
        <v>45803.0</v>
      </c>
      <c r="K37" s="51">
        <v>1.0155477E7</v>
      </c>
      <c r="L37" s="51">
        <v>812438.0</v>
      </c>
      <c r="M37" s="51">
        <v>1.0967915E7</v>
      </c>
      <c r="N37" s="49"/>
      <c r="O37" s="52"/>
      <c r="P37" s="50"/>
      <c r="Q37" s="51"/>
      <c r="R37" s="51"/>
      <c r="S37" s="51"/>
      <c r="T37" s="49"/>
      <c r="U37" s="52"/>
      <c r="V37" s="50"/>
      <c r="W37" s="51"/>
      <c r="X37" s="51"/>
      <c r="Y37" s="51"/>
      <c r="Z37" s="51">
        <v>1.08966058E8</v>
      </c>
      <c r="AA37" s="51">
        <v>8717284.0</v>
      </c>
      <c r="AB37" s="51">
        <v>1.17683342E8</v>
      </c>
      <c r="AC37" s="47"/>
      <c r="AD37" s="47" t="s">
        <v>2645</v>
      </c>
      <c r="AE37" s="48"/>
      <c r="AF37" s="50"/>
      <c r="AG37" s="51">
        <v>-1.0155477E7</v>
      </c>
      <c r="AH37" s="51">
        <v>-812438.0</v>
      </c>
      <c r="AI37" s="51">
        <v>-1.0967915E7</v>
      </c>
      <c r="AJ37" s="47" t="s">
        <v>2646</v>
      </c>
      <c r="AK37" s="48"/>
      <c r="AL37" s="50"/>
      <c r="AM37" s="51">
        <v>-9.8810581E7</v>
      </c>
      <c r="AN37" s="51">
        <v>-7904846.0</v>
      </c>
      <c r="AO37" s="51">
        <v>-1.06715427E8</v>
      </c>
      <c r="AP37" s="47"/>
      <c r="AQ37" s="48"/>
      <c r="AR37" s="50"/>
      <c r="AS37" s="51"/>
      <c r="AT37" s="51"/>
      <c r="AU37" s="51"/>
      <c r="AV37" s="47"/>
      <c r="AW37" s="48"/>
      <c r="AX37" s="50"/>
      <c r="AY37" s="51"/>
      <c r="AZ37" s="51"/>
      <c r="BA37" s="51"/>
      <c r="BB37" s="51">
        <f t="shared" ref="BB37:BD37" si="35">IF(AND(ISNUMBER(Z37),COUNT(AG37,AM37,AS37,AY37)=2),Z37+SUM(AG37,AM37,AS37,AY37),"")</f>
        <v>0</v>
      </c>
      <c r="BC37" s="51">
        <f t="shared" si="35"/>
        <v>0</v>
      </c>
      <c r="BD37" s="51">
        <f t="shared" si="35"/>
        <v>0</v>
      </c>
    </row>
    <row r="38" ht="48.0" customHeight="1">
      <c r="A38" s="49" t="s">
        <v>40</v>
      </c>
      <c r="B38" s="49" t="str">
        <f t="array" ref="B38">INDEX('HD cty 2024'!B:B,MATCH('F0, F1, F2, ...'!$C38,'HD cty 2024'!B:B,0))</f>
        <v>#N/A</v>
      </c>
      <c r="C38" s="49">
        <v>42.0</v>
      </c>
      <c r="D38" s="50">
        <v>45327.0</v>
      </c>
      <c r="E38" s="51">
        <v>1.14508332E8</v>
      </c>
      <c r="F38" s="51">
        <v>9160667.0</v>
      </c>
      <c r="G38" s="51">
        <v>1.23668999E8</v>
      </c>
      <c r="H38" s="49" t="s">
        <v>414</v>
      </c>
      <c r="I38" s="52" t="s">
        <v>2647</v>
      </c>
      <c r="J38" s="50">
        <v>45803.0</v>
      </c>
      <c r="K38" s="51">
        <v>1.0435187E7</v>
      </c>
      <c r="L38" s="51">
        <v>834815.0</v>
      </c>
      <c r="M38" s="51">
        <v>1.1270002E7</v>
      </c>
      <c r="N38" s="49"/>
      <c r="O38" s="52"/>
      <c r="P38" s="50"/>
      <c r="Q38" s="51"/>
      <c r="R38" s="51"/>
      <c r="S38" s="51"/>
      <c r="T38" s="49"/>
      <c r="U38" s="52"/>
      <c r="V38" s="50"/>
      <c r="W38" s="51"/>
      <c r="X38" s="51"/>
      <c r="Y38" s="51"/>
      <c r="Z38" s="51">
        <v>1.24943519E8</v>
      </c>
      <c r="AA38" s="51">
        <v>9995482.0</v>
      </c>
      <c r="AB38" s="51">
        <v>1.34939001E8</v>
      </c>
      <c r="AC38" s="47"/>
      <c r="AD38" s="47" t="s">
        <v>2648</v>
      </c>
      <c r="AE38" s="48"/>
      <c r="AF38" s="50"/>
      <c r="AG38" s="51">
        <v>-1.0435187E7</v>
      </c>
      <c r="AH38" s="51">
        <v>-834815.0</v>
      </c>
      <c r="AI38" s="51">
        <v>-1.1270002E7</v>
      </c>
      <c r="AJ38" s="47" t="s">
        <v>2649</v>
      </c>
      <c r="AK38" s="48"/>
      <c r="AL38" s="50"/>
      <c r="AM38" s="51">
        <v>-1.14508332E8</v>
      </c>
      <c r="AN38" s="51">
        <v>-9160667.0</v>
      </c>
      <c r="AO38" s="51">
        <v>-1.23668999E8</v>
      </c>
      <c r="AP38" s="47"/>
      <c r="AQ38" s="48"/>
      <c r="AR38" s="50"/>
      <c r="AS38" s="51"/>
      <c r="AT38" s="51"/>
      <c r="AU38" s="51"/>
      <c r="AV38" s="47"/>
      <c r="AW38" s="48"/>
      <c r="AX38" s="50"/>
      <c r="AY38" s="51"/>
      <c r="AZ38" s="51"/>
      <c r="BA38" s="51"/>
      <c r="BB38" s="51">
        <f t="shared" ref="BB38:BD38" si="36">IF(AND(ISNUMBER(Z38),COUNT(AG38,AM38,AS38,AY38)=2),Z38+SUM(AG38,AM38,AS38,AY38),"")</f>
        <v>0</v>
      </c>
      <c r="BC38" s="51">
        <f t="shared" si="36"/>
        <v>0</v>
      </c>
      <c r="BD38" s="51">
        <f t="shared" si="36"/>
        <v>0</v>
      </c>
    </row>
    <row r="39" ht="48.0" customHeight="1">
      <c r="A39" s="49" t="s">
        <v>40</v>
      </c>
      <c r="B39" s="49" t="str">
        <f t="array" ref="B39">INDEX('HD cty 2024'!B:B,MATCH('F0, F1, F2, ...'!$C39,'HD cty 2024'!B:B,0))</f>
        <v>#N/A</v>
      </c>
      <c r="C39" s="49">
        <v>43.0</v>
      </c>
      <c r="D39" s="50">
        <v>45327.0</v>
      </c>
      <c r="E39" s="51">
        <v>3.7291101E7</v>
      </c>
      <c r="F39" s="51">
        <v>2983288.0</v>
      </c>
      <c r="G39" s="51">
        <v>4.0274389E7</v>
      </c>
      <c r="H39" s="49" t="s">
        <v>414</v>
      </c>
      <c r="I39" s="52" t="s">
        <v>2650</v>
      </c>
      <c r="J39" s="50">
        <v>45801.0</v>
      </c>
      <c r="K39" s="51">
        <v>1406121.0</v>
      </c>
      <c r="L39" s="51">
        <v>112490.0</v>
      </c>
      <c r="M39" s="51">
        <v>1518611.0</v>
      </c>
      <c r="N39" s="49"/>
      <c r="O39" s="52"/>
      <c r="P39" s="50"/>
      <c r="Q39" s="51"/>
      <c r="R39" s="51"/>
      <c r="S39" s="51"/>
      <c r="T39" s="49"/>
      <c r="U39" s="52"/>
      <c r="V39" s="50"/>
      <c r="W39" s="51"/>
      <c r="X39" s="51"/>
      <c r="Y39" s="51"/>
      <c r="Z39" s="51">
        <v>3.8697222E7</v>
      </c>
      <c r="AA39" s="51">
        <v>3095778.0</v>
      </c>
      <c r="AB39" s="51">
        <v>4.1793E7</v>
      </c>
      <c r="AC39" s="47"/>
      <c r="AD39" s="47" t="s">
        <v>2651</v>
      </c>
      <c r="AE39" s="48"/>
      <c r="AF39" s="50"/>
      <c r="AG39" s="51">
        <v>-1406121.0</v>
      </c>
      <c r="AH39" s="51">
        <v>-112490.0</v>
      </c>
      <c r="AI39" s="51">
        <v>-1518611.0</v>
      </c>
      <c r="AJ39" s="47" t="s">
        <v>2652</v>
      </c>
      <c r="AK39" s="48"/>
      <c r="AL39" s="50"/>
      <c r="AM39" s="51">
        <v>-3.7291101E7</v>
      </c>
      <c r="AN39" s="51">
        <v>-2983288.0</v>
      </c>
      <c r="AO39" s="51">
        <v>-4.0274389E7</v>
      </c>
      <c r="AP39" s="47"/>
      <c r="AQ39" s="48"/>
      <c r="AR39" s="50"/>
      <c r="AS39" s="51"/>
      <c r="AT39" s="51"/>
      <c r="AU39" s="51"/>
      <c r="AV39" s="47"/>
      <c r="AW39" s="48"/>
      <c r="AX39" s="50"/>
      <c r="AY39" s="51"/>
      <c r="AZ39" s="51"/>
      <c r="BA39" s="51"/>
      <c r="BB39" s="51">
        <f t="shared" ref="BB39:BD39" si="37">IF(AND(ISNUMBER(Z39),COUNT(AG39,AM39,AS39,AY39)=2),Z39+SUM(AG39,AM39,AS39,AY39),"")</f>
        <v>0</v>
      </c>
      <c r="BC39" s="51">
        <f t="shared" si="37"/>
        <v>0</v>
      </c>
      <c r="BD39" s="51">
        <f t="shared" si="37"/>
        <v>0</v>
      </c>
    </row>
    <row r="40" ht="48.0" customHeight="1">
      <c r="A40" s="49" t="s">
        <v>40</v>
      </c>
      <c r="B40" s="49" t="str">
        <f t="array" ref="B40">INDEX('HD cty 2024'!B:B,MATCH('F0, F1, F2, ...'!$C40,'HD cty 2024'!B:B,0))</f>
        <v>#N/A</v>
      </c>
      <c r="C40" s="49">
        <v>44.0</v>
      </c>
      <c r="D40" s="50">
        <v>45327.0</v>
      </c>
      <c r="E40" s="51">
        <v>9.6242189E7</v>
      </c>
      <c r="F40" s="51">
        <v>7699375.0</v>
      </c>
      <c r="G40" s="51">
        <v>1.03941564E8</v>
      </c>
      <c r="H40" s="49" t="s">
        <v>414</v>
      </c>
      <c r="I40" s="52" t="s">
        <v>2653</v>
      </c>
      <c r="J40" s="50">
        <v>45803.0</v>
      </c>
      <c r="K40" s="51">
        <v>9141607.0</v>
      </c>
      <c r="L40" s="51">
        <v>731329.0</v>
      </c>
      <c r="M40" s="51">
        <v>9872936.0</v>
      </c>
      <c r="N40" s="49"/>
      <c r="O40" s="52"/>
      <c r="P40" s="50"/>
      <c r="Q40" s="51"/>
      <c r="R40" s="51"/>
      <c r="S40" s="51"/>
      <c r="T40" s="49"/>
      <c r="U40" s="52"/>
      <c r="V40" s="50"/>
      <c r="W40" s="51"/>
      <c r="X40" s="51"/>
      <c r="Y40" s="51"/>
      <c r="Z40" s="51">
        <v>1.05383796E8</v>
      </c>
      <c r="AA40" s="51">
        <v>8430704.0</v>
      </c>
      <c r="AB40" s="51">
        <v>1.138145E8</v>
      </c>
      <c r="AC40" s="47"/>
      <c r="AD40" s="47" t="s">
        <v>2654</v>
      </c>
      <c r="AE40" s="48"/>
      <c r="AF40" s="50"/>
      <c r="AG40" s="51">
        <v>-9141607.0</v>
      </c>
      <c r="AH40" s="51">
        <v>-731329.0</v>
      </c>
      <c r="AI40" s="51">
        <v>-9872936.0</v>
      </c>
      <c r="AJ40" s="47" t="s">
        <v>2655</v>
      </c>
      <c r="AK40" s="48"/>
      <c r="AL40" s="50"/>
      <c r="AM40" s="51">
        <v>-9.6242189E7</v>
      </c>
      <c r="AN40" s="51">
        <v>-7699375.0</v>
      </c>
      <c r="AO40" s="51">
        <v>-1.03941564E8</v>
      </c>
      <c r="AP40" s="47"/>
      <c r="AQ40" s="48"/>
      <c r="AR40" s="50"/>
      <c r="AS40" s="51"/>
      <c r="AT40" s="51"/>
      <c r="AU40" s="51"/>
      <c r="AV40" s="47"/>
      <c r="AW40" s="48"/>
      <c r="AX40" s="50"/>
      <c r="AY40" s="51"/>
      <c r="AZ40" s="51"/>
      <c r="BA40" s="51"/>
      <c r="BB40" s="51">
        <f t="shared" ref="BB40:BD40" si="38">IF(AND(ISNUMBER(Z40),COUNT(AG40,AM40,AS40,AY40)=2),Z40+SUM(AG40,AM40,AS40,AY40),"")</f>
        <v>0</v>
      </c>
      <c r="BC40" s="51">
        <f t="shared" si="38"/>
        <v>0</v>
      </c>
      <c r="BD40" s="51">
        <f t="shared" si="38"/>
        <v>0</v>
      </c>
    </row>
    <row r="41" ht="48.0" customHeight="1">
      <c r="A41" s="49" t="s">
        <v>40</v>
      </c>
      <c r="B41" s="49" t="str">
        <f t="array" ref="B41">INDEX('HD cty 2024'!B:B,MATCH('F0, F1, F2, ...'!$C41,'HD cty 2024'!B:B,0))</f>
        <v>#N/A</v>
      </c>
      <c r="C41" s="49">
        <v>45.0</v>
      </c>
      <c r="D41" s="50">
        <v>45327.0</v>
      </c>
      <c r="E41" s="51">
        <v>3.0080828E7</v>
      </c>
      <c r="F41" s="51">
        <v>2406466.0</v>
      </c>
      <c r="G41" s="51">
        <v>3.2487294E7</v>
      </c>
      <c r="H41" s="49" t="s">
        <v>414</v>
      </c>
      <c r="I41" s="52" t="s">
        <v>2656</v>
      </c>
      <c r="J41" s="50">
        <v>45803.0</v>
      </c>
      <c r="K41" s="51">
        <v>3158072.0</v>
      </c>
      <c r="L41" s="51">
        <v>252646.0</v>
      </c>
      <c r="M41" s="51">
        <v>3410718.0</v>
      </c>
      <c r="N41" s="49"/>
      <c r="O41" s="52"/>
      <c r="P41" s="50"/>
      <c r="Q41" s="51"/>
      <c r="R41" s="51"/>
      <c r="S41" s="51"/>
      <c r="T41" s="49"/>
      <c r="U41" s="52"/>
      <c r="V41" s="50"/>
      <c r="W41" s="51"/>
      <c r="X41" s="51"/>
      <c r="Y41" s="51"/>
      <c r="Z41" s="51">
        <v>3.32389E7</v>
      </c>
      <c r="AA41" s="51">
        <v>2659112.0</v>
      </c>
      <c r="AB41" s="51">
        <v>3.5898012E7</v>
      </c>
      <c r="AC41" s="47"/>
      <c r="AD41" s="47" t="s">
        <v>2657</v>
      </c>
      <c r="AE41" s="48"/>
      <c r="AF41" s="50"/>
      <c r="AG41" s="51">
        <v>-3158072.0</v>
      </c>
      <c r="AH41" s="51">
        <v>-252646.0</v>
      </c>
      <c r="AI41" s="51">
        <v>-3410718.0</v>
      </c>
      <c r="AJ41" s="47" t="s">
        <v>2658</v>
      </c>
      <c r="AK41" s="48"/>
      <c r="AL41" s="50"/>
      <c r="AM41" s="51">
        <v>-3.0080828E7</v>
      </c>
      <c r="AN41" s="51">
        <v>-2406466.0</v>
      </c>
      <c r="AO41" s="51">
        <v>-3.2487294E7</v>
      </c>
      <c r="AP41" s="47"/>
      <c r="AQ41" s="48"/>
      <c r="AR41" s="50"/>
      <c r="AS41" s="51"/>
      <c r="AT41" s="51"/>
      <c r="AU41" s="51"/>
      <c r="AV41" s="47"/>
      <c r="AW41" s="48"/>
      <c r="AX41" s="50"/>
      <c r="AY41" s="51"/>
      <c r="AZ41" s="51"/>
      <c r="BA41" s="51"/>
      <c r="BB41" s="51">
        <f t="shared" ref="BB41:BD41" si="39">IF(AND(ISNUMBER(Z41),COUNT(AG41,AM41,AS41,AY41)=2),Z41+SUM(AG41,AM41,AS41,AY41),"")</f>
        <v>0</v>
      </c>
      <c r="BC41" s="51">
        <f t="shared" si="39"/>
        <v>0</v>
      </c>
      <c r="BD41" s="51">
        <f t="shared" si="39"/>
        <v>0</v>
      </c>
    </row>
    <row r="42" ht="48.0" customHeight="1">
      <c r="A42" s="49" t="s">
        <v>40</v>
      </c>
      <c r="B42" s="49" t="str">
        <f t="array" ref="B42">INDEX('HD cty 2024'!B:B,MATCH('F0, F1, F2, ...'!$C42,'HD cty 2024'!B:B,0))</f>
        <v>#N/A</v>
      </c>
      <c r="C42" s="49">
        <v>46.0</v>
      </c>
      <c r="D42" s="50">
        <v>45327.0</v>
      </c>
      <c r="E42" s="51">
        <v>3.4366587E7</v>
      </c>
      <c r="F42" s="51">
        <v>2749327.0</v>
      </c>
      <c r="G42" s="51">
        <v>3.7115914E7</v>
      </c>
      <c r="H42" s="49" t="s">
        <v>414</v>
      </c>
      <c r="I42" s="52" t="s">
        <v>2659</v>
      </c>
      <c r="J42" s="50">
        <v>45803.0</v>
      </c>
      <c r="K42" s="51">
        <v>2255635.0</v>
      </c>
      <c r="L42" s="51">
        <v>180451.0</v>
      </c>
      <c r="M42" s="51">
        <v>2436086.0</v>
      </c>
      <c r="N42" s="49"/>
      <c r="O42" s="52"/>
      <c r="P42" s="50"/>
      <c r="Q42" s="51"/>
      <c r="R42" s="51"/>
      <c r="S42" s="51"/>
      <c r="T42" s="49"/>
      <c r="U42" s="52"/>
      <c r="V42" s="50"/>
      <c r="W42" s="51"/>
      <c r="X42" s="51"/>
      <c r="Y42" s="51"/>
      <c r="Z42" s="51">
        <v>3.6622222E7</v>
      </c>
      <c r="AA42" s="51">
        <v>2929778.0</v>
      </c>
      <c r="AB42" s="51">
        <v>3.9552E7</v>
      </c>
      <c r="AC42" s="47"/>
      <c r="AD42" s="47" t="s">
        <v>2660</v>
      </c>
      <c r="AE42" s="48"/>
      <c r="AF42" s="50"/>
      <c r="AG42" s="51">
        <v>-2255635.0</v>
      </c>
      <c r="AH42" s="51">
        <v>-180451.0</v>
      </c>
      <c r="AI42" s="51">
        <v>-2436086.0</v>
      </c>
      <c r="AJ42" s="47" t="s">
        <v>2661</v>
      </c>
      <c r="AK42" s="48"/>
      <c r="AL42" s="50"/>
      <c r="AM42" s="51">
        <v>-3.4366587E7</v>
      </c>
      <c r="AN42" s="51">
        <v>-2749327.0</v>
      </c>
      <c r="AO42" s="51">
        <v>-3.7115914E7</v>
      </c>
      <c r="AP42" s="47"/>
      <c r="AQ42" s="48"/>
      <c r="AR42" s="50"/>
      <c r="AS42" s="51"/>
      <c r="AT42" s="51"/>
      <c r="AU42" s="51"/>
      <c r="AV42" s="47"/>
      <c r="AW42" s="48"/>
      <c r="AX42" s="50"/>
      <c r="AY42" s="51"/>
      <c r="AZ42" s="51"/>
      <c r="BA42" s="51"/>
      <c r="BB42" s="51">
        <f t="shared" ref="BB42:BD42" si="40">IF(AND(ISNUMBER(Z42),COUNT(AG42,AM42,AS42,AY42)=2),Z42+SUM(AG42,AM42,AS42,AY42),"")</f>
        <v>0</v>
      </c>
      <c r="BC42" s="51">
        <f t="shared" si="40"/>
        <v>0</v>
      </c>
      <c r="BD42" s="51">
        <f t="shared" si="40"/>
        <v>0</v>
      </c>
    </row>
    <row r="43" ht="48.0" customHeight="1">
      <c r="A43" s="49" t="s">
        <v>40</v>
      </c>
      <c r="B43" s="49" t="str">
        <f t="array" ref="B43">INDEX('HD cty 2024'!B:B,MATCH('F0, F1, F2, ...'!$C43,'HD cty 2024'!B:B,0))</f>
        <v>#N/A</v>
      </c>
      <c r="C43" s="49">
        <v>47.0</v>
      </c>
      <c r="D43" s="50">
        <v>45327.0</v>
      </c>
      <c r="E43" s="51">
        <v>4.031862E7</v>
      </c>
      <c r="F43" s="51">
        <v>3225490.0</v>
      </c>
      <c r="G43" s="51">
        <v>4.354411E7</v>
      </c>
      <c r="H43" s="49" t="s">
        <v>414</v>
      </c>
      <c r="I43" s="52" t="s">
        <v>2662</v>
      </c>
      <c r="J43" s="50">
        <v>45801.0</v>
      </c>
      <c r="K43" s="51">
        <v>2071195.0</v>
      </c>
      <c r="L43" s="51">
        <v>165696.0</v>
      </c>
      <c r="M43" s="51">
        <v>2236891.0</v>
      </c>
      <c r="N43" s="49"/>
      <c r="O43" s="52"/>
      <c r="P43" s="50"/>
      <c r="Q43" s="51"/>
      <c r="R43" s="51"/>
      <c r="S43" s="51"/>
      <c r="T43" s="49"/>
      <c r="U43" s="52"/>
      <c r="V43" s="50"/>
      <c r="W43" s="51"/>
      <c r="X43" s="51"/>
      <c r="Y43" s="51"/>
      <c r="Z43" s="51">
        <v>4.2389815E7</v>
      </c>
      <c r="AA43" s="51">
        <v>3391186.0</v>
      </c>
      <c r="AB43" s="51">
        <v>4.5781001E7</v>
      </c>
      <c r="AC43" s="47"/>
      <c r="AD43" s="47" t="s">
        <v>2663</v>
      </c>
      <c r="AE43" s="48"/>
      <c r="AF43" s="50"/>
      <c r="AG43" s="51">
        <v>-2071195.0</v>
      </c>
      <c r="AH43" s="51">
        <v>-165696.0</v>
      </c>
      <c r="AI43" s="51">
        <v>-2236891.0</v>
      </c>
      <c r="AJ43" s="47" t="s">
        <v>2664</v>
      </c>
      <c r="AK43" s="48"/>
      <c r="AL43" s="50"/>
      <c r="AM43" s="51">
        <v>-4.031862E7</v>
      </c>
      <c r="AN43" s="51">
        <v>-3225490.0</v>
      </c>
      <c r="AO43" s="51">
        <v>-4.354411E7</v>
      </c>
      <c r="AP43" s="47"/>
      <c r="AQ43" s="48"/>
      <c r="AR43" s="50"/>
      <c r="AS43" s="51"/>
      <c r="AT43" s="51"/>
      <c r="AU43" s="51"/>
      <c r="AV43" s="47"/>
      <c r="AW43" s="48"/>
      <c r="AX43" s="50"/>
      <c r="AY43" s="51"/>
      <c r="AZ43" s="51"/>
      <c r="BA43" s="51"/>
      <c r="BB43" s="51">
        <f t="shared" ref="BB43:BD43" si="41">IF(AND(ISNUMBER(Z43),COUNT(AG43,AM43,AS43,AY43)=2),Z43+SUM(AG43,AM43,AS43,AY43),"")</f>
        <v>0</v>
      </c>
      <c r="BC43" s="51">
        <f t="shared" si="41"/>
        <v>0</v>
      </c>
      <c r="BD43" s="51">
        <f t="shared" si="41"/>
        <v>0</v>
      </c>
    </row>
    <row r="44" ht="48.0" customHeight="1">
      <c r="A44" s="49" t="s">
        <v>40</v>
      </c>
      <c r="B44" s="49" t="str">
        <f t="array" ref="B44">INDEX('HD cty 2024'!B:B,MATCH('F0, F1, F2, ...'!$C44,'HD cty 2024'!B:B,0))</f>
        <v>#N/A</v>
      </c>
      <c r="C44" s="49">
        <v>48.0</v>
      </c>
      <c r="D44" s="50">
        <v>45327.0</v>
      </c>
      <c r="E44" s="51">
        <v>4.9074333E7</v>
      </c>
      <c r="F44" s="51">
        <v>3925947.0</v>
      </c>
      <c r="G44" s="51">
        <v>5.300028E7</v>
      </c>
      <c r="H44" s="49" t="s">
        <v>414</v>
      </c>
      <c r="I44" s="52" t="s">
        <v>2665</v>
      </c>
      <c r="J44" s="50">
        <v>45801.0</v>
      </c>
      <c r="K44" s="51">
        <v>1548815.0</v>
      </c>
      <c r="L44" s="51">
        <v>123905.0</v>
      </c>
      <c r="M44" s="51">
        <v>1672720.0</v>
      </c>
      <c r="N44" s="49"/>
      <c r="O44" s="52"/>
      <c r="P44" s="50"/>
      <c r="Q44" s="51"/>
      <c r="R44" s="51"/>
      <c r="S44" s="51"/>
      <c r="T44" s="49"/>
      <c r="U44" s="52"/>
      <c r="V44" s="50"/>
      <c r="W44" s="51"/>
      <c r="X44" s="51"/>
      <c r="Y44" s="51"/>
      <c r="Z44" s="51">
        <v>5.0623148E7</v>
      </c>
      <c r="AA44" s="51">
        <v>4049852.0</v>
      </c>
      <c r="AB44" s="51">
        <v>5.4673E7</v>
      </c>
      <c r="AC44" s="47"/>
      <c r="AD44" s="47" t="s">
        <v>2666</v>
      </c>
      <c r="AE44" s="48"/>
      <c r="AF44" s="50"/>
      <c r="AG44" s="51">
        <v>-1548815.0</v>
      </c>
      <c r="AH44" s="51">
        <v>-123905.0</v>
      </c>
      <c r="AI44" s="51">
        <v>-1672720.0</v>
      </c>
      <c r="AJ44" s="47" t="s">
        <v>2667</v>
      </c>
      <c r="AK44" s="48"/>
      <c r="AL44" s="50"/>
      <c r="AM44" s="51">
        <v>-4.9074333E7</v>
      </c>
      <c r="AN44" s="51">
        <v>-3925947.0</v>
      </c>
      <c r="AO44" s="51">
        <v>-5.300028E7</v>
      </c>
      <c r="AP44" s="47"/>
      <c r="AQ44" s="48"/>
      <c r="AR44" s="50"/>
      <c r="AS44" s="51"/>
      <c r="AT44" s="51"/>
      <c r="AU44" s="51"/>
      <c r="AV44" s="47"/>
      <c r="AW44" s="48"/>
      <c r="AX44" s="50"/>
      <c r="AY44" s="51"/>
      <c r="AZ44" s="51"/>
      <c r="BA44" s="51"/>
      <c r="BB44" s="51">
        <f t="shared" ref="BB44:BD44" si="42">IF(AND(ISNUMBER(Z44),COUNT(AG44,AM44,AS44,AY44)=2),Z44+SUM(AG44,AM44,AS44,AY44),"")</f>
        <v>0</v>
      </c>
      <c r="BC44" s="51">
        <f t="shared" si="42"/>
        <v>0</v>
      </c>
      <c r="BD44" s="51">
        <f t="shared" si="42"/>
        <v>0</v>
      </c>
    </row>
    <row r="45" ht="48.0" customHeight="1">
      <c r="A45" s="49" t="s">
        <v>40</v>
      </c>
      <c r="B45" s="49" t="str">
        <f t="array" ref="B45">INDEX('HD cty 2024'!B:B,MATCH('F0, F1, F2, ...'!$C45,'HD cty 2024'!B:B,0))</f>
        <v>#N/A</v>
      </c>
      <c r="C45" s="49">
        <v>49.0</v>
      </c>
      <c r="D45" s="50">
        <v>45327.0</v>
      </c>
      <c r="E45" s="51">
        <v>3.5149692E7</v>
      </c>
      <c r="F45" s="51">
        <v>2811975.0</v>
      </c>
      <c r="G45" s="51">
        <v>3.7961667E7</v>
      </c>
      <c r="H45" s="49" t="s">
        <v>414</v>
      </c>
      <c r="I45" s="52" t="s">
        <v>2668</v>
      </c>
      <c r="J45" s="50">
        <v>45803.0</v>
      </c>
      <c r="K45" s="51">
        <v>194752.0</v>
      </c>
      <c r="L45" s="51">
        <v>15580.0</v>
      </c>
      <c r="M45" s="51">
        <v>210332.0</v>
      </c>
      <c r="N45" s="49"/>
      <c r="O45" s="52"/>
      <c r="P45" s="50"/>
      <c r="Q45" s="51"/>
      <c r="R45" s="51"/>
      <c r="S45" s="51"/>
      <c r="T45" s="49"/>
      <c r="U45" s="52"/>
      <c r="V45" s="50"/>
      <c r="W45" s="51"/>
      <c r="X45" s="51"/>
      <c r="Y45" s="51"/>
      <c r="Z45" s="51">
        <v>3.5344444E7</v>
      </c>
      <c r="AA45" s="51">
        <v>2827555.0</v>
      </c>
      <c r="AB45" s="51">
        <v>3.8171999E7</v>
      </c>
      <c r="AC45" s="47"/>
      <c r="AD45" s="47" t="s">
        <v>2669</v>
      </c>
      <c r="AE45" s="48"/>
      <c r="AF45" s="50"/>
      <c r="AG45" s="51">
        <v>-194752.0</v>
      </c>
      <c r="AH45" s="51">
        <v>-15580.0</v>
      </c>
      <c r="AI45" s="51">
        <v>-210332.0</v>
      </c>
      <c r="AJ45" s="47" t="s">
        <v>2670</v>
      </c>
      <c r="AK45" s="48"/>
      <c r="AL45" s="50"/>
      <c r="AM45" s="51">
        <v>-3.5149692E7</v>
      </c>
      <c r="AN45" s="51">
        <v>-2811975.0</v>
      </c>
      <c r="AO45" s="51">
        <v>-3.7961667E7</v>
      </c>
      <c r="AP45" s="47"/>
      <c r="AQ45" s="48"/>
      <c r="AR45" s="50"/>
      <c r="AS45" s="51"/>
      <c r="AT45" s="51"/>
      <c r="AU45" s="51"/>
      <c r="AV45" s="47"/>
      <c r="AW45" s="48"/>
      <c r="AX45" s="50"/>
      <c r="AY45" s="51"/>
      <c r="AZ45" s="51"/>
      <c r="BA45" s="51"/>
      <c r="BB45" s="51">
        <f t="shared" ref="BB45:BD45" si="43">IF(AND(ISNUMBER(Z45),COUNT(AG45,AM45,AS45,AY45)=2),Z45+SUM(AG45,AM45,AS45,AY45),"")</f>
        <v>0</v>
      </c>
      <c r="BC45" s="51">
        <f t="shared" si="43"/>
        <v>0</v>
      </c>
      <c r="BD45" s="51">
        <f t="shared" si="43"/>
        <v>0</v>
      </c>
    </row>
    <row r="46" ht="48.0" customHeight="1">
      <c r="A46" s="49" t="s">
        <v>40</v>
      </c>
      <c r="B46" s="49" t="str">
        <f t="array" ref="B46">INDEX('HD cty 2024'!B:B,MATCH('F0, F1, F2, ...'!$C46,'HD cty 2024'!B:B,0))</f>
        <v>#N/A</v>
      </c>
      <c r="C46" s="49">
        <v>50.0</v>
      </c>
      <c r="D46" s="50">
        <v>45327.0</v>
      </c>
      <c r="E46" s="51">
        <v>6.8873793E7</v>
      </c>
      <c r="F46" s="51">
        <v>5509903.0</v>
      </c>
      <c r="G46" s="51">
        <v>7.4383696E7</v>
      </c>
      <c r="H46" s="49" t="s">
        <v>414</v>
      </c>
      <c r="I46" s="52" t="s">
        <v>2671</v>
      </c>
      <c r="J46" s="50">
        <v>45801.0</v>
      </c>
      <c r="K46" s="51">
        <v>1.0126207E7</v>
      </c>
      <c r="L46" s="51">
        <v>810097.0</v>
      </c>
      <c r="M46" s="51">
        <v>1.0936304E7</v>
      </c>
      <c r="N46" s="49"/>
      <c r="O46" s="52"/>
      <c r="P46" s="50"/>
      <c r="Q46" s="51"/>
      <c r="R46" s="51"/>
      <c r="S46" s="51"/>
      <c r="T46" s="49"/>
      <c r="U46" s="52"/>
      <c r="V46" s="50"/>
      <c r="W46" s="51"/>
      <c r="X46" s="51"/>
      <c r="Y46" s="51"/>
      <c r="Z46" s="51">
        <v>7.9E7</v>
      </c>
      <c r="AA46" s="51">
        <v>6320000.0</v>
      </c>
      <c r="AB46" s="51">
        <v>8.532E7</v>
      </c>
      <c r="AC46" s="47"/>
      <c r="AD46" s="47" t="s">
        <v>2672</v>
      </c>
      <c r="AE46" s="48"/>
      <c r="AF46" s="50"/>
      <c r="AG46" s="51">
        <v>-1.0126207E7</v>
      </c>
      <c r="AH46" s="51">
        <v>-810097.0</v>
      </c>
      <c r="AI46" s="51">
        <v>-1.0936304E7</v>
      </c>
      <c r="AJ46" s="47" t="s">
        <v>2673</v>
      </c>
      <c r="AK46" s="48"/>
      <c r="AL46" s="50"/>
      <c r="AM46" s="51">
        <v>-6.8873793E7</v>
      </c>
      <c r="AN46" s="51">
        <v>-5509903.0</v>
      </c>
      <c r="AO46" s="51">
        <v>-7.4383696E7</v>
      </c>
      <c r="AP46" s="47"/>
      <c r="AQ46" s="48"/>
      <c r="AR46" s="50"/>
      <c r="AS46" s="51"/>
      <c r="AT46" s="51"/>
      <c r="AU46" s="51"/>
      <c r="AV46" s="47"/>
      <c r="AW46" s="48"/>
      <c r="AX46" s="50"/>
      <c r="AY46" s="51"/>
      <c r="AZ46" s="51"/>
      <c r="BA46" s="51"/>
      <c r="BB46" s="51">
        <f t="shared" ref="BB46:BD46" si="44">IF(AND(ISNUMBER(Z46),COUNT(AG46,AM46,AS46,AY46)=2),Z46+SUM(AG46,AM46,AS46,AY46),"")</f>
        <v>0</v>
      </c>
      <c r="BC46" s="51">
        <f t="shared" si="44"/>
        <v>0</v>
      </c>
      <c r="BD46" s="51">
        <f t="shared" si="44"/>
        <v>0</v>
      </c>
    </row>
    <row r="47" ht="48.0" customHeight="1">
      <c r="A47" s="49" t="s">
        <v>40</v>
      </c>
      <c r="B47" s="49" t="str">
        <f t="array" ref="B47">INDEX('HD cty 2024'!B:B,MATCH('F0, F1, F2, ...'!$C47,'HD cty 2024'!B:B,0))</f>
        <v>#N/A</v>
      </c>
      <c r="C47" s="49">
        <v>51.0</v>
      </c>
      <c r="D47" s="50">
        <v>45327.0</v>
      </c>
      <c r="E47" s="51">
        <v>3.9772387E7</v>
      </c>
      <c r="F47" s="51">
        <v>3181791.0</v>
      </c>
      <c r="G47" s="51">
        <v>4.2954178E7</v>
      </c>
      <c r="H47" s="49" t="s">
        <v>414</v>
      </c>
      <c r="I47" s="52" t="s">
        <v>2674</v>
      </c>
      <c r="J47" s="50">
        <v>45803.0</v>
      </c>
      <c r="K47" s="51">
        <v>1010472.0</v>
      </c>
      <c r="L47" s="51">
        <v>80838.0</v>
      </c>
      <c r="M47" s="51">
        <v>1091310.0</v>
      </c>
      <c r="N47" s="49"/>
      <c r="O47" s="52"/>
      <c r="P47" s="50"/>
      <c r="Q47" s="51"/>
      <c r="R47" s="51"/>
      <c r="S47" s="51"/>
      <c r="T47" s="49"/>
      <c r="U47" s="52"/>
      <c r="V47" s="50"/>
      <c r="W47" s="51"/>
      <c r="X47" s="51"/>
      <c r="Y47" s="51"/>
      <c r="Z47" s="51">
        <v>4.0782859E7</v>
      </c>
      <c r="AA47" s="51">
        <v>3262629.0</v>
      </c>
      <c r="AB47" s="51">
        <v>4.4045488E7</v>
      </c>
      <c r="AC47" s="47"/>
      <c r="AD47" s="47" t="s">
        <v>2675</v>
      </c>
      <c r="AE47" s="48"/>
      <c r="AF47" s="50"/>
      <c r="AG47" s="51">
        <v>-1010472.0</v>
      </c>
      <c r="AH47" s="51">
        <v>-80838.0</v>
      </c>
      <c r="AI47" s="51">
        <v>-1091310.0</v>
      </c>
      <c r="AJ47" s="47" t="s">
        <v>2676</v>
      </c>
      <c r="AK47" s="48"/>
      <c r="AL47" s="50"/>
      <c r="AM47" s="51">
        <v>-3.9772387E7</v>
      </c>
      <c r="AN47" s="51">
        <v>-3181791.0</v>
      </c>
      <c r="AO47" s="51">
        <v>-4.2954178E7</v>
      </c>
      <c r="AP47" s="47"/>
      <c r="AQ47" s="48"/>
      <c r="AR47" s="50"/>
      <c r="AS47" s="51"/>
      <c r="AT47" s="51"/>
      <c r="AU47" s="51"/>
      <c r="AV47" s="47"/>
      <c r="AW47" s="48"/>
      <c r="AX47" s="50"/>
      <c r="AY47" s="51"/>
      <c r="AZ47" s="51"/>
      <c r="BA47" s="51"/>
      <c r="BB47" s="51">
        <f t="shared" ref="BB47:BD47" si="45">IF(AND(ISNUMBER(Z47),COUNT(AG47,AM47,AS47,AY47)=2),Z47+SUM(AG47,AM47,AS47,AY47),"")</f>
        <v>0</v>
      </c>
      <c r="BC47" s="51">
        <f t="shared" si="45"/>
        <v>0</v>
      </c>
      <c r="BD47" s="51">
        <f t="shared" si="45"/>
        <v>0</v>
      </c>
    </row>
    <row r="48" ht="48.0" customHeight="1">
      <c r="A48" s="49" t="s">
        <v>40</v>
      </c>
      <c r="B48" s="49" t="str">
        <f t="array" ref="B48">INDEX('HD cty 2024'!B:B,MATCH('F0, F1, F2, ...'!$C48,'HD cty 2024'!B:B,0))</f>
        <v>#N/A</v>
      </c>
      <c r="C48" s="49">
        <v>52.0</v>
      </c>
      <c r="D48" s="50">
        <v>45327.0</v>
      </c>
      <c r="E48" s="51">
        <v>7.6465674E7</v>
      </c>
      <c r="F48" s="51">
        <v>6117254.0</v>
      </c>
      <c r="G48" s="51">
        <v>8.2582928E7</v>
      </c>
      <c r="H48" s="49" t="s">
        <v>414</v>
      </c>
      <c r="I48" s="52" t="s">
        <v>2677</v>
      </c>
      <c r="J48" s="50">
        <v>45801.0</v>
      </c>
      <c r="K48" s="51">
        <v>4575067.0</v>
      </c>
      <c r="L48" s="51">
        <v>366005.0</v>
      </c>
      <c r="M48" s="51">
        <v>4941072.0</v>
      </c>
      <c r="N48" s="49"/>
      <c r="O48" s="52"/>
      <c r="P48" s="50"/>
      <c r="Q48" s="51"/>
      <c r="R48" s="51"/>
      <c r="S48" s="51"/>
      <c r="T48" s="49"/>
      <c r="U48" s="52"/>
      <c r="V48" s="50"/>
      <c r="W48" s="51"/>
      <c r="X48" s="51"/>
      <c r="Y48" s="51"/>
      <c r="Z48" s="51">
        <v>8.1040741E7</v>
      </c>
      <c r="AA48" s="51">
        <v>6483259.0</v>
      </c>
      <c r="AB48" s="51">
        <v>8.7524E7</v>
      </c>
      <c r="AC48" s="47"/>
      <c r="AD48" s="47" t="s">
        <v>2678</v>
      </c>
      <c r="AE48" s="48"/>
      <c r="AF48" s="50"/>
      <c r="AG48" s="51">
        <v>-4575067.0</v>
      </c>
      <c r="AH48" s="51">
        <v>-366005.0</v>
      </c>
      <c r="AI48" s="51">
        <v>-4941072.0</v>
      </c>
      <c r="AJ48" s="47" t="s">
        <v>2679</v>
      </c>
      <c r="AK48" s="48"/>
      <c r="AL48" s="50"/>
      <c r="AM48" s="51">
        <v>-7.6465674E7</v>
      </c>
      <c r="AN48" s="51">
        <v>-6117254.0</v>
      </c>
      <c r="AO48" s="51">
        <v>-8.2582928E7</v>
      </c>
      <c r="AP48" s="47"/>
      <c r="AQ48" s="48"/>
      <c r="AR48" s="50"/>
      <c r="AS48" s="51"/>
      <c r="AT48" s="51"/>
      <c r="AU48" s="51"/>
      <c r="AV48" s="47"/>
      <c r="AW48" s="48"/>
      <c r="AX48" s="50"/>
      <c r="AY48" s="51"/>
      <c r="AZ48" s="51"/>
      <c r="BA48" s="51"/>
      <c r="BB48" s="51">
        <f t="shared" ref="BB48:BD48" si="46">IF(AND(ISNUMBER(Z48),COUNT(AG48,AM48,AS48,AY48)=2),Z48+SUM(AG48,AM48,AS48,AY48),"")</f>
        <v>0</v>
      </c>
      <c r="BC48" s="51">
        <f t="shared" si="46"/>
        <v>0</v>
      </c>
      <c r="BD48" s="51">
        <f t="shared" si="46"/>
        <v>0</v>
      </c>
    </row>
    <row r="49" ht="48.0" customHeight="1">
      <c r="A49" s="49" t="s">
        <v>40</v>
      </c>
      <c r="B49" s="49" t="str">
        <f t="array" ref="B49">INDEX('HD cty 2024'!B:B,MATCH('F0, F1, F2, ...'!$C49,'HD cty 2024'!B:B,0))</f>
        <v>#N/A</v>
      </c>
      <c r="C49" s="49">
        <v>53.0</v>
      </c>
      <c r="D49" s="50">
        <v>45327.0</v>
      </c>
      <c r="E49" s="51">
        <v>3.5914458E7</v>
      </c>
      <c r="F49" s="51">
        <v>2873157.0</v>
      </c>
      <c r="G49" s="51">
        <v>3.8787615E7</v>
      </c>
      <c r="H49" s="49" t="s">
        <v>414</v>
      </c>
      <c r="I49" s="52" t="s">
        <v>2680</v>
      </c>
      <c r="J49" s="50">
        <v>45803.0</v>
      </c>
      <c r="K49" s="51">
        <v>3779061.0</v>
      </c>
      <c r="L49" s="51">
        <v>302325.0</v>
      </c>
      <c r="M49" s="51">
        <v>4081386.0</v>
      </c>
      <c r="N49" s="49"/>
      <c r="O49" s="52"/>
      <c r="P49" s="50"/>
      <c r="Q49" s="51"/>
      <c r="R49" s="51"/>
      <c r="S49" s="51"/>
      <c r="T49" s="49"/>
      <c r="U49" s="52"/>
      <c r="V49" s="50"/>
      <c r="W49" s="51"/>
      <c r="X49" s="51"/>
      <c r="Y49" s="51"/>
      <c r="Z49" s="51">
        <v>3.9693519E7</v>
      </c>
      <c r="AA49" s="51">
        <v>3175482.0</v>
      </c>
      <c r="AB49" s="51">
        <v>4.2869001E7</v>
      </c>
      <c r="AC49" s="47"/>
      <c r="AD49" s="47" t="s">
        <v>2681</v>
      </c>
      <c r="AE49" s="48"/>
      <c r="AF49" s="50"/>
      <c r="AG49" s="51">
        <v>-3779061.0</v>
      </c>
      <c r="AH49" s="51">
        <v>-302325.0</v>
      </c>
      <c r="AI49" s="51">
        <v>-4081386.0</v>
      </c>
      <c r="AJ49" s="47" t="s">
        <v>2682</v>
      </c>
      <c r="AK49" s="48"/>
      <c r="AL49" s="50"/>
      <c r="AM49" s="51">
        <v>-3.5914458E7</v>
      </c>
      <c r="AN49" s="51">
        <v>-2873157.0</v>
      </c>
      <c r="AO49" s="51">
        <v>-3.8787615E7</v>
      </c>
      <c r="AP49" s="47"/>
      <c r="AQ49" s="48"/>
      <c r="AR49" s="50"/>
      <c r="AS49" s="51"/>
      <c r="AT49" s="51"/>
      <c r="AU49" s="51"/>
      <c r="AV49" s="47"/>
      <c r="AW49" s="48"/>
      <c r="AX49" s="50"/>
      <c r="AY49" s="51"/>
      <c r="AZ49" s="51"/>
      <c r="BA49" s="51"/>
      <c r="BB49" s="51">
        <f t="shared" ref="BB49:BD49" si="47">IF(AND(ISNUMBER(Z49),COUNT(AG49,AM49,AS49,AY49)=2),Z49+SUM(AG49,AM49,AS49,AY49),"")</f>
        <v>0</v>
      </c>
      <c r="BC49" s="51">
        <f t="shared" si="47"/>
        <v>0</v>
      </c>
      <c r="BD49" s="51">
        <f t="shared" si="47"/>
        <v>0</v>
      </c>
    </row>
    <row r="50" ht="48.0" customHeight="1">
      <c r="A50" s="49" t="s">
        <v>40</v>
      </c>
      <c r="B50" s="49" t="str">
        <f t="array" ref="B50">INDEX('HD cty 2024'!B:B,MATCH('F0, F1, F2, ...'!$C50,'HD cty 2024'!B:B,0))</f>
        <v>#N/A</v>
      </c>
      <c r="C50" s="49">
        <v>54.0</v>
      </c>
      <c r="D50" s="50">
        <v>45327.0</v>
      </c>
      <c r="E50" s="51">
        <v>1.4613713E7</v>
      </c>
      <c r="F50" s="51">
        <v>1169097.0</v>
      </c>
      <c r="G50" s="51">
        <v>1.578281E7</v>
      </c>
      <c r="H50" s="49" t="s">
        <v>414</v>
      </c>
      <c r="I50" s="52" t="s">
        <v>2683</v>
      </c>
      <c r="J50" s="50">
        <v>45801.0</v>
      </c>
      <c r="K50" s="51">
        <v>991843.0</v>
      </c>
      <c r="L50" s="51">
        <v>79347.0</v>
      </c>
      <c r="M50" s="51">
        <v>1071190.0</v>
      </c>
      <c r="N50" s="49"/>
      <c r="O50" s="52"/>
      <c r="P50" s="50"/>
      <c r="Q50" s="51"/>
      <c r="R50" s="51"/>
      <c r="S50" s="51"/>
      <c r="T50" s="49"/>
      <c r="U50" s="52"/>
      <c r="V50" s="50"/>
      <c r="W50" s="51"/>
      <c r="X50" s="51"/>
      <c r="Y50" s="51"/>
      <c r="Z50" s="51">
        <v>1.5605556E7</v>
      </c>
      <c r="AA50" s="51">
        <v>1248444.0</v>
      </c>
      <c r="AB50" s="51">
        <v>1.6854E7</v>
      </c>
      <c r="AC50" s="47"/>
      <c r="AD50" s="47" t="s">
        <v>2684</v>
      </c>
      <c r="AE50" s="48"/>
      <c r="AF50" s="50"/>
      <c r="AG50" s="51">
        <v>-991843.0</v>
      </c>
      <c r="AH50" s="51">
        <v>-79347.0</v>
      </c>
      <c r="AI50" s="51">
        <v>-1071190.0</v>
      </c>
      <c r="AJ50" s="47" t="s">
        <v>2685</v>
      </c>
      <c r="AK50" s="48"/>
      <c r="AL50" s="50"/>
      <c r="AM50" s="51">
        <v>-1.4613713E7</v>
      </c>
      <c r="AN50" s="51">
        <v>-1169097.0</v>
      </c>
      <c r="AO50" s="51">
        <v>-1.578281E7</v>
      </c>
      <c r="AP50" s="47"/>
      <c r="AQ50" s="48"/>
      <c r="AR50" s="50"/>
      <c r="AS50" s="51"/>
      <c r="AT50" s="51"/>
      <c r="AU50" s="51"/>
      <c r="AV50" s="47"/>
      <c r="AW50" s="48"/>
      <c r="AX50" s="50"/>
      <c r="AY50" s="51"/>
      <c r="AZ50" s="51"/>
      <c r="BA50" s="51"/>
      <c r="BB50" s="51">
        <f t="shared" ref="BB50:BD50" si="48">IF(AND(ISNUMBER(Z50),COUNT(AG50,AM50,AS50,AY50)=2),Z50+SUM(AG50,AM50,AS50,AY50),"")</f>
        <v>0</v>
      </c>
      <c r="BC50" s="51">
        <f t="shared" si="48"/>
        <v>0</v>
      </c>
      <c r="BD50" s="51">
        <f t="shared" si="48"/>
        <v>0</v>
      </c>
    </row>
    <row r="51" ht="48.0" customHeight="1">
      <c r="A51" s="49" t="s">
        <v>40</v>
      </c>
      <c r="B51" s="49" t="str">
        <f t="array" ref="B51">INDEX('HD cty 2024'!B:B,MATCH('F0, F1, F2, ...'!$C51,'HD cty 2024'!B:B,0))</f>
        <v>#N/A</v>
      </c>
      <c r="C51" s="49">
        <v>55.0</v>
      </c>
      <c r="D51" s="50">
        <v>45327.0</v>
      </c>
      <c r="E51" s="51">
        <v>4.4172328E7</v>
      </c>
      <c r="F51" s="51">
        <v>3533786.0</v>
      </c>
      <c r="G51" s="51">
        <v>4.7706114E7</v>
      </c>
      <c r="H51" s="49" t="s">
        <v>414</v>
      </c>
      <c r="I51" s="52" t="s">
        <v>2686</v>
      </c>
      <c r="J51" s="50">
        <v>45803.0</v>
      </c>
      <c r="K51" s="51">
        <v>3490646.0</v>
      </c>
      <c r="L51" s="51">
        <v>279252.0</v>
      </c>
      <c r="M51" s="51">
        <v>3769898.0</v>
      </c>
      <c r="N51" s="49"/>
      <c r="O51" s="52"/>
      <c r="P51" s="50"/>
      <c r="Q51" s="51"/>
      <c r="R51" s="51"/>
      <c r="S51" s="51"/>
      <c r="T51" s="49"/>
      <c r="U51" s="52"/>
      <c r="V51" s="50"/>
      <c r="W51" s="51"/>
      <c r="X51" s="51"/>
      <c r="Y51" s="51"/>
      <c r="Z51" s="51">
        <v>4.7662974E7</v>
      </c>
      <c r="AA51" s="51">
        <v>3813038.0</v>
      </c>
      <c r="AB51" s="51">
        <v>5.1476012E7</v>
      </c>
      <c r="AC51" s="47"/>
      <c r="AD51" s="47" t="s">
        <v>2687</v>
      </c>
      <c r="AE51" s="48"/>
      <c r="AF51" s="50"/>
      <c r="AG51" s="51">
        <v>-3490646.0</v>
      </c>
      <c r="AH51" s="51">
        <v>-279252.0</v>
      </c>
      <c r="AI51" s="51">
        <v>-3769898.0</v>
      </c>
      <c r="AJ51" s="47" t="s">
        <v>2688</v>
      </c>
      <c r="AK51" s="48"/>
      <c r="AL51" s="50"/>
      <c r="AM51" s="51">
        <v>-4.4172328E7</v>
      </c>
      <c r="AN51" s="51">
        <v>-3533786.0</v>
      </c>
      <c r="AO51" s="51">
        <v>-4.7706114E7</v>
      </c>
      <c r="AP51" s="47"/>
      <c r="AQ51" s="48"/>
      <c r="AR51" s="50"/>
      <c r="AS51" s="51"/>
      <c r="AT51" s="51"/>
      <c r="AU51" s="51"/>
      <c r="AV51" s="47"/>
      <c r="AW51" s="48"/>
      <c r="AX51" s="50"/>
      <c r="AY51" s="51"/>
      <c r="AZ51" s="51"/>
      <c r="BA51" s="51"/>
      <c r="BB51" s="51">
        <f t="shared" ref="BB51:BD51" si="49">IF(AND(ISNUMBER(Z51),COUNT(AG51,AM51,AS51,AY51)=2),Z51+SUM(AG51,AM51,AS51,AY51),"")</f>
        <v>0</v>
      </c>
      <c r="BC51" s="51">
        <f t="shared" si="49"/>
        <v>0</v>
      </c>
      <c r="BD51" s="51">
        <f t="shared" si="49"/>
        <v>0</v>
      </c>
    </row>
    <row r="52" ht="48.0" customHeight="1">
      <c r="A52" s="49" t="s">
        <v>40</v>
      </c>
      <c r="B52" s="49" t="str">
        <f t="array" ref="B52">INDEX('HD cty 2024'!B:B,MATCH('F0, F1, F2, ...'!$C52,'HD cty 2024'!B:B,0))</f>
        <v>#N/A</v>
      </c>
      <c r="C52" s="49">
        <v>56.0</v>
      </c>
      <c r="D52" s="50">
        <v>45327.0</v>
      </c>
      <c r="E52" s="51">
        <v>3.3376388E7</v>
      </c>
      <c r="F52" s="51">
        <v>2670111.0</v>
      </c>
      <c r="G52" s="51">
        <v>3.6046499E7</v>
      </c>
      <c r="H52" s="49" t="s">
        <v>414</v>
      </c>
      <c r="I52" s="52" t="s">
        <v>2689</v>
      </c>
      <c r="J52" s="50">
        <v>45801.0</v>
      </c>
      <c r="K52" s="51">
        <v>3178242.0</v>
      </c>
      <c r="L52" s="51">
        <v>254259.0</v>
      </c>
      <c r="M52" s="51">
        <v>3432501.0</v>
      </c>
      <c r="N52" s="49"/>
      <c r="O52" s="52"/>
      <c r="P52" s="50"/>
      <c r="Q52" s="51"/>
      <c r="R52" s="51"/>
      <c r="S52" s="51"/>
      <c r="T52" s="49"/>
      <c r="U52" s="52"/>
      <c r="V52" s="50"/>
      <c r="W52" s="51"/>
      <c r="X52" s="51"/>
      <c r="Y52" s="51"/>
      <c r="Z52" s="51">
        <v>3.655463E7</v>
      </c>
      <c r="AA52" s="51">
        <v>2924370.0</v>
      </c>
      <c r="AB52" s="51">
        <v>3.9479E7</v>
      </c>
      <c r="AC52" s="47"/>
      <c r="AD52" s="47" t="s">
        <v>2690</v>
      </c>
      <c r="AE52" s="48"/>
      <c r="AF52" s="50"/>
      <c r="AG52" s="51">
        <v>-3178242.0</v>
      </c>
      <c r="AH52" s="51">
        <v>-254259.0</v>
      </c>
      <c r="AI52" s="51">
        <v>-3432501.0</v>
      </c>
      <c r="AJ52" s="47" t="s">
        <v>2691</v>
      </c>
      <c r="AK52" s="48"/>
      <c r="AL52" s="50"/>
      <c r="AM52" s="51">
        <v>-3.3376388E7</v>
      </c>
      <c r="AN52" s="51">
        <v>-2670111.0</v>
      </c>
      <c r="AO52" s="51">
        <v>-3.6046499E7</v>
      </c>
      <c r="AP52" s="47"/>
      <c r="AQ52" s="48"/>
      <c r="AR52" s="50"/>
      <c r="AS52" s="51"/>
      <c r="AT52" s="51"/>
      <c r="AU52" s="51"/>
      <c r="AV52" s="47"/>
      <c r="AW52" s="48"/>
      <c r="AX52" s="50"/>
      <c r="AY52" s="51"/>
      <c r="AZ52" s="51"/>
      <c r="BA52" s="51"/>
      <c r="BB52" s="51">
        <f t="shared" ref="BB52:BD52" si="50">IF(AND(ISNUMBER(Z52),COUNT(AG52,AM52,AS52,AY52)=2),Z52+SUM(AG52,AM52,AS52,AY52),"")</f>
        <v>0</v>
      </c>
      <c r="BC52" s="51">
        <f t="shared" si="50"/>
        <v>0</v>
      </c>
      <c r="BD52" s="51">
        <f t="shared" si="50"/>
        <v>0</v>
      </c>
    </row>
    <row r="53" ht="48.0" customHeight="1">
      <c r="A53" s="49" t="s">
        <v>40</v>
      </c>
      <c r="B53" s="49" t="str">
        <f t="array" ref="B53">INDEX('HD cty 2024'!B:B,MATCH('F0, F1, F2, ...'!$C53,'HD cty 2024'!B:B,0))</f>
        <v>#N/A</v>
      </c>
      <c r="C53" s="49">
        <v>57.0</v>
      </c>
      <c r="D53" s="50">
        <v>45327.0</v>
      </c>
      <c r="E53" s="51">
        <v>9068889.0</v>
      </c>
      <c r="F53" s="51">
        <v>725511.0</v>
      </c>
      <c r="G53" s="51">
        <v>9794400.0</v>
      </c>
      <c r="H53" s="49" t="s">
        <v>414</v>
      </c>
      <c r="I53" s="52" t="s">
        <v>2692</v>
      </c>
      <c r="J53" s="50">
        <v>45801.0</v>
      </c>
      <c r="K53" s="51">
        <v>926481.0</v>
      </c>
      <c r="L53" s="51">
        <v>74118.0</v>
      </c>
      <c r="M53" s="51">
        <v>1000599.0</v>
      </c>
      <c r="N53" s="49"/>
      <c r="O53" s="52"/>
      <c r="P53" s="50"/>
      <c r="Q53" s="51"/>
      <c r="R53" s="51"/>
      <c r="S53" s="51"/>
      <c r="T53" s="49"/>
      <c r="U53" s="52"/>
      <c r="V53" s="50"/>
      <c r="W53" s="51"/>
      <c r="X53" s="51"/>
      <c r="Y53" s="51"/>
      <c r="Z53" s="51">
        <v>9995370.0</v>
      </c>
      <c r="AA53" s="51">
        <v>799629.0</v>
      </c>
      <c r="AB53" s="51">
        <v>1.0794999E7</v>
      </c>
      <c r="AC53" s="47"/>
      <c r="AD53" s="47" t="s">
        <v>2693</v>
      </c>
      <c r="AE53" s="48"/>
      <c r="AF53" s="50"/>
      <c r="AG53" s="51">
        <v>-926481.0</v>
      </c>
      <c r="AH53" s="51">
        <v>-74118.0</v>
      </c>
      <c r="AI53" s="51">
        <v>-1000599.0</v>
      </c>
      <c r="AJ53" s="47" t="s">
        <v>2694</v>
      </c>
      <c r="AK53" s="48"/>
      <c r="AL53" s="50"/>
      <c r="AM53" s="51">
        <v>-9068889.0</v>
      </c>
      <c r="AN53" s="51">
        <v>-725511.0</v>
      </c>
      <c r="AO53" s="51">
        <v>-9794400.0</v>
      </c>
      <c r="AP53" s="47"/>
      <c r="AQ53" s="48"/>
      <c r="AR53" s="50"/>
      <c r="AS53" s="51"/>
      <c r="AT53" s="51"/>
      <c r="AU53" s="51"/>
      <c r="AV53" s="47"/>
      <c r="AW53" s="48"/>
      <c r="AX53" s="50"/>
      <c r="AY53" s="51"/>
      <c r="AZ53" s="51"/>
      <c r="BA53" s="51"/>
      <c r="BB53" s="51">
        <f t="shared" ref="BB53:BD53" si="51">IF(AND(ISNUMBER(Z53),COUNT(AG53,AM53,AS53,AY53)=2),Z53+SUM(AG53,AM53,AS53,AY53),"")</f>
        <v>0</v>
      </c>
      <c r="BC53" s="51">
        <f t="shared" si="51"/>
        <v>0</v>
      </c>
      <c r="BD53" s="51">
        <f t="shared" si="51"/>
        <v>0</v>
      </c>
    </row>
    <row r="54" ht="48.0" customHeight="1">
      <c r="A54" s="49" t="s">
        <v>40</v>
      </c>
      <c r="B54" s="49" t="str">
        <f t="array" ref="B54">INDEX('HD cty 2024'!B:B,MATCH('F0, F1, F2, ...'!$C54,'HD cty 2024'!B:B,0))</f>
        <v>#N/A</v>
      </c>
      <c r="C54" s="49">
        <v>58.0</v>
      </c>
      <c r="D54" s="50">
        <v>45327.0</v>
      </c>
      <c r="E54" s="51">
        <v>4109352.0</v>
      </c>
      <c r="F54" s="51">
        <v>328748.0</v>
      </c>
      <c r="G54" s="51">
        <v>4438100.0</v>
      </c>
      <c r="H54" s="49" t="s">
        <v>414</v>
      </c>
      <c r="I54" s="52" t="s">
        <v>2695</v>
      </c>
      <c r="J54" s="50">
        <v>45801.0</v>
      </c>
      <c r="K54" s="51">
        <v>-93611.0</v>
      </c>
      <c r="L54" s="51">
        <v>-7489.0</v>
      </c>
      <c r="M54" s="51">
        <v>-101100.0</v>
      </c>
      <c r="N54" s="49"/>
      <c r="O54" s="52"/>
      <c r="P54" s="50"/>
      <c r="Q54" s="51"/>
      <c r="R54" s="51"/>
      <c r="S54" s="51"/>
      <c r="T54" s="49"/>
      <c r="U54" s="52"/>
      <c r="V54" s="50"/>
      <c r="W54" s="51"/>
      <c r="X54" s="51"/>
      <c r="Y54" s="51"/>
      <c r="Z54" s="51">
        <v>4015741.0</v>
      </c>
      <c r="AA54" s="51">
        <v>321259.0</v>
      </c>
      <c r="AB54" s="51">
        <v>4337000.0</v>
      </c>
      <c r="AC54" s="47"/>
      <c r="AD54" s="47" t="s">
        <v>2696</v>
      </c>
      <c r="AE54" s="48"/>
      <c r="AF54" s="50"/>
      <c r="AG54" s="51">
        <v>93611.0</v>
      </c>
      <c r="AH54" s="51">
        <v>7489.0</v>
      </c>
      <c r="AI54" s="51">
        <v>101100.0</v>
      </c>
      <c r="AJ54" s="47" t="s">
        <v>2697</v>
      </c>
      <c r="AK54" s="48"/>
      <c r="AL54" s="50"/>
      <c r="AM54" s="51">
        <v>-4109352.0</v>
      </c>
      <c r="AN54" s="51">
        <v>-328748.0</v>
      </c>
      <c r="AO54" s="51">
        <v>-4438100.0</v>
      </c>
      <c r="AP54" s="47"/>
      <c r="AQ54" s="48"/>
      <c r="AR54" s="50"/>
      <c r="AS54" s="51"/>
      <c r="AT54" s="51"/>
      <c r="AU54" s="51"/>
      <c r="AV54" s="47"/>
      <c r="AW54" s="48"/>
      <c r="AX54" s="50"/>
      <c r="AY54" s="51"/>
      <c r="AZ54" s="51"/>
      <c r="BA54" s="51"/>
      <c r="BB54" s="51">
        <f t="shared" ref="BB54:BD54" si="52">IF(AND(ISNUMBER(Z54),COUNT(AG54,AM54,AS54,AY54)=2),Z54+SUM(AG54,AM54,AS54,AY54),"")</f>
        <v>0</v>
      </c>
      <c r="BC54" s="51">
        <f t="shared" si="52"/>
        <v>0</v>
      </c>
      <c r="BD54" s="51">
        <f t="shared" si="52"/>
        <v>0</v>
      </c>
    </row>
    <row r="55" ht="48.0" customHeight="1">
      <c r="A55" s="49" t="s">
        <v>40</v>
      </c>
      <c r="B55" s="49" t="str">
        <f t="array" ref="B55">INDEX('HD cty 2024'!B:B,MATCH('F0, F1, F2, ...'!$C55,'HD cty 2024'!B:B,0))</f>
        <v>#N/A</v>
      </c>
      <c r="C55" s="49">
        <v>59.0</v>
      </c>
      <c r="D55" s="50">
        <v>45328.0</v>
      </c>
      <c r="E55" s="51">
        <v>9828668.0</v>
      </c>
      <c r="F55" s="51">
        <v>786293.0</v>
      </c>
      <c r="G55" s="51">
        <v>1.0614961E7</v>
      </c>
      <c r="H55" s="49" t="s">
        <v>414</v>
      </c>
      <c r="I55" s="52" t="s">
        <v>2698</v>
      </c>
      <c r="J55" s="50">
        <v>45808.0</v>
      </c>
      <c r="K55" s="51">
        <v>-581823.0</v>
      </c>
      <c r="L55" s="51">
        <v>-46546.0</v>
      </c>
      <c r="M55" s="51">
        <v>-628369.0</v>
      </c>
      <c r="N55" s="49"/>
      <c r="O55" s="52"/>
      <c r="P55" s="50"/>
      <c r="Q55" s="51"/>
      <c r="R55" s="51"/>
      <c r="S55" s="51"/>
      <c r="T55" s="49"/>
      <c r="U55" s="52"/>
      <c r="V55" s="50"/>
      <c r="W55" s="51"/>
      <c r="X55" s="51"/>
      <c r="Y55" s="51"/>
      <c r="Z55" s="51">
        <v>9246845.0</v>
      </c>
      <c r="AA55" s="51">
        <v>739747.0</v>
      </c>
      <c r="AB55" s="51">
        <v>9986592.0</v>
      </c>
      <c r="AC55" s="47"/>
      <c r="AD55" s="47" t="s">
        <v>2699</v>
      </c>
      <c r="AE55" s="48"/>
      <c r="AF55" s="50"/>
      <c r="AG55" s="51">
        <v>581823.0</v>
      </c>
      <c r="AH55" s="51">
        <v>46546.0</v>
      </c>
      <c r="AI55" s="51">
        <v>628369.0</v>
      </c>
      <c r="AJ55" s="47" t="s">
        <v>2700</v>
      </c>
      <c r="AK55" s="48"/>
      <c r="AL55" s="50"/>
      <c r="AM55" s="51">
        <v>-9828668.0</v>
      </c>
      <c r="AN55" s="51">
        <v>-786293.0</v>
      </c>
      <c r="AO55" s="51">
        <v>-1.0614961E7</v>
      </c>
      <c r="AP55" s="47"/>
      <c r="AQ55" s="48"/>
      <c r="AR55" s="50"/>
      <c r="AS55" s="51"/>
      <c r="AT55" s="51"/>
      <c r="AU55" s="51"/>
      <c r="AV55" s="47"/>
      <c r="AW55" s="48"/>
      <c r="AX55" s="50"/>
      <c r="AY55" s="51"/>
      <c r="AZ55" s="51"/>
      <c r="BA55" s="51"/>
      <c r="BB55" s="51">
        <f t="shared" ref="BB55:BD55" si="53">IF(AND(ISNUMBER(Z55),COUNT(AG55,AM55,AS55,AY55)=2),Z55+SUM(AG55,AM55,AS55,AY55),"")</f>
        <v>0</v>
      </c>
      <c r="BC55" s="51">
        <f t="shared" si="53"/>
        <v>0</v>
      </c>
      <c r="BD55" s="51">
        <f t="shared" si="53"/>
        <v>0</v>
      </c>
    </row>
    <row r="56" ht="48.0" customHeight="1">
      <c r="A56" s="49" t="s">
        <v>40</v>
      </c>
      <c r="B56" s="49" t="str">
        <f t="array" ref="B56">INDEX('HD cty 2024'!B:B,MATCH('F0, F1, F2, ...'!$C56,'HD cty 2024'!B:B,0))</f>
        <v>#N/A</v>
      </c>
      <c r="C56" s="49">
        <v>65.0</v>
      </c>
      <c r="D56" s="50">
        <v>45350.0</v>
      </c>
      <c r="E56" s="51">
        <v>3.5010927E7</v>
      </c>
      <c r="F56" s="51">
        <v>2800874.0</v>
      </c>
      <c r="G56" s="51">
        <v>3.7811801E7</v>
      </c>
      <c r="H56" s="49" t="s">
        <v>414</v>
      </c>
      <c r="I56" s="52" t="s">
        <v>2701</v>
      </c>
      <c r="J56" s="50">
        <v>45803.0</v>
      </c>
      <c r="K56" s="51">
        <v>-458149.0</v>
      </c>
      <c r="L56" s="51">
        <v>-36652.0</v>
      </c>
      <c r="M56" s="51">
        <v>-494801.0</v>
      </c>
      <c r="N56" s="49"/>
      <c r="O56" s="52"/>
      <c r="P56" s="50"/>
      <c r="Q56" s="51"/>
      <c r="R56" s="51"/>
      <c r="S56" s="51"/>
      <c r="T56" s="49"/>
      <c r="U56" s="52"/>
      <c r="V56" s="50"/>
      <c r="W56" s="51"/>
      <c r="X56" s="51"/>
      <c r="Y56" s="51"/>
      <c r="Z56" s="51">
        <v>3.4552778E7</v>
      </c>
      <c r="AA56" s="51">
        <v>2764222.0</v>
      </c>
      <c r="AB56" s="51">
        <v>3.7317E7</v>
      </c>
      <c r="AC56" s="47"/>
      <c r="AD56" s="47" t="s">
        <v>2702</v>
      </c>
      <c r="AE56" s="48"/>
      <c r="AF56" s="50"/>
      <c r="AG56" s="51">
        <v>458149.0</v>
      </c>
      <c r="AH56" s="51">
        <v>36652.0</v>
      </c>
      <c r="AI56" s="51">
        <v>494801.0</v>
      </c>
      <c r="AJ56" s="47" t="s">
        <v>2703</v>
      </c>
      <c r="AK56" s="48"/>
      <c r="AL56" s="50"/>
      <c r="AM56" s="51">
        <v>-3.5010927E7</v>
      </c>
      <c r="AN56" s="51">
        <v>-2800874.0</v>
      </c>
      <c r="AO56" s="51">
        <v>-3.7811801E7</v>
      </c>
      <c r="AP56" s="47"/>
      <c r="AQ56" s="48"/>
      <c r="AR56" s="50"/>
      <c r="AS56" s="51"/>
      <c r="AT56" s="51"/>
      <c r="AU56" s="51"/>
      <c r="AV56" s="47"/>
      <c r="AW56" s="48"/>
      <c r="AX56" s="50"/>
      <c r="AY56" s="51"/>
      <c r="AZ56" s="51"/>
      <c r="BA56" s="51"/>
      <c r="BB56" s="51">
        <f t="shared" ref="BB56:BD56" si="54">IF(AND(ISNUMBER(Z56),COUNT(AG56,AM56,AS56,AY56)=2),Z56+SUM(AG56,AM56,AS56,AY56),"")</f>
        <v>0</v>
      </c>
      <c r="BC56" s="51">
        <f t="shared" si="54"/>
        <v>0</v>
      </c>
      <c r="BD56" s="51">
        <f t="shared" si="54"/>
        <v>0</v>
      </c>
    </row>
    <row r="57" ht="48.0" customHeight="1">
      <c r="A57" s="49" t="s">
        <v>40</v>
      </c>
      <c r="B57" s="49" t="str">
        <f t="array" ref="B57">INDEX('HD cty 2024'!B:B,MATCH('F0, F1, F2, ...'!$C57,'HD cty 2024'!B:B,0))</f>
        <v>#N/A</v>
      </c>
      <c r="C57" s="49">
        <v>66.0</v>
      </c>
      <c r="D57" s="50">
        <v>45350.0</v>
      </c>
      <c r="E57" s="51">
        <v>2.8902037E7</v>
      </c>
      <c r="F57" s="51">
        <v>2312163.0</v>
      </c>
      <c r="G57" s="51">
        <v>3.12142E7</v>
      </c>
      <c r="H57" s="49" t="s">
        <v>414</v>
      </c>
      <c r="I57" s="52" t="s">
        <v>2704</v>
      </c>
      <c r="J57" s="50">
        <v>45803.0</v>
      </c>
      <c r="K57" s="51">
        <v>-1066852.0</v>
      </c>
      <c r="L57" s="51">
        <v>-85348.0</v>
      </c>
      <c r="M57" s="51">
        <v>-1152200.0</v>
      </c>
      <c r="N57" s="49"/>
      <c r="O57" s="52"/>
      <c r="P57" s="50"/>
      <c r="Q57" s="51"/>
      <c r="R57" s="51"/>
      <c r="S57" s="51"/>
      <c r="T57" s="49"/>
      <c r="U57" s="52"/>
      <c r="V57" s="50"/>
      <c r="W57" s="51"/>
      <c r="X57" s="51"/>
      <c r="Y57" s="51"/>
      <c r="Z57" s="51">
        <v>2.7835185E7</v>
      </c>
      <c r="AA57" s="51">
        <v>2226815.0</v>
      </c>
      <c r="AB57" s="51">
        <v>3.0062E7</v>
      </c>
      <c r="AC57" s="47"/>
      <c r="AD57" s="47" t="s">
        <v>2705</v>
      </c>
      <c r="AE57" s="48"/>
      <c r="AF57" s="50"/>
      <c r="AG57" s="51">
        <v>1066852.0</v>
      </c>
      <c r="AH57" s="51">
        <v>85348.0</v>
      </c>
      <c r="AI57" s="51">
        <v>1152200.0</v>
      </c>
      <c r="AJ57" s="47" t="s">
        <v>2706</v>
      </c>
      <c r="AK57" s="48"/>
      <c r="AL57" s="50"/>
      <c r="AM57" s="51">
        <v>-2.8902037E7</v>
      </c>
      <c r="AN57" s="51">
        <v>-2312163.0</v>
      </c>
      <c r="AO57" s="51">
        <v>-3.12142E7</v>
      </c>
      <c r="AP57" s="47"/>
      <c r="AQ57" s="48"/>
      <c r="AR57" s="50"/>
      <c r="AS57" s="51"/>
      <c r="AT57" s="51"/>
      <c r="AU57" s="51"/>
      <c r="AV57" s="47"/>
      <c r="AW57" s="48"/>
      <c r="AX57" s="50"/>
      <c r="AY57" s="51"/>
      <c r="AZ57" s="51"/>
      <c r="BA57" s="51"/>
      <c r="BB57" s="51">
        <f t="shared" ref="BB57:BD57" si="55">IF(AND(ISNUMBER(Z57),COUNT(AG57,AM57,AS57,AY57)=2),Z57+SUM(AG57,AM57,AS57,AY57),"")</f>
        <v>0</v>
      </c>
      <c r="BC57" s="51">
        <f t="shared" si="55"/>
        <v>0</v>
      </c>
      <c r="BD57" s="51">
        <f t="shared" si="55"/>
        <v>0</v>
      </c>
    </row>
    <row r="58" ht="48.0" customHeight="1">
      <c r="A58" s="49" t="s">
        <v>40</v>
      </c>
      <c r="B58" s="49" t="str">
        <f t="array" ref="B58">INDEX('HD cty 2024'!B:B,MATCH('F0, F1, F2, ...'!$C58,'HD cty 2024'!B:B,0))</f>
        <v>#N/A</v>
      </c>
      <c r="C58" s="49">
        <v>67.0</v>
      </c>
      <c r="D58" s="50">
        <v>45350.0</v>
      </c>
      <c r="E58" s="51">
        <v>4.7158429E7</v>
      </c>
      <c r="F58" s="51">
        <v>3772674.0</v>
      </c>
      <c r="G58" s="51">
        <v>5.0931103E7</v>
      </c>
      <c r="H58" s="49" t="s">
        <v>414</v>
      </c>
      <c r="I58" s="52" t="s">
        <v>2707</v>
      </c>
      <c r="J58" s="50">
        <v>45803.0</v>
      </c>
      <c r="K58" s="51">
        <v>-472318.0</v>
      </c>
      <c r="L58" s="51">
        <v>-37785.0</v>
      </c>
      <c r="M58" s="51">
        <v>-510103.0</v>
      </c>
      <c r="N58" s="49"/>
      <c r="O58" s="52"/>
      <c r="P58" s="50"/>
      <c r="Q58" s="51"/>
      <c r="R58" s="51"/>
      <c r="S58" s="51"/>
      <c r="T58" s="49"/>
      <c r="U58" s="52"/>
      <c r="V58" s="50"/>
      <c r="W58" s="51"/>
      <c r="X58" s="51"/>
      <c r="Y58" s="51"/>
      <c r="Z58" s="51">
        <v>4.6686111E7</v>
      </c>
      <c r="AA58" s="51">
        <v>3734889.0</v>
      </c>
      <c r="AB58" s="51">
        <v>5.0421E7</v>
      </c>
      <c r="AC58" s="47"/>
      <c r="AD58" s="47" t="s">
        <v>2708</v>
      </c>
      <c r="AE58" s="48"/>
      <c r="AF58" s="50"/>
      <c r="AG58" s="51">
        <v>472318.0</v>
      </c>
      <c r="AH58" s="51">
        <v>37785.0</v>
      </c>
      <c r="AI58" s="51">
        <v>510103.0</v>
      </c>
      <c r="AJ58" s="47" t="s">
        <v>2709</v>
      </c>
      <c r="AK58" s="48"/>
      <c r="AL58" s="50"/>
      <c r="AM58" s="51">
        <v>-4.7158429E7</v>
      </c>
      <c r="AN58" s="51">
        <v>-3772674.0</v>
      </c>
      <c r="AO58" s="51">
        <v>-5.0931103E7</v>
      </c>
      <c r="AP58" s="47"/>
      <c r="AQ58" s="48"/>
      <c r="AR58" s="50"/>
      <c r="AS58" s="51"/>
      <c r="AT58" s="51"/>
      <c r="AU58" s="51"/>
      <c r="AV58" s="47"/>
      <c r="AW58" s="48"/>
      <c r="AX58" s="50"/>
      <c r="AY58" s="51"/>
      <c r="AZ58" s="51"/>
      <c r="BA58" s="51"/>
      <c r="BB58" s="51">
        <f t="shared" ref="BB58:BD58" si="56">IF(AND(ISNUMBER(Z58),COUNT(AG58,AM58,AS58,AY58)=2),Z58+SUM(AG58,AM58,AS58,AY58),"")</f>
        <v>0</v>
      </c>
      <c r="BC58" s="51">
        <f t="shared" si="56"/>
        <v>0</v>
      </c>
      <c r="BD58" s="51">
        <f t="shared" si="56"/>
        <v>0</v>
      </c>
    </row>
    <row r="59" ht="48.0" customHeight="1">
      <c r="A59" s="49" t="s">
        <v>40</v>
      </c>
      <c r="B59" s="49" t="str">
        <f t="array" ref="B59">INDEX('HD cty 2024'!B:B,MATCH('F0, F1, F2, ...'!$C59,'HD cty 2024'!B:B,0))</f>
        <v>#N/A</v>
      </c>
      <c r="C59" s="49">
        <v>68.0</v>
      </c>
      <c r="D59" s="50">
        <v>45350.0</v>
      </c>
      <c r="E59" s="51">
        <v>2.8016713E7</v>
      </c>
      <c r="F59" s="51">
        <v>2241337.0</v>
      </c>
      <c r="G59" s="51">
        <v>3.025805E7</v>
      </c>
      <c r="H59" s="49" t="s">
        <v>414</v>
      </c>
      <c r="I59" s="52" t="s">
        <v>2710</v>
      </c>
      <c r="J59" s="50">
        <v>45801.0</v>
      </c>
      <c r="K59" s="51">
        <v>1896250.0</v>
      </c>
      <c r="L59" s="51">
        <v>151700.0</v>
      </c>
      <c r="M59" s="51">
        <v>2047950.0</v>
      </c>
      <c r="N59" s="49"/>
      <c r="O59" s="52"/>
      <c r="P59" s="50"/>
      <c r="Q59" s="51"/>
      <c r="R59" s="51"/>
      <c r="S59" s="51"/>
      <c r="T59" s="49"/>
      <c r="U59" s="52"/>
      <c r="V59" s="50"/>
      <c r="W59" s="51"/>
      <c r="X59" s="51"/>
      <c r="Y59" s="51"/>
      <c r="Z59" s="51">
        <v>2.9912963E7</v>
      </c>
      <c r="AA59" s="51">
        <v>2393037.0</v>
      </c>
      <c r="AB59" s="51">
        <v>3.2306E7</v>
      </c>
      <c r="AC59" s="47"/>
      <c r="AD59" s="47" t="s">
        <v>2711</v>
      </c>
      <c r="AE59" s="48"/>
      <c r="AF59" s="50"/>
      <c r="AG59" s="51">
        <v>-1896250.0</v>
      </c>
      <c r="AH59" s="51">
        <v>-151700.0</v>
      </c>
      <c r="AI59" s="51">
        <v>-2047950.0</v>
      </c>
      <c r="AJ59" s="47" t="s">
        <v>2712</v>
      </c>
      <c r="AK59" s="48"/>
      <c r="AL59" s="50"/>
      <c r="AM59" s="51">
        <v>-2.8016713E7</v>
      </c>
      <c r="AN59" s="51">
        <v>-2241337.0</v>
      </c>
      <c r="AO59" s="51">
        <v>-3.025805E7</v>
      </c>
      <c r="AP59" s="47"/>
      <c r="AQ59" s="48"/>
      <c r="AR59" s="50"/>
      <c r="AS59" s="51"/>
      <c r="AT59" s="51"/>
      <c r="AU59" s="51"/>
      <c r="AV59" s="47"/>
      <c r="AW59" s="48"/>
      <c r="AX59" s="50"/>
      <c r="AY59" s="51"/>
      <c r="AZ59" s="51"/>
      <c r="BA59" s="51"/>
      <c r="BB59" s="51">
        <f t="shared" ref="BB59:BD59" si="57">IF(AND(ISNUMBER(Z59),COUNT(AG59,AM59,AS59,AY59)=2),Z59+SUM(AG59,AM59,AS59,AY59),"")</f>
        <v>0</v>
      </c>
      <c r="BC59" s="51">
        <f t="shared" si="57"/>
        <v>0</v>
      </c>
      <c r="BD59" s="51">
        <f t="shared" si="57"/>
        <v>0</v>
      </c>
    </row>
    <row r="60" ht="48.0" customHeight="1">
      <c r="A60" s="49" t="s">
        <v>40</v>
      </c>
      <c r="B60" s="49" t="str">
        <f t="array" ref="B60">INDEX('HD cty 2024'!B:B,MATCH('F0, F1, F2, ...'!$C60,'HD cty 2024'!B:B,0))</f>
        <v>#N/A</v>
      </c>
      <c r="C60" s="49">
        <v>69.0</v>
      </c>
      <c r="D60" s="50">
        <v>45350.0</v>
      </c>
      <c r="E60" s="51">
        <v>3.9909686E7</v>
      </c>
      <c r="F60" s="51">
        <v>3192775.0</v>
      </c>
      <c r="G60" s="51">
        <v>4.3102461E7</v>
      </c>
      <c r="H60" s="49" t="s">
        <v>414</v>
      </c>
      <c r="I60" s="52" t="s">
        <v>2713</v>
      </c>
      <c r="J60" s="50">
        <v>45801.0</v>
      </c>
      <c r="K60" s="51">
        <v>1473647.0</v>
      </c>
      <c r="L60" s="51">
        <v>117892.0</v>
      </c>
      <c r="M60" s="51">
        <v>1591539.0</v>
      </c>
      <c r="N60" s="49"/>
      <c r="O60" s="52"/>
      <c r="P60" s="50"/>
      <c r="Q60" s="51"/>
      <c r="R60" s="51"/>
      <c r="S60" s="51"/>
      <c r="T60" s="49"/>
      <c r="U60" s="52"/>
      <c r="V60" s="50"/>
      <c r="W60" s="51"/>
      <c r="X60" s="51"/>
      <c r="Y60" s="51"/>
      <c r="Z60" s="51">
        <v>4.1383333E7</v>
      </c>
      <c r="AA60" s="51">
        <v>3310667.0</v>
      </c>
      <c r="AB60" s="51">
        <v>4.4694E7</v>
      </c>
      <c r="AC60" s="47"/>
      <c r="AD60" s="47" t="s">
        <v>2714</v>
      </c>
      <c r="AE60" s="48"/>
      <c r="AF60" s="50"/>
      <c r="AG60" s="51">
        <v>-1473647.0</v>
      </c>
      <c r="AH60" s="51">
        <v>-117892.0</v>
      </c>
      <c r="AI60" s="51">
        <v>-1591539.0</v>
      </c>
      <c r="AJ60" s="47" t="s">
        <v>2715</v>
      </c>
      <c r="AK60" s="48"/>
      <c r="AL60" s="50"/>
      <c r="AM60" s="51">
        <v>-3.9909686E7</v>
      </c>
      <c r="AN60" s="51">
        <v>-3192775.0</v>
      </c>
      <c r="AO60" s="51">
        <v>-4.3102461E7</v>
      </c>
      <c r="AP60" s="47"/>
      <c r="AQ60" s="48"/>
      <c r="AR60" s="50"/>
      <c r="AS60" s="51"/>
      <c r="AT60" s="51"/>
      <c r="AU60" s="51"/>
      <c r="AV60" s="47"/>
      <c r="AW60" s="48"/>
      <c r="AX60" s="50"/>
      <c r="AY60" s="51"/>
      <c r="AZ60" s="51"/>
      <c r="BA60" s="51"/>
      <c r="BB60" s="51">
        <f t="shared" ref="BB60:BD60" si="58">IF(AND(ISNUMBER(Z60),COUNT(AG60,AM60,AS60,AY60)=2),Z60+SUM(AG60,AM60,AS60,AY60),"")</f>
        <v>0</v>
      </c>
      <c r="BC60" s="51">
        <f t="shared" si="58"/>
        <v>0</v>
      </c>
      <c r="BD60" s="51">
        <f t="shared" si="58"/>
        <v>0</v>
      </c>
    </row>
    <row r="61" ht="48.0" customHeight="1">
      <c r="A61" s="49" t="s">
        <v>40</v>
      </c>
      <c r="B61" s="49" t="str">
        <f t="array" ref="B61">INDEX('HD cty 2024'!B:B,MATCH('F0, F1, F2, ...'!$C61,'HD cty 2024'!B:B,0))</f>
        <v>#N/A</v>
      </c>
      <c r="C61" s="49">
        <v>70.0</v>
      </c>
      <c r="D61" s="50">
        <v>45350.0</v>
      </c>
      <c r="E61" s="51">
        <v>3.8446482E7</v>
      </c>
      <c r="F61" s="51">
        <v>3075719.0</v>
      </c>
      <c r="G61" s="51">
        <v>4.1522201E7</v>
      </c>
      <c r="H61" s="49" t="s">
        <v>414</v>
      </c>
      <c r="I61" s="52" t="s">
        <v>2716</v>
      </c>
      <c r="J61" s="50">
        <v>45803.0</v>
      </c>
      <c r="K61" s="51">
        <v>-485371.0</v>
      </c>
      <c r="L61" s="51">
        <v>-38830.0</v>
      </c>
      <c r="M61" s="51">
        <v>-524201.0</v>
      </c>
      <c r="N61" s="49"/>
      <c r="O61" s="52"/>
      <c r="P61" s="50"/>
      <c r="Q61" s="51"/>
      <c r="R61" s="51"/>
      <c r="S61" s="51"/>
      <c r="T61" s="49"/>
      <c r="U61" s="52"/>
      <c r="V61" s="50"/>
      <c r="W61" s="51"/>
      <c r="X61" s="51"/>
      <c r="Y61" s="51"/>
      <c r="Z61" s="51">
        <v>3.7961111E7</v>
      </c>
      <c r="AA61" s="51">
        <v>3036889.0</v>
      </c>
      <c r="AB61" s="51">
        <v>4.0998E7</v>
      </c>
      <c r="AC61" s="47"/>
      <c r="AD61" s="47" t="s">
        <v>2717</v>
      </c>
      <c r="AE61" s="48"/>
      <c r="AF61" s="50"/>
      <c r="AG61" s="51">
        <v>485371.0</v>
      </c>
      <c r="AH61" s="51">
        <v>38830.0</v>
      </c>
      <c r="AI61" s="51">
        <v>524201.0</v>
      </c>
      <c r="AJ61" s="47" t="s">
        <v>2718</v>
      </c>
      <c r="AK61" s="48"/>
      <c r="AL61" s="50"/>
      <c r="AM61" s="51">
        <v>-3.8446482E7</v>
      </c>
      <c r="AN61" s="51">
        <v>-3075719.0</v>
      </c>
      <c r="AO61" s="51">
        <v>-4.1522201E7</v>
      </c>
      <c r="AP61" s="47"/>
      <c r="AQ61" s="48"/>
      <c r="AR61" s="50"/>
      <c r="AS61" s="51"/>
      <c r="AT61" s="51"/>
      <c r="AU61" s="51"/>
      <c r="AV61" s="47"/>
      <c r="AW61" s="48"/>
      <c r="AX61" s="50"/>
      <c r="AY61" s="51"/>
      <c r="AZ61" s="51"/>
      <c r="BA61" s="51"/>
      <c r="BB61" s="51">
        <f t="shared" ref="BB61:BD61" si="59">IF(AND(ISNUMBER(Z61),COUNT(AG61,AM61,AS61,AY61)=2),Z61+SUM(AG61,AM61,AS61,AY61),"")</f>
        <v>0</v>
      </c>
      <c r="BC61" s="51">
        <f t="shared" si="59"/>
        <v>0</v>
      </c>
      <c r="BD61" s="51">
        <f t="shared" si="59"/>
        <v>0</v>
      </c>
    </row>
    <row r="62" ht="48.0" customHeight="1">
      <c r="A62" s="49" t="s">
        <v>40</v>
      </c>
      <c r="B62" s="49" t="str">
        <f t="array" ref="B62">INDEX('HD cty 2024'!B:B,MATCH('F0, F1, F2, ...'!$C62,'HD cty 2024'!B:B,0))</f>
        <v>#N/A</v>
      </c>
      <c r="C62" s="49">
        <v>71.0</v>
      </c>
      <c r="D62" s="50">
        <v>45350.0</v>
      </c>
      <c r="E62" s="51">
        <v>5.0726334E7</v>
      </c>
      <c r="F62" s="51">
        <v>4058107.0</v>
      </c>
      <c r="G62" s="51">
        <v>5.4784441E7</v>
      </c>
      <c r="H62" s="49" t="s">
        <v>414</v>
      </c>
      <c r="I62" s="52" t="s">
        <v>2719</v>
      </c>
      <c r="J62" s="50">
        <v>45801.0</v>
      </c>
      <c r="K62" s="51">
        <v>4201444.0</v>
      </c>
      <c r="L62" s="51">
        <v>336116.0</v>
      </c>
      <c r="M62" s="51">
        <v>4537560.0</v>
      </c>
      <c r="N62" s="49"/>
      <c r="O62" s="52"/>
      <c r="P62" s="50"/>
      <c r="Q62" s="51"/>
      <c r="R62" s="51"/>
      <c r="S62" s="51"/>
      <c r="T62" s="49"/>
      <c r="U62" s="52"/>
      <c r="V62" s="50"/>
      <c r="W62" s="51"/>
      <c r="X62" s="51"/>
      <c r="Y62" s="51"/>
      <c r="Z62" s="51">
        <v>5.4927778E7</v>
      </c>
      <c r="AA62" s="51">
        <v>4394223.0</v>
      </c>
      <c r="AB62" s="51">
        <v>5.9322001E7</v>
      </c>
      <c r="AC62" s="47"/>
      <c r="AD62" s="47" t="s">
        <v>2720</v>
      </c>
      <c r="AE62" s="48"/>
      <c r="AF62" s="50"/>
      <c r="AG62" s="51">
        <v>-4201444.0</v>
      </c>
      <c r="AH62" s="51">
        <v>-336116.0</v>
      </c>
      <c r="AI62" s="51">
        <v>-4537560.0</v>
      </c>
      <c r="AJ62" s="47" t="s">
        <v>2721</v>
      </c>
      <c r="AK62" s="48"/>
      <c r="AL62" s="50"/>
      <c r="AM62" s="51">
        <v>-5.0726334E7</v>
      </c>
      <c r="AN62" s="51">
        <v>-4058107.0</v>
      </c>
      <c r="AO62" s="51">
        <v>-5.4784441E7</v>
      </c>
      <c r="AP62" s="47"/>
      <c r="AQ62" s="48"/>
      <c r="AR62" s="50"/>
      <c r="AS62" s="51"/>
      <c r="AT62" s="51"/>
      <c r="AU62" s="51"/>
      <c r="AV62" s="47"/>
      <c r="AW62" s="48"/>
      <c r="AX62" s="50"/>
      <c r="AY62" s="51"/>
      <c r="AZ62" s="51"/>
      <c r="BA62" s="51"/>
      <c r="BB62" s="51">
        <f t="shared" ref="BB62:BD62" si="60">IF(AND(ISNUMBER(Z62),COUNT(AG62,AM62,AS62,AY62)=2),Z62+SUM(AG62,AM62,AS62,AY62),"")</f>
        <v>0</v>
      </c>
      <c r="BC62" s="51">
        <f t="shared" si="60"/>
        <v>0</v>
      </c>
      <c r="BD62" s="51">
        <f t="shared" si="60"/>
        <v>0</v>
      </c>
    </row>
    <row r="63" ht="48.0" customHeight="1">
      <c r="A63" s="49" t="s">
        <v>40</v>
      </c>
      <c r="B63" s="49" t="str">
        <f t="array" ref="B63">INDEX('HD cty 2024'!B:B,MATCH('F0, F1, F2, ...'!$C63,'HD cty 2024'!B:B,0))</f>
        <v>#N/A</v>
      </c>
      <c r="C63" s="49">
        <v>72.0</v>
      </c>
      <c r="D63" s="50">
        <v>45350.0</v>
      </c>
      <c r="E63" s="51">
        <v>1.7009815E7</v>
      </c>
      <c r="F63" s="51">
        <v>1360785.0</v>
      </c>
      <c r="G63" s="51">
        <v>1.83706E7</v>
      </c>
      <c r="H63" s="49" t="s">
        <v>414</v>
      </c>
      <c r="I63" s="52" t="s">
        <v>2722</v>
      </c>
      <c r="J63" s="50">
        <v>45803.0</v>
      </c>
      <c r="K63" s="51">
        <v>-1729259.0</v>
      </c>
      <c r="L63" s="51">
        <v>-138341.0</v>
      </c>
      <c r="M63" s="51">
        <v>-1867600.0</v>
      </c>
      <c r="N63" s="49"/>
      <c r="O63" s="52"/>
      <c r="P63" s="50"/>
      <c r="Q63" s="51"/>
      <c r="R63" s="51"/>
      <c r="S63" s="51"/>
      <c r="T63" s="49"/>
      <c r="U63" s="52"/>
      <c r="V63" s="50"/>
      <c r="W63" s="51"/>
      <c r="X63" s="51"/>
      <c r="Y63" s="51"/>
      <c r="Z63" s="51">
        <v>1.5280556E7</v>
      </c>
      <c r="AA63" s="51">
        <v>1222444.0</v>
      </c>
      <c r="AB63" s="51">
        <v>1.6503E7</v>
      </c>
      <c r="AC63" s="47"/>
      <c r="AD63" s="47" t="s">
        <v>2723</v>
      </c>
      <c r="AE63" s="48"/>
      <c r="AF63" s="50"/>
      <c r="AG63" s="51">
        <v>1729259.0</v>
      </c>
      <c r="AH63" s="51">
        <v>138341.0</v>
      </c>
      <c r="AI63" s="51">
        <v>1867600.0</v>
      </c>
      <c r="AJ63" s="47" t="s">
        <v>2724</v>
      </c>
      <c r="AK63" s="48"/>
      <c r="AL63" s="50"/>
      <c r="AM63" s="51">
        <v>-1.7009815E7</v>
      </c>
      <c r="AN63" s="51">
        <v>-1360785.0</v>
      </c>
      <c r="AO63" s="51">
        <v>-1.83706E7</v>
      </c>
      <c r="AP63" s="47"/>
      <c r="AQ63" s="48"/>
      <c r="AR63" s="50"/>
      <c r="AS63" s="51"/>
      <c r="AT63" s="51"/>
      <c r="AU63" s="51"/>
      <c r="AV63" s="47"/>
      <c r="AW63" s="48"/>
      <c r="AX63" s="50"/>
      <c r="AY63" s="51"/>
      <c r="AZ63" s="51"/>
      <c r="BA63" s="51"/>
      <c r="BB63" s="51">
        <f t="shared" ref="BB63:BD63" si="61">IF(AND(ISNUMBER(Z63),COUNT(AG63,AM63,AS63,AY63)=2),Z63+SUM(AG63,AM63,AS63,AY63),"")</f>
        <v>0</v>
      </c>
      <c r="BC63" s="51">
        <f t="shared" si="61"/>
        <v>0</v>
      </c>
      <c r="BD63" s="51">
        <f t="shared" si="61"/>
        <v>0</v>
      </c>
    </row>
    <row r="64" ht="48.0" customHeight="1">
      <c r="A64" s="49" t="s">
        <v>40</v>
      </c>
      <c r="B64" s="49" t="str">
        <f t="array" ref="B64">INDEX('HD cty 2024'!B:B,MATCH('F0, F1, F2, ...'!$C64,'HD cty 2024'!B:B,0))</f>
        <v>#N/A</v>
      </c>
      <c r="C64" s="49">
        <v>73.0</v>
      </c>
      <c r="D64" s="50">
        <v>45350.0</v>
      </c>
      <c r="E64" s="51">
        <v>1.250067E7</v>
      </c>
      <c r="F64" s="51">
        <v>1000054.0</v>
      </c>
      <c r="G64" s="51">
        <v>1.3500724E7</v>
      </c>
      <c r="H64" s="49" t="s">
        <v>414</v>
      </c>
      <c r="I64" s="52" t="s">
        <v>2725</v>
      </c>
      <c r="J64" s="50">
        <v>45807.0</v>
      </c>
      <c r="K64" s="51">
        <v>-347221.0</v>
      </c>
      <c r="L64" s="51">
        <v>-27778.0</v>
      </c>
      <c r="M64" s="51">
        <v>-374999.0</v>
      </c>
      <c r="N64" s="49"/>
      <c r="O64" s="52"/>
      <c r="P64" s="50"/>
      <c r="Q64" s="51"/>
      <c r="R64" s="51"/>
      <c r="S64" s="51"/>
      <c r="T64" s="49"/>
      <c r="U64" s="52"/>
      <c r="V64" s="50"/>
      <c r="W64" s="51"/>
      <c r="X64" s="51"/>
      <c r="Y64" s="51"/>
      <c r="Z64" s="51">
        <v>1.2153449E7</v>
      </c>
      <c r="AA64" s="51">
        <v>972276.0</v>
      </c>
      <c r="AB64" s="51">
        <v>1.3125725E7</v>
      </c>
      <c r="AC64" s="47"/>
      <c r="AD64" s="47" t="s">
        <v>2726</v>
      </c>
      <c r="AE64" s="48"/>
      <c r="AF64" s="50"/>
      <c r="AG64" s="51">
        <v>347221.0</v>
      </c>
      <c r="AH64" s="51">
        <v>27778.0</v>
      </c>
      <c r="AI64" s="51">
        <v>374999.0</v>
      </c>
      <c r="AJ64" s="47" t="s">
        <v>2727</v>
      </c>
      <c r="AK64" s="48"/>
      <c r="AL64" s="50"/>
      <c r="AM64" s="51">
        <v>-1.250067E7</v>
      </c>
      <c r="AN64" s="51">
        <v>-1000054.0</v>
      </c>
      <c r="AO64" s="51">
        <v>-1.3500724E7</v>
      </c>
      <c r="AP64" s="47"/>
      <c r="AQ64" s="48"/>
      <c r="AR64" s="50"/>
      <c r="AS64" s="51"/>
      <c r="AT64" s="51"/>
      <c r="AU64" s="51"/>
      <c r="AV64" s="47"/>
      <c r="AW64" s="48"/>
      <c r="AX64" s="50"/>
      <c r="AY64" s="51"/>
      <c r="AZ64" s="51"/>
      <c r="BA64" s="51"/>
      <c r="BB64" s="51">
        <f t="shared" ref="BB64:BD64" si="62">IF(AND(ISNUMBER(Z64),COUNT(AG64,AM64,AS64,AY64)=2),Z64+SUM(AG64,AM64,AS64,AY64),"")</f>
        <v>0</v>
      </c>
      <c r="BC64" s="51">
        <f t="shared" si="62"/>
        <v>0</v>
      </c>
      <c r="BD64" s="51">
        <f t="shared" si="62"/>
        <v>0</v>
      </c>
    </row>
    <row r="65" ht="48.0" customHeight="1">
      <c r="A65" s="49" t="s">
        <v>40</v>
      </c>
      <c r="B65" s="49" t="str">
        <f t="array" ref="B65">INDEX('HD cty 2024'!B:B,MATCH('F0, F1, F2, ...'!$C65,'HD cty 2024'!B:B,0))</f>
        <v>#N/A</v>
      </c>
      <c r="C65" s="49">
        <v>74.0</v>
      </c>
      <c r="D65" s="50">
        <v>45350.0</v>
      </c>
      <c r="E65" s="51">
        <v>4.7585382E7</v>
      </c>
      <c r="F65" s="51">
        <v>3806831.0</v>
      </c>
      <c r="G65" s="51">
        <v>5.1392213E7</v>
      </c>
      <c r="H65" s="49" t="s">
        <v>414</v>
      </c>
      <c r="I65" s="52" t="s">
        <v>2728</v>
      </c>
      <c r="J65" s="50">
        <v>45801.0</v>
      </c>
      <c r="K65" s="51">
        <v>4722951.0</v>
      </c>
      <c r="L65" s="51">
        <v>377836.0</v>
      </c>
      <c r="M65" s="51">
        <v>5100787.0</v>
      </c>
      <c r="N65" s="49"/>
      <c r="O65" s="52"/>
      <c r="P65" s="50"/>
      <c r="Q65" s="51"/>
      <c r="R65" s="51"/>
      <c r="S65" s="51"/>
      <c r="T65" s="49"/>
      <c r="U65" s="52"/>
      <c r="V65" s="50"/>
      <c r="W65" s="51"/>
      <c r="X65" s="51"/>
      <c r="Y65" s="51"/>
      <c r="Z65" s="51">
        <v>5.2308333E7</v>
      </c>
      <c r="AA65" s="51">
        <v>4184667.0</v>
      </c>
      <c r="AB65" s="51">
        <v>5.6493E7</v>
      </c>
      <c r="AC65" s="47"/>
      <c r="AD65" s="47" t="s">
        <v>2729</v>
      </c>
      <c r="AE65" s="48"/>
      <c r="AF65" s="50"/>
      <c r="AG65" s="51">
        <v>-4722951.0</v>
      </c>
      <c r="AH65" s="51">
        <v>-377836.0</v>
      </c>
      <c r="AI65" s="51">
        <v>-5100787.0</v>
      </c>
      <c r="AJ65" s="47" t="s">
        <v>2730</v>
      </c>
      <c r="AK65" s="48"/>
      <c r="AL65" s="50"/>
      <c r="AM65" s="51">
        <v>-4.7585382E7</v>
      </c>
      <c r="AN65" s="51">
        <v>-3806831.0</v>
      </c>
      <c r="AO65" s="51">
        <v>-5.1392213E7</v>
      </c>
      <c r="AP65" s="47"/>
      <c r="AQ65" s="48"/>
      <c r="AR65" s="50"/>
      <c r="AS65" s="51"/>
      <c r="AT65" s="51"/>
      <c r="AU65" s="51"/>
      <c r="AV65" s="47"/>
      <c r="AW65" s="48"/>
      <c r="AX65" s="50"/>
      <c r="AY65" s="51"/>
      <c r="AZ65" s="51"/>
      <c r="BA65" s="51"/>
      <c r="BB65" s="51">
        <f t="shared" ref="BB65:BD65" si="63">IF(AND(ISNUMBER(Z65),COUNT(AG65,AM65,AS65,AY65)=2),Z65+SUM(AG65,AM65,AS65,AY65),"")</f>
        <v>0</v>
      </c>
      <c r="BC65" s="51">
        <f t="shared" si="63"/>
        <v>0</v>
      </c>
      <c r="BD65" s="51">
        <f t="shared" si="63"/>
        <v>0</v>
      </c>
    </row>
    <row r="66" ht="48.0" customHeight="1">
      <c r="A66" s="49" t="s">
        <v>40</v>
      </c>
      <c r="B66" s="49" t="str">
        <f t="array" ref="B66">INDEX('HD cty 2024'!B:B,MATCH('F0, F1, F2, ...'!$C66,'HD cty 2024'!B:B,0))</f>
        <v>#N/A</v>
      </c>
      <c r="C66" s="49">
        <v>75.0</v>
      </c>
      <c r="D66" s="50">
        <v>45350.0</v>
      </c>
      <c r="E66" s="51">
        <v>2.8721335E7</v>
      </c>
      <c r="F66" s="51">
        <v>2297707.0</v>
      </c>
      <c r="G66" s="51">
        <v>3.1019042E7</v>
      </c>
      <c r="H66" s="49" t="s">
        <v>414</v>
      </c>
      <c r="I66" s="52" t="s">
        <v>2731</v>
      </c>
      <c r="J66" s="50">
        <v>45803.0</v>
      </c>
      <c r="K66" s="51">
        <v>-63002.0</v>
      </c>
      <c r="L66" s="51">
        <v>-5040.0</v>
      </c>
      <c r="M66" s="51">
        <v>-68042.0</v>
      </c>
      <c r="N66" s="49"/>
      <c r="O66" s="52"/>
      <c r="P66" s="50"/>
      <c r="Q66" s="51"/>
      <c r="R66" s="51"/>
      <c r="S66" s="51"/>
      <c r="T66" s="49"/>
      <c r="U66" s="52"/>
      <c r="V66" s="50"/>
      <c r="W66" s="51"/>
      <c r="X66" s="51"/>
      <c r="Y66" s="51"/>
      <c r="Z66" s="51">
        <v>2.8658333E7</v>
      </c>
      <c r="AA66" s="51">
        <v>2292667.0</v>
      </c>
      <c r="AB66" s="51">
        <v>3.0951E7</v>
      </c>
      <c r="AC66" s="47"/>
      <c r="AD66" s="47" t="s">
        <v>2732</v>
      </c>
      <c r="AE66" s="48"/>
      <c r="AF66" s="50"/>
      <c r="AG66" s="51">
        <v>63002.0</v>
      </c>
      <c r="AH66" s="51">
        <v>5040.0</v>
      </c>
      <c r="AI66" s="51">
        <v>68042.0</v>
      </c>
      <c r="AJ66" s="47" t="s">
        <v>2733</v>
      </c>
      <c r="AK66" s="48"/>
      <c r="AL66" s="50"/>
      <c r="AM66" s="51">
        <v>-2.8721335E7</v>
      </c>
      <c r="AN66" s="51">
        <v>-2297707.0</v>
      </c>
      <c r="AO66" s="51">
        <v>-3.1019042E7</v>
      </c>
      <c r="AP66" s="47"/>
      <c r="AQ66" s="48"/>
      <c r="AR66" s="50"/>
      <c r="AS66" s="51"/>
      <c r="AT66" s="51"/>
      <c r="AU66" s="51"/>
      <c r="AV66" s="47"/>
      <c r="AW66" s="48"/>
      <c r="AX66" s="50"/>
      <c r="AY66" s="51"/>
      <c r="AZ66" s="51"/>
      <c r="BA66" s="51"/>
      <c r="BB66" s="51">
        <f t="shared" ref="BB66:BD66" si="64">IF(AND(ISNUMBER(Z66),COUNT(AG66,AM66,AS66,AY66)=2),Z66+SUM(AG66,AM66,AS66,AY66),"")</f>
        <v>0</v>
      </c>
      <c r="BC66" s="51">
        <f t="shared" si="64"/>
        <v>0</v>
      </c>
      <c r="BD66" s="51">
        <f t="shared" si="64"/>
        <v>0</v>
      </c>
    </row>
    <row r="67" ht="48.0" customHeight="1">
      <c r="A67" s="49" t="s">
        <v>40</v>
      </c>
      <c r="B67" s="49" t="str">
        <f t="array" ref="B67">INDEX('HD cty 2024'!B:B,MATCH('F0, F1, F2, ...'!$C67,'HD cty 2024'!B:B,0))</f>
        <v>#N/A</v>
      </c>
      <c r="C67" s="49">
        <v>76.0</v>
      </c>
      <c r="D67" s="50">
        <v>45352.0</v>
      </c>
      <c r="E67" s="51">
        <v>4.13675E7</v>
      </c>
      <c r="F67" s="51">
        <v>3309400.0</v>
      </c>
      <c r="G67" s="51">
        <v>4.46769E7</v>
      </c>
      <c r="H67" s="49" t="s">
        <v>414</v>
      </c>
      <c r="I67" s="52" t="s">
        <v>2734</v>
      </c>
      <c r="J67" s="50">
        <v>45803.0</v>
      </c>
      <c r="K67" s="51">
        <v>1175093.0</v>
      </c>
      <c r="L67" s="51">
        <v>94007.0</v>
      </c>
      <c r="M67" s="51">
        <v>1269100.0</v>
      </c>
      <c r="N67" s="49"/>
      <c r="O67" s="52"/>
      <c r="P67" s="50"/>
      <c r="Q67" s="51"/>
      <c r="R67" s="51"/>
      <c r="S67" s="51"/>
      <c r="T67" s="49"/>
      <c r="U67" s="52"/>
      <c r="V67" s="50"/>
      <c r="W67" s="51"/>
      <c r="X67" s="51"/>
      <c r="Y67" s="51"/>
      <c r="Z67" s="51">
        <v>4.2542593E7</v>
      </c>
      <c r="AA67" s="51">
        <v>3403407.0</v>
      </c>
      <c r="AB67" s="51">
        <v>4.5946E7</v>
      </c>
      <c r="AC67" s="47"/>
      <c r="AD67" s="47" t="s">
        <v>2735</v>
      </c>
      <c r="AE67" s="48"/>
      <c r="AF67" s="50"/>
      <c r="AG67" s="51">
        <v>-1175093.0</v>
      </c>
      <c r="AH67" s="51">
        <v>-94007.0</v>
      </c>
      <c r="AI67" s="51">
        <v>-1269100.0</v>
      </c>
      <c r="AJ67" s="47" t="s">
        <v>2736</v>
      </c>
      <c r="AK67" s="48"/>
      <c r="AL67" s="50"/>
      <c r="AM67" s="51">
        <v>-4.13675E7</v>
      </c>
      <c r="AN67" s="51">
        <v>-3309400.0</v>
      </c>
      <c r="AO67" s="51">
        <v>-4.46769E7</v>
      </c>
      <c r="AP67" s="47"/>
      <c r="AQ67" s="48"/>
      <c r="AR67" s="50"/>
      <c r="AS67" s="51"/>
      <c r="AT67" s="51"/>
      <c r="AU67" s="51"/>
      <c r="AV67" s="47"/>
      <c r="AW67" s="48"/>
      <c r="AX67" s="50"/>
      <c r="AY67" s="51"/>
      <c r="AZ67" s="51"/>
      <c r="BA67" s="51"/>
      <c r="BB67" s="51">
        <f t="shared" ref="BB67:BD67" si="65">IF(AND(ISNUMBER(Z67),COUNT(AG67,AM67,AS67,AY67)=2),Z67+SUM(AG67,AM67,AS67,AY67),"")</f>
        <v>0</v>
      </c>
      <c r="BC67" s="51">
        <f t="shared" si="65"/>
        <v>0</v>
      </c>
      <c r="BD67" s="51">
        <f t="shared" si="65"/>
        <v>0</v>
      </c>
    </row>
    <row r="68" ht="48.0" customHeight="1">
      <c r="A68" s="49" t="s">
        <v>40</v>
      </c>
      <c r="B68" s="49" t="str">
        <f t="array" ref="B68">INDEX('HD cty 2024'!B:B,MATCH('F0, F1, F2, ...'!$C68,'HD cty 2024'!B:B,0))</f>
        <v>#N/A</v>
      </c>
      <c r="C68" s="49">
        <v>77.0</v>
      </c>
      <c r="D68" s="50">
        <v>45352.0</v>
      </c>
      <c r="E68" s="51">
        <v>5.0252655E7</v>
      </c>
      <c r="F68" s="51">
        <v>4020212.0</v>
      </c>
      <c r="G68" s="51">
        <v>5.4272867E7</v>
      </c>
      <c r="H68" s="49" t="s">
        <v>40</v>
      </c>
      <c r="I68" s="52" t="s">
        <v>2737</v>
      </c>
      <c r="J68" s="50">
        <v>45408.0</v>
      </c>
      <c r="K68" s="51">
        <v>-2.228736E7</v>
      </c>
      <c r="L68" s="51">
        <v>-1782989.0</v>
      </c>
      <c r="M68" s="51">
        <v>-2.4070349E7</v>
      </c>
      <c r="N68" s="49" t="s">
        <v>414</v>
      </c>
      <c r="O68" s="52" t="s">
        <v>2738</v>
      </c>
      <c r="P68" s="50">
        <v>45808.0</v>
      </c>
      <c r="Q68" s="51">
        <v>2758779.0</v>
      </c>
      <c r="R68" s="51">
        <v>220702.0</v>
      </c>
      <c r="S68" s="51">
        <v>2979481.0</v>
      </c>
      <c r="T68" s="49"/>
      <c r="U68" s="52"/>
      <c r="V68" s="50"/>
      <c r="W68" s="51"/>
      <c r="X68" s="51"/>
      <c r="Y68" s="51"/>
      <c r="Z68" s="51">
        <v>3.0724074E7</v>
      </c>
      <c r="AA68" s="51">
        <v>2457925.0</v>
      </c>
      <c r="AB68" s="51">
        <v>3.3181999E7</v>
      </c>
      <c r="AC68" s="47"/>
      <c r="AD68" s="47" t="s">
        <v>2739</v>
      </c>
      <c r="AE68" s="48"/>
      <c r="AF68" s="50"/>
      <c r="AG68" s="51">
        <v>2.228736E7</v>
      </c>
      <c r="AH68" s="51">
        <v>1782989.0</v>
      </c>
      <c r="AI68" s="51">
        <v>2.4070349E7</v>
      </c>
      <c r="AJ68" s="47" t="s">
        <v>2740</v>
      </c>
      <c r="AK68" s="48"/>
      <c r="AL68" s="50"/>
      <c r="AM68" s="51">
        <v>-2758779.0</v>
      </c>
      <c r="AN68" s="51">
        <v>-220702.0</v>
      </c>
      <c r="AO68" s="51">
        <v>-2979481.0</v>
      </c>
      <c r="AP68" s="47" t="s">
        <v>2741</v>
      </c>
      <c r="AQ68" s="48"/>
      <c r="AR68" s="50"/>
      <c r="AS68" s="51">
        <v>-5.0252655E7</v>
      </c>
      <c r="AT68" s="51">
        <v>-4020212.0</v>
      </c>
      <c r="AU68" s="51">
        <v>-5.4272867E7</v>
      </c>
      <c r="AV68" s="47"/>
      <c r="AW68" s="48"/>
      <c r="AX68" s="50"/>
      <c r="AY68" s="51"/>
      <c r="AZ68" s="51"/>
      <c r="BA68" s="51"/>
      <c r="BB68" s="51">
        <f t="shared" ref="BB68:BD68" si="66">IF(AND(ISNUMBER(Z68),COUNT(AG68,AM68,AS68,AY68)=3),Z68+SUM(AG68,AM68,AS68,AY68),"")</f>
        <v>0</v>
      </c>
      <c r="BC68" s="51">
        <f t="shared" si="66"/>
        <v>0</v>
      </c>
      <c r="BD68" s="51">
        <f t="shared" si="66"/>
        <v>0</v>
      </c>
    </row>
    <row r="69" ht="48.0" customHeight="1">
      <c r="A69" s="49" t="s">
        <v>40</v>
      </c>
      <c r="B69" s="49" t="str">
        <f t="array" ref="B69">INDEX('HD cty 2024'!B:B,MATCH('F0, F1, F2, ...'!$C69,'HD cty 2024'!B:B,0))</f>
        <v>#N/A</v>
      </c>
      <c r="C69" s="49">
        <v>79.0</v>
      </c>
      <c r="D69" s="50">
        <v>45352.0</v>
      </c>
      <c r="E69" s="51">
        <v>2.1006407E7</v>
      </c>
      <c r="F69" s="51">
        <v>1680513.0</v>
      </c>
      <c r="G69" s="51">
        <v>2.268692E7</v>
      </c>
      <c r="H69" s="49" t="s">
        <v>414</v>
      </c>
      <c r="I69" s="52" t="s">
        <v>2742</v>
      </c>
      <c r="J69" s="50">
        <v>45803.0</v>
      </c>
      <c r="K69" s="51">
        <v>1438963.0</v>
      </c>
      <c r="L69" s="51">
        <v>115117.0</v>
      </c>
      <c r="M69" s="51">
        <v>1554080.0</v>
      </c>
      <c r="N69" s="49"/>
      <c r="O69" s="52"/>
      <c r="P69" s="50"/>
      <c r="Q69" s="51"/>
      <c r="R69" s="51"/>
      <c r="S69" s="51"/>
      <c r="T69" s="49"/>
      <c r="U69" s="52"/>
      <c r="V69" s="50"/>
      <c r="W69" s="51"/>
      <c r="X69" s="51"/>
      <c r="Y69" s="51"/>
      <c r="Z69" s="51">
        <v>2.244537E7</v>
      </c>
      <c r="AA69" s="51">
        <v>1795630.0</v>
      </c>
      <c r="AB69" s="51">
        <v>2.4241E7</v>
      </c>
      <c r="AC69" s="47"/>
      <c r="AD69" s="47" t="s">
        <v>2743</v>
      </c>
      <c r="AE69" s="48"/>
      <c r="AF69" s="50"/>
      <c r="AG69" s="51">
        <v>-1438963.0</v>
      </c>
      <c r="AH69" s="51">
        <v>-115117.0</v>
      </c>
      <c r="AI69" s="51">
        <v>-1554080.0</v>
      </c>
      <c r="AJ69" s="47" t="s">
        <v>2744</v>
      </c>
      <c r="AK69" s="48"/>
      <c r="AL69" s="50"/>
      <c r="AM69" s="51">
        <v>-2.1006407E7</v>
      </c>
      <c r="AN69" s="51">
        <v>-1680513.0</v>
      </c>
      <c r="AO69" s="51">
        <v>-2.268692E7</v>
      </c>
      <c r="AP69" s="47"/>
      <c r="AQ69" s="48"/>
      <c r="AR69" s="50"/>
      <c r="AS69" s="51"/>
      <c r="AT69" s="51"/>
      <c r="AU69" s="51"/>
      <c r="AV69" s="47"/>
      <c r="AW69" s="48"/>
      <c r="AX69" s="50"/>
      <c r="AY69" s="51"/>
      <c r="AZ69" s="51"/>
      <c r="BA69" s="51"/>
      <c r="BB69" s="51">
        <f t="shared" ref="BB69:BD69" si="67">IF(AND(ISNUMBER(Z69),COUNT(AG69,AM69,AS69,AY69)=2),Z69+SUM(AG69,AM69,AS69,AY69),"")</f>
        <v>0</v>
      </c>
      <c r="BC69" s="51">
        <f t="shared" si="67"/>
        <v>0</v>
      </c>
      <c r="BD69" s="51">
        <f t="shared" si="67"/>
        <v>0</v>
      </c>
    </row>
    <row r="70" ht="48.0" customHeight="1">
      <c r="A70" s="49" t="s">
        <v>40</v>
      </c>
      <c r="B70" s="49" t="str">
        <f t="array" ref="B70">INDEX('HD cty 2024'!B:B,MATCH('F0, F1, F2, ...'!$C70,'HD cty 2024'!B:B,0))</f>
        <v>#N/A</v>
      </c>
      <c r="C70" s="49">
        <v>81.0</v>
      </c>
      <c r="D70" s="50">
        <v>45352.0</v>
      </c>
      <c r="E70" s="51">
        <v>2196955.0</v>
      </c>
      <c r="F70" s="51">
        <v>175756.0</v>
      </c>
      <c r="G70" s="51">
        <v>2372711.0</v>
      </c>
      <c r="H70" s="49" t="s">
        <v>414</v>
      </c>
      <c r="I70" s="52" t="s">
        <v>2745</v>
      </c>
      <c r="J70" s="50">
        <v>45807.0</v>
      </c>
      <c r="K70" s="51">
        <v>-48822.0</v>
      </c>
      <c r="L70" s="51">
        <v>-3906.0</v>
      </c>
      <c r="M70" s="51">
        <v>-52728.0</v>
      </c>
      <c r="N70" s="49"/>
      <c r="O70" s="52"/>
      <c r="P70" s="50"/>
      <c r="Q70" s="51"/>
      <c r="R70" s="51"/>
      <c r="S70" s="51"/>
      <c r="T70" s="49"/>
      <c r="U70" s="52"/>
      <c r="V70" s="50"/>
      <c r="W70" s="51"/>
      <c r="X70" s="51"/>
      <c r="Y70" s="51"/>
      <c r="Z70" s="51">
        <v>2148133.0</v>
      </c>
      <c r="AA70" s="51">
        <v>171850.0</v>
      </c>
      <c r="AB70" s="51">
        <v>2319983.0</v>
      </c>
      <c r="AC70" s="47"/>
      <c r="AD70" s="47" t="s">
        <v>2746</v>
      </c>
      <c r="AE70" s="48"/>
      <c r="AF70" s="50"/>
      <c r="AG70" s="51">
        <v>48822.0</v>
      </c>
      <c r="AH70" s="51">
        <v>3906.0</v>
      </c>
      <c r="AI70" s="51">
        <v>52728.0</v>
      </c>
      <c r="AJ70" s="47" t="s">
        <v>2747</v>
      </c>
      <c r="AK70" s="48"/>
      <c r="AL70" s="50"/>
      <c r="AM70" s="51">
        <v>-2196955.0</v>
      </c>
      <c r="AN70" s="51">
        <v>-175756.0</v>
      </c>
      <c r="AO70" s="51">
        <v>-2372711.0</v>
      </c>
      <c r="AP70" s="47"/>
      <c r="AQ70" s="48"/>
      <c r="AR70" s="50"/>
      <c r="AS70" s="51"/>
      <c r="AT70" s="51"/>
      <c r="AU70" s="51"/>
      <c r="AV70" s="47"/>
      <c r="AW70" s="48"/>
      <c r="AX70" s="50"/>
      <c r="AY70" s="51"/>
      <c r="AZ70" s="51"/>
      <c r="BA70" s="51"/>
      <c r="BB70" s="51">
        <f t="shared" ref="BB70:BD70" si="68">IF(AND(ISNUMBER(Z70),COUNT(AG70,AM70,AS70,AY70)=2),Z70+SUM(AG70,AM70,AS70,AY70),"")</f>
        <v>0</v>
      </c>
      <c r="BC70" s="51">
        <f t="shared" si="68"/>
        <v>0</v>
      </c>
      <c r="BD70" s="51">
        <f t="shared" si="68"/>
        <v>0</v>
      </c>
    </row>
    <row r="71" ht="48.0" customHeight="1">
      <c r="A71" s="49" t="s">
        <v>40</v>
      </c>
      <c r="B71" s="49" t="str">
        <f t="array" ref="B71">INDEX('HD cty 2024'!B:B,MATCH('F0, F1, F2, ...'!$C71,'HD cty 2024'!B:B,0))</f>
        <v>#N/A</v>
      </c>
      <c r="C71" s="49">
        <v>82.0</v>
      </c>
      <c r="D71" s="50">
        <v>45352.0</v>
      </c>
      <c r="E71" s="51">
        <v>2.6975577E7</v>
      </c>
      <c r="F71" s="51">
        <v>2158046.0</v>
      </c>
      <c r="G71" s="51">
        <v>2.9133623E7</v>
      </c>
      <c r="H71" s="49" t="s">
        <v>414</v>
      </c>
      <c r="I71" s="52" t="s">
        <v>2748</v>
      </c>
      <c r="J71" s="50">
        <v>45803.0</v>
      </c>
      <c r="K71" s="51">
        <v>2763312.0</v>
      </c>
      <c r="L71" s="51">
        <v>221065.0</v>
      </c>
      <c r="M71" s="51">
        <v>2984377.0</v>
      </c>
      <c r="N71" s="49"/>
      <c r="O71" s="52"/>
      <c r="P71" s="50"/>
      <c r="Q71" s="51"/>
      <c r="R71" s="51"/>
      <c r="S71" s="51"/>
      <c r="T71" s="49"/>
      <c r="U71" s="52"/>
      <c r="V71" s="50"/>
      <c r="W71" s="51"/>
      <c r="X71" s="51"/>
      <c r="Y71" s="51"/>
      <c r="Z71" s="51">
        <v>2.9738889E7</v>
      </c>
      <c r="AA71" s="51">
        <v>2379111.0</v>
      </c>
      <c r="AB71" s="51">
        <v>3.2118E7</v>
      </c>
      <c r="AC71" s="47"/>
      <c r="AD71" s="47" t="s">
        <v>2749</v>
      </c>
      <c r="AE71" s="48"/>
      <c r="AF71" s="50"/>
      <c r="AG71" s="51">
        <v>-2763312.0</v>
      </c>
      <c r="AH71" s="51">
        <v>-221065.0</v>
      </c>
      <c r="AI71" s="51">
        <v>-2984377.0</v>
      </c>
      <c r="AJ71" s="47" t="s">
        <v>2750</v>
      </c>
      <c r="AK71" s="48"/>
      <c r="AL71" s="50"/>
      <c r="AM71" s="51">
        <v>-2.6975577E7</v>
      </c>
      <c r="AN71" s="51">
        <v>-2158046.0</v>
      </c>
      <c r="AO71" s="51">
        <v>-2.9133623E7</v>
      </c>
      <c r="AP71" s="47"/>
      <c r="AQ71" s="48"/>
      <c r="AR71" s="50"/>
      <c r="AS71" s="51"/>
      <c r="AT71" s="51"/>
      <c r="AU71" s="51"/>
      <c r="AV71" s="47"/>
      <c r="AW71" s="48"/>
      <c r="AX71" s="50"/>
      <c r="AY71" s="51"/>
      <c r="AZ71" s="51"/>
      <c r="BA71" s="51"/>
      <c r="BB71" s="51">
        <f t="shared" ref="BB71:BD71" si="69">IF(AND(ISNUMBER(Z71),COUNT(AG71,AM71,AS71,AY71)=2),Z71+SUM(AG71,AM71,AS71,AY71),"")</f>
        <v>0</v>
      </c>
      <c r="BC71" s="51">
        <f t="shared" si="69"/>
        <v>0</v>
      </c>
      <c r="BD71" s="51">
        <f t="shared" si="69"/>
        <v>0</v>
      </c>
    </row>
    <row r="72" ht="48.0" customHeight="1">
      <c r="A72" s="49" t="s">
        <v>40</v>
      </c>
      <c r="B72" s="49" t="str">
        <f t="array" ref="B72">INDEX('HD cty 2024'!B:B,MATCH('F0, F1, F2, ...'!$C72,'HD cty 2024'!B:B,0))</f>
        <v>#N/A</v>
      </c>
      <c r="C72" s="49">
        <v>83.0</v>
      </c>
      <c r="D72" s="50">
        <v>45352.0</v>
      </c>
      <c r="E72" s="51">
        <v>2.64834E7</v>
      </c>
      <c r="F72" s="51">
        <v>2118672.0</v>
      </c>
      <c r="G72" s="51">
        <v>2.8602072E7</v>
      </c>
      <c r="H72" s="49" t="s">
        <v>414</v>
      </c>
      <c r="I72" s="52" t="s">
        <v>2751</v>
      </c>
      <c r="J72" s="50">
        <v>45803.0</v>
      </c>
      <c r="K72" s="51">
        <v>111044.0</v>
      </c>
      <c r="L72" s="51">
        <v>8884.0</v>
      </c>
      <c r="M72" s="51">
        <v>119928.0</v>
      </c>
      <c r="N72" s="49"/>
      <c r="O72" s="52"/>
      <c r="P72" s="50"/>
      <c r="Q72" s="51"/>
      <c r="R72" s="51"/>
      <c r="S72" s="51"/>
      <c r="T72" s="49"/>
      <c r="U72" s="52"/>
      <c r="V72" s="50"/>
      <c r="W72" s="51"/>
      <c r="X72" s="51"/>
      <c r="Y72" s="51"/>
      <c r="Z72" s="51">
        <v>2.6594444E7</v>
      </c>
      <c r="AA72" s="51">
        <v>2127556.0</v>
      </c>
      <c r="AB72" s="51">
        <v>2.8722E7</v>
      </c>
      <c r="AC72" s="47"/>
      <c r="AD72" s="47" t="s">
        <v>2752</v>
      </c>
      <c r="AE72" s="48"/>
      <c r="AF72" s="50"/>
      <c r="AG72" s="51">
        <v>-111044.0</v>
      </c>
      <c r="AH72" s="51">
        <v>-8884.0</v>
      </c>
      <c r="AI72" s="51">
        <v>-119928.0</v>
      </c>
      <c r="AJ72" s="47" t="s">
        <v>2753</v>
      </c>
      <c r="AK72" s="48"/>
      <c r="AL72" s="50"/>
      <c r="AM72" s="51">
        <v>-2.64834E7</v>
      </c>
      <c r="AN72" s="51">
        <v>-2118672.0</v>
      </c>
      <c r="AO72" s="51">
        <v>-2.8602072E7</v>
      </c>
      <c r="AP72" s="47"/>
      <c r="AQ72" s="48"/>
      <c r="AR72" s="50"/>
      <c r="AS72" s="51"/>
      <c r="AT72" s="51"/>
      <c r="AU72" s="51"/>
      <c r="AV72" s="47"/>
      <c r="AW72" s="48"/>
      <c r="AX72" s="50"/>
      <c r="AY72" s="51"/>
      <c r="AZ72" s="51"/>
      <c r="BA72" s="51"/>
      <c r="BB72" s="51">
        <f t="shared" ref="BB72:BD72" si="70">IF(AND(ISNUMBER(Z72),COUNT(AG72,AM72,AS72,AY72)=2),Z72+SUM(AG72,AM72,AS72,AY72),"")</f>
        <v>0</v>
      </c>
      <c r="BC72" s="51">
        <f t="shared" si="70"/>
        <v>0</v>
      </c>
      <c r="BD72" s="51">
        <f t="shared" si="70"/>
        <v>0</v>
      </c>
    </row>
    <row r="73" ht="48.0" customHeight="1">
      <c r="A73" s="49" t="s">
        <v>40</v>
      </c>
      <c r="B73" s="49" t="str">
        <f t="array" ref="B73">INDEX('HD cty 2024'!B:B,MATCH('F0, F1, F2, ...'!$C73,'HD cty 2024'!B:B,0))</f>
        <v>#N/A</v>
      </c>
      <c r="C73" s="49">
        <v>84.0</v>
      </c>
      <c r="D73" s="50">
        <v>45352.0</v>
      </c>
      <c r="E73" s="51">
        <v>1.970838E7</v>
      </c>
      <c r="F73" s="51">
        <v>1576670.0</v>
      </c>
      <c r="G73" s="51">
        <v>2.128505E7</v>
      </c>
      <c r="H73" s="49" t="s">
        <v>414</v>
      </c>
      <c r="I73" s="52" t="s">
        <v>2754</v>
      </c>
      <c r="J73" s="50">
        <v>45803.0</v>
      </c>
      <c r="K73" s="51">
        <v>1711527.0</v>
      </c>
      <c r="L73" s="51">
        <v>136922.0</v>
      </c>
      <c r="M73" s="51">
        <v>1848449.0</v>
      </c>
      <c r="N73" s="49"/>
      <c r="O73" s="52"/>
      <c r="P73" s="50"/>
      <c r="Q73" s="51"/>
      <c r="R73" s="51"/>
      <c r="S73" s="51"/>
      <c r="T73" s="49"/>
      <c r="U73" s="52"/>
      <c r="V73" s="50"/>
      <c r="W73" s="51"/>
      <c r="X73" s="51"/>
      <c r="Y73" s="51"/>
      <c r="Z73" s="51">
        <v>2.1419907E7</v>
      </c>
      <c r="AA73" s="51">
        <v>1713592.0</v>
      </c>
      <c r="AB73" s="51">
        <v>2.3133499E7</v>
      </c>
      <c r="AC73" s="47"/>
      <c r="AD73" s="47" t="s">
        <v>2755</v>
      </c>
      <c r="AE73" s="48"/>
      <c r="AF73" s="50"/>
      <c r="AG73" s="51">
        <v>-1711527.0</v>
      </c>
      <c r="AH73" s="51">
        <v>-136922.0</v>
      </c>
      <c r="AI73" s="51">
        <v>-1848449.0</v>
      </c>
      <c r="AJ73" s="47" t="s">
        <v>2756</v>
      </c>
      <c r="AK73" s="48"/>
      <c r="AL73" s="50"/>
      <c r="AM73" s="51">
        <v>-1.970838E7</v>
      </c>
      <c r="AN73" s="51">
        <v>-1576670.0</v>
      </c>
      <c r="AO73" s="51">
        <v>-2.128505E7</v>
      </c>
      <c r="AP73" s="47"/>
      <c r="AQ73" s="48"/>
      <c r="AR73" s="50"/>
      <c r="AS73" s="51"/>
      <c r="AT73" s="51"/>
      <c r="AU73" s="51"/>
      <c r="AV73" s="47"/>
      <c r="AW73" s="48"/>
      <c r="AX73" s="50"/>
      <c r="AY73" s="51"/>
      <c r="AZ73" s="51"/>
      <c r="BA73" s="51"/>
      <c r="BB73" s="51">
        <f t="shared" ref="BB73:BD73" si="71">IF(AND(ISNUMBER(Z73),COUNT(AG73,AM73,AS73,AY73)=2),Z73+SUM(AG73,AM73,AS73,AY73),"")</f>
        <v>0</v>
      </c>
      <c r="BC73" s="51">
        <f t="shared" si="71"/>
        <v>0</v>
      </c>
      <c r="BD73" s="51">
        <f t="shared" si="71"/>
        <v>0</v>
      </c>
    </row>
    <row r="74" ht="48.0" customHeight="1">
      <c r="A74" s="49" t="s">
        <v>40</v>
      </c>
      <c r="B74" s="49" t="str">
        <f t="array" ref="B74">INDEX('HD cty 2024'!B:B,MATCH('F0, F1, F2, ...'!$C74,'HD cty 2024'!B:B,0))</f>
        <v>#N/A</v>
      </c>
      <c r="C74" s="49">
        <v>85.0</v>
      </c>
      <c r="D74" s="50">
        <v>45352.0</v>
      </c>
      <c r="E74" s="51">
        <v>9071140.0</v>
      </c>
      <c r="F74" s="51">
        <v>725691.0</v>
      </c>
      <c r="G74" s="51">
        <v>9796831.0</v>
      </c>
      <c r="H74" s="49" t="s">
        <v>414</v>
      </c>
      <c r="I74" s="52" t="s">
        <v>2757</v>
      </c>
      <c r="J74" s="50">
        <v>45803.0</v>
      </c>
      <c r="K74" s="51">
        <v>655465.0</v>
      </c>
      <c r="L74" s="51">
        <v>52437.0</v>
      </c>
      <c r="M74" s="51">
        <v>707902.0</v>
      </c>
      <c r="N74" s="49"/>
      <c r="O74" s="52"/>
      <c r="P74" s="50"/>
      <c r="Q74" s="51"/>
      <c r="R74" s="51"/>
      <c r="S74" s="51"/>
      <c r="T74" s="49"/>
      <c r="U74" s="52"/>
      <c r="V74" s="50"/>
      <c r="W74" s="51"/>
      <c r="X74" s="51"/>
      <c r="Y74" s="51"/>
      <c r="Z74" s="51">
        <v>9726605.0</v>
      </c>
      <c r="AA74" s="51">
        <v>778128.0</v>
      </c>
      <c r="AB74" s="51">
        <v>1.0504733E7</v>
      </c>
      <c r="AC74" s="47"/>
      <c r="AD74" s="47" t="s">
        <v>2758</v>
      </c>
      <c r="AE74" s="48"/>
      <c r="AF74" s="50"/>
      <c r="AG74" s="51">
        <v>-655465.0</v>
      </c>
      <c r="AH74" s="51">
        <v>-52437.0</v>
      </c>
      <c r="AI74" s="51">
        <v>-707902.0</v>
      </c>
      <c r="AJ74" s="47" t="s">
        <v>2759</v>
      </c>
      <c r="AK74" s="48"/>
      <c r="AL74" s="50"/>
      <c r="AM74" s="51">
        <v>-9071140.0</v>
      </c>
      <c r="AN74" s="51">
        <v>-725691.0</v>
      </c>
      <c r="AO74" s="51">
        <v>-9796831.0</v>
      </c>
      <c r="AP74" s="47"/>
      <c r="AQ74" s="48"/>
      <c r="AR74" s="50"/>
      <c r="AS74" s="51"/>
      <c r="AT74" s="51"/>
      <c r="AU74" s="51"/>
      <c r="AV74" s="47"/>
      <c r="AW74" s="48"/>
      <c r="AX74" s="50"/>
      <c r="AY74" s="51"/>
      <c r="AZ74" s="51"/>
      <c r="BA74" s="51"/>
      <c r="BB74" s="51">
        <f t="shared" ref="BB74:BD74" si="72">IF(AND(ISNUMBER(Z74),COUNT(AG74,AM74,AS74,AY74)=2),Z74+SUM(AG74,AM74,AS74,AY74),"")</f>
        <v>0</v>
      </c>
      <c r="BC74" s="51">
        <f t="shared" si="72"/>
        <v>0</v>
      </c>
      <c r="BD74" s="51">
        <f t="shared" si="72"/>
        <v>0</v>
      </c>
    </row>
    <row r="75" ht="48.0" customHeight="1">
      <c r="A75" s="49" t="s">
        <v>40</v>
      </c>
      <c r="B75" s="49" t="str">
        <f t="array" ref="B75">INDEX('HD cty 2024'!B:B,MATCH('F0, F1, F2, ...'!$C75,'HD cty 2024'!B:B,0))</f>
        <v>#N/A</v>
      </c>
      <c r="C75" s="49">
        <v>86.0</v>
      </c>
      <c r="D75" s="50">
        <v>45352.0</v>
      </c>
      <c r="E75" s="51">
        <v>3.7697224E7</v>
      </c>
      <c r="F75" s="51">
        <v>3015778.0</v>
      </c>
      <c r="G75" s="51">
        <v>4.0713002E7</v>
      </c>
      <c r="H75" s="49" t="s">
        <v>414</v>
      </c>
      <c r="I75" s="52" t="s">
        <v>2760</v>
      </c>
      <c r="J75" s="50">
        <v>45803.0</v>
      </c>
      <c r="K75" s="51">
        <v>1906480.0</v>
      </c>
      <c r="L75" s="51">
        <v>152518.0</v>
      </c>
      <c r="M75" s="51">
        <v>2058998.0</v>
      </c>
      <c r="N75" s="49"/>
      <c r="O75" s="52"/>
      <c r="P75" s="50"/>
      <c r="Q75" s="51"/>
      <c r="R75" s="51"/>
      <c r="S75" s="51"/>
      <c r="T75" s="49"/>
      <c r="U75" s="52"/>
      <c r="V75" s="50"/>
      <c r="W75" s="51"/>
      <c r="X75" s="51"/>
      <c r="Y75" s="51"/>
      <c r="Z75" s="51">
        <v>3.9603704E7</v>
      </c>
      <c r="AA75" s="51">
        <v>3168296.0</v>
      </c>
      <c r="AB75" s="51">
        <v>4.2772E7</v>
      </c>
      <c r="AC75" s="47"/>
      <c r="AD75" s="47" t="s">
        <v>2761</v>
      </c>
      <c r="AE75" s="48"/>
      <c r="AF75" s="50"/>
      <c r="AG75" s="51">
        <v>-1906480.0</v>
      </c>
      <c r="AH75" s="51">
        <v>-152518.0</v>
      </c>
      <c r="AI75" s="51">
        <v>-2058998.0</v>
      </c>
      <c r="AJ75" s="47" t="s">
        <v>2762</v>
      </c>
      <c r="AK75" s="48"/>
      <c r="AL75" s="50"/>
      <c r="AM75" s="51">
        <v>-3.7697224E7</v>
      </c>
      <c r="AN75" s="51">
        <v>-3015778.0</v>
      </c>
      <c r="AO75" s="51">
        <v>-4.0713002E7</v>
      </c>
      <c r="AP75" s="47"/>
      <c r="AQ75" s="48"/>
      <c r="AR75" s="50"/>
      <c r="AS75" s="51"/>
      <c r="AT75" s="51"/>
      <c r="AU75" s="51"/>
      <c r="AV75" s="47"/>
      <c r="AW75" s="48"/>
      <c r="AX75" s="50"/>
      <c r="AY75" s="51"/>
      <c r="AZ75" s="51"/>
      <c r="BA75" s="51"/>
      <c r="BB75" s="51">
        <f t="shared" ref="BB75:BD75" si="73">IF(AND(ISNUMBER(Z75),COUNT(AG75,AM75,AS75,AY75)=2),Z75+SUM(AG75,AM75,AS75,AY75),"")</f>
        <v>0</v>
      </c>
      <c r="BC75" s="51">
        <f t="shared" si="73"/>
        <v>0</v>
      </c>
      <c r="BD75" s="51">
        <f t="shared" si="73"/>
        <v>0</v>
      </c>
    </row>
    <row r="76" ht="48.0" customHeight="1">
      <c r="A76" s="49" t="s">
        <v>40</v>
      </c>
      <c r="B76" s="49" t="str">
        <f t="array" ref="B76">INDEX('HD cty 2024'!B:B,MATCH('F0, F1, F2, ...'!$C76,'HD cty 2024'!B:B,0))</f>
        <v>#N/A</v>
      </c>
      <c r="C76" s="49">
        <v>88.0</v>
      </c>
      <c r="D76" s="50">
        <v>45352.0</v>
      </c>
      <c r="E76" s="51">
        <v>5.1073204E7</v>
      </c>
      <c r="F76" s="51">
        <v>4085856.0</v>
      </c>
      <c r="G76" s="51">
        <v>5.515906E7</v>
      </c>
      <c r="H76" s="49" t="s">
        <v>414</v>
      </c>
      <c r="I76" s="52" t="s">
        <v>2763</v>
      </c>
      <c r="J76" s="50">
        <v>45803.0</v>
      </c>
      <c r="K76" s="51">
        <v>3689759.0</v>
      </c>
      <c r="L76" s="51">
        <v>295181.0</v>
      </c>
      <c r="M76" s="51">
        <v>3984940.0</v>
      </c>
      <c r="N76" s="49"/>
      <c r="O76" s="52"/>
      <c r="P76" s="50"/>
      <c r="Q76" s="51"/>
      <c r="R76" s="51"/>
      <c r="S76" s="51"/>
      <c r="T76" s="49"/>
      <c r="U76" s="52"/>
      <c r="V76" s="50"/>
      <c r="W76" s="51"/>
      <c r="X76" s="51"/>
      <c r="Y76" s="51"/>
      <c r="Z76" s="51">
        <v>5.4762963E7</v>
      </c>
      <c r="AA76" s="51">
        <v>4381037.0</v>
      </c>
      <c r="AB76" s="51">
        <v>5.9144E7</v>
      </c>
      <c r="AC76" s="47"/>
      <c r="AD76" s="47" t="s">
        <v>2764</v>
      </c>
      <c r="AE76" s="48"/>
      <c r="AF76" s="50"/>
      <c r="AG76" s="51">
        <v>-3689759.0</v>
      </c>
      <c r="AH76" s="51">
        <v>-295181.0</v>
      </c>
      <c r="AI76" s="51">
        <v>-3984940.0</v>
      </c>
      <c r="AJ76" s="47" t="s">
        <v>2765</v>
      </c>
      <c r="AK76" s="48"/>
      <c r="AL76" s="50"/>
      <c r="AM76" s="51">
        <v>-5.1073204E7</v>
      </c>
      <c r="AN76" s="51">
        <v>-4085856.0</v>
      </c>
      <c r="AO76" s="51">
        <v>-5.515906E7</v>
      </c>
      <c r="AP76" s="47"/>
      <c r="AQ76" s="48"/>
      <c r="AR76" s="50"/>
      <c r="AS76" s="51"/>
      <c r="AT76" s="51"/>
      <c r="AU76" s="51"/>
      <c r="AV76" s="47"/>
      <c r="AW76" s="48"/>
      <c r="AX76" s="50"/>
      <c r="AY76" s="51"/>
      <c r="AZ76" s="51"/>
      <c r="BA76" s="51"/>
      <c r="BB76" s="51">
        <f t="shared" ref="BB76:BD76" si="74">IF(AND(ISNUMBER(Z76),COUNT(AG76,AM76,AS76,AY76)=2),Z76+SUM(AG76,AM76,AS76,AY76),"")</f>
        <v>0</v>
      </c>
      <c r="BC76" s="51">
        <f t="shared" si="74"/>
        <v>0</v>
      </c>
      <c r="BD76" s="51">
        <f t="shared" si="74"/>
        <v>0</v>
      </c>
    </row>
    <row r="77" ht="48.0" customHeight="1">
      <c r="A77" s="49" t="s">
        <v>40</v>
      </c>
      <c r="B77" s="49" t="str">
        <f t="array" ref="B77">INDEX('HD cty 2024'!B:B,MATCH('F0, F1, F2, ...'!$C77,'HD cty 2024'!B:B,0))</f>
        <v>#N/A</v>
      </c>
      <c r="C77" s="49">
        <v>90.0</v>
      </c>
      <c r="D77" s="50">
        <v>45352.0</v>
      </c>
      <c r="E77" s="51">
        <v>2.4714787E7</v>
      </c>
      <c r="F77" s="51">
        <v>1977183.0</v>
      </c>
      <c r="G77" s="51">
        <v>2.669197E7</v>
      </c>
      <c r="H77" s="49" t="s">
        <v>414</v>
      </c>
      <c r="I77" s="52" t="s">
        <v>2766</v>
      </c>
      <c r="J77" s="50">
        <v>45803.0</v>
      </c>
      <c r="K77" s="51">
        <v>885213.0</v>
      </c>
      <c r="L77" s="51">
        <v>70817.0</v>
      </c>
      <c r="M77" s="51">
        <v>956030.0</v>
      </c>
      <c r="N77" s="49"/>
      <c r="O77" s="52"/>
      <c r="P77" s="50"/>
      <c r="Q77" s="51"/>
      <c r="R77" s="51"/>
      <c r="S77" s="51"/>
      <c r="T77" s="49"/>
      <c r="U77" s="52"/>
      <c r="V77" s="50"/>
      <c r="W77" s="51"/>
      <c r="X77" s="51"/>
      <c r="Y77" s="51"/>
      <c r="Z77" s="51">
        <v>2.56E7</v>
      </c>
      <c r="AA77" s="51">
        <v>2048000.0</v>
      </c>
      <c r="AB77" s="51">
        <v>2.7648E7</v>
      </c>
      <c r="AC77" s="47"/>
      <c r="AD77" s="47" t="s">
        <v>2767</v>
      </c>
      <c r="AE77" s="48"/>
      <c r="AF77" s="50"/>
      <c r="AG77" s="51">
        <v>-885213.0</v>
      </c>
      <c r="AH77" s="51">
        <v>-70817.0</v>
      </c>
      <c r="AI77" s="51">
        <v>-956030.0</v>
      </c>
      <c r="AJ77" s="47" t="s">
        <v>2768</v>
      </c>
      <c r="AK77" s="48"/>
      <c r="AL77" s="50"/>
      <c r="AM77" s="51">
        <v>-2.4714787E7</v>
      </c>
      <c r="AN77" s="51">
        <v>-1977183.0</v>
      </c>
      <c r="AO77" s="51">
        <v>-2.669197E7</v>
      </c>
      <c r="AP77" s="47"/>
      <c r="AQ77" s="48"/>
      <c r="AR77" s="50"/>
      <c r="AS77" s="51"/>
      <c r="AT77" s="51"/>
      <c r="AU77" s="51"/>
      <c r="AV77" s="47"/>
      <c r="AW77" s="48"/>
      <c r="AX77" s="50"/>
      <c r="AY77" s="51"/>
      <c r="AZ77" s="51"/>
      <c r="BA77" s="51"/>
      <c r="BB77" s="51">
        <f t="shared" ref="BB77:BD77" si="75">IF(AND(ISNUMBER(Z77),COUNT(AG77,AM77,AS77,AY77)=2),Z77+SUM(AG77,AM77,AS77,AY77),"")</f>
        <v>0</v>
      </c>
      <c r="BC77" s="51">
        <f t="shared" si="75"/>
        <v>0</v>
      </c>
      <c r="BD77" s="51">
        <f t="shared" si="75"/>
        <v>0</v>
      </c>
    </row>
    <row r="78" ht="48.0" customHeight="1">
      <c r="A78" s="49" t="s">
        <v>40</v>
      </c>
      <c r="B78" s="49" t="str">
        <f t="array" ref="B78">INDEX('HD cty 2024'!B:B,MATCH('F0, F1, F2, ...'!$C78,'HD cty 2024'!B:B,0))</f>
        <v>#N/A</v>
      </c>
      <c r="C78" s="49">
        <v>91.0</v>
      </c>
      <c r="D78" s="50">
        <v>45352.0</v>
      </c>
      <c r="E78" s="51">
        <v>1.3319278E7</v>
      </c>
      <c r="F78" s="51">
        <v>1065542.0</v>
      </c>
      <c r="G78" s="51">
        <v>1.438482E7</v>
      </c>
      <c r="H78" s="49" t="s">
        <v>414</v>
      </c>
      <c r="I78" s="52" t="s">
        <v>2769</v>
      </c>
      <c r="J78" s="50">
        <v>45803.0</v>
      </c>
      <c r="K78" s="51">
        <v>1376092.0</v>
      </c>
      <c r="L78" s="51">
        <v>110087.0</v>
      </c>
      <c r="M78" s="51">
        <v>1486179.0</v>
      </c>
      <c r="N78" s="49"/>
      <c r="O78" s="52"/>
      <c r="P78" s="50"/>
      <c r="Q78" s="51"/>
      <c r="R78" s="51"/>
      <c r="S78" s="51"/>
      <c r="T78" s="49"/>
      <c r="U78" s="52"/>
      <c r="V78" s="50"/>
      <c r="W78" s="51"/>
      <c r="X78" s="51"/>
      <c r="Y78" s="51"/>
      <c r="Z78" s="51">
        <v>1.469537E7</v>
      </c>
      <c r="AA78" s="51">
        <v>1175629.0</v>
      </c>
      <c r="AB78" s="51">
        <v>1.5870999E7</v>
      </c>
      <c r="AC78" s="47"/>
      <c r="AD78" s="47" t="s">
        <v>2770</v>
      </c>
      <c r="AE78" s="48"/>
      <c r="AF78" s="50"/>
      <c r="AG78" s="51">
        <v>-1376092.0</v>
      </c>
      <c r="AH78" s="51">
        <v>-110087.0</v>
      </c>
      <c r="AI78" s="51">
        <v>-1486179.0</v>
      </c>
      <c r="AJ78" s="47" t="s">
        <v>2771</v>
      </c>
      <c r="AK78" s="48"/>
      <c r="AL78" s="50"/>
      <c r="AM78" s="51">
        <v>-1.3319278E7</v>
      </c>
      <c r="AN78" s="51">
        <v>-1065542.0</v>
      </c>
      <c r="AO78" s="51">
        <v>-1.438482E7</v>
      </c>
      <c r="AP78" s="47"/>
      <c r="AQ78" s="48"/>
      <c r="AR78" s="50"/>
      <c r="AS78" s="51"/>
      <c r="AT78" s="51"/>
      <c r="AU78" s="51"/>
      <c r="AV78" s="47"/>
      <c r="AW78" s="48"/>
      <c r="AX78" s="50"/>
      <c r="AY78" s="51"/>
      <c r="AZ78" s="51"/>
      <c r="BA78" s="51"/>
      <c r="BB78" s="51">
        <f t="shared" ref="BB78:BD78" si="76">IF(AND(ISNUMBER(Z78),COUNT(AG78,AM78,AS78,AY78)=2),Z78+SUM(AG78,AM78,AS78,AY78),"")</f>
        <v>0</v>
      </c>
      <c r="BC78" s="51">
        <f t="shared" si="76"/>
        <v>0</v>
      </c>
      <c r="BD78" s="51">
        <f t="shared" si="76"/>
        <v>0</v>
      </c>
    </row>
    <row r="79" ht="48.0" customHeight="1">
      <c r="A79" s="49" t="s">
        <v>40</v>
      </c>
      <c r="B79" s="49" t="str">
        <f t="array" ref="B79">INDEX('HD cty 2024'!B:B,MATCH('F0, F1, F2, ...'!$C79,'HD cty 2024'!B:B,0))</f>
        <v>#N/A</v>
      </c>
      <c r="C79" s="49">
        <v>92.0</v>
      </c>
      <c r="D79" s="50">
        <v>45352.0</v>
      </c>
      <c r="E79" s="51">
        <v>2.4991148E7</v>
      </c>
      <c r="F79" s="51">
        <v>1999292.0</v>
      </c>
      <c r="G79" s="51">
        <v>2.699044E7</v>
      </c>
      <c r="H79" s="49" t="s">
        <v>414</v>
      </c>
      <c r="I79" s="52" t="s">
        <v>2772</v>
      </c>
      <c r="J79" s="50">
        <v>45803.0</v>
      </c>
      <c r="K79" s="51">
        <v>867185.0</v>
      </c>
      <c r="L79" s="51">
        <v>69375.0</v>
      </c>
      <c r="M79" s="51">
        <v>936560.0</v>
      </c>
      <c r="N79" s="49"/>
      <c r="O79" s="52"/>
      <c r="P79" s="50"/>
      <c r="Q79" s="51"/>
      <c r="R79" s="51"/>
      <c r="S79" s="51"/>
      <c r="T79" s="49"/>
      <c r="U79" s="52"/>
      <c r="V79" s="50"/>
      <c r="W79" s="51"/>
      <c r="X79" s="51"/>
      <c r="Y79" s="51"/>
      <c r="Z79" s="51">
        <v>2.5858333E7</v>
      </c>
      <c r="AA79" s="51">
        <v>2068667.0</v>
      </c>
      <c r="AB79" s="51">
        <v>2.7927E7</v>
      </c>
      <c r="AC79" s="47"/>
      <c r="AD79" s="47" t="s">
        <v>2773</v>
      </c>
      <c r="AE79" s="48"/>
      <c r="AF79" s="50"/>
      <c r="AG79" s="51">
        <v>-867185.0</v>
      </c>
      <c r="AH79" s="51">
        <v>-69375.0</v>
      </c>
      <c r="AI79" s="51">
        <v>-936560.0</v>
      </c>
      <c r="AJ79" s="47" t="s">
        <v>2774</v>
      </c>
      <c r="AK79" s="48"/>
      <c r="AL79" s="50"/>
      <c r="AM79" s="51">
        <v>-2.4991148E7</v>
      </c>
      <c r="AN79" s="51">
        <v>-1999292.0</v>
      </c>
      <c r="AO79" s="51">
        <v>-2.699044E7</v>
      </c>
      <c r="AP79" s="47"/>
      <c r="AQ79" s="48"/>
      <c r="AR79" s="50"/>
      <c r="AS79" s="51"/>
      <c r="AT79" s="51"/>
      <c r="AU79" s="51"/>
      <c r="AV79" s="47"/>
      <c r="AW79" s="48"/>
      <c r="AX79" s="50"/>
      <c r="AY79" s="51"/>
      <c r="AZ79" s="51"/>
      <c r="BA79" s="51"/>
      <c r="BB79" s="51">
        <f t="shared" ref="BB79:BD79" si="77">IF(AND(ISNUMBER(Z79),COUNT(AG79,AM79,AS79,AY79)=2),Z79+SUM(AG79,AM79,AS79,AY79),"")</f>
        <v>0</v>
      </c>
      <c r="BC79" s="51">
        <f t="shared" si="77"/>
        <v>0</v>
      </c>
      <c r="BD79" s="51">
        <f t="shared" si="77"/>
        <v>0</v>
      </c>
    </row>
    <row r="80" ht="90.0" customHeight="1">
      <c r="A80" s="49" t="s">
        <v>40</v>
      </c>
      <c r="B80" s="49" t="str">
        <f t="array" ref="B80">INDEX('HD cty 2024'!B:B,MATCH('F0, F1, F2, ...'!$C80,'HD cty 2024'!B:B,0))</f>
        <v>#N/A</v>
      </c>
      <c r="C80" s="49">
        <v>93.0</v>
      </c>
      <c r="D80" s="50">
        <v>45352.0</v>
      </c>
      <c r="E80" s="51">
        <v>2.0222499E7</v>
      </c>
      <c r="F80" s="51">
        <v>1617800.0</v>
      </c>
      <c r="G80" s="51">
        <v>2.1840299E7</v>
      </c>
      <c r="H80" s="49" t="s">
        <v>414</v>
      </c>
      <c r="I80" s="52" t="s">
        <v>2775</v>
      </c>
      <c r="J80" s="50">
        <v>45803.0</v>
      </c>
      <c r="K80" s="51">
        <v>621945.0</v>
      </c>
      <c r="L80" s="51">
        <v>49756.0</v>
      </c>
      <c r="M80" s="51">
        <v>670701.0</v>
      </c>
      <c r="N80" s="49"/>
      <c r="O80" s="52"/>
      <c r="P80" s="50"/>
      <c r="Q80" s="51"/>
      <c r="R80" s="51"/>
      <c r="S80" s="51"/>
      <c r="T80" s="49"/>
      <c r="U80" s="52"/>
      <c r="V80" s="50"/>
      <c r="W80" s="51"/>
      <c r="X80" s="51"/>
      <c r="Y80" s="51"/>
      <c r="Z80" s="51">
        <v>2.0844444E7</v>
      </c>
      <c r="AA80" s="51">
        <v>1667556.0</v>
      </c>
      <c r="AB80" s="51">
        <v>2.2511E7</v>
      </c>
      <c r="AC80" s="47" t="s">
        <v>2776</v>
      </c>
      <c r="AD80" s="47" t="s">
        <v>2777</v>
      </c>
      <c r="AE80" s="48"/>
      <c r="AF80" s="50">
        <v>46307.0</v>
      </c>
      <c r="AG80" s="51">
        <v>-621945.0</v>
      </c>
      <c r="AH80" s="51">
        <v>-49756.0</v>
      </c>
      <c r="AI80" s="51">
        <v>-670701.0</v>
      </c>
      <c r="AJ80" s="47" t="s">
        <v>2778</v>
      </c>
      <c r="AK80" s="48"/>
      <c r="AL80" s="50">
        <v>46307.0</v>
      </c>
      <c r="AM80" s="51">
        <v>-2.0222499E7</v>
      </c>
      <c r="AN80" s="51">
        <v>-1617800.0</v>
      </c>
      <c r="AO80" s="51">
        <v>-2.1840299E7</v>
      </c>
      <c r="AP80" s="47"/>
      <c r="AQ80" s="48"/>
      <c r="AR80" s="50"/>
      <c r="AS80" s="51"/>
      <c r="AT80" s="51"/>
      <c r="AU80" s="51"/>
      <c r="AV80" s="47"/>
      <c r="AW80" s="48"/>
      <c r="AX80" s="50"/>
      <c r="AY80" s="51"/>
      <c r="AZ80" s="51"/>
      <c r="BA80" s="51"/>
      <c r="BB80" s="51">
        <f t="shared" ref="BB80:BD80" si="78">IF(AND(ISNUMBER(Z80),COUNT(AG80,AM80,AS80,AY80)=2),Z80+SUM(AG80,AM80,AS80,AY80),"")</f>
        <v>0</v>
      </c>
      <c r="BC80" s="51">
        <f t="shared" si="78"/>
        <v>0</v>
      </c>
      <c r="BD80" s="51">
        <f t="shared" si="78"/>
        <v>0</v>
      </c>
    </row>
    <row r="81" ht="48.0" customHeight="1">
      <c r="A81" s="49" t="s">
        <v>40</v>
      </c>
      <c r="B81" s="49" t="str">
        <f t="array" ref="B81">INDEX('HD cty 2024'!B:B,MATCH('F0, F1, F2, ...'!$C81,'HD cty 2024'!B:B,0))</f>
        <v>#N/A</v>
      </c>
      <c r="C81" s="49">
        <v>94.0</v>
      </c>
      <c r="D81" s="50">
        <v>45353.0</v>
      </c>
      <c r="E81" s="51">
        <v>3.0424591E7</v>
      </c>
      <c r="F81" s="51">
        <v>2433967.0</v>
      </c>
      <c r="G81" s="51">
        <v>3.2858558E7</v>
      </c>
      <c r="H81" s="49" t="s">
        <v>414</v>
      </c>
      <c r="I81" s="52" t="s">
        <v>2779</v>
      </c>
      <c r="J81" s="50">
        <v>45803.0</v>
      </c>
      <c r="K81" s="51">
        <v>1605039.0</v>
      </c>
      <c r="L81" s="51">
        <v>128403.0</v>
      </c>
      <c r="M81" s="51">
        <v>1733442.0</v>
      </c>
      <c r="N81" s="49"/>
      <c r="O81" s="52"/>
      <c r="P81" s="50"/>
      <c r="Q81" s="51"/>
      <c r="R81" s="51"/>
      <c r="S81" s="51"/>
      <c r="T81" s="49"/>
      <c r="U81" s="52"/>
      <c r="V81" s="50"/>
      <c r="W81" s="51"/>
      <c r="X81" s="51"/>
      <c r="Y81" s="51"/>
      <c r="Z81" s="51">
        <v>3.202963E7</v>
      </c>
      <c r="AA81" s="51">
        <v>2562370.0</v>
      </c>
      <c r="AB81" s="51">
        <v>3.4592E7</v>
      </c>
      <c r="AC81" s="47"/>
      <c r="AD81" s="47" t="s">
        <v>2780</v>
      </c>
      <c r="AE81" s="48"/>
      <c r="AF81" s="50"/>
      <c r="AG81" s="51">
        <v>-1605039.0</v>
      </c>
      <c r="AH81" s="51">
        <v>-128403.0</v>
      </c>
      <c r="AI81" s="51">
        <v>-1733442.0</v>
      </c>
      <c r="AJ81" s="47" t="s">
        <v>2781</v>
      </c>
      <c r="AK81" s="48"/>
      <c r="AL81" s="50"/>
      <c r="AM81" s="51">
        <v>-3.0424591E7</v>
      </c>
      <c r="AN81" s="51">
        <v>-2433967.0</v>
      </c>
      <c r="AO81" s="51">
        <v>-3.2858558E7</v>
      </c>
      <c r="AP81" s="47"/>
      <c r="AQ81" s="48"/>
      <c r="AR81" s="50"/>
      <c r="AS81" s="51"/>
      <c r="AT81" s="51"/>
      <c r="AU81" s="51"/>
      <c r="AV81" s="47"/>
      <c r="AW81" s="48"/>
      <c r="AX81" s="50"/>
      <c r="AY81" s="51"/>
      <c r="AZ81" s="51"/>
      <c r="BA81" s="51"/>
      <c r="BB81" s="51">
        <f t="shared" ref="BB81:BD81" si="79">IF(AND(ISNUMBER(Z81),COUNT(AG81,AM81,AS81,AY81)=2),Z81+SUM(AG81,AM81,AS81,AY81),"")</f>
        <v>0</v>
      </c>
      <c r="BC81" s="51">
        <f t="shared" si="79"/>
        <v>0</v>
      </c>
      <c r="BD81" s="51">
        <f t="shared" si="79"/>
        <v>0</v>
      </c>
    </row>
    <row r="82" ht="48.0" customHeight="1">
      <c r="A82" s="49" t="s">
        <v>40</v>
      </c>
      <c r="B82" s="49" t="str">
        <f t="array" ref="B82">INDEX('HD cty 2024'!B:B,MATCH('F0, F1, F2, ...'!$C82,'HD cty 2024'!B:B,0))</f>
        <v>#N/A</v>
      </c>
      <c r="C82" s="49">
        <v>95.0</v>
      </c>
      <c r="D82" s="50">
        <v>45353.0</v>
      </c>
      <c r="E82" s="51">
        <v>4.6734349E7</v>
      </c>
      <c r="F82" s="51">
        <v>3738748.0</v>
      </c>
      <c r="G82" s="51">
        <v>5.0473097E7</v>
      </c>
      <c r="H82" s="49" t="s">
        <v>414</v>
      </c>
      <c r="I82" s="52" t="s">
        <v>2782</v>
      </c>
      <c r="J82" s="50">
        <v>45803.0</v>
      </c>
      <c r="K82" s="51">
        <v>3512873.0</v>
      </c>
      <c r="L82" s="51">
        <v>281030.0</v>
      </c>
      <c r="M82" s="51">
        <v>3793903.0</v>
      </c>
      <c r="N82" s="49"/>
      <c r="O82" s="52"/>
      <c r="P82" s="50"/>
      <c r="Q82" s="51"/>
      <c r="R82" s="51"/>
      <c r="S82" s="51"/>
      <c r="T82" s="49"/>
      <c r="U82" s="52"/>
      <c r="V82" s="50"/>
      <c r="W82" s="51"/>
      <c r="X82" s="51"/>
      <c r="Y82" s="51"/>
      <c r="Z82" s="51">
        <v>5.0247222E7</v>
      </c>
      <c r="AA82" s="51">
        <v>4019778.0</v>
      </c>
      <c r="AB82" s="51">
        <v>5.4267E7</v>
      </c>
      <c r="AC82" s="47"/>
      <c r="AD82" s="47" t="s">
        <v>2783</v>
      </c>
      <c r="AE82" s="48"/>
      <c r="AF82" s="50"/>
      <c r="AG82" s="51">
        <v>-3512873.0</v>
      </c>
      <c r="AH82" s="51">
        <v>-281030.0</v>
      </c>
      <c r="AI82" s="51">
        <v>-3793903.0</v>
      </c>
      <c r="AJ82" s="47" t="s">
        <v>2784</v>
      </c>
      <c r="AK82" s="48"/>
      <c r="AL82" s="50"/>
      <c r="AM82" s="51">
        <v>-4.6734349E7</v>
      </c>
      <c r="AN82" s="51">
        <v>-3738748.0</v>
      </c>
      <c r="AO82" s="51">
        <v>-5.0473097E7</v>
      </c>
      <c r="AP82" s="47"/>
      <c r="AQ82" s="48"/>
      <c r="AR82" s="50"/>
      <c r="AS82" s="51"/>
      <c r="AT82" s="51"/>
      <c r="AU82" s="51"/>
      <c r="AV82" s="47"/>
      <c r="AW82" s="48"/>
      <c r="AX82" s="50"/>
      <c r="AY82" s="51"/>
      <c r="AZ82" s="51"/>
      <c r="BA82" s="51"/>
      <c r="BB82" s="51">
        <f t="shared" ref="BB82:BD82" si="80">IF(AND(ISNUMBER(Z82),COUNT(AG82,AM82,AS82,AY82)=2),Z82+SUM(AG82,AM82,AS82,AY82),"")</f>
        <v>0</v>
      </c>
      <c r="BC82" s="51">
        <f t="shared" si="80"/>
        <v>0</v>
      </c>
      <c r="BD82" s="51">
        <f t="shared" si="80"/>
        <v>0</v>
      </c>
    </row>
    <row r="83" ht="48.0" customHeight="1">
      <c r="A83" s="49" t="s">
        <v>40</v>
      </c>
      <c r="B83" s="49" t="str">
        <f t="array" ref="B83">INDEX('HD cty 2024'!B:B,MATCH('F0, F1, F2, ...'!$C83,'HD cty 2024'!B:B,0))</f>
        <v>#N/A</v>
      </c>
      <c r="C83" s="49">
        <v>96.0</v>
      </c>
      <c r="D83" s="50">
        <v>45353.0</v>
      </c>
      <c r="E83" s="51">
        <v>1.6909093E7</v>
      </c>
      <c r="F83" s="51">
        <v>1352727.0</v>
      </c>
      <c r="G83" s="51">
        <v>1.826182E7</v>
      </c>
      <c r="H83" s="49" t="s">
        <v>414</v>
      </c>
      <c r="I83" s="52" t="s">
        <v>2785</v>
      </c>
      <c r="J83" s="50">
        <v>45807.0</v>
      </c>
      <c r="K83" s="51">
        <v>584329.0</v>
      </c>
      <c r="L83" s="51">
        <v>46746.0</v>
      </c>
      <c r="M83" s="51">
        <v>631075.0</v>
      </c>
      <c r="N83" s="49"/>
      <c r="O83" s="52"/>
      <c r="P83" s="50"/>
      <c r="Q83" s="51"/>
      <c r="R83" s="51"/>
      <c r="S83" s="51"/>
      <c r="T83" s="49"/>
      <c r="U83" s="52"/>
      <c r="V83" s="50"/>
      <c r="W83" s="51"/>
      <c r="X83" s="51"/>
      <c r="Y83" s="51"/>
      <c r="Z83" s="51">
        <v>1.7493422E7</v>
      </c>
      <c r="AA83" s="51">
        <v>1399473.0</v>
      </c>
      <c r="AB83" s="51">
        <v>1.8892895E7</v>
      </c>
      <c r="AC83" s="47"/>
      <c r="AD83" s="47" t="s">
        <v>2786</v>
      </c>
      <c r="AE83" s="48"/>
      <c r="AF83" s="50"/>
      <c r="AG83" s="51">
        <v>-584329.0</v>
      </c>
      <c r="AH83" s="51">
        <v>-46746.0</v>
      </c>
      <c r="AI83" s="51">
        <v>-631075.0</v>
      </c>
      <c r="AJ83" s="47" t="s">
        <v>2787</v>
      </c>
      <c r="AK83" s="48"/>
      <c r="AL83" s="50"/>
      <c r="AM83" s="51">
        <v>-1.6909093E7</v>
      </c>
      <c r="AN83" s="51">
        <v>-1352727.0</v>
      </c>
      <c r="AO83" s="51">
        <v>-1.826182E7</v>
      </c>
      <c r="AP83" s="47"/>
      <c r="AQ83" s="48"/>
      <c r="AR83" s="50"/>
      <c r="AS83" s="51"/>
      <c r="AT83" s="51"/>
      <c r="AU83" s="51"/>
      <c r="AV83" s="47"/>
      <c r="AW83" s="48"/>
      <c r="AX83" s="50"/>
      <c r="AY83" s="51"/>
      <c r="AZ83" s="51"/>
      <c r="BA83" s="51"/>
      <c r="BB83" s="51">
        <f t="shared" ref="BB83:BD83" si="81">IF(AND(ISNUMBER(Z83),COUNT(AG83,AM83,AS83,AY83)=2),Z83+SUM(AG83,AM83,AS83,AY83),"")</f>
        <v>0</v>
      </c>
      <c r="BC83" s="51">
        <f t="shared" si="81"/>
        <v>0</v>
      </c>
      <c r="BD83" s="51">
        <f t="shared" si="81"/>
        <v>0</v>
      </c>
    </row>
    <row r="84" ht="48.0" customHeight="1">
      <c r="A84" s="49" t="s">
        <v>40</v>
      </c>
      <c r="B84" s="49" t="str">
        <f t="array" ref="B84">INDEX('HD cty 2024'!B:B,MATCH('F0, F1, F2, ...'!$C84,'HD cty 2024'!B:B,0))</f>
        <v>#N/A</v>
      </c>
      <c r="C84" s="49">
        <v>97.0</v>
      </c>
      <c r="D84" s="50">
        <v>45359.0</v>
      </c>
      <c r="E84" s="51">
        <v>4.5360777E7</v>
      </c>
      <c r="F84" s="51">
        <v>3628862.0</v>
      </c>
      <c r="G84" s="51">
        <v>4.8989639E7</v>
      </c>
      <c r="H84" s="49" t="s">
        <v>414</v>
      </c>
      <c r="I84" s="52" t="s">
        <v>2788</v>
      </c>
      <c r="J84" s="50">
        <v>45803.0</v>
      </c>
      <c r="K84" s="51">
        <v>1068853.0</v>
      </c>
      <c r="L84" s="51">
        <v>85508.0</v>
      </c>
      <c r="M84" s="51">
        <v>1154361.0</v>
      </c>
      <c r="N84" s="49"/>
      <c r="O84" s="52"/>
      <c r="P84" s="50"/>
      <c r="Q84" s="51"/>
      <c r="R84" s="51"/>
      <c r="S84" s="51"/>
      <c r="T84" s="49"/>
      <c r="U84" s="52"/>
      <c r="V84" s="50"/>
      <c r="W84" s="51"/>
      <c r="X84" s="51"/>
      <c r="Y84" s="51"/>
      <c r="Z84" s="51">
        <v>4.642963E7</v>
      </c>
      <c r="AA84" s="51">
        <v>3714370.0</v>
      </c>
      <c r="AB84" s="51">
        <v>5.0144E7</v>
      </c>
      <c r="AC84" s="47"/>
      <c r="AD84" s="47" t="s">
        <v>2789</v>
      </c>
      <c r="AE84" s="48"/>
      <c r="AF84" s="50"/>
      <c r="AG84" s="51">
        <v>-1068853.0</v>
      </c>
      <c r="AH84" s="51">
        <v>-85508.0</v>
      </c>
      <c r="AI84" s="51">
        <v>-1154361.0</v>
      </c>
      <c r="AJ84" s="47" t="s">
        <v>2790</v>
      </c>
      <c r="AK84" s="48"/>
      <c r="AL84" s="50"/>
      <c r="AM84" s="51">
        <v>-4.5360777E7</v>
      </c>
      <c r="AN84" s="51">
        <v>-3628862.0</v>
      </c>
      <c r="AO84" s="51">
        <v>-4.8989639E7</v>
      </c>
      <c r="AP84" s="47"/>
      <c r="AQ84" s="48"/>
      <c r="AR84" s="50"/>
      <c r="AS84" s="51"/>
      <c r="AT84" s="51"/>
      <c r="AU84" s="51"/>
      <c r="AV84" s="47"/>
      <c r="AW84" s="48"/>
      <c r="AX84" s="50"/>
      <c r="AY84" s="51"/>
      <c r="AZ84" s="51"/>
      <c r="BA84" s="51"/>
      <c r="BB84" s="51">
        <f t="shared" ref="BB84:BD84" si="82">IF(AND(ISNUMBER(Z84),COUNT(AG84,AM84,AS84,AY84)=2),Z84+SUM(AG84,AM84,AS84,AY84),"")</f>
        <v>0</v>
      </c>
      <c r="BC84" s="51">
        <f t="shared" si="82"/>
        <v>0</v>
      </c>
      <c r="BD84" s="51">
        <f t="shared" si="82"/>
        <v>0</v>
      </c>
    </row>
    <row r="85" ht="48.0" customHeight="1">
      <c r="A85" s="49" t="s">
        <v>40</v>
      </c>
      <c r="B85" s="49" t="str">
        <f t="array" ref="B85">INDEX('HD cty 2024'!B:B,MATCH('F0, F1, F2, ...'!$C85,'HD cty 2024'!B:B,0))</f>
        <v>#N/A</v>
      </c>
      <c r="C85" s="49">
        <v>98.0</v>
      </c>
      <c r="D85" s="50">
        <v>45359.0</v>
      </c>
      <c r="E85" s="51">
        <v>5.902425E7</v>
      </c>
      <c r="F85" s="51">
        <v>4721940.0</v>
      </c>
      <c r="G85" s="51">
        <v>6.374619E7</v>
      </c>
      <c r="H85" s="49" t="s">
        <v>414</v>
      </c>
      <c r="I85" s="52" t="s">
        <v>2791</v>
      </c>
      <c r="J85" s="50">
        <v>45803.0</v>
      </c>
      <c r="K85" s="51">
        <v>2402602.0</v>
      </c>
      <c r="L85" s="51">
        <v>192208.0</v>
      </c>
      <c r="M85" s="51">
        <v>2594810.0</v>
      </c>
      <c r="N85" s="49"/>
      <c r="O85" s="52"/>
      <c r="P85" s="50"/>
      <c r="Q85" s="51"/>
      <c r="R85" s="51"/>
      <c r="S85" s="51"/>
      <c r="T85" s="49"/>
      <c r="U85" s="52"/>
      <c r="V85" s="50"/>
      <c r="W85" s="51"/>
      <c r="X85" s="51"/>
      <c r="Y85" s="51"/>
      <c r="Z85" s="51">
        <v>6.1426852E7</v>
      </c>
      <c r="AA85" s="51">
        <v>4914148.0</v>
      </c>
      <c r="AB85" s="51">
        <v>6.6341E7</v>
      </c>
      <c r="AC85" s="47"/>
      <c r="AD85" s="47" t="s">
        <v>2792</v>
      </c>
      <c r="AE85" s="48"/>
      <c r="AF85" s="50"/>
      <c r="AG85" s="51">
        <v>-2402602.0</v>
      </c>
      <c r="AH85" s="51">
        <v>-192208.0</v>
      </c>
      <c r="AI85" s="51">
        <v>-2594810.0</v>
      </c>
      <c r="AJ85" s="47" t="s">
        <v>2793</v>
      </c>
      <c r="AK85" s="48"/>
      <c r="AL85" s="50"/>
      <c r="AM85" s="51">
        <v>-5.902425E7</v>
      </c>
      <c r="AN85" s="51">
        <v>-4721940.0</v>
      </c>
      <c r="AO85" s="51">
        <v>-6.374619E7</v>
      </c>
      <c r="AP85" s="47"/>
      <c r="AQ85" s="48"/>
      <c r="AR85" s="50"/>
      <c r="AS85" s="51"/>
      <c r="AT85" s="51"/>
      <c r="AU85" s="51"/>
      <c r="AV85" s="47"/>
      <c r="AW85" s="48"/>
      <c r="AX85" s="50"/>
      <c r="AY85" s="51"/>
      <c r="AZ85" s="51"/>
      <c r="BA85" s="51"/>
      <c r="BB85" s="51">
        <f t="shared" ref="BB85:BD85" si="83">IF(AND(ISNUMBER(Z85),COUNT(AG85,AM85,AS85,AY85)=2),Z85+SUM(AG85,AM85,AS85,AY85),"")</f>
        <v>0</v>
      </c>
      <c r="BC85" s="51">
        <f t="shared" si="83"/>
        <v>0</v>
      </c>
      <c r="BD85" s="51">
        <f t="shared" si="83"/>
        <v>0</v>
      </c>
    </row>
    <row r="86" ht="48.0" customHeight="1">
      <c r="A86" s="49" t="s">
        <v>40</v>
      </c>
      <c r="B86" s="49" t="str">
        <f t="array" ref="B86">INDEX('HD cty 2024'!B:B,MATCH('F0, F1, F2, ...'!$C86,'HD cty 2024'!B:B,0))</f>
        <v>#N/A</v>
      </c>
      <c r="C86" s="49">
        <v>99.0</v>
      </c>
      <c r="D86" s="50">
        <v>45359.0</v>
      </c>
      <c r="E86" s="51">
        <v>4.2110043E7</v>
      </c>
      <c r="F86" s="51">
        <v>3368803.0</v>
      </c>
      <c r="G86" s="51">
        <v>4.5478846E7</v>
      </c>
      <c r="H86" s="49" t="s">
        <v>414</v>
      </c>
      <c r="I86" s="52" t="s">
        <v>2794</v>
      </c>
      <c r="J86" s="50">
        <v>45803.0</v>
      </c>
      <c r="K86" s="51">
        <v>4209401.0</v>
      </c>
      <c r="L86" s="51">
        <v>336752.0</v>
      </c>
      <c r="M86" s="51">
        <v>4546153.0</v>
      </c>
      <c r="N86" s="49"/>
      <c r="O86" s="52"/>
      <c r="P86" s="50"/>
      <c r="Q86" s="51"/>
      <c r="R86" s="51"/>
      <c r="S86" s="51"/>
      <c r="T86" s="49"/>
      <c r="U86" s="52"/>
      <c r="V86" s="50"/>
      <c r="W86" s="51"/>
      <c r="X86" s="51"/>
      <c r="Y86" s="51"/>
      <c r="Z86" s="51">
        <v>4.6319444E7</v>
      </c>
      <c r="AA86" s="51">
        <v>3705555.0</v>
      </c>
      <c r="AB86" s="51">
        <v>5.0024999E7</v>
      </c>
      <c r="AC86" s="47"/>
      <c r="AD86" s="47" t="s">
        <v>2795</v>
      </c>
      <c r="AE86" s="48"/>
      <c r="AF86" s="50"/>
      <c r="AG86" s="51">
        <v>-4209401.0</v>
      </c>
      <c r="AH86" s="51">
        <v>-336752.0</v>
      </c>
      <c r="AI86" s="51">
        <v>-4546153.0</v>
      </c>
      <c r="AJ86" s="47" t="s">
        <v>2796</v>
      </c>
      <c r="AK86" s="48"/>
      <c r="AL86" s="50"/>
      <c r="AM86" s="51">
        <v>-4.2110043E7</v>
      </c>
      <c r="AN86" s="51">
        <v>-3368803.0</v>
      </c>
      <c r="AO86" s="51">
        <v>-4.5478846E7</v>
      </c>
      <c r="AP86" s="47"/>
      <c r="AQ86" s="48"/>
      <c r="AR86" s="50"/>
      <c r="AS86" s="51"/>
      <c r="AT86" s="51"/>
      <c r="AU86" s="51"/>
      <c r="AV86" s="47"/>
      <c r="AW86" s="48"/>
      <c r="AX86" s="50"/>
      <c r="AY86" s="51"/>
      <c r="AZ86" s="51"/>
      <c r="BA86" s="51"/>
      <c r="BB86" s="51">
        <f t="shared" ref="BB86:BD86" si="84">IF(AND(ISNUMBER(Z86),COUNT(AG86,AM86,AS86,AY86)=2),Z86+SUM(AG86,AM86,AS86,AY86),"")</f>
        <v>0</v>
      </c>
      <c r="BC86" s="51">
        <f t="shared" si="84"/>
        <v>0</v>
      </c>
      <c r="BD86" s="51">
        <f t="shared" si="84"/>
        <v>0</v>
      </c>
    </row>
    <row r="87" ht="48.0" customHeight="1">
      <c r="A87" s="49" t="s">
        <v>40</v>
      </c>
      <c r="B87" s="49" t="str">
        <f t="array" ref="B87">INDEX('HD cty 2024'!B:B,MATCH('F0, F1, F2, ...'!$C87,'HD cty 2024'!B:B,0))</f>
        <v>#N/A</v>
      </c>
      <c r="C87" s="49">
        <v>100.0</v>
      </c>
      <c r="D87" s="50">
        <v>45359.0</v>
      </c>
      <c r="E87" s="51">
        <v>3453547.0</v>
      </c>
      <c r="F87" s="51">
        <v>276284.0</v>
      </c>
      <c r="G87" s="51">
        <v>3729831.0</v>
      </c>
      <c r="H87" s="49" t="s">
        <v>414</v>
      </c>
      <c r="I87" s="52" t="s">
        <v>2797</v>
      </c>
      <c r="J87" s="50">
        <v>45807.0</v>
      </c>
      <c r="K87" s="51">
        <v>-40913.0</v>
      </c>
      <c r="L87" s="51">
        <v>-3273.0</v>
      </c>
      <c r="M87" s="51">
        <v>-44186.0</v>
      </c>
      <c r="N87" s="49"/>
      <c r="O87" s="52"/>
      <c r="P87" s="50"/>
      <c r="Q87" s="51"/>
      <c r="R87" s="51"/>
      <c r="S87" s="51"/>
      <c r="T87" s="49"/>
      <c r="U87" s="52"/>
      <c r="V87" s="50"/>
      <c r="W87" s="51"/>
      <c r="X87" s="51"/>
      <c r="Y87" s="51"/>
      <c r="Z87" s="51">
        <v>3412634.0</v>
      </c>
      <c r="AA87" s="51">
        <v>273011.0</v>
      </c>
      <c r="AB87" s="51">
        <v>3685645.0</v>
      </c>
      <c r="AC87" s="47"/>
      <c r="AD87" s="47" t="s">
        <v>2798</v>
      </c>
      <c r="AE87" s="48"/>
      <c r="AF87" s="50"/>
      <c r="AG87" s="51">
        <v>40913.0</v>
      </c>
      <c r="AH87" s="51">
        <v>3273.0</v>
      </c>
      <c r="AI87" s="51">
        <v>44186.0</v>
      </c>
      <c r="AJ87" s="47" t="s">
        <v>2799</v>
      </c>
      <c r="AK87" s="48"/>
      <c r="AL87" s="50"/>
      <c r="AM87" s="51">
        <v>-3453547.0</v>
      </c>
      <c r="AN87" s="51">
        <v>-276284.0</v>
      </c>
      <c r="AO87" s="51">
        <v>-3729831.0</v>
      </c>
      <c r="AP87" s="47"/>
      <c r="AQ87" s="48"/>
      <c r="AR87" s="50"/>
      <c r="AS87" s="51"/>
      <c r="AT87" s="51"/>
      <c r="AU87" s="51"/>
      <c r="AV87" s="47"/>
      <c r="AW87" s="48"/>
      <c r="AX87" s="50"/>
      <c r="AY87" s="51"/>
      <c r="AZ87" s="51"/>
      <c r="BA87" s="51"/>
      <c r="BB87" s="51">
        <f t="shared" ref="BB87:BD87" si="85">IF(AND(ISNUMBER(Z87),COUNT(AG87,AM87,AS87,AY87)=2),Z87+SUM(AG87,AM87,AS87,AY87),"")</f>
        <v>0</v>
      </c>
      <c r="BC87" s="51">
        <f t="shared" si="85"/>
        <v>0</v>
      </c>
      <c r="BD87" s="51">
        <f t="shared" si="85"/>
        <v>0</v>
      </c>
    </row>
    <row r="88" ht="48.0" customHeight="1">
      <c r="A88" s="49" t="s">
        <v>40</v>
      </c>
      <c r="B88" s="49" t="str">
        <f t="array" ref="B88">INDEX('HD cty 2024'!B:B,MATCH('F0, F1, F2, ...'!$C88,'HD cty 2024'!B:B,0))</f>
        <v>#N/A</v>
      </c>
      <c r="C88" s="49">
        <v>101.0</v>
      </c>
      <c r="D88" s="50">
        <v>45359.0</v>
      </c>
      <c r="E88" s="51">
        <v>5.1685603E7</v>
      </c>
      <c r="F88" s="51">
        <v>4134848.0</v>
      </c>
      <c r="G88" s="51">
        <v>5.5820451E7</v>
      </c>
      <c r="H88" s="49" t="s">
        <v>414</v>
      </c>
      <c r="I88" s="52" t="s">
        <v>2800</v>
      </c>
      <c r="J88" s="50">
        <v>45803.0</v>
      </c>
      <c r="K88" s="51">
        <v>4833841.0</v>
      </c>
      <c r="L88" s="51">
        <v>386707.0</v>
      </c>
      <c r="M88" s="51">
        <v>5220548.0</v>
      </c>
      <c r="N88" s="49"/>
      <c r="O88" s="52"/>
      <c r="P88" s="50"/>
      <c r="Q88" s="51"/>
      <c r="R88" s="51"/>
      <c r="S88" s="51"/>
      <c r="T88" s="49"/>
      <c r="U88" s="52"/>
      <c r="V88" s="50"/>
      <c r="W88" s="51"/>
      <c r="X88" s="51"/>
      <c r="Y88" s="51"/>
      <c r="Z88" s="51">
        <v>5.6519444E7</v>
      </c>
      <c r="AA88" s="51">
        <v>4521555.0</v>
      </c>
      <c r="AB88" s="51">
        <v>6.1040999E7</v>
      </c>
      <c r="AC88" s="47"/>
      <c r="AD88" s="47" t="s">
        <v>2801</v>
      </c>
      <c r="AE88" s="48"/>
      <c r="AF88" s="50"/>
      <c r="AG88" s="51">
        <v>-4833841.0</v>
      </c>
      <c r="AH88" s="51">
        <v>-386707.0</v>
      </c>
      <c r="AI88" s="51">
        <v>-5220548.0</v>
      </c>
      <c r="AJ88" s="47" t="s">
        <v>2802</v>
      </c>
      <c r="AK88" s="48"/>
      <c r="AL88" s="50"/>
      <c r="AM88" s="51">
        <v>-5.1685603E7</v>
      </c>
      <c r="AN88" s="51">
        <v>-4134848.0</v>
      </c>
      <c r="AO88" s="51">
        <v>-5.5820451E7</v>
      </c>
      <c r="AP88" s="47"/>
      <c r="AQ88" s="48"/>
      <c r="AR88" s="50"/>
      <c r="AS88" s="51"/>
      <c r="AT88" s="51"/>
      <c r="AU88" s="51"/>
      <c r="AV88" s="47"/>
      <c r="AW88" s="48"/>
      <c r="AX88" s="50"/>
      <c r="AY88" s="51"/>
      <c r="AZ88" s="51"/>
      <c r="BA88" s="51"/>
      <c r="BB88" s="51">
        <f t="shared" ref="BB88:BD88" si="86">IF(AND(ISNUMBER(Z88),COUNT(AG88,AM88,AS88,AY88)=2),Z88+SUM(AG88,AM88,AS88,AY88),"")</f>
        <v>0</v>
      </c>
      <c r="BC88" s="51">
        <f t="shared" si="86"/>
        <v>0</v>
      </c>
      <c r="BD88" s="51">
        <f t="shared" si="86"/>
        <v>0</v>
      </c>
    </row>
    <row r="89" ht="48.0" customHeight="1">
      <c r="A89" s="49" t="s">
        <v>40</v>
      </c>
      <c r="B89" s="49" t="str">
        <f t="array" ref="B89">INDEX('HD cty 2024'!B:B,MATCH('F0, F1, F2, ...'!$C89,'HD cty 2024'!B:B,0))</f>
        <v>#N/A</v>
      </c>
      <c r="C89" s="49">
        <v>102.0</v>
      </c>
      <c r="D89" s="50">
        <v>45359.0</v>
      </c>
      <c r="E89" s="51">
        <v>4.1824739E7</v>
      </c>
      <c r="F89" s="51">
        <v>3345979.0</v>
      </c>
      <c r="G89" s="51">
        <v>4.5170718E7</v>
      </c>
      <c r="H89" s="49" t="s">
        <v>414</v>
      </c>
      <c r="I89" s="52" t="s">
        <v>2803</v>
      </c>
      <c r="J89" s="50">
        <v>45803.0</v>
      </c>
      <c r="K89" s="51">
        <v>5556742.0</v>
      </c>
      <c r="L89" s="51">
        <v>444539.0</v>
      </c>
      <c r="M89" s="51">
        <v>6001281.0</v>
      </c>
      <c r="N89" s="49"/>
      <c r="O89" s="52"/>
      <c r="P89" s="50"/>
      <c r="Q89" s="51"/>
      <c r="R89" s="51"/>
      <c r="S89" s="51"/>
      <c r="T89" s="49"/>
      <c r="U89" s="52"/>
      <c r="V89" s="50"/>
      <c r="W89" s="51"/>
      <c r="X89" s="51"/>
      <c r="Y89" s="51"/>
      <c r="Z89" s="51">
        <v>4.7381481E7</v>
      </c>
      <c r="AA89" s="51">
        <v>3790518.0</v>
      </c>
      <c r="AB89" s="51">
        <v>5.1171999E7</v>
      </c>
      <c r="AC89" s="47"/>
      <c r="AD89" s="47" t="s">
        <v>2804</v>
      </c>
      <c r="AE89" s="48"/>
      <c r="AF89" s="50"/>
      <c r="AG89" s="51">
        <v>-5556742.0</v>
      </c>
      <c r="AH89" s="51">
        <v>-444539.0</v>
      </c>
      <c r="AI89" s="51">
        <v>-6001281.0</v>
      </c>
      <c r="AJ89" s="47" t="s">
        <v>2805</v>
      </c>
      <c r="AK89" s="48"/>
      <c r="AL89" s="50"/>
      <c r="AM89" s="51">
        <v>-4.1824739E7</v>
      </c>
      <c r="AN89" s="51">
        <v>-3345979.0</v>
      </c>
      <c r="AO89" s="51">
        <v>-4.5170718E7</v>
      </c>
      <c r="AP89" s="47"/>
      <c r="AQ89" s="48"/>
      <c r="AR89" s="50"/>
      <c r="AS89" s="51"/>
      <c r="AT89" s="51"/>
      <c r="AU89" s="51"/>
      <c r="AV89" s="47"/>
      <c r="AW89" s="48"/>
      <c r="AX89" s="50"/>
      <c r="AY89" s="51"/>
      <c r="AZ89" s="51"/>
      <c r="BA89" s="51"/>
      <c r="BB89" s="51">
        <f t="shared" ref="BB89:BD89" si="87">IF(AND(ISNUMBER(Z89),COUNT(AG89,AM89,AS89,AY89)=2),Z89+SUM(AG89,AM89,AS89,AY89),"")</f>
        <v>0</v>
      </c>
      <c r="BC89" s="51">
        <f t="shared" si="87"/>
        <v>0</v>
      </c>
      <c r="BD89" s="51">
        <f t="shared" si="87"/>
        <v>0</v>
      </c>
    </row>
    <row r="90" ht="48.0" customHeight="1">
      <c r="A90" s="49" t="s">
        <v>40</v>
      </c>
      <c r="B90" s="49" t="str">
        <f t="array" ref="B90">INDEX('HD cty 2024'!B:B,MATCH('F0, F1, F2, ...'!$C90,'HD cty 2024'!B:B,0))</f>
        <v>#N/A</v>
      </c>
      <c r="C90" s="49">
        <v>103.0</v>
      </c>
      <c r="D90" s="50">
        <v>45359.0</v>
      </c>
      <c r="E90" s="51">
        <v>1.0501079E7</v>
      </c>
      <c r="F90" s="51">
        <v>840086.0</v>
      </c>
      <c r="G90" s="51">
        <v>1.1341165E7</v>
      </c>
      <c r="H90" s="49" t="s">
        <v>414</v>
      </c>
      <c r="I90" s="52" t="s">
        <v>2806</v>
      </c>
      <c r="J90" s="50">
        <v>45807.0</v>
      </c>
      <c r="K90" s="51">
        <v>-222221.0</v>
      </c>
      <c r="L90" s="51">
        <v>-17778.0</v>
      </c>
      <c r="M90" s="51">
        <v>-239999.0</v>
      </c>
      <c r="N90" s="49"/>
      <c r="O90" s="52"/>
      <c r="P90" s="50"/>
      <c r="Q90" s="51"/>
      <c r="R90" s="51"/>
      <c r="S90" s="51"/>
      <c r="T90" s="49"/>
      <c r="U90" s="52"/>
      <c r="V90" s="50"/>
      <c r="W90" s="51"/>
      <c r="X90" s="51"/>
      <c r="Y90" s="51"/>
      <c r="Z90" s="51">
        <v>1.0278858E7</v>
      </c>
      <c r="AA90" s="51">
        <v>822308.0</v>
      </c>
      <c r="AB90" s="51">
        <v>1.1101166E7</v>
      </c>
      <c r="AC90" s="47"/>
      <c r="AD90" s="47" t="s">
        <v>2807</v>
      </c>
      <c r="AE90" s="48"/>
      <c r="AF90" s="50"/>
      <c r="AG90" s="51">
        <v>222221.0</v>
      </c>
      <c r="AH90" s="51">
        <v>17778.0</v>
      </c>
      <c r="AI90" s="51">
        <v>239999.0</v>
      </c>
      <c r="AJ90" s="47" t="s">
        <v>2808</v>
      </c>
      <c r="AK90" s="48"/>
      <c r="AL90" s="50"/>
      <c r="AM90" s="51">
        <v>-1.0501079E7</v>
      </c>
      <c r="AN90" s="51">
        <v>-840086.0</v>
      </c>
      <c r="AO90" s="51">
        <v>-1.1341165E7</v>
      </c>
      <c r="AP90" s="47"/>
      <c r="AQ90" s="48"/>
      <c r="AR90" s="50"/>
      <c r="AS90" s="51"/>
      <c r="AT90" s="51"/>
      <c r="AU90" s="51"/>
      <c r="AV90" s="47"/>
      <c r="AW90" s="48"/>
      <c r="AX90" s="50"/>
      <c r="AY90" s="51"/>
      <c r="AZ90" s="51"/>
      <c r="BA90" s="51"/>
      <c r="BB90" s="51">
        <f t="shared" ref="BB90:BD90" si="88">IF(AND(ISNUMBER(Z90),COUNT(AG90,AM90,AS90,AY90)=2),Z90+SUM(AG90,AM90,AS90,AY90),"")</f>
        <v>0</v>
      </c>
      <c r="BC90" s="51">
        <f t="shared" si="88"/>
        <v>0</v>
      </c>
      <c r="BD90" s="51">
        <f t="shared" si="88"/>
        <v>0</v>
      </c>
    </row>
    <row r="91" ht="48.0" customHeight="1">
      <c r="A91" s="49" t="s">
        <v>40</v>
      </c>
      <c r="B91" s="49" t="str">
        <f t="array" ref="B91">INDEX('HD cty 2024'!B:B,MATCH('F0, F1, F2, ...'!$C91,'HD cty 2024'!B:B,0))</f>
        <v>#N/A</v>
      </c>
      <c r="C91" s="49">
        <v>105.0</v>
      </c>
      <c r="D91" s="50">
        <v>45363.0</v>
      </c>
      <c r="E91" s="51">
        <v>6.0885501E7</v>
      </c>
      <c r="F91" s="51">
        <v>4870840.0</v>
      </c>
      <c r="G91" s="51">
        <v>6.5756341E7</v>
      </c>
      <c r="H91" s="49" t="s">
        <v>414</v>
      </c>
      <c r="I91" s="52" t="s">
        <v>2809</v>
      </c>
      <c r="J91" s="50">
        <v>45803.0</v>
      </c>
      <c r="K91" s="51">
        <v>5947832.0</v>
      </c>
      <c r="L91" s="51">
        <v>475827.0</v>
      </c>
      <c r="M91" s="51">
        <v>6423659.0</v>
      </c>
      <c r="N91" s="49"/>
      <c r="O91" s="52"/>
      <c r="P91" s="50"/>
      <c r="Q91" s="51"/>
      <c r="R91" s="51"/>
      <c r="S91" s="51"/>
      <c r="T91" s="49"/>
      <c r="U91" s="52"/>
      <c r="V91" s="50"/>
      <c r="W91" s="51"/>
      <c r="X91" s="51"/>
      <c r="Y91" s="51"/>
      <c r="Z91" s="51">
        <v>6.6833333E7</v>
      </c>
      <c r="AA91" s="51">
        <v>5346667.0</v>
      </c>
      <c r="AB91" s="51">
        <v>7.218E7</v>
      </c>
      <c r="AC91" s="47"/>
      <c r="AD91" s="47" t="s">
        <v>2810</v>
      </c>
      <c r="AE91" s="48"/>
      <c r="AF91" s="50"/>
      <c r="AG91" s="51">
        <v>-5947832.0</v>
      </c>
      <c r="AH91" s="51">
        <v>-475827.0</v>
      </c>
      <c r="AI91" s="51">
        <v>-6423659.0</v>
      </c>
      <c r="AJ91" s="47" t="s">
        <v>2811</v>
      </c>
      <c r="AK91" s="48"/>
      <c r="AL91" s="50"/>
      <c r="AM91" s="51">
        <v>-6.0885501E7</v>
      </c>
      <c r="AN91" s="51">
        <v>-4870840.0</v>
      </c>
      <c r="AO91" s="51">
        <v>-6.5756341E7</v>
      </c>
      <c r="AP91" s="47"/>
      <c r="AQ91" s="48"/>
      <c r="AR91" s="50"/>
      <c r="AS91" s="51"/>
      <c r="AT91" s="51"/>
      <c r="AU91" s="51"/>
      <c r="AV91" s="47"/>
      <c r="AW91" s="48"/>
      <c r="AX91" s="50"/>
      <c r="AY91" s="51"/>
      <c r="AZ91" s="51"/>
      <c r="BA91" s="51"/>
      <c r="BB91" s="51">
        <f t="shared" ref="BB91:BD91" si="89">IF(AND(ISNUMBER(Z91),COUNT(AG91,AM91,AS91,AY91)=2),Z91+SUM(AG91,AM91,AS91,AY91),"")</f>
        <v>0</v>
      </c>
      <c r="BC91" s="51">
        <f t="shared" si="89"/>
        <v>0</v>
      </c>
      <c r="BD91" s="51">
        <f t="shared" si="89"/>
        <v>0</v>
      </c>
    </row>
    <row r="92" ht="48.0" customHeight="1">
      <c r="A92" s="49" t="s">
        <v>40</v>
      </c>
      <c r="B92" s="49" t="str">
        <f t="array" ref="B92">INDEX('HD cty 2024'!B:B,MATCH('F0, F1, F2, ...'!$C92,'HD cty 2024'!B:B,0))</f>
        <v>#N/A</v>
      </c>
      <c r="C92" s="49">
        <v>106.0</v>
      </c>
      <c r="D92" s="50">
        <v>45363.0</v>
      </c>
      <c r="E92" s="51">
        <v>5.1500487E7</v>
      </c>
      <c r="F92" s="51">
        <v>4120039.0</v>
      </c>
      <c r="G92" s="51">
        <v>5.5620526E7</v>
      </c>
      <c r="H92" s="49" t="s">
        <v>414</v>
      </c>
      <c r="I92" s="52" t="s">
        <v>2812</v>
      </c>
      <c r="J92" s="50">
        <v>45803.0</v>
      </c>
      <c r="K92" s="51">
        <v>7293032.0</v>
      </c>
      <c r="L92" s="51">
        <v>583443.0</v>
      </c>
      <c r="M92" s="51">
        <v>7876475.0</v>
      </c>
      <c r="N92" s="49"/>
      <c r="O92" s="52"/>
      <c r="P92" s="50"/>
      <c r="Q92" s="51"/>
      <c r="R92" s="51"/>
      <c r="S92" s="51"/>
      <c r="T92" s="49"/>
      <c r="U92" s="52"/>
      <c r="V92" s="50"/>
      <c r="W92" s="51"/>
      <c r="X92" s="51"/>
      <c r="Y92" s="51"/>
      <c r="Z92" s="51">
        <v>5.8793519E7</v>
      </c>
      <c r="AA92" s="51">
        <v>4703482.0</v>
      </c>
      <c r="AB92" s="51">
        <v>6.3497001E7</v>
      </c>
      <c r="AC92" s="47"/>
      <c r="AD92" s="47" t="s">
        <v>2813</v>
      </c>
      <c r="AE92" s="48"/>
      <c r="AF92" s="50"/>
      <c r="AG92" s="51">
        <v>-7293032.0</v>
      </c>
      <c r="AH92" s="51">
        <v>-583443.0</v>
      </c>
      <c r="AI92" s="51">
        <v>-7876475.0</v>
      </c>
      <c r="AJ92" s="47" t="s">
        <v>2814</v>
      </c>
      <c r="AK92" s="48"/>
      <c r="AL92" s="50"/>
      <c r="AM92" s="51">
        <v>-5.1500487E7</v>
      </c>
      <c r="AN92" s="51">
        <v>-4120039.0</v>
      </c>
      <c r="AO92" s="51">
        <v>-5.5620526E7</v>
      </c>
      <c r="AP92" s="47"/>
      <c r="AQ92" s="48"/>
      <c r="AR92" s="50"/>
      <c r="AS92" s="51"/>
      <c r="AT92" s="51"/>
      <c r="AU92" s="51"/>
      <c r="AV92" s="47"/>
      <c r="AW92" s="48"/>
      <c r="AX92" s="50"/>
      <c r="AY92" s="51"/>
      <c r="AZ92" s="51"/>
      <c r="BA92" s="51"/>
      <c r="BB92" s="51">
        <f t="shared" ref="BB92:BD92" si="90">IF(AND(ISNUMBER(Z92),COUNT(AG92,AM92,AS92,AY92)=2),Z92+SUM(AG92,AM92,AS92,AY92),"")</f>
        <v>0</v>
      </c>
      <c r="BC92" s="51">
        <f t="shared" si="90"/>
        <v>0</v>
      </c>
      <c r="BD92" s="51">
        <f t="shared" si="90"/>
        <v>0</v>
      </c>
    </row>
    <row r="93" ht="48.0" customHeight="1">
      <c r="A93" s="49" t="s">
        <v>40</v>
      </c>
      <c r="B93" s="49" t="str">
        <f t="array" ref="B93">INDEX('HD cty 2024'!B:B,MATCH('F0, F1, F2, ...'!$C93,'HD cty 2024'!B:B,0))</f>
        <v>#N/A</v>
      </c>
      <c r="C93" s="49">
        <v>107.0</v>
      </c>
      <c r="D93" s="50">
        <v>45363.0</v>
      </c>
      <c r="E93" s="51">
        <v>3054537.0</v>
      </c>
      <c r="F93" s="51">
        <v>244363.0</v>
      </c>
      <c r="G93" s="51">
        <v>3298900.0</v>
      </c>
      <c r="H93" s="49" t="s">
        <v>414</v>
      </c>
      <c r="I93" s="52" t="s">
        <v>2815</v>
      </c>
      <c r="J93" s="50">
        <v>45803.0</v>
      </c>
      <c r="K93" s="51">
        <v>17685.0</v>
      </c>
      <c r="L93" s="51">
        <v>1415.0</v>
      </c>
      <c r="M93" s="51">
        <v>19100.0</v>
      </c>
      <c r="N93" s="49"/>
      <c r="O93" s="52"/>
      <c r="P93" s="50"/>
      <c r="Q93" s="51"/>
      <c r="R93" s="51"/>
      <c r="S93" s="51"/>
      <c r="T93" s="49"/>
      <c r="U93" s="52"/>
      <c r="V93" s="50"/>
      <c r="W93" s="51"/>
      <c r="X93" s="51"/>
      <c r="Y93" s="51"/>
      <c r="Z93" s="51">
        <v>3072222.0</v>
      </c>
      <c r="AA93" s="51">
        <v>245778.0</v>
      </c>
      <c r="AB93" s="51">
        <v>3318000.0</v>
      </c>
      <c r="AC93" s="47"/>
      <c r="AD93" s="47" t="s">
        <v>2816</v>
      </c>
      <c r="AE93" s="48"/>
      <c r="AF93" s="50"/>
      <c r="AG93" s="51">
        <v>-17685.0</v>
      </c>
      <c r="AH93" s="51">
        <v>-1415.0</v>
      </c>
      <c r="AI93" s="51">
        <v>-19100.0</v>
      </c>
      <c r="AJ93" s="47" t="s">
        <v>2817</v>
      </c>
      <c r="AK93" s="48"/>
      <c r="AL93" s="50"/>
      <c r="AM93" s="51">
        <v>-3054537.0</v>
      </c>
      <c r="AN93" s="51">
        <v>-244363.0</v>
      </c>
      <c r="AO93" s="51">
        <v>-3298900.0</v>
      </c>
      <c r="AP93" s="47"/>
      <c r="AQ93" s="48"/>
      <c r="AR93" s="50"/>
      <c r="AS93" s="51"/>
      <c r="AT93" s="51"/>
      <c r="AU93" s="51"/>
      <c r="AV93" s="47"/>
      <c r="AW93" s="48"/>
      <c r="AX93" s="50"/>
      <c r="AY93" s="51"/>
      <c r="AZ93" s="51"/>
      <c r="BA93" s="51"/>
      <c r="BB93" s="51">
        <f t="shared" ref="BB93:BD93" si="91">IF(AND(ISNUMBER(Z93),COUNT(AG93,AM93,AS93,AY93)=2),Z93+SUM(AG93,AM93,AS93,AY93),"")</f>
        <v>0</v>
      </c>
      <c r="BC93" s="51">
        <f t="shared" si="91"/>
        <v>0</v>
      </c>
      <c r="BD93" s="51">
        <f t="shared" si="91"/>
        <v>0</v>
      </c>
    </row>
    <row r="94" ht="48.0" customHeight="1">
      <c r="A94" s="49" t="s">
        <v>40</v>
      </c>
      <c r="B94" s="49" t="str">
        <f t="array" ref="B94">INDEX('HD cty 2024'!B:B,MATCH('F0, F1, F2, ...'!$C94,'HD cty 2024'!B:B,0))</f>
        <v>#N/A</v>
      </c>
      <c r="C94" s="49">
        <v>108.0</v>
      </c>
      <c r="D94" s="50">
        <v>45363.0</v>
      </c>
      <c r="E94" s="51">
        <v>4630463.0</v>
      </c>
      <c r="F94" s="51">
        <v>370437.0</v>
      </c>
      <c r="G94" s="51">
        <v>5000900.0</v>
      </c>
      <c r="H94" s="49" t="s">
        <v>414</v>
      </c>
      <c r="I94" s="52" t="s">
        <v>2818</v>
      </c>
      <c r="J94" s="50">
        <v>45803.0</v>
      </c>
      <c r="K94" s="51">
        <v>477870.0</v>
      </c>
      <c r="L94" s="51">
        <v>38230.0</v>
      </c>
      <c r="M94" s="51">
        <v>516100.0</v>
      </c>
      <c r="N94" s="49"/>
      <c r="O94" s="52"/>
      <c r="P94" s="50"/>
      <c r="Q94" s="51"/>
      <c r="R94" s="51"/>
      <c r="S94" s="51"/>
      <c r="T94" s="49"/>
      <c r="U94" s="52"/>
      <c r="V94" s="50"/>
      <c r="W94" s="51"/>
      <c r="X94" s="51"/>
      <c r="Y94" s="51"/>
      <c r="Z94" s="51">
        <v>5108333.0</v>
      </c>
      <c r="AA94" s="51">
        <v>408667.0</v>
      </c>
      <c r="AB94" s="51">
        <v>5517000.0</v>
      </c>
      <c r="AC94" s="47"/>
      <c r="AD94" s="47" t="s">
        <v>2819</v>
      </c>
      <c r="AE94" s="48"/>
      <c r="AF94" s="50"/>
      <c r="AG94" s="51">
        <v>-477870.0</v>
      </c>
      <c r="AH94" s="51">
        <v>-38230.0</v>
      </c>
      <c r="AI94" s="51">
        <v>-516100.0</v>
      </c>
      <c r="AJ94" s="47" t="s">
        <v>2820</v>
      </c>
      <c r="AK94" s="48"/>
      <c r="AL94" s="50"/>
      <c r="AM94" s="51">
        <v>-4630463.0</v>
      </c>
      <c r="AN94" s="51">
        <v>-370437.0</v>
      </c>
      <c r="AO94" s="51">
        <v>-5000900.0</v>
      </c>
      <c r="AP94" s="47"/>
      <c r="AQ94" s="48"/>
      <c r="AR94" s="50"/>
      <c r="AS94" s="51"/>
      <c r="AT94" s="51"/>
      <c r="AU94" s="51"/>
      <c r="AV94" s="47"/>
      <c r="AW94" s="48"/>
      <c r="AX94" s="50"/>
      <c r="AY94" s="51"/>
      <c r="AZ94" s="51"/>
      <c r="BA94" s="51"/>
      <c r="BB94" s="51">
        <f t="shared" ref="BB94:BD94" si="92">IF(AND(ISNUMBER(Z94),COUNT(AG94,AM94,AS94,AY94)=2),Z94+SUM(AG94,AM94,AS94,AY94),"")</f>
        <v>0</v>
      </c>
      <c r="BC94" s="51">
        <f t="shared" si="92"/>
        <v>0</v>
      </c>
      <c r="BD94" s="51">
        <f t="shared" si="92"/>
        <v>0</v>
      </c>
    </row>
    <row r="95" ht="48.0" customHeight="1">
      <c r="A95" s="49" t="s">
        <v>40</v>
      </c>
      <c r="B95" s="49" t="str">
        <f t="array" ref="B95">INDEX('HD cty 2024'!B:B,MATCH('F0, F1, F2, ...'!$C95,'HD cty 2024'!B:B,0))</f>
        <v>#N/A</v>
      </c>
      <c r="C95" s="49">
        <v>109.0</v>
      </c>
      <c r="D95" s="50">
        <v>45363.0</v>
      </c>
      <c r="E95" s="51">
        <v>5.5327465E7</v>
      </c>
      <c r="F95" s="51">
        <v>4426197.0</v>
      </c>
      <c r="G95" s="51">
        <v>5.9753662E7</v>
      </c>
      <c r="H95" s="49" t="s">
        <v>414</v>
      </c>
      <c r="I95" s="52" t="s">
        <v>2821</v>
      </c>
      <c r="J95" s="50">
        <v>45803.0</v>
      </c>
      <c r="K95" s="51">
        <v>3963276.0</v>
      </c>
      <c r="L95" s="51">
        <v>317062.0</v>
      </c>
      <c r="M95" s="51">
        <v>4280338.0</v>
      </c>
      <c r="N95" s="49"/>
      <c r="O95" s="52"/>
      <c r="P95" s="50"/>
      <c r="Q95" s="51"/>
      <c r="R95" s="51"/>
      <c r="S95" s="51"/>
      <c r="T95" s="49"/>
      <c r="U95" s="52"/>
      <c r="V95" s="50"/>
      <c r="W95" s="51"/>
      <c r="X95" s="51"/>
      <c r="Y95" s="51"/>
      <c r="Z95" s="51">
        <v>5.9290741E7</v>
      </c>
      <c r="AA95" s="51">
        <v>4743259.0</v>
      </c>
      <c r="AB95" s="51">
        <v>6.4034E7</v>
      </c>
      <c r="AC95" s="47"/>
      <c r="AD95" s="47" t="s">
        <v>2822</v>
      </c>
      <c r="AE95" s="48"/>
      <c r="AF95" s="50"/>
      <c r="AG95" s="51">
        <v>-3963276.0</v>
      </c>
      <c r="AH95" s="51">
        <v>-317062.0</v>
      </c>
      <c r="AI95" s="51">
        <v>-4280338.0</v>
      </c>
      <c r="AJ95" s="47" t="s">
        <v>2823</v>
      </c>
      <c r="AK95" s="48"/>
      <c r="AL95" s="50"/>
      <c r="AM95" s="51">
        <v>-5.5327465E7</v>
      </c>
      <c r="AN95" s="51">
        <v>-4426197.0</v>
      </c>
      <c r="AO95" s="51">
        <v>-5.9753662E7</v>
      </c>
      <c r="AP95" s="47"/>
      <c r="AQ95" s="48"/>
      <c r="AR95" s="50"/>
      <c r="AS95" s="51"/>
      <c r="AT95" s="51"/>
      <c r="AU95" s="51"/>
      <c r="AV95" s="47"/>
      <c r="AW95" s="48"/>
      <c r="AX95" s="50"/>
      <c r="AY95" s="51"/>
      <c r="AZ95" s="51"/>
      <c r="BA95" s="51"/>
      <c r="BB95" s="51">
        <f t="shared" ref="BB95:BD95" si="93">IF(AND(ISNUMBER(Z95),COUNT(AG95,AM95,AS95,AY95)=2),Z95+SUM(AG95,AM95,AS95,AY95),"")</f>
        <v>0</v>
      </c>
      <c r="BC95" s="51">
        <f t="shared" si="93"/>
        <v>0</v>
      </c>
      <c r="BD95" s="51">
        <f t="shared" si="93"/>
        <v>0</v>
      </c>
    </row>
    <row r="96" ht="48.0" customHeight="1">
      <c r="A96" s="49" t="s">
        <v>40</v>
      </c>
      <c r="B96" s="49" t="str">
        <f t="array" ref="B96">INDEX('HD cty 2024'!B:B,MATCH('F0, F1, F2, ...'!$C96,'HD cty 2024'!B:B,0))</f>
        <v>#N/A</v>
      </c>
      <c r="C96" s="49">
        <v>114.0</v>
      </c>
      <c r="D96" s="50">
        <v>45371.0</v>
      </c>
      <c r="E96" s="51">
        <v>1.9764477E7</v>
      </c>
      <c r="F96" s="51">
        <v>1581158.0</v>
      </c>
      <c r="G96" s="51">
        <v>2.1345635E7</v>
      </c>
      <c r="H96" s="49" t="s">
        <v>414</v>
      </c>
      <c r="I96" s="52" t="s">
        <v>2824</v>
      </c>
      <c r="J96" s="50">
        <v>45803.0</v>
      </c>
      <c r="K96" s="51">
        <v>430893.0</v>
      </c>
      <c r="L96" s="51">
        <v>34471.0</v>
      </c>
      <c r="M96" s="51">
        <v>465364.0</v>
      </c>
      <c r="N96" s="49"/>
      <c r="O96" s="52"/>
      <c r="P96" s="50"/>
      <c r="Q96" s="51"/>
      <c r="R96" s="51"/>
      <c r="S96" s="51"/>
      <c r="T96" s="49"/>
      <c r="U96" s="52"/>
      <c r="V96" s="50"/>
      <c r="W96" s="51"/>
      <c r="X96" s="51"/>
      <c r="Y96" s="51"/>
      <c r="Z96" s="51">
        <v>2.019537E7</v>
      </c>
      <c r="AA96" s="51">
        <v>1615629.0</v>
      </c>
      <c r="AB96" s="51">
        <v>2.1810999E7</v>
      </c>
      <c r="AC96" s="47"/>
      <c r="AD96" s="47" t="s">
        <v>2825</v>
      </c>
      <c r="AE96" s="48"/>
      <c r="AF96" s="50"/>
      <c r="AG96" s="51">
        <v>-430893.0</v>
      </c>
      <c r="AH96" s="51">
        <v>-34471.0</v>
      </c>
      <c r="AI96" s="51">
        <v>-465364.0</v>
      </c>
      <c r="AJ96" s="47" t="s">
        <v>2826</v>
      </c>
      <c r="AK96" s="48"/>
      <c r="AL96" s="50"/>
      <c r="AM96" s="51">
        <v>-1.9764477E7</v>
      </c>
      <c r="AN96" s="51">
        <v>-1581158.0</v>
      </c>
      <c r="AO96" s="51">
        <v>-2.1345635E7</v>
      </c>
      <c r="AP96" s="47"/>
      <c r="AQ96" s="48"/>
      <c r="AR96" s="50"/>
      <c r="AS96" s="51"/>
      <c r="AT96" s="51"/>
      <c r="AU96" s="51"/>
      <c r="AV96" s="47"/>
      <c r="AW96" s="48"/>
      <c r="AX96" s="50"/>
      <c r="AY96" s="51"/>
      <c r="AZ96" s="51"/>
      <c r="BA96" s="51"/>
      <c r="BB96" s="51">
        <f t="shared" ref="BB96:BD96" si="94">IF(AND(ISNUMBER(Z96),COUNT(AG96,AM96,AS96,AY96)=2),Z96+SUM(AG96,AM96,AS96,AY96),"")</f>
        <v>0</v>
      </c>
      <c r="BC96" s="51">
        <f t="shared" si="94"/>
        <v>0</v>
      </c>
      <c r="BD96" s="51">
        <f t="shared" si="94"/>
        <v>0</v>
      </c>
    </row>
    <row r="97" ht="48.0" customHeight="1">
      <c r="A97" s="49" t="s">
        <v>40</v>
      </c>
      <c r="B97" s="49" t="str">
        <f t="array" ref="B97">INDEX('HD cty 2024'!B:B,MATCH('F0, F1, F2, ...'!$C97,'HD cty 2024'!B:B,0))</f>
        <v>#N/A</v>
      </c>
      <c r="C97" s="49">
        <v>115.0</v>
      </c>
      <c r="D97" s="50">
        <v>45371.0</v>
      </c>
      <c r="E97" s="51">
        <v>8.7847508E7</v>
      </c>
      <c r="F97" s="51">
        <v>7027801.0</v>
      </c>
      <c r="G97" s="51">
        <v>9.4875309E7</v>
      </c>
      <c r="H97" s="49" t="s">
        <v>414</v>
      </c>
      <c r="I97" s="52" t="s">
        <v>2827</v>
      </c>
      <c r="J97" s="50">
        <v>45803.0</v>
      </c>
      <c r="K97" s="51">
        <v>1.2766381E7</v>
      </c>
      <c r="L97" s="51">
        <v>1021310.0</v>
      </c>
      <c r="M97" s="51">
        <v>1.3787691E7</v>
      </c>
      <c r="N97" s="49"/>
      <c r="O97" s="52"/>
      <c r="P97" s="50"/>
      <c r="Q97" s="51"/>
      <c r="R97" s="51"/>
      <c r="S97" s="51"/>
      <c r="T97" s="49"/>
      <c r="U97" s="52"/>
      <c r="V97" s="50"/>
      <c r="W97" s="51"/>
      <c r="X97" s="51"/>
      <c r="Y97" s="51"/>
      <c r="Z97" s="51">
        <v>1.00613889E8</v>
      </c>
      <c r="AA97" s="51">
        <v>8049111.0</v>
      </c>
      <c r="AB97" s="51">
        <v>1.08663E8</v>
      </c>
      <c r="AC97" s="47"/>
      <c r="AD97" s="47" t="s">
        <v>2828</v>
      </c>
      <c r="AE97" s="48"/>
      <c r="AF97" s="50"/>
      <c r="AG97" s="51">
        <v>-1.2766381E7</v>
      </c>
      <c r="AH97" s="51">
        <v>-1021310.0</v>
      </c>
      <c r="AI97" s="51">
        <v>-1.3787691E7</v>
      </c>
      <c r="AJ97" s="47" t="s">
        <v>2829</v>
      </c>
      <c r="AK97" s="48"/>
      <c r="AL97" s="50"/>
      <c r="AM97" s="51">
        <v>-8.7847508E7</v>
      </c>
      <c r="AN97" s="51">
        <v>-7027801.0</v>
      </c>
      <c r="AO97" s="51">
        <v>-9.4875309E7</v>
      </c>
      <c r="AP97" s="47"/>
      <c r="AQ97" s="48"/>
      <c r="AR97" s="50"/>
      <c r="AS97" s="51"/>
      <c r="AT97" s="51"/>
      <c r="AU97" s="51"/>
      <c r="AV97" s="47"/>
      <c r="AW97" s="48"/>
      <c r="AX97" s="50"/>
      <c r="AY97" s="51"/>
      <c r="AZ97" s="51"/>
      <c r="BA97" s="51"/>
      <c r="BB97" s="51">
        <f t="shared" ref="BB97:BD97" si="95">IF(AND(ISNUMBER(Z97),COUNT(AG97,AM97,AS97,AY97)=2),Z97+SUM(AG97,AM97,AS97,AY97),"")</f>
        <v>0</v>
      </c>
      <c r="BC97" s="51">
        <f t="shared" si="95"/>
        <v>0</v>
      </c>
      <c r="BD97" s="51">
        <f t="shared" si="95"/>
        <v>0</v>
      </c>
    </row>
    <row r="98" ht="48.0" customHeight="1">
      <c r="A98" s="49" t="s">
        <v>40</v>
      </c>
      <c r="B98" s="49" t="str">
        <f t="array" ref="B98">INDEX('HD cty 2024'!B:B,MATCH('F0, F1, F2, ...'!$C98,'HD cty 2024'!B:B,0))</f>
        <v>#N/A</v>
      </c>
      <c r="C98" s="49">
        <v>120.0</v>
      </c>
      <c r="D98" s="50">
        <v>45377.0</v>
      </c>
      <c r="E98" s="51">
        <v>9495555.0</v>
      </c>
      <c r="F98" s="51">
        <v>759644.0</v>
      </c>
      <c r="G98" s="51">
        <v>1.0255199E7</v>
      </c>
      <c r="H98" s="49" t="s">
        <v>414</v>
      </c>
      <c r="I98" s="52" t="s">
        <v>2830</v>
      </c>
      <c r="J98" s="50">
        <v>45803.0</v>
      </c>
      <c r="K98" s="51">
        <v>41482.0</v>
      </c>
      <c r="L98" s="51">
        <v>3319.0</v>
      </c>
      <c r="M98" s="51">
        <v>44801.0</v>
      </c>
      <c r="N98" s="49"/>
      <c r="O98" s="52"/>
      <c r="P98" s="50"/>
      <c r="Q98" s="51"/>
      <c r="R98" s="51"/>
      <c r="S98" s="51"/>
      <c r="T98" s="49"/>
      <c r="U98" s="52"/>
      <c r="V98" s="50"/>
      <c r="W98" s="51"/>
      <c r="X98" s="51"/>
      <c r="Y98" s="51"/>
      <c r="Z98" s="51">
        <v>9537037.0</v>
      </c>
      <c r="AA98" s="51">
        <v>762963.0</v>
      </c>
      <c r="AB98" s="51">
        <v>1.03E7</v>
      </c>
      <c r="AC98" s="47"/>
      <c r="AD98" s="47" t="s">
        <v>2831</v>
      </c>
      <c r="AE98" s="48"/>
      <c r="AF98" s="50"/>
      <c r="AG98" s="51">
        <v>-41482.0</v>
      </c>
      <c r="AH98" s="51">
        <v>-3319.0</v>
      </c>
      <c r="AI98" s="51">
        <v>-44801.0</v>
      </c>
      <c r="AJ98" s="47" t="s">
        <v>2832</v>
      </c>
      <c r="AK98" s="48"/>
      <c r="AL98" s="50"/>
      <c r="AM98" s="51">
        <v>-9495555.0</v>
      </c>
      <c r="AN98" s="51">
        <v>-759644.0</v>
      </c>
      <c r="AO98" s="51">
        <v>-1.0255199E7</v>
      </c>
      <c r="AP98" s="47"/>
      <c r="AQ98" s="48"/>
      <c r="AR98" s="50"/>
      <c r="AS98" s="51"/>
      <c r="AT98" s="51"/>
      <c r="AU98" s="51"/>
      <c r="AV98" s="47"/>
      <c r="AW98" s="48"/>
      <c r="AX98" s="50"/>
      <c r="AY98" s="51"/>
      <c r="AZ98" s="51"/>
      <c r="BA98" s="51"/>
      <c r="BB98" s="51">
        <f t="shared" ref="BB98:BD98" si="96">IF(AND(ISNUMBER(Z98),COUNT(AG98,AM98,AS98,AY98)=2),Z98+SUM(AG98,AM98,AS98,AY98),"")</f>
        <v>0</v>
      </c>
      <c r="BC98" s="51">
        <f t="shared" si="96"/>
        <v>0</v>
      </c>
      <c r="BD98" s="51">
        <f t="shared" si="96"/>
        <v>0</v>
      </c>
    </row>
    <row r="99" ht="48.0" customHeight="1">
      <c r="A99" s="49" t="s">
        <v>40</v>
      </c>
      <c r="B99" s="49" t="str">
        <f t="array" ref="B99">INDEX('HD cty 2024'!B:B,MATCH('F0, F1, F2, ...'!$C99,'HD cty 2024'!B:B,0))</f>
        <v>#N/A</v>
      </c>
      <c r="C99" s="49">
        <v>121.0</v>
      </c>
      <c r="D99" s="50">
        <v>45377.0</v>
      </c>
      <c r="E99" s="51">
        <v>2.031662E7</v>
      </c>
      <c r="F99" s="51">
        <v>1625330.0</v>
      </c>
      <c r="G99" s="51">
        <v>2.194195E7</v>
      </c>
      <c r="H99" s="49" t="s">
        <v>414</v>
      </c>
      <c r="I99" s="52" t="s">
        <v>2833</v>
      </c>
      <c r="J99" s="50">
        <v>45803.0</v>
      </c>
      <c r="K99" s="51">
        <v>1922269.0</v>
      </c>
      <c r="L99" s="51">
        <v>153782.0</v>
      </c>
      <c r="M99" s="51">
        <v>2076051.0</v>
      </c>
      <c r="N99" s="49"/>
      <c r="O99" s="52"/>
      <c r="P99" s="50"/>
      <c r="Q99" s="51"/>
      <c r="R99" s="51"/>
      <c r="S99" s="51"/>
      <c r="T99" s="49"/>
      <c r="U99" s="52"/>
      <c r="V99" s="50"/>
      <c r="W99" s="51"/>
      <c r="X99" s="51"/>
      <c r="Y99" s="51"/>
      <c r="Z99" s="51">
        <v>2.2238889E7</v>
      </c>
      <c r="AA99" s="51">
        <v>1779112.0</v>
      </c>
      <c r="AB99" s="51">
        <v>2.4018001E7</v>
      </c>
      <c r="AC99" s="47"/>
      <c r="AD99" s="47" t="s">
        <v>2834</v>
      </c>
      <c r="AE99" s="48"/>
      <c r="AF99" s="50"/>
      <c r="AG99" s="51">
        <v>-1922269.0</v>
      </c>
      <c r="AH99" s="51">
        <v>-153782.0</v>
      </c>
      <c r="AI99" s="51">
        <v>-2076051.0</v>
      </c>
      <c r="AJ99" s="47" t="s">
        <v>2835</v>
      </c>
      <c r="AK99" s="48"/>
      <c r="AL99" s="50"/>
      <c r="AM99" s="51">
        <v>-2.031662E7</v>
      </c>
      <c r="AN99" s="51">
        <v>-1625330.0</v>
      </c>
      <c r="AO99" s="51">
        <v>-2.194195E7</v>
      </c>
      <c r="AP99" s="47"/>
      <c r="AQ99" s="48"/>
      <c r="AR99" s="50"/>
      <c r="AS99" s="51"/>
      <c r="AT99" s="51"/>
      <c r="AU99" s="51"/>
      <c r="AV99" s="47"/>
      <c r="AW99" s="48"/>
      <c r="AX99" s="50"/>
      <c r="AY99" s="51"/>
      <c r="AZ99" s="51"/>
      <c r="BA99" s="51"/>
      <c r="BB99" s="51">
        <f t="shared" ref="BB99:BD99" si="97">IF(AND(ISNUMBER(Z99),COUNT(AG99,AM99,AS99,AY99)=2),Z99+SUM(AG99,AM99,AS99,AY99),"")</f>
        <v>0</v>
      </c>
      <c r="BC99" s="51">
        <f t="shared" si="97"/>
        <v>0</v>
      </c>
      <c r="BD99" s="51">
        <f t="shared" si="97"/>
        <v>0</v>
      </c>
    </row>
    <row r="100" ht="48.0" customHeight="1">
      <c r="A100" s="49" t="s">
        <v>40</v>
      </c>
      <c r="B100" s="49" t="str">
        <f t="array" ref="B100">INDEX('HD cty 2024'!B:B,MATCH('F0, F1, F2, ...'!$C100,'HD cty 2024'!B:B,0))</f>
        <v>#N/A</v>
      </c>
      <c r="C100" s="49">
        <v>126.0</v>
      </c>
      <c r="D100" s="50">
        <v>45382.0</v>
      </c>
      <c r="E100" s="51">
        <v>1.6906059E7</v>
      </c>
      <c r="F100" s="51">
        <v>1352485.0</v>
      </c>
      <c r="G100" s="51">
        <v>1.8258544E7</v>
      </c>
      <c r="H100" s="49" t="s">
        <v>414</v>
      </c>
      <c r="I100" s="52" t="s">
        <v>2836</v>
      </c>
      <c r="J100" s="50">
        <v>45808.0</v>
      </c>
      <c r="K100" s="51">
        <v>-247666.0</v>
      </c>
      <c r="L100" s="51">
        <v>-19813.0</v>
      </c>
      <c r="M100" s="51">
        <v>-267479.0</v>
      </c>
      <c r="N100" s="49"/>
      <c r="O100" s="52"/>
      <c r="P100" s="50"/>
      <c r="Q100" s="51"/>
      <c r="R100" s="51"/>
      <c r="S100" s="51"/>
      <c r="T100" s="49"/>
      <c r="U100" s="52"/>
      <c r="V100" s="50"/>
      <c r="W100" s="51"/>
      <c r="X100" s="51"/>
      <c r="Y100" s="51"/>
      <c r="Z100" s="51">
        <v>1.6658393E7</v>
      </c>
      <c r="AA100" s="51">
        <v>1332672.0</v>
      </c>
      <c r="AB100" s="51">
        <v>1.7991065E7</v>
      </c>
      <c r="AC100" s="47"/>
      <c r="AD100" s="47" t="s">
        <v>2837</v>
      </c>
      <c r="AE100" s="48"/>
      <c r="AF100" s="50"/>
      <c r="AG100" s="51">
        <v>247666.0</v>
      </c>
      <c r="AH100" s="51">
        <v>19813.0</v>
      </c>
      <c r="AI100" s="51">
        <v>267479.0</v>
      </c>
      <c r="AJ100" s="47" t="s">
        <v>2838</v>
      </c>
      <c r="AK100" s="48"/>
      <c r="AL100" s="50"/>
      <c r="AM100" s="51">
        <v>-1.6906059E7</v>
      </c>
      <c r="AN100" s="51">
        <v>-1352485.0</v>
      </c>
      <c r="AO100" s="51">
        <v>-1.8258544E7</v>
      </c>
      <c r="AP100" s="47"/>
      <c r="AQ100" s="48"/>
      <c r="AR100" s="50"/>
      <c r="AS100" s="51"/>
      <c r="AT100" s="51"/>
      <c r="AU100" s="51"/>
      <c r="AV100" s="47"/>
      <c r="AW100" s="48"/>
      <c r="AX100" s="50"/>
      <c r="AY100" s="51"/>
      <c r="AZ100" s="51"/>
      <c r="BA100" s="51"/>
      <c r="BB100" s="51">
        <f t="shared" ref="BB100:BD100" si="98">IF(AND(ISNUMBER(Z100),COUNT(AG100,AM100,AS100,AY100)=2),Z100+SUM(AG100,AM100,AS100,AY100),"")</f>
        <v>0</v>
      </c>
      <c r="BC100" s="51">
        <f t="shared" si="98"/>
        <v>0</v>
      </c>
      <c r="BD100" s="51">
        <f t="shared" si="98"/>
        <v>0</v>
      </c>
    </row>
    <row r="101" ht="48.0" customHeight="1">
      <c r="A101" s="49" t="s">
        <v>40</v>
      </c>
      <c r="B101" s="49" t="str">
        <f t="array" ref="B101">INDEX('HD cty 2024'!B:B,MATCH('F0, F1, F2, ...'!$C101,'HD cty 2024'!B:B,0))</f>
        <v>#N/A</v>
      </c>
      <c r="C101" s="49">
        <v>128.0</v>
      </c>
      <c r="D101" s="50">
        <v>45382.0</v>
      </c>
      <c r="E101" s="51">
        <v>5.606679E7</v>
      </c>
      <c r="F101" s="51">
        <v>4485343.0</v>
      </c>
      <c r="G101" s="51">
        <v>6.0552133E7</v>
      </c>
      <c r="H101" s="49" t="s">
        <v>414</v>
      </c>
      <c r="I101" s="52" t="s">
        <v>2839</v>
      </c>
      <c r="J101" s="50">
        <v>45803.0</v>
      </c>
      <c r="K101" s="51">
        <v>2822625.0</v>
      </c>
      <c r="L101" s="51">
        <v>225810.0</v>
      </c>
      <c r="M101" s="51">
        <v>3048435.0</v>
      </c>
      <c r="N101" s="49"/>
      <c r="O101" s="52"/>
      <c r="P101" s="50"/>
      <c r="Q101" s="51"/>
      <c r="R101" s="51"/>
      <c r="S101" s="51"/>
      <c r="T101" s="49"/>
      <c r="U101" s="52"/>
      <c r="V101" s="50"/>
      <c r="W101" s="51"/>
      <c r="X101" s="51"/>
      <c r="Y101" s="51"/>
      <c r="Z101" s="51">
        <v>5.8889415E7</v>
      </c>
      <c r="AA101" s="51">
        <v>4711153.0</v>
      </c>
      <c r="AB101" s="51">
        <v>6.3600568E7</v>
      </c>
      <c r="AC101" s="47"/>
      <c r="AD101" s="47" t="s">
        <v>2840</v>
      </c>
      <c r="AE101" s="48"/>
      <c r="AF101" s="50"/>
      <c r="AG101" s="51">
        <v>-2822625.0</v>
      </c>
      <c r="AH101" s="51">
        <v>-225810.0</v>
      </c>
      <c r="AI101" s="51">
        <v>-3048435.0</v>
      </c>
      <c r="AJ101" s="47" t="s">
        <v>2841</v>
      </c>
      <c r="AK101" s="48"/>
      <c r="AL101" s="50"/>
      <c r="AM101" s="51">
        <v>-5.606679E7</v>
      </c>
      <c r="AN101" s="51">
        <v>-4485343.0</v>
      </c>
      <c r="AO101" s="51">
        <v>-6.0552133E7</v>
      </c>
      <c r="AP101" s="47"/>
      <c r="AQ101" s="48"/>
      <c r="AR101" s="50"/>
      <c r="AS101" s="51"/>
      <c r="AT101" s="51"/>
      <c r="AU101" s="51"/>
      <c r="AV101" s="47"/>
      <c r="AW101" s="48"/>
      <c r="AX101" s="50"/>
      <c r="AY101" s="51"/>
      <c r="AZ101" s="51"/>
      <c r="BA101" s="51"/>
      <c r="BB101" s="51">
        <f t="shared" ref="BB101:BD101" si="99">IF(AND(ISNUMBER(Z101),COUNT(AG101,AM101,AS101,AY101)=2),Z101+SUM(AG101,AM101,AS101,AY101),"")</f>
        <v>0</v>
      </c>
      <c r="BC101" s="51">
        <f t="shared" si="99"/>
        <v>0</v>
      </c>
      <c r="BD101" s="51">
        <f t="shared" si="99"/>
        <v>0</v>
      </c>
    </row>
    <row r="102" ht="48.0" customHeight="1">
      <c r="A102" s="49" t="s">
        <v>40</v>
      </c>
      <c r="B102" s="49" t="str">
        <f t="array" ref="B102">INDEX('HD cty 2024'!B:B,MATCH('F0, F1, F2, ...'!$C102,'HD cty 2024'!B:B,0))</f>
        <v>#N/A</v>
      </c>
      <c r="C102" s="49">
        <v>129.0</v>
      </c>
      <c r="D102" s="50">
        <v>45382.0</v>
      </c>
      <c r="E102" s="51">
        <v>2.17728059E8</v>
      </c>
      <c r="F102" s="51">
        <v>1.7418245E7</v>
      </c>
      <c r="G102" s="51">
        <v>2.35146304E8</v>
      </c>
      <c r="H102" s="49" t="s">
        <v>414</v>
      </c>
      <c r="I102" s="52" t="s">
        <v>2842</v>
      </c>
      <c r="J102" s="50">
        <v>45808.0</v>
      </c>
      <c r="K102" s="51">
        <v>2.5412682E7</v>
      </c>
      <c r="L102" s="51">
        <v>2033015.0</v>
      </c>
      <c r="M102" s="51">
        <v>2.7445697E7</v>
      </c>
      <c r="N102" s="49" t="s">
        <v>414</v>
      </c>
      <c r="O102" s="52" t="s">
        <v>2843</v>
      </c>
      <c r="P102" s="50">
        <v>45808.0</v>
      </c>
      <c r="Q102" s="51">
        <v>-4782871.0</v>
      </c>
      <c r="R102" s="51">
        <v>-382630.0</v>
      </c>
      <c r="S102" s="51">
        <v>-5165501.0</v>
      </c>
      <c r="T102" s="49"/>
      <c r="U102" s="52"/>
      <c r="V102" s="50"/>
      <c r="W102" s="51"/>
      <c r="X102" s="51"/>
      <c r="Y102" s="51"/>
      <c r="Z102" s="51">
        <v>2.3835787E8</v>
      </c>
      <c r="AA102" s="51">
        <v>1.906863E7</v>
      </c>
      <c r="AB102" s="51">
        <v>2.574265E8</v>
      </c>
      <c r="AC102" s="47"/>
      <c r="AD102" s="47" t="s">
        <v>2844</v>
      </c>
      <c r="AE102" s="48"/>
      <c r="AF102" s="50"/>
      <c r="AG102" s="51">
        <v>-2.5412682E7</v>
      </c>
      <c r="AH102" s="51">
        <v>-2033015.0</v>
      </c>
      <c r="AI102" s="51">
        <v>-2.7445697E7</v>
      </c>
      <c r="AJ102" s="47" t="s">
        <v>2845</v>
      </c>
      <c r="AK102" s="48"/>
      <c r="AL102" s="50"/>
      <c r="AM102" s="51">
        <v>4782871.0</v>
      </c>
      <c r="AN102" s="51">
        <v>382630.0</v>
      </c>
      <c r="AO102" s="51">
        <v>5165501.0</v>
      </c>
      <c r="AP102" s="47" t="s">
        <v>2846</v>
      </c>
      <c r="AQ102" s="48"/>
      <c r="AR102" s="50"/>
      <c r="AS102" s="51">
        <v>-2.17728059E8</v>
      </c>
      <c r="AT102" s="51">
        <v>-1.7418245E7</v>
      </c>
      <c r="AU102" s="51">
        <v>-2.35146304E8</v>
      </c>
      <c r="AV102" s="47"/>
      <c r="AW102" s="48"/>
      <c r="AX102" s="50"/>
      <c r="AY102" s="51"/>
      <c r="AZ102" s="51"/>
      <c r="BA102" s="51"/>
      <c r="BB102" s="51">
        <f t="shared" ref="BB102:BD102" si="100">IF(AND(ISNUMBER(Z102),COUNT(AG102,AM102,AS102,AY102)=3),Z102+SUM(AG102,AM102,AS102,AY102),"")</f>
        <v>0</v>
      </c>
      <c r="BC102" s="51">
        <f t="shared" si="100"/>
        <v>0</v>
      </c>
      <c r="BD102" s="51">
        <f t="shared" si="100"/>
        <v>0</v>
      </c>
    </row>
    <row r="103" ht="48.0" customHeight="1">
      <c r="A103" s="49" t="s">
        <v>40</v>
      </c>
      <c r="B103" s="49" t="str">
        <f t="array" ref="B103">INDEX('HD cty 2024'!B:B,MATCH('F0, F1, F2, ...'!$C103,'HD cty 2024'!B:B,0))</f>
        <v>#N/A</v>
      </c>
      <c r="C103" s="49">
        <v>130.0</v>
      </c>
      <c r="D103" s="50">
        <v>45382.0</v>
      </c>
      <c r="E103" s="51">
        <v>1.10869695E8</v>
      </c>
      <c r="F103" s="51">
        <v>8869576.0</v>
      </c>
      <c r="G103" s="51">
        <v>1.19739271E8</v>
      </c>
      <c r="H103" s="49" t="s">
        <v>414</v>
      </c>
      <c r="I103" s="52" t="s">
        <v>2847</v>
      </c>
      <c r="J103" s="50">
        <v>45803.0</v>
      </c>
      <c r="K103" s="51">
        <v>6465953.0</v>
      </c>
      <c r="L103" s="51">
        <v>517276.0</v>
      </c>
      <c r="M103" s="51">
        <v>6983229.0</v>
      </c>
      <c r="N103" s="49"/>
      <c r="O103" s="52"/>
      <c r="P103" s="50"/>
      <c r="Q103" s="51"/>
      <c r="R103" s="51"/>
      <c r="S103" s="51"/>
      <c r="T103" s="49"/>
      <c r="U103" s="52"/>
      <c r="V103" s="50"/>
      <c r="W103" s="51"/>
      <c r="X103" s="51"/>
      <c r="Y103" s="51"/>
      <c r="Z103" s="51">
        <v>1.17335648E8</v>
      </c>
      <c r="AA103" s="51">
        <v>9386852.0</v>
      </c>
      <c r="AB103" s="51">
        <v>1.267225E8</v>
      </c>
      <c r="AC103" s="47"/>
      <c r="AD103" s="47" t="s">
        <v>2848</v>
      </c>
      <c r="AE103" s="48"/>
      <c r="AF103" s="50"/>
      <c r="AG103" s="51">
        <v>-6465953.0</v>
      </c>
      <c r="AH103" s="51">
        <v>-517276.0</v>
      </c>
      <c r="AI103" s="51">
        <v>-6983229.0</v>
      </c>
      <c r="AJ103" s="47" t="s">
        <v>2849</v>
      </c>
      <c r="AK103" s="48"/>
      <c r="AL103" s="50"/>
      <c r="AM103" s="51">
        <v>-1.10869695E8</v>
      </c>
      <c r="AN103" s="51">
        <v>-8869576.0</v>
      </c>
      <c r="AO103" s="51">
        <v>-1.19739271E8</v>
      </c>
      <c r="AP103" s="47"/>
      <c r="AQ103" s="48"/>
      <c r="AR103" s="50"/>
      <c r="AS103" s="51"/>
      <c r="AT103" s="51"/>
      <c r="AU103" s="51"/>
      <c r="AV103" s="47"/>
      <c r="AW103" s="48"/>
      <c r="AX103" s="50"/>
      <c r="AY103" s="51"/>
      <c r="AZ103" s="51"/>
      <c r="BA103" s="51"/>
      <c r="BB103" s="51">
        <f t="shared" ref="BB103:BD103" si="101">IF(AND(ISNUMBER(Z103),COUNT(AG103,AM103,AS103,AY103)=2),Z103+SUM(AG103,AM103,AS103,AY103),"")</f>
        <v>0</v>
      </c>
      <c r="BC103" s="51">
        <f t="shared" si="101"/>
        <v>0</v>
      </c>
      <c r="BD103" s="51">
        <f t="shared" si="101"/>
        <v>0</v>
      </c>
    </row>
    <row r="104" ht="48.0" customHeight="1">
      <c r="A104" s="49" t="s">
        <v>40</v>
      </c>
      <c r="B104" s="49" t="str">
        <f t="array" ref="B104">INDEX('HD cty 2024'!B:B,MATCH('F0, F1, F2, ...'!$C104,'HD cty 2024'!B:B,0))</f>
        <v>#N/A</v>
      </c>
      <c r="C104" s="49">
        <v>131.0</v>
      </c>
      <c r="D104" s="50">
        <v>45382.0</v>
      </c>
      <c r="E104" s="51">
        <v>6.1801852E7</v>
      </c>
      <c r="F104" s="51">
        <v>4944148.0</v>
      </c>
      <c r="G104" s="51">
        <v>6.6746E7</v>
      </c>
      <c r="H104" s="49" t="s">
        <v>414</v>
      </c>
      <c r="I104" s="52" t="s">
        <v>2850</v>
      </c>
      <c r="J104" s="50">
        <v>45803.0</v>
      </c>
      <c r="K104" s="51">
        <v>3977778.0</v>
      </c>
      <c r="L104" s="51">
        <v>318222.0</v>
      </c>
      <c r="M104" s="51">
        <v>4296000.0</v>
      </c>
      <c r="N104" s="49"/>
      <c r="O104" s="52"/>
      <c r="P104" s="50"/>
      <c r="Q104" s="51"/>
      <c r="R104" s="51"/>
      <c r="S104" s="51"/>
      <c r="T104" s="49"/>
      <c r="U104" s="52"/>
      <c r="V104" s="50"/>
      <c r="W104" s="51"/>
      <c r="X104" s="51"/>
      <c r="Y104" s="51"/>
      <c r="Z104" s="51">
        <v>6.577963E7</v>
      </c>
      <c r="AA104" s="51">
        <v>5262370.0</v>
      </c>
      <c r="AB104" s="51">
        <v>7.1042E7</v>
      </c>
      <c r="AC104" s="47"/>
      <c r="AD104" s="47" t="s">
        <v>2851</v>
      </c>
      <c r="AE104" s="48"/>
      <c r="AF104" s="50"/>
      <c r="AG104" s="51">
        <v>-3977778.0</v>
      </c>
      <c r="AH104" s="51">
        <v>-318222.0</v>
      </c>
      <c r="AI104" s="51">
        <v>-4296000.0</v>
      </c>
      <c r="AJ104" s="47" t="s">
        <v>2852</v>
      </c>
      <c r="AK104" s="48"/>
      <c r="AL104" s="50"/>
      <c r="AM104" s="51">
        <v>-6.1801852E7</v>
      </c>
      <c r="AN104" s="51">
        <v>-4944148.0</v>
      </c>
      <c r="AO104" s="51">
        <v>-6.6746E7</v>
      </c>
      <c r="AP104" s="47"/>
      <c r="AQ104" s="48"/>
      <c r="AR104" s="50"/>
      <c r="AS104" s="51"/>
      <c r="AT104" s="51"/>
      <c r="AU104" s="51"/>
      <c r="AV104" s="47"/>
      <c r="AW104" s="48"/>
      <c r="AX104" s="50"/>
      <c r="AY104" s="51"/>
      <c r="AZ104" s="51"/>
      <c r="BA104" s="51"/>
      <c r="BB104" s="51">
        <f t="shared" ref="BB104:BD104" si="102">IF(AND(ISNUMBER(Z104),COUNT(AG104,AM104,AS104,AY104)=2),Z104+SUM(AG104,AM104,AS104,AY104),"")</f>
        <v>0</v>
      </c>
      <c r="BC104" s="51">
        <f t="shared" si="102"/>
        <v>0</v>
      </c>
      <c r="BD104" s="51">
        <f t="shared" si="102"/>
        <v>0</v>
      </c>
    </row>
    <row r="105" ht="48.0" customHeight="1">
      <c r="A105" s="49" t="s">
        <v>40</v>
      </c>
      <c r="B105" s="49" t="str">
        <f t="array" ref="B105">INDEX('HD cty 2024'!B:B,MATCH('F0, F1, F2, ...'!$C105,'HD cty 2024'!B:B,0))</f>
        <v>#N/A</v>
      </c>
      <c r="C105" s="49">
        <v>133.0</v>
      </c>
      <c r="D105" s="50">
        <v>45387.0</v>
      </c>
      <c r="E105" s="51">
        <v>2.2509504E7</v>
      </c>
      <c r="F105" s="51">
        <v>1800760.0</v>
      </c>
      <c r="G105" s="51">
        <v>2.4310264E7</v>
      </c>
      <c r="H105" s="49" t="s">
        <v>414</v>
      </c>
      <c r="I105" s="52" t="s">
        <v>2853</v>
      </c>
      <c r="J105" s="50">
        <v>45804.0</v>
      </c>
      <c r="K105" s="51">
        <v>1902533.0</v>
      </c>
      <c r="L105" s="51">
        <v>152203.0</v>
      </c>
      <c r="M105" s="51">
        <v>2054736.0</v>
      </c>
      <c r="N105" s="49"/>
      <c r="O105" s="52"/>
      <c r="P105" s="50"/>
      <c r="Q105" s="51"/>
      <c r="R105" s="51"/>
      <c r="S105" s="51"/>
      <c r="T105" s="49"/>
      <c r="U105" s="52"/>
      <c r="V105" s="50"/>
      <c r="W105" s="51"/>
      <c r="X105" s="51"/>
      <c r="Y105" s="51"/>
      <c r="Z105" s="51">
        <v>2.4412037E7</v>
      </c>
      <c r="AA105" s="51">
        <v>1952963.0</v>
      </c>
      <c r="AB105" s="51">
        <v>2.6365E7</v>
      </c>
      <c r="AC105" s="47"/>
      <c r="AD105" s="47" t="s">
        <v>2854</v>
      </c>
      <c r="AE105" s="48"/>
      <c r="AF105" s="50"/>
      <c r="AG105" s="51">
        <v>-1902533.0</v>
      </c>
      <c r="AH105" s="51">
        <v>-152203.0</v>
      </c>
      <c r="AI105" s="51">
        <v>-2054736.0</v>
      </c>
      <c r="AJ105" s="47" t="s">
        <v>2855</v>
      </c>
      <c r="AK105" s="48"/>
      <c r="AL105" s="50"/>
      <c r="AM105" s="51">
        <v>-2.2509504E7</v>
      </c>
      <c r="AN105" s="51">
        <v>-1800760.0</v>
      </c>
      <c r="AO105" s="51">
        <v>-2.4310264E7</v>
      </c>
      <c r="AP105" s="47"/>
      <c r="AQ105" s="48"/>
      <c r="AR105" s="50"/>
      <c r="AS105" s="51"/>
      <c r="AT105" s="51"/>
      <c r="AU105" s="51"/>
      <c r="AV105" s="47"/>
      <c r="AW105" s="48"/>
      <c r="AX105" s="50"/>
      <c r="AY105" s="51"/>
      <c r="AZ105" s="51"/>
      <c r="BA105" s="51"/>
      <c r="BB105" s="51">
        <f t="shared" ref="BB105:BD105" si="103">IF(AND(ISNUMBER(Z105),COUNT(AG105,AM105,AS105,AY105)=2),Z105+SUM(AG105,AM105,AS105,AY105),"")</f>
        <v>0</v>
      </c>
      <c r="BC105" s="51">
        <f t="shared" si="103"/>
        <v>0</v>
      </c>
      <c r="BD105" s="51">
        <f t="shared" si="103"/>
        <v>0</v>
      </c>
    </row>
    <row r="106" ht="48.0" customHeight="1">
      <c r="A106" s="49" t="s">
        <v>40</v>
      </c>
      <c r="B106" s="49" t="str">
        <f t="array" ref="B106">INDEX('HD cty 2024'!B:B,MATCH('F0, F1, F2, ...'!$C106,'HD cty 2024'!B:B,0))</f>
        <v>#N/A</v>
      </c>
      <c r="C106" s="49">
        <v>134.0</v>
      </c>
      <c r="D106" s="50">
        <v>45387.0</v>
      </c>
      <c r="E106" s="51">
        <v>9.0562581E7</v>
      </c>
      <c r="F106" s="51">
        <v>7245006.0</v>
      </c>
      <c r="G106" s="51">
        <v>9.7807587E7</v>
      </c>
      <c r="H106" s="49" t="s">
        <v>414</v>
      </c>
      <c r="I106" s="52" t="s">
        <v>2856</v>
      </c>
      <c r="J106" s="50">
        <v>45804.0</v>
      </c>
      <c r="K106" s="51">
        <v>6521215.0</v>
      </c>
      <c r="L106" s="51">
        <v>521697.0</v>
      </c>
      <c r="M106" s="51">
        <v>7042912.0</v>
      </c>
      <c r="N106" s="49"/>
      <c r="O106" s="52"/>
      <c r="P106" s="50"/>
      <c r="Q106" s="51"/>
      <c r="R106" s="51"/>
      <c r="S106" s="51"/>
      <c r="T106" s="49"/>
      <c r="U106" s="52"/>
      <c r="V106" s="50"/>
      <c r="W106" s="51"/>
      <c r="X106" s="51"/>
      <c r="Y106" s="51"/>
      <c r="Z106" s="51">
        <v>9.7083796E7</v>
      </c>
      <c r="AA106" s="51">
        <v>7766703.0</v>
      </c>
      <c r="AB106" s="51">
        <v>1.04850499E8</v>
      </c>
      <c r="AC106" s="47"/>
      <c r="AD106" s="47" t="s">
        <v>2857</v>
      </c>
      <c r="AE106" s="48"/>
      <c r="AF106" s="50"/>
      <c r="AG106" s="51">
        <v>-6521215.0</v>
      </c>
      <c r="AH106" s="51">
        <v>-521697.0</v>
      </c>
      <c r="AI106" s="51">
        <v>-7042912.0</v>
      </c>
      <c r="AJ106" s="47" t="s">
        <v>2858</v>
      </c>
      <c r="AK106" s="48"/>
      <c r="AL106" s="50"/>
      <c r="AM106" s="51">
        <v>-9.0562581E7</v>
      </c>
      <c r="AN106" s="51">
        <v>-7245006.0</v>
      </c>
      <c r="AO106" s="51">
        <v>-9.7807587E7</v>
      </c>
      <c r="AP106" s="47"/>
      <c r="AQ106" s="48"/>
      <c r="AR106" s="50"/>
      <c r="AS106" s="51"/>
      <c r="AT106" s="51"/>
      <c r="AU106" s="51"/>
      <c r="AV106" s="47"/>
      <c r="AW106" s="48"/>
      <c r="AX106" s="50"/>
      <c r="AY106" s="51"/>
      <c r="AZ106" s="51"/>
      <c r="BA106" s="51"/>
      <c r="BB106" s="51">
        <f t="shared" ref="BB106:BD106" si="104">IF(AND(ISNUMBER(Z106),COUNT(AG106,AM106,AS106,AY106)=2),Z106+SUM(AG106,AM106,AS106,AY106),"")</f>
        <v>0</v>
      </c>
      <c r="BC106" s="51">
        <f t="shared" si="104"/>
        <v>0</v>
      </c>
      <c r="BD106" s="51">
        <f t="shared" si="104"/>
        <v>0</v>
      </c>
    </row>
    <row r="107" ht="48.0" customHeight="1">
      <c r="A107" s="49" t="s">
        <v>40</v>
      </c>
      <c r="B107" s="49" t="str">
        <f t="array" ref="B107">INDEX('HD cty 2024'!B:B,MATCH('F0, F1, F2, ...'!$C107,'HD cty 2024'!B:B,0))</f>
        <v>#N/A</v>
      </c>
      <c r="C107" s="49">
        <v>136.0</v>
      </c>
      <c r="D107" s="50">
        <v>45388.0</v>
      </c>
      <c r="E107" s="51">
        <v>5.8069464E7</v>
      </c>
      <c r="F107" s="51">
        <v>4645557.0</v>
      </c>
      <c r="G107" s="51">
        <v>6.2715021E7</v>
      </c>
      <c r="H107" s="49" t="s">
        <v>414</v>
      </c>
      <c r="I107" s="52" t="s">
        <v>2859</v>
      </c>
      <c r="J107" s="50">
        <v>45804.0</v>
      </c>
      <c r="K107" s="51">
        <v>-522705.0</v>
      </c>
      <c r="L107" s="51">
        <v>-41816.0</v>
      </c>
      <c r="M107" s="51">
        <v>-564521.0</v>
      </c>
      <c r="N107" s="49"/>
      <c r="O107" s="52"/>
      <c r="P107" s="50"/>
      <c r="Q107" s="51"/>
      <c r="R107" s="51"/>
      <c r="S107" s="51"/>
      <c r="T107" s="49"/>
      <c r="U107" s="52"/>
      <c r="V107" s="50"/>
      <c r="W107" s="51"/>
      <c r="X107" s="51"/>
      <c r="Y107" s="51"/>
      <c r="Z107" s="51">
        <v>5.7546759E7</v>
      </c>
      <c r="AA107" s="51">
        <v>4603741.0</v>
      </c>
      <c r="AB107" s="51">
        <v>6.21505E7</v>
      </c>
      <c r="AC107" s="47"/>
      <c r="AD107" s="47" t="s">
        <v>2860</v>
      </c>
      <c r="AE107" s="48"/>
      <c r="AF107" s="50"/>
      <c r="AG107" s="51">
        <v>522705.0</v>
      </c>
      <c r="AH107" s="51">
        <v>41816.0</v>
      </c>
      <c r="AI107" s="51">
        <v>564521.0</v>
      </c>
      <c r="AJ107" s="47" t="s">
        <v>2861</v>
      </c>
      <c r="AK107" s="48"/>
      <c r="AL107" s="50"/>
      <c r="AM107" s="51">
        <v>-5.8069464E7</v>
      </c>
      <c r="AN107" s="51">
        <v>-4645557.0</v>
      </c>
      <c r="AO107" s="51">
        <v>-6.2715021E7</v>
      </c>
      <c r="AP107" s="47"/>
      <c r="AQ107" s="48"/>
      <c r="AR107" s="50"/>
      <c r="AS107" s="51"/>
      <c r="AT107" s="51"/>
      <c r="AU107" s="51"/>
      <c r="AV107" s="47"/>
      <c r="AW107" s="48"/>
      <c r="AX107" s="50"/>
      <c r="AY107" s="51"/>
      <c r="AZ107" s="51"/>
      <c r="BA107" s="51"/>
      <c r="BB107" s="51">
        <f t="shared" ref="BB107:BD107" si="105">IF(AND(ISNUMBER(Z107),COUNT(AG107,AM107,AS107,AY107)=2),Z107+SUM(AG107,AM107,AS107,AY107),"")</f>
        <v>0</v>
      </c>
      <c r="BC107" s="51">
        <f t="shared" si="105"/>
        <v>0</v>
      </c>
      <c r="BD107" s="51">
        <f t="shared" si="105"/>
        <v>0</v>
      </c>
    </row>
    <row r="108" ht="48.0" customHeight="1">
      <c r="A108" s="49" t="s">
        <v>40</v>
      </c>
      <c r="B108" s="49" t="str">
        <f t="array" ref="B108">INDEX('HD cty 2024'!B:B,MATCH('F0, F1, F2, ...'!$C108,'HD cty 2024'!B:B,0))</f>
        <v>#N/A</v>
      </c>
      <c r="C108" s="49">
        <v>137.0</v>
      </c>
      <c r="D108" s="50">
        <v>45388.0</v>
      </c>
      <c r="E108" s="51">
        <v>8.6921274E7</v>
      </c>
      <c r="F108" s="51">
        <v>6953702.0</v>
      </c>
      <c r="G108" s="51">
        <v>9.3874976E7</v>
      </c>
      <c r="H108" s="49" t="s">
        <v>414</v>
      </c>
      <c r="I108" s="52" t="s">
        <v>2862</v>
      </c>
      <c r="J108" s="50">
        <v>45804.0</v>
      </c>
      <c r="K108" s="51">
        <v>656765.0</v>
      </c>
      <c r="L108" s="51">
        <v>52541.0</v>
      </c>
      <c r="M108" s="51">
        <v>709306.0</v>
      </c>
      <c r="N108" s="49"/>
      <c r="O108" s="52"/>
      <c r="P108" s="50"/>
      <c r="Q108" s="51"/>
      <c r="R108" s="51"/>
      <c r="S108" s="51"/>
      <c r="T108" s="49"/>
      <c r="U108" s="52"/>
      <c r="V108" s="50"/>
      <c r="W108" s="51"/>
      <c r="X108" s="51"/>
      <c r="Y108" s="51"/>
      <c r="Z108" s="51">
        <v>8.7578039E7</v>
      </c>
      <c r="AA108" s="51">
        <v>7006243.0</v>
      </c>
      <c r="AB108" s="51">
        <v>9.4584282E7</v>
      </c>
      <c r="AC108" s="47"/>
      <c r="AD108" s="47" t="s">
        <v>2863</v>
      </c>
      <c r="AE108" s="48"/>
      <c r="AF108" s="50"/>
      <c r="AG108" s="51">
        <v>-656765.0</v>
      </c>
      <c r="AH108" s="51">
        <v>-52541.0</v>
      </c>
      <c r="AI108" s="51">
        <v>-709306.0</v>
      </c>
      <c r="AJ108" s="47" t="s">
        <v>2864</v>
      </c>
      <c r="AK108" s="48"/>
      <c r="AL108" s="50"/>
      <c r="AM108" s="51">
        <v>-8.6921274E7</v>
      </c>
      <c r="AN108" s="51">
        <v>-6953702.0</v>
      </c>
      <c r="AO108" s="51">
        <v>-9.3874976E7</v>
      </c>
      <c r="AP108" s="47"/>
      <c r="AQ108" s="48"/>
      <c r="AR108" s="50"/>
      <c r="AS108" s="51"/>
      <c r="AT108" s="51"/>
      <c r="AU108" s="51"/>
      <c r="AV108" s="47"/>
      <c r="AW108" s="48"/>
      <c r="AX108" s="50"/>
      <c r="AY108" s="51"/>
      <c r="AZ108" s="51"/>
      <c r="BA108" s="51"/>
      <c r="BB108" s="51">
        <f t="shared" ref="BB108:BD108" si="106">IF(AND(ISNUMBER(Z108),COUNT(AG108,AM108,AS108,AY108)=2),Z108+SUM(AG108,AM108,AS108,AY108),"")</f>
        <v>0</v>
      </c>
      <c r="BC108" s="51">
        <f t="shared" si="106"/>
        <v>0</v>
      </c>
      <c r="BD108" s="51">
        <f t="shared" si="106"/>
        <v>0</v>
      </c>
    </row>
    <row r="109" ht="48.0" customHeight="1">
      <c r="A109" s="49" t="s">
        <v>40</v>
      </c>
      <c r="B109" s="49" t="str">
        <f t="array" ref="B109">INDEX('HD cty 2024'!B:B,MATCH('F0, F1, F2, ...'!$C109,'HD cty 2024'!B:B,0))</f>
        <v>#N/A</v>
      </c>
      <c r="C109" s="49">
        <v>138.0</v>
      </c>
      <c r="D109" s="50">
        <v>45388.0</v>
      </c>
      <c r="E109" s="51">
        <v>7.6667591E7</v>
      </c>
      <c r="F109" s="51">
        <v>6133407.0</v>
      </c>
      <c r="G109" s="51">
        <v>8.2800998E7</v>
      </c>
      <c r="H109" s="49" t="s">
        <v>414</v>
      </c>
      <c r="I109" s="52" t="s">
        <v>2865</v>
      </c>
      <c r="J109" s="50">
        <v>45804.0</v>
      </c>
      <c r="K109" s="51">
        <v>1488890.0</v>
      </c>
      <c r="L109" s="51">
        <v>119111.0</v>
      </c>
      <c r="M109" s="51">
        <v>1608001.0</v>
      </c>
      <c r="N109" s="49"/>
      <c r="O109" s="52"/>
      <c r="P109" s="50"/>
      <c r="Q109" s="51"/>
      <c r="R109" s="51"/>
      <c r="S109" s="51"/>
      <c r="T109" s="49"/>
      <c r="U109" s="52"/>
      <c r="V109" s="50"/>
      <c r="W109" s="51"/>
      <c r="X109" s="51"/>
      <c r="Y109" s="51"/>
      <c r="Z109" s="51">
        <v>7.8156481E7</v>
      </c>
      <c r="AA109" s="51">
        <v>6252518.0</v>
      </c>
      <c r="AB109" s="51">
        <v>8.4408999E7</v>
      </c>
      <c r="AC109" s="47"/>
      <c r="AD109" s="47" t="s">
        <v>2866</v>
      </c>
      <c r="AE109" s="48"/>
      <c r="AF109" s="50"/>
      <c r="AG109" s="51">
        <v>-1488890.0</v>
      </c>
      <c r="AH109" s="51">
        <v>-119111.0</v>
      </c>
      <c r="AI109" s="51">
        <v>-1608001.0</v>
      </c>
      <c r="AJ109" s="47" t="s">
        <v>2867</v>
      </c>
      <c r="AK109" s="48"/>
      <c r="AL109" s="50"/>
      <c r="AM109" s="51">
        <v>-7.6667591E7</v>
      </c>
      <c r="AN109" s="51">
        <v>-6133407.0</v>
      </c>
      <c r="AO109" s="51">
        <v>-8.2800998E7</v>
      </c>
      <c r="AP109" s="47"/>
      <c r="AQ109" s="48"/>
      <c r="AR109" s="50"/>
      <c r="AS109" s="51"/>
      <c r="AT109" s="51"/>
      <c r="AU109" s="51"/>
      <c r="AV109" s="47"/>
      <c r="AW109" s="48"/>
      <c r="AX109" s="50"/>
      <c r="AY109" s="51"/>
      <c r="AZ109" s="51"/>
      <c r="BA109" s="51"/>
      <c r="BB109" s="51">
        <f t="shared" ref="BB109:BD109" si="107">IF(AND(ISNUMBER(Z109),COUNT(AG109,AM109,AS109,AY109)=2),Z109+SUM(AG109,AM109,AS109,AY109),"")</f>
        <v>0</v>
      </c>
      <c r="BC109" s="51">
        <f t="shared" si="107"/>
        <v>0</v>
      </c>
      <c r="BD109" s="51">
        <f t="shared" si="107"/>
        <v>0</v>
      </c>
    </row>
    <row r="110" ht="48.0" customHeight="1">
      <c r="A110" s="49" t="s">
        <v>40</v>
      </c>
      <c r="B110" s="49" t="str">
        <f t="array" ref="B110">INDEX('HD cty 2024'!B:B,MATCH('F0, F1, F2, ...'!$C110,'HD cty 2024'!B:B,0))</f>
        <v>#N/A</v>
      </c>
      <c r="C110" s="49">
        <v>139.0</v>
      </c>
      <c r="D110" s="50">
        <v>45388.0</v>
      </c>
      <c r="E110" s="51">
        <v>1.05487268E8</v>
      </c>
      <c r="F110" s="51">
        <v>8438981.0</v>
      </c>
      <c r="G110" s="51">
        <v>1.13926249E8</v>
      </c>
      <c r="H110" s="49" t="s">
        <v>414</v>
      </c>
      <c r="I110" s="52" t="s">
        <v>2868</v>
      </c>
      <c r="J110" s="50">
        <v>45804.0</v>
      </c>
      <c r="K110" s="51">
        <v>2846065.0</v>
      </c>
      <c r="L110" s="51">
        <v>227685.0</v>
      </c>
      <c r="M110" s="51">
        <v>3073750.0</v>
      </c>
      <c r="N110" s="49"/>
      <c r="O110" s="52"/>
      <c r="P110" s="50"/>
      <c r="Q110" s="51"/>
      <c r="R110" s="51"/>
      <c r="S110" s="51"/>
      <c r="T110" s="49"/>
      <c r="U110" s="52"/>
      <c r="V110" s="50"/>
      <c r="W110" s="51"/>
      <c r="X110" s="51"/>
      <c r="Y110" s="51"/>
      <c r="Z110" s="51">
        <v>1.08333333E8</v>
      </c>
      <c r="AA110" s="51">
        <v>8666666.0</v>
      </c>
      <c r="AB110" s="51">
        <v>1.16999999E8</v>
      </c>
      <c r="AC110" s="47"/>
      <c r="AD110" s="47" t="s">
        <v>2869</v>
      </c>
      <c r="AE110" s="48"/>
      <c r="AF110" s="50"/>
      <c r="AG110" s="51">
        <v>-2846065.0</v>
      </c>
      <c r="AH110" s="51">
        <v>-227685.0</v>
      </c>
      <c r="AI110" s="51">
        <v>-3073750.0</v>
      </c>
      <c r="AJ110" s="47" t="s">
        <v>2870</v>
      </c>
      <c r="AK110" s="48"/>
      <c r="AL110" s="50"/>
      <c r="AM110" s="51">
        <v>-1.05487268E8</v>
      </c>
      <c r="AN110" s="51">
        <v>-8438981.0</v>
      </c>
      <c r="AO110" s="51">
        <v>-1.13926249E8</v>
      </c>
      <c r="AP110" s="47"/>
      <c r="AQ110" s="48"/>
      <c r="AR110" s="50"/>
      <c r="AS110" s="51"/>
      <c r="AT110" s="51"/>
      <c r="AU110" s="51"/>
      <c r="AV110" s="47"/>
      <c r="AW110" s="48"/>
      <c r="AX110" s="50"/>
      <c r="AY110" s="51"/>
      <c r="AZ110" s="51"/>
      <c r="BA110" s="51"/>
      <c r="BB110" s="51">
        <f t="shared" ref="BB110:BD110" si="108">IF(AND(ISNUMBER(Z110),COUNT(AG110,AM110,AS110,AY110)=2),Z110+SUM(AG110,AM110,AS110,AY110),"")</f>
        <v>0</v>
      </c>
      <c r="BC110" s="51">
        <f t="shared" si="108"/>
        <v>0</v>
      </c>
      <c r="BD110" s="51">
        <f t="shared" si="108"/>
        <v>0</v>
      </c>
    </row>
    <row r="111" ht="48.0" customHeight="1">
      <c r="A111" s="49" t="s">
        <v>40</v>
      </c>
      <c r="B111" s="49" t="str">
        <f t="array" ref="B111">INDEX('HD cty 2024'!B:B,MATCH('F0, F1, F2, ...'!$C111,'HD cty 2024'!B:B,0))</f>
        <v>#N/A</v>
      </c>
      <c r="C111" s="49">
        <v>140.0</v>
      </c>
      <c r="D111" s="50">
        <v>45388.0</v>
      </c>
      <c r="E111" s="51">
        <v>1.12003522E8</v>
      </c>
      <c r="F111" s="51">
        <v>8960282.0</v>
      </c>
      <c r="G111" s="51">
        <v>1.20963804E8</v>
      </c>
      <c r="H111" s="49" t="s">
        <v>414</v>
      </c>
      <c r="I111" s="52" t="s">
        <v>2871</v>
      </c>
      <c r="J111" s="50">
        <v>45804.0</v>
      </c>
      <c r="K111" s="51">
        <v>3393237.0</v>
      </c>
      <c r="L111" s="51">
        <v>271459.0</v>
      </c>
      <c r="M111" s="51">
        <v>3664696.0</v>
      </c>
      <c r="N111" s="49"/>
      <c r="O111" s="52"/>
      <c r="P111" s="50"/>
      <c r="Q111" s="51"/>
      <c r="R111" s="51"/>
      <c r="S111" s="51"/>
      <c r="T111" s="49"/>
      <c r="U111" s="52"/>
      <c r="V111" s="50"/>
      <c r="W111" s="51"/>
      <c r="X111" s="51"/>
      <c r="Y111" s="51"/>
      <c r="Z111" s="51">
        <v>1.15396759E8</v>
      </c>
      <c r="AA111" s="51">
        <v>9231741.0</v>
      </c>
      <c r="AB111" s="51">
        <v>1.246285E8</v>
      </c>
      <c r="AC111" s="47"/>
      <c r="AD111" s="47" t="s">
        <v>2872</v>
      </c>
      <c r="AE111" s="48"/>
      <c r="AF111" s="50"/>
      <c r="AG111" s="51">
        <v>-3393237.0</v>
      </c>
      <c r="AH111" s="51">
        <v>-271459.0</v>
      </c>
      <c r="AI111" s="51">
        <v>-3664696.0</v>
      </c>
      <c r="AJ111" s="47" t="s">
        <v>2873</v>
      </c>
      <c r="AK111" s="48"/>
      <c r="AL111" s="50"/>
      <c r="AM111" s="51">
        <v>-1.12003522E8</v>
      </c>
      <c r="AN111" s="51">
        <v>-8960282.0</v>
      </c>
      <c r="AO111" s="51">
        <v>-1.20963804E8</v>
      </c>
      <c r="AP111" s="47"/>
      <c r="AQ111" s="48"/>
      <c r="AR111" s="50"/>
      <c r="AS111" s="51"/>
      <c r="AT111" s="51"/>
      <c r="AU111" s="51"/>
      <c r="AV111" s="47"/>
      <c r="AW111" s="48"/>
      <c r="AX111" s="50"/>
      <c r="AY111" s="51"/>
      <c r="AZ111" s="51"/>
      <c r="BA111" s="51"/>
      <c r="BB111" s="51">
        <f t="shared" ref="BB111:BD111" si="109">IF(AND(ISNUMBER(Z111),COUNT(AG111,AM111,AS111,AY111)=2),Z111+SUM(AG111,AM111,AS111,AY111),"")</f>
        <v>0</v>
      </c>
      <c r="BC111" s="51">
        <f t="shared" si="109"/>
        <v>0</v>
      </c>
      <c r="BD111" s="51">
        <f t="shared" si="109"/>
        <v>0</v>
      </c>
    </row>
    <row r="112" ht="48.0" customHeight="1">
      <c r="A112" s="49" t="s">
        <v>40</v>
      </c>
      <c r="B112" s="49" t="str">
        <f t="array" ref="B112">INDEX('HD cty 2024'!B:B,MATCH('F0, F1, F2, ...'!$C112,'HD cty 2024'!B:B,0))</f>
        <v>#N/A</v>
      </c>
      <c r="C112" s="49">
        <v>141.0</v>
      </c>
      <c r="D112" s="50">
        <v>45388.0</v>
      </c>
      <c r="E112" s="51">
        <v>1.00486135E8</v>
      </c>
      <c r="F112" s="51">
        <v>8038891.0</v>
      </c>
      <c r="G112" s="51">
        <v>1.08525026E8</v>
      </c>
      <c r="H112" s="49" t="s">
        <v>414</v>
      </c>
      <c r="I112" s="52" t="s">
        <v>2874</v>
      </c>
      <c r="J112" s="50">
        <v>45808.0</v>
      </c>
      <c r="K112" s="51">
        <v>5368032.0</v>
      </c>
      <c r="L112" s="51">
        <v>429443.0</v>
      </c>
      <c r="M112" s="51">
        <v>5797475.0</v>
      </c>
      <c r="N112" s="49"/>
      <c r="O112" s="52"/>
      <c r="P112" s="50"/>
      <c r="Q112" s="51"/>
      <c r="R112" s="51"/>
      <c r="S112" s="51"/>
      <c r="T112" s="49"/>
      <c r="U112" s="52"/>
      <c r="V112" s="50"/>
      <c r="W112" s="51"/>
      <c r="X112" s="51"/>
      <c r="Y112" s="51"/>
      <c r="Z112" s="51">
        <v>1.05854167E8</v>
      </c>
      <c r="AA112" s="51">
        <v>8468334.0</v>
      </c>
      <c r="AB112" s="51">
        <v>1.14322501E8</v>
      </c>
      <c r="AC112" s="47"/>
      <c r="AD112" s="47" t="s">
        <v>2875</v>
      </c>
      <c r="AE112" s="48"/>
      <c r="AF112" s="50"/>
      <c r="AG112" s="51">
        <v>-5368032.0</v>
      </c>
      <c r="AH112" s="51">
        <v>-429443.0</v>
      </c>
      <c r="AI112" s="51">
        <v>-5797475.0</v>
      </c>
      <c r="AJ112" s="47" t="s">
        <v>2876</v>
      </c>
      <c r="AK112" s="48"/>
      <c r="AL112" s="50"/>
      <c r="AM112" s="51">
        <v>-1.00486135E8</v>
      </c>
      <c r="AN112" s="51">
        <v>-8038891.0</v>
      </c>
      <c r="AO112" s="51">
        <v>-1.08525026E8</v>
      </c>
      <c r="AP112" s="47"/>
      <c r="AQ112" s="48"/>
      <c r="AR112" s="50"/>
      <c r="AS112" s="51"/>
      <c r="AT112" s="51"/>
      <c r="AU112" s="51"/>
      <c r="AV112" s="47"/>
      <c r="AW112" s="48"/>
      <c r="AX112" s="50"/>
      <c r="AY112" s="51"/>
      <c r="AZ112" s="51"/>
      <c r="BA112" s="51"/>
      <c r="BB112" s="51">
        <f t="shared" ref="BB112:BD112" si="110">IF(AND(ISNUMBER(Z112),COUNT(AG112,AM112,AS112,AY112)=2),Z112+SUM(AG112,AM112,AS112,AY112),"")</f>
        <v>0</v>
      </c>
      <c r="BC112" s="51">
        <f t="shared" si="110"/>
        <v>0</v>
      </c>
      <c r="BD112" s="51">
        <f t="shared" si="110"/>
        <v>0</v>
      </c>
    </row>
    <row r="113" ht="48.0" customHeight="1">
      <c r="A113" s="49" t="s">
        <v>40</v>
      </c>
      <c r="B113" s="49" t="str">
        <f t="array" ref="B113">INDEX('HD cty 2024'!B:B,MATCH('F0, F1, F2, ...'!$C113,'HD cty 2024'!B:B,0))</f>
        <v>#N/A</v>
      </c>
      <c r="C113" s="49">
        <v>142.0</v>
      </c>
      <c r="D113" s="50">
        <v>45388.0</v>
      </c>
      <c r="E113" s="51">
        <v>2.64196218E8</v>
      </c>
      <c r="F113" s="51">
        <v>2.1135697E7</v>
      </c>
      <c r="G113" s="51">
        <v>2.85331915E8</v>
      </c>
      <c r="H113" s="49" t="s">
        <v>414</v>
      </c>
      <c r="I113" s="52" t="s">
        <v>2877</v>
      </c>
      <c r="J113" s="50">
        <v>45804.0</v>
      </c>
      <c r="K113" s="51">
        <v>6656097.0</v>
      </c>
      <c r="L113" s="51">
        <v>532488.0</v>
      </c>
      <c r="M113" s="51">
        <v>7188585.0</v>
      </c>
      <c r="N113" s="49"/>
      <c r="O113" s="52"/>
      <c r="P113" s="50"/>
      <c r="Q113" s="51"/>
      <c r="R113" s="51"/>
      <c r="S113" s="51"/>
      <c r="T113" s="49"/>
      <c r="U113" s="52"/>
      <c r="V113" s="50"/>
      <c r="W113" s="51"/>
      <c r="X113" s="51"/>
      <c r="Y113" s="51"/>
      <c r="Z113" s="51">
        <v>2.70852315E8</v>
      </c>
      <c r="AA113" s="51">
        <v>2.1668185E7</v>
      </c>
      <c r="AB113" s="51">
        <v>2.925205E8</v>
      </c>
      <c r="AC113" s="47"/>
      <c r="AD113" s="47" t="s">
        <v>2878</v>
      </c>
      <c r="AE113" s="48"/>
      <c r="AF113" s="50"/>
      <c r="AG113" s="51">
        <v>-6656097.0</v>
      </c>
      <c r="AH113" s="51">
        <v>-532488.0</v>
      </c>
      <c r="AI113" s="51">
        <v>-7188585.0</v>
      </c>
      <c r="AJ113" s="47" t="s">
        <v>2879</v>
      </c>
      <c r="AK113" s="48"/>
      <c r="AL113" s="50"/>
      <c r="AM113" s="51">
        <v>-2.64196218E8</v>
      </c>
      <c r="AN113" s="51">
        <v>-2.1135697E7</v>
      </c>
      <c r="AO113" s="51">
        <v>-2.85331915E8</v>
      </c>
      <c r="AP113" s="47"/>
      <c r="AQ113" s="48"/>
      <c r="AR113" s="50"/>
      <c r="AS113" s="51"/>
      <c r="AT113" s="51"/>
      <c r="AU113" s="51"/>
      <c r="AV113" s="47"/>
      <c r="AW113" s="48"/>
      <c r="AX113" s="50"/>
      <c r="AY113" s="51"/>
      <c r="AZ113" s="51"/>
      <c r="BA113" s="51"/>
      <c r="BB113" s="51">
        <f t="shared" ref="BB113:BD113" si="111">IF(AND(ISNUMBER(Z113),COUNT(AG113,AM113,AS113,AY113)=2),Z113+SUM(AG113,AM113,AS113,AY113),"")</f>
        <v>0</v>
      </c>
      <c r="BC113" s="51">
        <f t="shared" si="111"/>
        <v>0</v>
      </c>
      <c r="BD113" s="51">
        <f t="shared" si="111"/>
        <v>0</v>
      </c>
    </row>
    <row r="114" ht="48.0" customHeight="1">
      <c r="A114" s="49" t="s">
        <v>40</v>
      </c>
      <c r="B114" s="49" t="str">
        <f t="array" ref="B114">INDEX('HD cty 2024'!B:B,MATCH('F0, F1, F2, ...'!$C114,'HD cty 2024'!B:B,0))</f>
        <v>#N/A</v>
      </c>
      <c r="C114" s="49">
        <v>143.0</v>
      </c>
      <c r="D114" s="50">
        <v>45388.0</v>
      </c>
      <c r="E114" s="51">
        <v>3.5762276E7</v>
      </c>
      <c r="F114" s="51">
        <v>2860982.0</v>
      </c>
      <c r="G114" s="51">
        <v>3.8623258E7</v>
      </c>
      <c r="H114" s="49" t="s">
        <v>414</v>
      </c>
      <c r="I114" s="52" t="s">
        <v>2880</v>
      </c>
      <c r="J114" s="50">
        <v>45808.0</v>
      </c>
      <c r="K114" s="51">
        <v>538857.0</v>
      </c>
      <c r="L114" s="51">
        <v>43109.0</v>
      </c>
      <c r="M114" s="51">
        <v>581966.0</v>
      </c>
      <c r="N114" s="49"/>
      <c r="O114" s="52"/>
      <c r="P114" s="50"/>
      <c r="Q114" s="51"/>
      <c r="R114" s="51"/>
      <c r="S114" s="51"/>
      <c r="T114" s="49"/>
      <c r="U114" s="52"/>
      <c r="V114" s="50"/>
      <c r="W114" s="51"/>
      <c r="X114" s="51"/>
      <c r="Y114" s="51"/>
      <c r="Z114" s="51">
        <v>3.6301133E7</v>
      </c>
      <c r="AA114" s="51">
        <v>2904091.0</v>
      </c>
      <c r="AB114" s="51">
        <v>3.9205224E7</v>
      </c>
      <c r="AC114" s="47"/>
      <c r="AD114" s="47" t="s">
        <v>2881</v>
      </c>
      <c r="AE114" s="48"/>
      <c r="AF114" s="50"/>
      <c r="AG114" s="51">
        <v>-538857.0</v>
      </c>
      <c r="AH114" s="51">
        <v>-43109.0</v>
      </c>
      <c r="AI114" s="51">
        <v>-581966.0</v>
      </c>
      <c r="AJ114" s="47" t="s">
        <v>2882</v>
      </c>
      <c r="AK114" s="48"/>
      <c r="AL114" s="50"/>
      <c r="AM114" s="51">
        <v>-3.5762276E7</v>
      </c>
      <c r="AN114" s="51">
        <v>-2860982.0</v>
      </c>
      <c r="AO114" s="51">
        <v>-3.8623258E7</v>
      </c>
      <c r="AP114" s="47"/>
      <c r="AQ114" s="48"/>
      <c r="AR114" s="50"/>
      <c r="AS114" s="51"/>
      <c r="AT114" s="51"/>
      <c r="AU114" s="51"/>
      <c r="AV114" s="47"/>
      <c r="AW114" s="48"/>
      <c r="AX114" s="50"/>
      <c r="AY114" s="51"/>
      <c r="AZ114" s="51"/>
      <c r="BA114" s="51"/>
      <c r="BB114" s="51">
        <f t="shared" ref="BB114:BD114" si="112">IF(AND(ISNUMBER(Z114),COUNT(AG114,AM114,AS114,AY114)=2),Z114+SUM(AG114,AM114,AS114,AY114),"")</f>
        <v>0</v>
      </c>
      <c r="BC114" s="51">
        <f t="shared" si="112"/>
        <v>0</v>
      </c>
      <c r="BD114" s="51">
        <f t="shared" si="112"/>
        <v>0</v>
      </c>
    </row>
    <row r="115" ht="48.0" customHeight="1">
      <c r="A115" s="49" t="s">
        <v>40</v>
      </c>
      <c r="B115" s="49" t="str">
        <f t="array" ref="B115">INDEX('HD cty 2024'!B:B,MATCH('F0, F1, F2, ...'!$C115,'HD cty 2024'!B:B,0))</f>
        <v>#N/A</v>
      </c>
      <c r="C115" s="49">
        <v>144.0</v>
      </c>
      <c r="D115" s="50">
        <v>45388.0</v>
      </c>
      <c r="E115" s="51">
        <v>4.0101825E7</v>
      </c>
      <c r="F115" s="51">
        <v>3208146.0</v>
      </c>
      <c r="G115" s="51">
        <v>4.3309971E7</v>
      </c>
      <c r="H115" s="49" t="s">
        <v>414</v>
      </c>
      <c r="I115" s="52" t="s">
        <v>2883</v>
      </c>
      <c r="J115" s="50">
        <v>45804.0</v>
      </c>
      <c r="K115" s="51">
        <v>739096.0</v>
      </c>
      <c r="L115" s="51">
        <v>59128.0</v>
      </c>
      <c r="M115" s="51">
        <v>798224.0</v>
      </c>
      <c r="N115" s="49"/>
      <c r="O115" s="52"/>
      <c r="P115" s="50"/>
      <c r="Q115" s="51"/>
      <c r="R115" s="51"/>
      <c r="S115" s="51"/>
      <c r="T115" s="49"/>
      <c r="U115" s="52"/>
      <c r="V115" s="50"/>
      <c r="W115" s="51"/>
      <c r="X115" s="51"/>
      <c r="Y115" s="51"/>
      <c r="Z115" s="51">
        <v>4.0840921E7</v>
      </c>
      <c r="AA115" s="51">
        <v>3267274.0</v>
      </c>
      <c r="AB115" s="51">
        <v>4.4108195E7</v>
      </c>
      <c r="AC115" s="47"/>
      <c r="AD115" s="47" t="s">
        <v>2884</v>
      </c>
      <c r="AE115" s="48"/>
      <c r="AF115" s="50"/>
      <c r="AG115" s="51">
        <v>-739096.0</v>
      </c>
      <c r="AH115" s="51">
        <v>-59128.0</v>
      </c>
      <c r="AI115" s="51">
        <v>-798224.0</v>
      </c>
      <c r="AJ115" s="47" t="s">
        <v>2885</v>
      </c>
      <c r="AK115" s="48"/>
      <c r="AL115" s="50"/>
      <c r="AM115" s="51">
        <v>-4.0101825E7</v>
      </c>
      <c r="AN115" s="51">
        <v>-3208146.0</v>
      </c>
      <c r="AO115" s="51">
        <v>-4.3309971E7</v>
      </c>
      <c r="AP115" s="47"/>
      <c r="AQ115" s="48"/>
      <c r="AR115" s="50"/>
      <c r="AS115" s="51"/>
      <c r="AT115" s="51"/>
      <c r="AU115" s="51"/>
      <c r="AV115" s="47"/>
      <c r="AW115" s="48"/>
      <c r="AX115" s="50"/>
      <c r="AY115" s="51"/>
      <c r="AZ115" s="51"/>
      <c r="BA115" s="51"/>
      <c r="BB115" s="51">
        <f t="shared" ref="BB115:BD115" si="113">IF(AND(ISNUMBER(Z115),COUNT(AG115,AM115,AS115,AY115)=2),Z115+SUM(AG115,AM115,AS115,AY115),"")</f>
        <v>0</v>
      </c>
      <c r="BC115" s="51">
        <f t="shared" si="113"/>
        <v>0</v>
      </c>
      <c r="BD115" s="51">
        <f t="shared" si="113"/>
        <v>0</v>
      </c>
    </row>
    <row r="116" ht="48.0" customHeight="1">
      <c r="A116" s="49" t="s">
        <v>40</v>
      </c>
      <c r="B116" s="49" t="str">
        <f t="array" ref="B116">INDEX('HD cty 2024'!B:B,MATCH('F0, F1, F2, ...'!$C116,'HD cty 2024'!B:B,0))</f>
        <v>#N/A</v>
      </c>
      <c r="C116" s="49">
        <v>145.0</v>
      </c>
      <c r="D116" s="50">
        <v>45390.0</v>
      </c>
      <c r="E116" s="51">
        <v>8.3193384E7</v>
      </c>
      <c r="F116" s="51">
        <v>6655471.0</v>
      </c>
      <c r="G116" s="51">
        <v>8.9848855E7</v>
      </c>
      <c r="H116" s="49" t="s">
        <v>414</v>
      </c>
      <c r="I116" s="52" t="s">
        <v>2886</v>
      </c>
      <c r="J116" s="50">
        <v>45804.0</v>
      </c>
      <c r="K116" s="51">
        <v>3820042.0</v>
      </c>
      <c r="L116" s="51">
        <v>305603.0</v>
      </c>
      <c r="M116" s="51">
        <v>4125645.0</v>
      </c>
      <c r="N116" s="49"/>
      <c r="O116" s="52"/>
      <c r="P116" s="50"/>
      <c r="Q116" s="51"/>
      <c r="R116" s="51"/>
      <c r="S116" s="51"/>
      <c r="T116" s="49"/>
      <c r="U116" s="52"/>
      <c r="V116" s="50"/>
      <c r="W116" s="51"/>
      <c r="X116" s="51"/>
      <c r="Y116" s="51"/>
      <c r="Z116" s="51">
        <v>8.7013426E7</v>
      </c>
      <c r="AA116" s="51">
        <v>6961074.0</v>
      </c>
      <c r="AB116" s="51">
        <v>9.39745E7</v>
      </c>
      <c r="AC116" s="47"/>
      <c r="AD116" s="47" t="s">
        <v>2887</v>
      </c>
      <c r="AE116" s="48"/>
      <c r="AF116" s="50"/>
      <c r="AG116" s="51">
        <v>-3820042.0</v>
      </c>
      <c r="AH116" s="51">
        <v>-305603.0</v>
      </c>
      <c r="AI116" s="51">
        <v>-4125645.0</v>
      </c>
      <c r="AJ116" s="47" t="s">
        <v>2888</v>
      </c>
      <c r="AK116" s="48"/>
      <c r="AL116" s="50"/>
      <c r="AM116" s="51">
        <v>-8.3193384E7</v>
      </c>
      <c r="AN116" s="51">
        <v>-6655471.0</v>
      </c>
      <c r="AO116" s="51">
        <v>-8.9848855E7</v>
      </c>
      <c r="AP116" s="47"/>
      <c r="AQ116" s="48"/>
      <c r="AR116" s="50"/>
      <c r="AS116" s="51"/>
      <c r="AT116" s="51"/>
      <c r="AU116" s="51"/>
      <c r="AV116" s="47"/>
      <c r="AW116" s="48"/>
      <c r="AX116" s="50"/>
      <c r="AY116" s="51"/>
      <c r="AZ116" s="51"/>
      <c r="BA116" s="51"/>
      <c r="BB116" s="51">
        <f t="shared" ref="BB116:BD116" si="114">IF(AND(ISNUMBER(Z116),COUNT(AG116,AM116,AS116,AY116)=2),Z116+SUM(AG116,AM116,AS116,AY116),"")</f>
        <v>0</v>
      </c>
      <c r="BC116" s="51">
        <f t="shared" si="114"/>
        <v>0</v>
      </c>
      <c r="BD116" s="51">
        <f t="shared" si="114"/>
        <v>0</v>
      </c>
    </row>
    <row r="117" ht="48.0" customHeight="1">
      <c r="A117" s="49" t="s">
        <v>40</v>
      </c>
      <c r="B117" s="49" t="str">
        <f t="array" ref="B117">INDEX('HD cty 2024'!B:B,MATCH('F0, F1, F2, ...'!$C117,'HD cty 2024'!B:B,0))</f>
        <v>#N/A</v>
      </c>
      <c r="C117" s="49">
        <v>146.0</v>
      </c>
      <c r="D117" s="50">
        <v>45390.0</v>
      </c>
      <c r="E117" s="51">
        <v>8.1029908E7</v>
      </c>
      <c r="F117" s="51">
        <v>6482393.0</v>
      </c>
      <c r="G117" s="51">
        <v>8.7512301E7</v>
      </c>
      <c r="H117" s="49" t="s">
        <v>414</v>
      </c>
      <c r="I117" s="52" t="s">
        <v>2889</v>
      </c>
      <c r="J117" s="50">
        <v>45804.0</v>
      </c>
      <c r="K117" s="51">
        <v>4523333.0</v>
      </c>
      <c r="L117" s="51">
        <v>361867.0</v>
      </c>
      <c r="M117" s="51">
        <v>4885200.0</v>
      </c>
      <c r="N117" s="49"/>
      <c r="O117" s="52"/>
      <c r="P117" s="50"/>
      <c r="Q117" s="51"/>
      <c r="R117" s="51"/>
      <c r="S117" s="51"/>
      <c r="T117" s="49"/>
      <c r="U117" s="52"/>
      <c r="V117" s="50"/>
      <c r="W117" s="51"/>
      <c r="X117" s="51"/>
      <c r="Y117" s="51"/>
      <c r="Z117" s="51">
        <v>8.5553241E7</v>
      </c>
      <c r="AA117" s="51">
        <v>6844260.0</v>
      </c>
      <c r="AB117" s="51">
        <v>9.2397501E7</v>
      </c>
      <c r="AC117" s="47"/>
      <c r="AD117" s="47" t="s">
        <v>2890</v>
      </c>
      <c r="AE117" s="48"/>
      <c r="AF117" s="50"/>
      <c r="AG117" s="51">
        <v>-4523333.0</v>
      </c>
      <c r="AH117" s="51">
        <v>-361867.0</v>
      </c>
      <c r="AI117" s="51">
        <v>-4885200.0</v>
      </c>
      <c r="AJ117" s="47" t="s">
        <v>2891</v>
      </c>
      <c r="AK117" s="48"/>
      <c r="AL117" s="50"/>
      <c r="AM117" s="51">
        <v>-8.1029908E7</v>
      </c>
      <c r="AN117" s="51">
        <v>-6482393.0</v>
      </c>
      <c r="AO117" s="51">
        <v>-8.7512301E7</v>
      </c>
      <c r="AP117" s="47"/>
      <c r="AQ117" s="48"/>
      <c r="AR117" s="50"/>
      <c r="AS117" s="51"/>
      <c r="AT117" s="51"/>
      <c r="AU117" s="51"/>
      <c r="AV117" s="47"/>
      <c r="AW117" s="48"/>
      <c r="AX117" s="50"/>
      <c r="AY117" s="51"/>
      <c r="AZ117" s="51"/>
      <c r="BA117" s="51"/>
      <c r="BB117" s="51">
        <f t="shared" ref="BB117:BD117" si="115">IF(AND(ISNUMBER(Z117),COUNT(AG117,AM117,AS117,AY117)=2),Z117+SUM(AG117,AM117,AS117,AY117),"")</f>
        <v>0</v>
      </c>
      <c r="BC117" s="51">
        <f t="shared" si="115"/>
        <v>0</v>
      </c>
      <c r="BD117" s="51">
        <f t="shared" si="115"/>
        <v>0</v>
      </c>
    </row>
    <row r="118" ht="48.0" customHeight="1">
      <c r="A118" s="49" t="s">
        <v>40</v>
      </c>
      <c r="B118" s="49" t="str">
        <f t="array" ref="B118">INDEX('HD cty 2024'!B:B,MATCH('F0, F1, F2, ...'!$C118,'HD cty 2024'!B:B,0))</f>
        <v>#N/A</v>
      </c>
      <c r="C118" s="49">
        <v>147.0</v>
      </c>
      <c r="D118" s="50">
        <v>45390.0</v>
      </c>
      <c r="E118" s="51">
        <v>1.34148064E8</v>
      </c>
      <c r="F118" s="51">
        <v>1.0731845E7</v>
      </c>
      <c r="G118" s="51">
        <v>1.44879909E8</v>
      </c>
      <c r="H118" s="49" t="s">
        <v>414</v>
      </c>
      <c r="I118" s="52" t="s">
        <v>2892</v>
      </c>
      <c r="J118" s="50">
        <v>45804.0</v>
      </c>
      <c r="K118" s="51">
        <v>2.4316751E7</v>
      </c>
      <c r="L118" s="51">
        <v>1945340.0</v>
      </c>
      <c r="M118" s="51">
        <v>2.6262091E7</v>
      </c>
      <c r="N118" s="49"/>
      <c r="O118" s="52"/>
      <c r="P118" s="50"/>
      <c r="Q118" s="51"/>
      <c r="R118" s="51"/>
      <c r="S118" s="51"/>
      <c r="T118" s="49"/>
      <c r="U118" s="52"/>
      <c r="V118" s="50"/>
      <c r="W118" s="51"/>
      <c r="X118" s="51"/>
      <c r="Y118" s="51"/>
      <c r="Z118" s="51">
        <v>1.58464815E8</v>
      </c>
      <c r="AA118" s="51">
        <v>1.2677185E7</v>
      </c>
      <c r="AB118" s="51">
        <v>1.71142E8</v>
      </c>
      <c r="AC118" s="47"/>
      <c r="AD118" s="47" t="s">
        <v>2893</v>
      </c>
      <c r="AE118" s="48"/>
      <c r="AF118" s="50"/>
      <c r="AG118" s="51">
        <v>-2.4316751E7</v>
      </c>
      <c r="AH118" s="51">
        <v>-1945340.0</v>
      </c>
      <c r="AI118" s="51">
        <v>-2.6262091E7</v>
      </c>
      <c r="AJ118" s="47" t="s">
        <v>2894</v>
      </c>
      <c r="AK118" s="48"/>
      <c r="AL118" s="50"/>
      <c r="AM118" s="51">
        <v>-1.34148064E8</v>
      </c>
      <c r="AN118" s="51">
        <v>-1.0731845E7</v>
      </c>
      <c r="AO118" s="51">
        <v>-1.44879909E8</v>
      </c>
      <c r="AP118" s="47"/>
      <c r="AQ118" s="48"/>
      <c r="AR118" s="50"/>
      <c r="AS118" s="51"/>
      <c r="AT118" s="51"/>
      <c r="AU118" s="51"/>
      <c r="AV118" s="47"/>
      <c r="AW118" s="48"/>
      <c r="AX118" s="50"/>
      <c r="AY118" s="51"/>
      <c r="AZ118" s="51"/>
      <c r="BA118" s="51"/>
      <c r="BB118" s="51">
        <f t="shared" ref="BB118:BD118" si="116">IF(AND(ISNUMBER(Z118),COUNT(AG118,AM118,AS118,AY118)=2),Z118+SUM(AG118,AM118,AS118,AY118),"")</f>
        <v>0</v>
      </c>
      <c r="BC118" s="51">
        <f t="shared" si="116"/>
        <v>0</v>
      </c>
      <c r="BD118" s="51">
        <f t="shared" si="116"/>
        <v>0</v>
      </c>
    </row>
    <row r="119" ht="48.0" customHeight="1">
      <c r="A119" s="49" t="s">
        <v>40</v>
      </c>
      <c r="B119" s="49" t="str">
        <f t="array" ref="B119">INDEX('HD cty 2024'!B:B,MATCH('F0, F1, F2, ...'!$C119,'HD cty 2024'!B:B,0))</f>
        <v>#N/A</v>
      </c>
      <c r="C119" s="49">
        <v>148.0</v>
      </c>
      <c r="D119" s="50">
        <v>45390.0</v>
      </c>
      <c r="E119" s="51">
        <v>8.2651506E7</v>
      </c>
      <c r="F119" s="51">
        <v>6612120.0</v>
      </c>
      <c r="G119" s="51">
        <v>8.9263626E7</v>
      </c>
      <c r="H119" s="49" t="s">
        <v>414</v>
      </c>
      <c r="I119" s="52" t="s">
        <v>2895</v>
      </c>
      <c r="J119" s="50">
        <v>45804.0</v>
      </c>
      <c r="K119" s="51">
        <v>-1087154.0</v>
      </c>
      <c r="L119" s="51">
        <v>-86972.0</v>
      </c>
      <c r="M119" s="51">
        <v>-1174126.0</v>
      </c>
      <c r="N119" s="49"/>
      <c r="O119" s="52"/>
      <c r="P119" s="50"/>
      <c r="Q119" s="51"/>
      <c r="R119" s="51"/>
      <c r="S119" s="51"/>
      <c r="T119" s="49"/>
      <c r="U119" s="52"/>
      <c r="V119" s="50"/>
      <c r="W119" s="51"/>
      <c r="X119" s="51"/>
      <c r="Y119" s="51"/>
      <c r="Z119" s="51">
        <v>8.1564352E7</v>
      </c>
      <c r="AA119" s="51">
        <v>6525148.0</v>
      </c>
      <c r="AB119" s="51">
        <v>8.80895E7</v>
      </c>
      <c r="AC119" s="47"/>
      <c r="AD119" s="47" t="s">
        <v>2896</v>
      </c>
      <c r="AE119" s="48"/>
      <c r="AF119" s="50"/>
      <c r="AG119" s="51">
        <v>1087154.0</v>
      </c>
      <c r="AH119" s="51">
        <v>86972.0</v>
      </c>
      <c r="AI119" s="51">
        <v>1174126.0</v>
      </c>
      <c r="AJ119" s="47" t="s">
        <v>2897</v>
      </c>
      <c r="AK119" s="48"/>
      <c r="AL119" s="50"/>
      <c r="AM119" s="51">
        <v>-8.2651506E7</v>
      </c>
      <c r="AN119" s="51">
        <v>-6612120.0</v>
      </c>
      <c r="AO119" s="51">
        <v>-8.9263626E7</v>
      </c>
      <c r="AP119" s="47"/>
      <c r="AQ119" s="48"/>
      <c r="AR119" s="50"/>
      <c r="AS119" s="51"/>
      <c r="AT119" s="51"/>
      <c r="AU119" s="51"/>
      <c r="AV119" s="47"/>
      <c r="AW119" s="48"/>
      <c r="AX119" s="50"/>
      <c r="AY119" s="51"/>
      <c r="AZ119" s="51"/>
      <c r="BA119" s="51"/>
      <c r="BB119" s="51">
        <f t="shared" ref="BB119:BD119" si="117">IF(AND(ISNUMBER(Z119),COUNT(AG119,AM119,AS119,AY119)=2),Z119+SUM(AG119,AM119,AS119,AY119),"")</f>
        <v>0</v>
      </c>
      <c r="BC119" s="51">
        <f t="shared" si="117"/>
        <v>0</v>
      </c>
      <c r="BD119" s="51">
        <f t="shared" si="117"/>
        <v>0</v>
      </c>
    </row>
    <row r="120" ht="48.0" customHeight="1">
      <c r="A120" s="49" t="s">
        <v>40</v>
      </c>
      <c r="B120" s="49" t="str">
        <f t="array" ref="B120">INDEX('HD cty 2024'!B:B,MATCH('F0, F1, F2, ...'!$C120,'HD cty 2024'!B:B,0))</f>
        <v>#N/A</v>
      </c>
      <c r="C120" s="49">
        <v>149.0</v>
      </c>
      <c r="D120" s="50">
        <v>45390.0</v>
      </c>
      <c r="E120" s="51">
        <v>6.3624019E7</v>
      </c>
      <c r="F120" s="51">
        <v>5089922.0</v>
      </c>
      <c r="G120" s="51">
        <v>6.8713941E7</v>
      </c>
      <c r="H120" s="49" t="s">
        <v>414</v>
      </c>
      <c r="I120" s="52" t="s">
        <v>2898</v>
      </c>
      <c r="J120" s="50">
        <v>45804.0</v>
      </c>
      <c r="K120" s="51">
        <v>2787918.0</v>
      </c>
      <c r="L120" s="51">
        <v>223033.0</v>
      </c>
      <c r="M120" s="51">
        <v>3010951.0</v>
      </c>
      <c r="N120" s="49"/>
      <c r="O120" s="52"/>
      <c r="P120" s="50"/>
      <c r="Q120" s="51"/>
      <c r="R120" s="51"/>
      <c r="S120" s="51"/>
      <c r="T120" s="49"/>
      <c r="U120" s="52"/>
      <c r="V120" s="50"/>
      <c r="W120" s="51"/>
      <c r="X120" s="51"/>
      <c r="Y120" s="51"/>
      <c r="Z120" s="51">
        <v>6.6411937E7</v>
      </c>
      <c r="AA120" s="51">
        <v>5312955.0</v>
      </c>
      <c r="AB120" s="51">
        <v>7.1724892E7</v>
      </c>
      <c r="AC120" s="47"/>
      <c r="AD120" s="47" t="s">
        <v>2899</v>
      </c>
      <c r="AE120" s="48"/>
      <c r="AF120" s="50"/>
      <c r="AG120" s="51">
        <v>-2787918.0</v>
      </c>
      <c r="AH120" s="51">
        <v>-223033.0</v>
      </c>
      <c r="AI120" s="51">
        <v>-3010951.0</v>
      </c>
      <c r="AJ120" s="47" t="s">
        <v>2900</v>
      </c>
      <c r="AK120" s="48"/>
      <c r="AL120" s="50"/>
      <c r="AM120" s="51">
        <v>-6.3624019E7</v>
      </c>
      <c r="AN120" s="51">
        <v>-5089922.0</v>
      </c>
      <c r="AO120" s="51">
        <v>-6.8713941E7</v>
      </c>
      <c r="AP120" s="47"/>
      <c r="AQ120" s="48"/>
      <c r="AR120" s="50"/>
      <c r="AS120" s="51"/>
      <c r="AT120" s="51"/>
      <c r="AU120" s="51"/>
      <c r="AV120" s="47"/>
      <c r="AW120" s="48"/>
      <c r="AX120" s="50"/>
      <c r="AY120" s="51"/>
      <c r="AZ120" s="51"/>
      <c r="BA120" s="51"/>
      <c r="BB120" s="51">
        <f t="shared" ref="BB120:BD120" si="118">IF(AND(ISNUMBER(Z120),COUNT(AG120,AM120,AS120,AY120)=2),Z120+SUM(AG120,AM120,AS120,AY120),"")</f>
        <v>0</v>
      </c>
      <c r="BC120" s="51">
        <f t="shared" si="118"/>
        <v>0</v>
      </c>
      <c r="BD120" s="51">
        <f t="shared" si="118"/>
        <v>0</v>
      </c>
    </row>
    <row r="121" ht="48.0" customHeight="1">
      <c r="A121" s="49" t="s">
        <v>40</v>
      </c>
      <c r="B121" s="49" t="str">
        <f t="array" ref="B121">INDEX('HD cty 2024'!B:B,MATCH('F0, F1, F2, ...'!$C121,'HD cty 2024'!B:B,0))</f>
        <v>#N/A</v>
      </c>
      <c r="C121" s="49">
        <v>150.0</v>
      </c>
      <c r="D121" s="50">
        <v>45390.0</v>
      </c>
      <c r="E121" s="51">
        <v>1.09712099E8</v>
      </c>
      <c r="F121" s="51">
        <v>8776968.0</v>
      </c>
      <c r="G121" s="51">
        <v>1.18489067E8</v>
      </c>
      <c r="H121" s="49" t="s">
        <v>414</v>
      </c>
      <c r="I121" s="52" t="s">
        <v>2901</v>
      </c>
      <c r="J121" s="50">
        <v>45804.0</v>
      </c>
      <c r="K121" s="51">
        <v>1.1576327E7</v>
      </c>
      <c r="L121" s="51">
        <v>926106.0</v>
      </c>
      <c r="M121" s="51">
        <v>1.2502433E7</v>
      </c>
      <c r="N121" s="49"/>
      <c r="O121" s="52"/>
      <c r="P121" s="50"/>
      <c r="Q121" s="51"/>
      <c r="R121" s="51"/>
      <c r="S121" s="51"/>
      <c r="T121" s="49"/>
      <c r="U121" s="52"/>
      <c r="V121" s="50"/>
      <c r="W121" s="51"/>
      <c r="X121" s="51"/>
      <c r="Y121" s="51"/>
      <c r="Z121" s="51">
        <v>1.21288426E8</v>
      </c>
      <c r="AA121" s="51">
        <v>9703074.0</v>
      </c>
      <c r="AB121" s="51">
        <v>1.309915E8</v>
      </c>
      <c r="AC121" s="47"/>
      <c r="AD121" s="47" t="s">
        <v>2902</v>
      </c>
      <c r="AE121" s="48"/>
      <c r="AF121" s="50"/>
      <c r="AG121" s="51">
        <v>-1.1576327E7</v>
      </c>
      <c r="AH121" s="51">
        <v>-926106.0</v>
      </c>
      <c r="AI121" s="51">
        <v>-1.2502433E7</v>
      </c>
      <c r="AJ121" s="47" t="s">
        <v>2903</v>
      </c>
      <c r="AK121" s="48"/>
      <c r="AL121" s="50"/>
      <c r="AM121" s="51">
        <v>-1.09712099E8</v>
      </c>
      <c r="AN121" s="51">
        <v>-8776968.0</v>
      </c>
      <c r="AO121" s="51">
        <v>-1.18489067E8</v>
      </c>
      <c r="AP121" s="47"/>
      <c r="AQ121" s="48"/>
      <c r="AR121" s="50"/>
      <c r="AS121" s="51"/>
      <c r="AT121" s="51"/>
      <c r="AU121" s="51"/>
      <c r="AV121" s="47"/>
      <c r="AW121" s="48"/>
      <c r="AX121" s="50"/>
      <c r="AY121" s="51"/>
      <c r="AZ121" s="51"/>
      <c r="BA121" s="51"/>
      <c r="BB121" s="51">
        <f t="shared" ref="BB121:BD121" si="119">IF(AND(ISNUMBER(Z121),COUNT(AG121,AM121,AS121,AY121)=2),Z121+SUM(AG121,AM121,AS121,AY121),"")</f>
        <v>0</v>
      </c>
      <c r="BC121" s="51">
        <f t="shared" si="119"/>
        <v>0</v>
      </c>
      <c r="BD121" s="51">
        <f t="shared" si="119"/>
        <v>0</v>
      </c>
    </row>
    <row r="122" ht="48.0" customHeight="1">
      <c r="A122" s="49" t="s">
        <v>40</v>
      </c>
      <c r="B122" s="49" t="str">
        <f t="array" ref="B122">INDEX('HD cty 2024'!B:B,MATCH('F0, F1, F2, ...'!$C122,'HD cty 2024'!B:B,0))</f>
        <v>#N/A</v>
      </c>
      <c r="C122" s="49">
        <v>151.0</v>
      </c>
      <c r="D122" s="50">
        <v>45390.0</v>
      </c>
      <c r="E122" s="51">
        <v>1.37139083E8</v>
      </c>
      <c r="F122" s="51">
        <v>1.0971127E7</v>
      </c>
      <c r="G122" s="51">
        <v>1.4811021E8</v>
      </c>
      <c r="H122" s="49" t="s">
        <v>414</v>
      </c>
      <c r="I122" s="52" t="s">
        <v>2904</v>
      </c>
      <c r="J122" s="50">
        <v>45804.0</v>
      </c>
      <c r="K122" s="51">
        <v>1.3374343E7</v>
      </c>
      <c r="L122" s="51">
        <v>1069947.0</v>
      </c>
      <c r="M122" s="51">
        <v>1.444429E7</v>
      </c>
      <c r="N122" s="49"/>
      <c r="O122" s="52"/>
      <c r="P122" s="50"/>
      <c r="Q122" s="51"/>
      <c r="R122" s="51"/>
      <c r="S122" s="51"/>
      <c r="T122" s="49"/>
      <c r="U122" s="52"/>
      <c r="V122" s="50"/>
      <c r="W122" s="51"/>
      <c r="X122" s="51"/>
      <c r="Y122" s="51"/>
      <c r="Z122" s="51">
        <v>1.50513426E8</v>
      </c>
      <c r="AA122" s="51">
        <v>1.2041074E7</v>
      </c>
      <c r="AB122" s="51">
        <v>1.625545E8</v>
      </c>
      <c r="AC122" s="47"/>
      <c r="AD122" s="47" t="s">
        <v>2905</v>
      </c>
      <c r="AE122" s="48"/>
      <c r="AF122" s="50"/>
      <c r="AG122" s="51">
        <v>-1.3374343E7</v>
      </c>
      <c r="AH122" s="51">
        <v>-1069947.0</v>
      </c>
      <c r="AI122" s="51">
        <v>-1.444429E7</v>
      </c>
      <c r="AJ122" s="47" t="s">
        <v>2906</v>
      </c>
      <c r="AK122" s="48"/>
      <c r="AL122" s="50"/>
      <c r="AM122" s="51">
        <v>-1.37139083E8</v>
      </c>
      <c r="AN122" s="51">
        <v>-1.0971127E7</v>
      </c>
      <c r="AO122" s="51">
        <v>-1.4811021E8</v>
      </c>
      <c r="AP122" s="47"/>
      <c r="AQ122" s="48"/>
      <c r="AR122" s="50"/>
      <c r="AS122" s="51"/>
      <c r="AT122" s="51"/>
      <c r="AU122" s="51"/>
      <c r="AV122" s="47"/>
      <c r="AW122" s="48"/>
      <c r="AX122" s="50"/>
      <c r="AY122" s="51"/>
      <c r="AZ122" s="51"/>
      <c r="BA122" s="51"/>
      <c r="BB122" s="51">
        <f t="shared" ref="BB122:BD122" si="120">IF(AND(ISNUMBER(Z122),COUNT(AG122,AM122,AS122,AY122)=2),Z122+SUM(AG122,AM122,AS122,AY122),"")</f>
        <v>0</v>
      </c>
      <c r="BC122" s="51">
        <f t="shared" si="120"/>
        <v>0</v>
      </c>
      <c r="BD122" s="51">
        <f t="shared" si="120"/>
        <v>0</v>
      </c>
    </row>
    <row r="123" ht="48.0" customHeight="1">
      <c r="A123" s="49" t="s">
        <v>40</v>
      </c>
      <c r="B123" s="49" t="str">
        <f t="array" ref="B123">INDEX('HD cty 2024'!B:B,MATCH('F0, F1, F2, ...'!$C123,'HD cty 2024'!B:B,0))</f>
        <v>#N/A</v>
      </c>
      <c r="C123" s="49">
        <v>152.0</v>
      </c>
      <c r="D123" s="50">
        <v>45390.0</v>
      </c>
      <c r="E123" s="51">
        <v>1.721637E8</v>
      </c>
      <c r="F123" s="51">
        <v>1.3773096E7</v>
      </c>
      <c r="G123" s="51">
        <v>1.85936796E8</v>
      </c>
      <c r="H123" s="49" t="s">
        <v>414</v>
      </c>
      <c r="I123" s="52" t="s">
        <v>2907</v>
      </c>
      <c r="J123" s="50">
        <v>45804.0</v>
      </c>
      <c r="K123" s="51">
        <v>1.9097411E7</v>
      </c>
      <c r="L123" s="51">
        <v>1527793.0</v>
      </c>
      <c r="M123" s="51">
        <v>2.0625204E7</v>
      </c>
      <c r="N123" s="49"/>
      <c r="O123" s="52"/>
      <c r="P123" s="50"/>
      <c r="Q123" s="51"/>
      <c r="R123" s="51"/>
      <c r="S123" s="51"/>
      <c r="T123" s="49"/>
      <c r="U123" s="52"/>
      <c r="V123" s="50"/>
      <c r="W123" s="51"/>
      <c r="X123" s="51"/>
      <c r="Y123" s="51"/>
      <c r="Z123" s="51">
        <v>1.91261111E8</v>
      </c>
      <c r="AA123" s="51">
        <v>1.5300889E7</v>
      </c>
      <c r="AB123" s="51">
        <v>2.06562E8</v>
      </c>
      <c r="AC123" s="47"/>
      <c r="AD123" s="47" t="s">
        <v>2908</v>
      </c>
      <c r="AE123" s="48"/>
      <c r="AF123" s="50"/>
      <c r="AG123" s="51">
        <v>-1.9097411E7</v>
      </c>
      <c r="AH123" s="51">
        <v>-1527793.0</v>
      </c>
      <c r="AI123" s="51">
        <v>-2.0625204E7</v>
      </c>
      <c r="AJ123" s="47" t="s">
        <v>2909</v>
      </c>
      <c r="AK123" s="48"/>
      <c r="AL123" s="50"/>
      <c r="AM123" s="51">
        <v>-1.721637E8</v>
      </c>
      <c r="AN123" s="51">
        <v>-1.3773096E7</v>
      </c>
      <c r="AO123" s="51">
        <v>-1.85936796E8</v>
      </c>
      <c r="AP123" s="47"/>
      <c r="AQ123" s="48"/>
      <c r="AR123" s="50"/>
      <c r="AS123" s="51"/>
      <c r="AT123" s="51"/>
      <c r="AU123" s="51"/>
      <c r="AV123" s="47"/>
      <c r="AW123" s="48"/>
      <c r="AX123" s="50"/>
      <c r="AY123" s="51"/>
      <c r="AZ123" s="51"/>
      <c r="BA123" s="51"/>
      <c r="BB123" s="51">
        <f t="shared" ref="BB123:BD123" si="121">IF(AND(ISNUMBER(Z123),COUNT(AG123,AM123,AS123,AY123)=2),Z123+SUM(AG123,AM123,AS123,AY123),"")</f>
        <v>0</v>
      </c>
      <c r="BC123" s="51">
        <f t="shared" si="121"/>
        <v>0</v>
      </c>
      <c r="BD123" s="51">
        <f t="shared" si="121"/>
        <v>0</v>
      </c>
    </row>
    <row r="124" ht="48.0" customHeight="1">
      <c r="A124" s="49" t="s">
        <v>40</v>
      </c>
      <c r="B124" s="49" t="str">
        <f t="array" ref="B124">INDEX('HD cty 2024'!B:B,MATCH('F0, F1, F2, ...'!$C124,'HD cty 2024'!B:B,0))</f>
        <v>#N/A</v>
      </c>
      <c r="C124" s="49">
        <v>153.0</v>
      </c>
      <c r="D124" s="50">
        <v>45391.0</v>
      </c>
      <c r="E124" s="51">
        <v>2808126.0</v>
      </c>
      <c r="F124" s="51">
        <v>224650.0</v>
      </c>
      <c r="G124" s="51">
        <v>3032776.0</v>
      </c>
      <c r="H124" s="49" t="s">
        <v>414</v>
      </c>
      <c r="I124" s="52" t="s">
        <v>2910</v>
      </c>
      <c r="J124" s="50">
        <v>45807.0</v>
      </c>
      <c r="K124" s="51">
        <v>-52472.0</v>
      </c>
      <c r="L124" s="51">
        <v>-4198.0</v>
      </c>
      <c r="M124" s="51">
        <v>-56670.0</v>
      </c>
      <c r="N124" s="49"/>
      <c r="O124" s="52"/>
      <c r="P124" s="50"/>
      <c r="Q124" s="51"/>
      <c r="R124" s="51"/>
      <c r="S124" s="51"/>
      <c r="T124" s="49"/>
      <c r="U124" s="52"/>
      <c r="V124" s="50"/>
      <c r="W124" s="51"/>
      <c r="X124" s="51"/>
      <c r="Y124" s="51"/>
      <c r="Z124" s="51">
        <v>2755654.0</v>
      </c>
      <c r="AA124" s="51">
        <v>220452.0</v>
      </c>
      <c r="AB124" s="51">
        <v>2976106.0</v>
      </c>
      <c r="AC124" s="47"/>
      <c r="AD124" s="47" t="s">
        <v>2911</v>
      </c>
      <c r="AE124" s="48"/>
      <c r="AF124" s="50"/>
      <c r="AG124" s="51">
        <v>52472.0</v>
      </c>
      <c r="AH124" s="51">
        <v>4198.0</v>
      </c>
      <c r="AI124" s="51">
        <v>56670.0</v>
      </c>
      <c r="AJ124" s="47" t="s">
        <v>2912</v>
      </c>
      <c r="AK124" s="48"/>
      <c r="AL124" s="50"/>
      <c r="AM124" s="51">
        <v>-2808126.0</v>
      </c>
      <c r="AN124" s="51">
        <v>-224650.0</v>
      </c>
      <c r="AO124" s="51">
        <v>-3032776.0</v>
      </c>
      <c r="AP124" s="47"/>
      <c r="AQ124" s="48"/>
      <c r="AR124" s="50"/>
      <c r="AS124" s="51"/>
      <c r="AT124" s="51"/>
      <c r="AU124" s="51"/>
      <c r="AV124" s="47"/>
      <c r="AW124" s="48"/>
      <c r="AX124" s="50"/>
      <c r="AY124" s="51"/>
      <c r="AZ124" s="51"/>
      <c r="BA124" s="51"/>
      <c r="BB124" s="51">
        <f t="shared" ref="BB124:BD124" si="122">IF(AND(ISNUMBER(Z124),COUNT(AG124,AM124,AS124,AY124)=2),Z124+SUM(AG124,AM124,AS124,AY124),"")</f>
        <v>0</v>
      </c>
      <c r="BC124" s="51">
        <f t="shared" si="122"/>
        <v>0</v>
      </c>
      <c r="BD124" s="51">
        <f t="shared" si="122"/>
        <v>0</v>
      </c>
    </row>
    <row r="125" ht="48.0" customHeight="1">
      <c r="A125" s="49" t="s">
        <v>40</v>
      </c>
      <c r="B125" s="49" t="str">
        <f t="array" ref="B125">INDEX('HD cty 2024'!B:B,MATCH('F0, F1, F2, ...'!$C125,'HD cty 2024'!B:B,0))</f>
        <v>#N/A</v>
      </c>
      <c r="C125" s="49">
        <v>154.0</v>
      </c>
      <c r="D125" s="50">
        <v>45391.0</v>
      </c>
      <c r="E125" s="51">
        <v>4.3862104E7</v>
      </c>
      <c r="F125" s="51">
        <v>3508968.0</v>
      </c>
      <c r="G125" s="51">
        <v>4.7371072E7</v>
      </c>
      <c r="H125" s="49" t="s">
        <v>414</v>
      </c>
      <c r="I125" s="52" t="s">
        <v>2913</v>
      </c>
      <c r="J125" s="50">
        <v>45804.0</v>
      </c>
      <c r="K125" s="51">
        <v>4278637.0</v>
      </c>
      <c r="L125" s="51">
        <v>342291.0</v>
      </c>
      <c r="M125" s="51">
        <v>4620928.0</v>
      </c>
      <c r="N125" s="49"/>
      <c r="O125" s="52"/>
      <c r="P125" s="50"/>
      <c r="Q125" s="51"/>
      <c r="R125" s="51"/>
      <c r="S125" s="51"/>
      <c r="T125" s="49"/>
      <c r="U125" s="52"/>
      <c r="V125" s="50"/>
      <c r="W125" s="51"/>
      <c r="X125" s="51"/>
      <c r="Y125" s="51"/>
      <c r="Z125" s="51">
        <v>4.8140741E7</v>
      </c>
      <c r="AA125" s="51">
        <v>3851259.0</v>
      </c>
      <c r="AB125" s="51">
        <v>5.1992E7</v>
      </c>
      <c r="AC125" s="47"/>
      <c r="AD125" s="47" t="s">
        <v>2914</v>
      </c>
      <c r="AE125" s="48"/>
      <c r="AF125" s="50"/>
      <c r="AG125" s="51">
        <v>-4278637.0</v>
      </c>
      <c r="AH125" s="51">
        <v>-342291.0</v>
      </c>
      <c r="AI125" s="51">
        <v>-4620928.0</v>
      </c>
      <c r="AJ125" s="47" t="s">
        <v>2915</v>
      </c>
      <c r="AK125" s="48"/>
      <c r="AL125" s="50"/>
      <c r="AM125" s="51">
        <v>-4.3862104E7</v>
      </c>
      <c r="AN125" s="51">
        <v>-3508968.0</v>
      </c>
      <c r="AO125" s="51">
        <v>-4.7371072E7</v>
      </c>
      <c r="AP125" s="47"/>
      <c r="AQ125" s="48"/>
      <c r="AR125" s="50"/>
      <c r="AS125" s="51"/>
      <c r="AT125" s="51"/>
      <c r="AU125" s="51"/>
      <c r="AV125" s="47"/>
      <c r="AW125" s="48"/>
      <c r="AX125" s="50"/>
      <c r="AY125" s="51"/>
      <c r="AZ125" s="51"/>
      <c r="BA125" s="51"/>
      <c r="BB125" s="51">
        <f t="shared" ref="BB125:BD125" si="123">IF(AND(ISNUMBER(Z125),COUNT(AG125,AM125,AS125,AY125)=2),Z125+SUM(AG125,AM125,AS125,AY125),"")</f>
        <v>0</v>
      </c>
      <c r="BC125" s="51">
        <f t="shared" si="123"/>
        <v>0</v>
      </c>
      <c r="BD125" s="51">
        <f t="shared" si="123"/>
        <v>0</v>
      </c>
    </row>
    <row r="126" ht="48.0" customHeight="1">
      <c r="A126" s="49" t="s">
        <v>40</v>
      </c>
      <c r="B126" s="49" t="str">
        <f t="array" ref="B126">INDEX('HD cty 2024'!B:B,MATCH('F0, F1, F2, ...'!$C126,'HD cty 2024'!B:B,0))</f>
        <v>#N/A</v>
      </c>
      <c r="C126" s="49">
        <v>155.0</v>
      </c>
      <c r="D126" s="50">
        <v>45391.0</v>
      </c>
      <c r="E126" s="51">
        <v>7.8783733E7</v>
      </c>
      <c r="F126" s="51">
        <v>6302699.0</v>
      </c>
      <c r="G126" s="51">
        <v>8.5086432E7</v>
      </c>
      <c r="H126" s="49" t="s">
        <v>414</v>
      </c>
      <c r="I126" s="52" t="s">
        <v>2916</v>
      </c>
      <c r="J126" s="50">
        <v>45804.0</v>
      </c>
      <c r="K126" s="51">
        <v>1.2251452E7</v>
      </c>
      <c r="L126" s="51">
        <v>980116.0</v>
      </c>
      <c r="M126" s="51">
        <v>1.3231568E7</v>
      </c>
      <c r="N126" s="49"/>
      <c r="O126" s="52"/>
      <c r="P126" s="50"/>
      <c r="Q126" s="51"/>
      <c r="R126" s="51"/>
      <c r="S126" s="51"/>
      <c r="T126" s="49"/>
      <c r="U126" s="52"/>
      <c r="V126" s="50"/>
      <c r="W126" s="51"/>
      <c r="X126" s="51"/>
      <c r="Y126" s="51"/>
      <c r="Z126" s="51">
        <v>9.1035185E7</v>
      </c>
      <c r="AA126" s="51">
        <v>7282815.0</v>
      </c>
      <c r="AB126" s="51">
        <v>9.8318E7</v>
      </c>
      <c r="AC126" s="47"/>
      <c r="AD126" s="47" t="s">
        <v>2917</v>
      </c>
      <c r="AE126" s="48"/>
      <c r="AF126" s="50"/>
      <c r="AG126" s="51">
        <v>-1.2251452E7</v>
      </c>
      <c r="AH126" s="51">
        <v>-980116.0</v>
      </c>
      <c r="AI126" s="51">
        <v>-1.3231568E7</v>
      </c>
      <c r="AJ126" s="47" t="s">
        <v>2918</v>
      </c>
      <c r="AK126" s="48"/>
      <c r="AL126" s="50"/>
      <c r="AM126" s="51">
        <v>-7.8783733E7</v>
      </c>
      <c r="AN126" s="51">
        <v>-6302699.0</v>
      </c>
      <c r="AO126" s="51">
        <v>-8.5086432E7</v>
      </c>
      <c r="AP126" s="47"/>
      <c r="AQ126" s="48"/>
      <c r="AR126" s="50"/>
      <c r="AS126" s="51"/>
      <c r="AT126" s="51"/>
      <c r="AU126" s="51"/>
      <c r="AV126" s="47"/>
      <c r="AW126" s="48"/>
      <c r="AX126" s="50"/>
      <c r="AY126" s="51"/>
      <c r="AZ126" s="51"/>
      <c r="BA126" s="51"/>
      <c r="BB126" s="51">
        <f t="shared" ref="BB126:BD126" si="124">IF(AND(ISNUMBER(Z126),COUNT(AG126,AM126,AS126,AY126)=2),Z126+SUM(AG126,AM126,AS126,AY126),"")</f>
        <v>0</v>
      </c>
      <c r="BC126" s="51">
        <f t="shared" si="124"/>
        <v>0</v>
      </c>
      <c r="BD126" s="51">
        <f t="shared" si="124"/>
        <v>0</v>
      </c>
    </row>
    <row r="127" ht="48.0" customHeight="1">
      <c r="A127" s="49" t="s">
        <v>40</v>
      </c>
      <c r="B127" s="49" t="str">
        <f t="array" ref="B127">INDEX('HD cty 2024'!B:B,MATCH('F0, F1, F2, ...'!$C127,'HD cty 2024'!B:B,0))</f>
        <v>#N/A</v>
      </c>
      <c r="C127" s="49">
        <v>156.0</v>
      </c>
      <c r="D127" s="50">
        <v>45391.0</v>
      </c>
      <c r="E127" s="51">
        <v>4.0432354E7</v>
      </c>
      <c r="F127" s="51">
        <v>3234588.0</v>
      </c>
      <c r="G127" s="51">
        <v>4.3666942E7</v>
      </c>
      <c r="H127" s="49" t="s">
        <v>414</v>
      </c>
      <c r="I127" s="52" t="s">
        <v>2919</v>
      </c>
      <c r="J127" s="50">
        <v>45804.0</v>
      </c>
      <c r="K127" s="51">
        <v>-674947.0</v>
      </c>
      <c r="L127" s="51">
        <v>-53996.0</v>
      </c>
      <c r="M127" s="51">
        <v>-728943.0</v>
      </c>
      <c r="N127" s="49"/>
      <c r="O127" s="52"/>
      <c r="P127" s="50"/>
      <c r="Q127" s="51"/>
      <c r="R127" s="51"/>
      <c r="S127" s="51"/>
      <c r="T127" s="49"/>
      <c r="U127" s="52"/>
      <c r="V127" s="50"/>
      <c r="W127" s="51"/>
      <c r="X127" s="51"/>
      <c r="Y127" s="51"/>
      <c r="Z127" s="51">
        <v>3.9757407E7</v>
      </c>
      <c r="AA127" s="51">
        <v>3180592.0</v>
      </c>
      <c r="AB127" s="51">
        <v>4.2937999E7</v>
      </c>
      <c r="AC127" s="47"/>
      <c r="AD127" s="47" t="s">
        <v>2920</v>
      </c>
      <c r="AE127" s="48"/>
      <c r="AF127" s="50"/>
      <c r="AG127" s="51">
        <v>674947.0</v>
      </c>
      <c r="AH127" s="51">
        <v>53996.0</v>
      </c>
      <c r="AI127" s="51">
        <v>728943.0</v>
      </c>
      <c r="AJ127" s="47" t="s">
        <v>2921</v>
      </c>
      <c r="AK127" s="48"/>
      <c r="AL127" s="50"/>
      <c r="AM127" s="51">
        <v>-4.0432354E7</v>
      </c>
      <c r="AN127" s="51">
        <v>-3234588.0</v>
      </c>
      <c r="AO127" s="51">
        <v>-4.3666942E7</v>
      </c>
      <c r="AP127" s="47"/>
      <c r="AQ127" s="48"/>
      <c r="AR127" s="50"/>
      <c r="AS127" s="51"/>
      <c r="AT127" s="51"/>
      <c r="AU127" s="51"/>
      <c r="AV127" s="47"/>
      <c r="AW127" s="48"/>
      <c r="AX127" s="50"/>
      <c r="AY127" s="51"/>
      <c r="AZ127" s="51"/>
      <c r="BA127" s="51"/>
      <c r="BB127" s="51">
        <f t="shared" ref="BB127:BD127" si="125">IF(AND(ISNUMBER(Z127),COUNT(AG127,AM127,AS127,AY127)=2),Z127+SUM(AG127,AM127,AS127,AY127),"")</f>
        <v>0</v>
      </c>
      <c r="BC127" s="51">
        <f t="shared" si="125"/>
        <v>0</v>
      </c>
      <c r="BD127" s="51">
        <f t="shared" si="125"/>
        <v>0</v>
      </c>
    </row>
    <row r="128" ht="48.0" customHeight="1">
      <c r="A128" s="49" t="s">
        <v>40</v>
      </c>
      <c r="B128" s="49" t="str">
        <f t="array" ref="B128">INDEX('HD cty 2024'!B:B,MATCH('F0, F1, F2, ...'!$C128,'HD cty 2024'!B:B,0))</f>
        <v>#N/A</v>
      </c>
      <c r="C128" s="49">
        <v>157.0</v>
      </c>
      <c r="D128" s="50">
        <v>45391.0</v>
      </c>
      <c r="E128" s="51">
        <v>5666779.0</v>
      </c>
      <c r="F128" s="51">
        <v>453342.0</v>
      </c>
      <c r="G128" s="51">
        <v>6120121.0</v>
      </c>
      <c r="H128" s="49" t="s">
        <v>414</v>
      </c>
      <c r="I128" s="52" t="s">
        <v>2922</v>
      </c>
      <c r="J128" s="50">
        <v>45804.0</v>
      </c>
      <c r="K128" s="51">
        <v>663777.0</v>
      </c>
      <c r="L128" s="51">
        <v>53102.0</v>
      </c>
      <c r="M128" s="51">
        <v>716879.0</v>
      </c>
      <c r="N128" s="49"/>
      <c r="O128" s="52"/>
      <c r="P128" s="50"/>
      <c r="Q128" s="51"/>
      <c r="R128" s="51"/>
      <c r="S128" s="51"/>
      <c r="T128" s="49"/>
      <c r="U128" s="52"/>
      <c r="V128" s="50"/>
      <c r="W128" s="51"/>
      <c r="X128" s="51"/>
      <c r="Y128" s="51"/>
      <c r="Z128" s="51">
        <v>6330556.0</v>
      </c>
      <c r="AA128" s="51">
        <v>506444.0</v>
      </c>
      <c r="AB128" s="51">
        <v>6837000.0</v>
      </c>
      <c r="AC128" s="47"/>
      <c r="AD128" s="47" t="s">
        <v>2923</v>
      </c>
      <c r="AE128" s="48"/>
      <c r="AF128" s="50"/>
      <c r="AG128" s="51">
        <v>-663777.0</v>
      </c>
      <c r="AH128" s="51">
        <v>-53102.0</v>
      </c>
      <c r="AI128" s="51">
        <v>-716879.0</v>
      </c>
      <c r="AJ128" s="47" t="s">
        <v>2924</v>
      </c>
      <c r="AK128" s="48"/>
      <c r="AL128" s="50"/>
      <c r="AM128" s="51">
        <v>-5666779.0</v>
      </c>
      <c r="AN128" s="51">
        <v>-453342.0</v>
      </c>
      <c r="AO128" s="51">
        <v>-6120121.0</v>
      </c>
      <c r="AP128" s="47"/>
      <c r="AQ128" s="48"/>
      <c r="AR128" s="50"/>
      <c r="AS128" s="51"/>
      <c r="AT128" s="51"/>
      <c r="AU128" s="51"/>
      <c r="AV128" s="47"/>
      <c r="AW128" s="48"/>
      <c r="AX128" s="50"/>
      <c r="AY128" s="51"/>
      <c r="AZ128" s="51"/>
      <c r="BA128" s="51"/>
      <c r="BB128" s="51">
        <f t="shared" ref="BB128:BD128" si="126">IF(AND(ISNUMBER(Z128),COUNT(AG128,AM128,AS128,AY128)=2),Z128+SUM(AG128,AM128,AS128,AY128),"")</f>
        <v>0</v>
      </c>
      <c r="BC128" s="51">
        <f t="shared" si="126"/>
        <v>0</v>
      </c>
      <c r="BD128" s="51">
        <f t="shared" si="126"/>
        <v>0</v>
      </c>
    </row>
    <row r="129" ht="48.0" customHeight="1">
      <c r="A129" s="49" t="s">
        <v>40</v>
      </c>
      <c r="B129" s="49" t="str">
        <f t="array" ref="B129">INDEX('HD cty 2024'!B:B,MATCH('F0, F1, F2, ...'!$C129,'HD cty 2024'!B:B,0))</f>
        <v>#N/A</v>
      </c>
      <c r="C129" s="49">
        <v>158.0</v>
      </c>
      <c r="D129" s="50">
        <v>45391.0</v>
      </c>
      <c r="E129" s="51">
        <v>6.5012228E7</v>
      </c>
      <c r="F129" s="51">
        <v>5200978.0</v>
      </c>
      <c r="G129" s="51">
        <v>7.0213206E7</v>
      </c>
      <c r="H129" s="49" t="s">
        <v>414</v>
      </c>
      <c r="I129" s="52" t="s">
        <v>2925</v>
      </c>
      <c r="J129" s="50">
        <v>45808.0</v>
      </c>
      <c r="K129" s="51">
        <v>5069253.0</v>
      </c>
      <c r="L129" s="51">
        <v>405540.0</v>
      </c>
      <c r="M129" s="51">
        <v>5474793.0</v>
      </c>
      <c r="N129" s="49"/>
      <c r="O129" s="52"/>
      <c r="P129" s="50"/>
      <c r="Q129" s="51"/>
      <c r="R129" s="51"/>
      <c r="S129" s="51"/>
      <c r="T129" s="49"/>
      <c r="U129" s="52"/>
      <c r="V129" s="50"/>
      <c r="W129" s="51"/>
      <c r="X129" s="51"/>
      <c r="Y129" s="51"/>
      <c r="Z129" s="51">
        <v>7.0081481E7</v>
      </c>
      <c r="AA129" s="51">
        <v>5606518.0</v>
      </c>
      <c r="AB129" s="51">
        <v>7.5687999E7</v>
      </c>
      <c r="AC129" s="47"/>
      <c r="AD129" s="47" t="s">
        <v>2926</v>
      </c>
      <c r="AE129" s="48"/>
      <c r="AF129" s="50"/>
      <c r="AG129" s="51">
        <v>-5069253.0</v>
      </c>
      <c r="AH129" s="51">
        <v>-405540.0</v>
      </c>
      <c r="AI129" s="51">
        <v>-5474793.0</v>
      </c>
      <c r="AJ129" s="47" t="s">
        <v>2927</v>
      </c>
      <c r="AK129" s="48"/>
      <c r="AL129" s="50"/>
      <c r="AM129" s="51">
        <v>-6.5012228E7</v>
      </c>
      <c r="AN129" s="51">
        <v>-5200978.0</v>
      </c>
      <c r="AO129" s="51">
        <v>-7.0213206E7</v>
      </c>
      <c r="AP129" s="47"/>
      <c r="AQ129" s="48"/>
      <c r="AR129" s="50"/>
      <c r="AS129" s="51"/>
      <c r="AT129" s="51"/>
      <c r="AU129" s="51"/>
      <c r="AV129" s="47"/>
      <c r="AW129" s="48"/>
      <c r="AX129" s="50"/>
      <c r="AY129" s="51"/>
      <c r="AZ129" s="51"/>
      <c r="BA129" s="51"/>
      <c r="BB129" s="51">
        <f t="shared" ref="BB129:BD129" si="127">IF(AND(ISNUMBER(Z129),COUNT(AG129,AM129,AS129,AY129)=2),Z129+SUM(AG129,AM129,AS129,AY129),"")</f>
        <v>0</v>
      </c>
      <c r="BC129" s="51">
        <f t="shared" si="127"/>
        <v>0</v>
      </c>
      <c r="BD129" s="51">
        <f t="shared" si="127"/>
        <v>0</v>
      </c>
    </row>
    <row r="130" ht="48.0" customHeight="1">
      <c r="A130" s="49" t="s">
        <v>40</v>
      </c>
      <c r="B130" s="49" t="str">
        <f t="array" ref="B130">INDEX('HD cty 2024'!B:B,MATCH('F0, F1, F2, ...'!$C130,'HD cty 2024'!B:B,0))</f>
        <v>#N/A</v>
      </c>
      <c r="C130" s="49">
        <v>159.0</v>
      </c>
      <c r="D130" s="50">
        <v>45391.0</v>
      </c>
      <c r="E130" s="51">
        <v>2303704.0</v>
      </c>
      <c r="F130" s="51">
        <v>184296.0</v>
      </c>
      <c r="G130" s="51">
        <v>2488000.0</v>
      </c>
      <c r="H130" s="49" t="s">
        <v>414</v>
      </c>
      <c r="I130" s="52" t="s">
        <v>2928</v>
      </c>
      <c r="J130" s="50">
        <v>45804.0</v>
      </c>
      <c r="K130" s="51">
        <v>118518.0</v>
      </c>
      <c r="L130" s="51">
        <v>9481.0</v>
      </c>
      <c r="M130" s="51">
        <v>127999.0</v>
      </c>
      <c r="N130" s="49"/>
      <c r="O130" s="52"/>
      <c r="P130" s="50"/>
      <c r="Q130" s="51"/>
      <c r="R130" s="51"/>
      <c r="S130" s="51"/>
      <c r="T130" s="49"/>
      <c r="U130" s="52"/>
      <c r="V130" s="50"/>
      <c r="W130" s="51"/>
      <c r="X130" s="51"/>
      <c r="Y130" s="51"/>
      <c r="Z130" s="51">
        <v>2422222.0</v>
      </c>
      <c r="AA130" s="51">
        <v>193777.0</v>
      </c>
      <c r="AB130" s="51">
        <v>2615999.0</v>
      </c>
      <c r="AC130" s="47"/>
      <c r="AD130" s="47" t="s">
        <v>2929</v>
      </c>
      <c r="AE130" s="48"/>
      <c r="AF130" s="50"/>
      <c r="AG130" s="51">
        <v>-118518.0</v>
      </c>
      <c r="AH130" s="51">
        <v>-9481.0</v>
      </c>
      <c r="AI130" s="51">
        <v>-127999.0</v>
      </c>
      <c r="AJ130" s="47" t="s">
        <v>2930</v>
      </c>
      <c r="AK130" s="48"/>
      <c r="AL130" s="50"/>
      <c r="AM130" s="51">
        <v>-2303704.0</v>
      </c>
      <c r="AN130" s="51">
        <v>-184296.0</v>
      </c>
      <c r="AO130" s="51">
        <v>-2488000.0</v>
      </c>
      <c r="AP130" s="47"/>
      <c r="AQ130" s="48"/>
      <c r="AR130" s="50"/>
      <c r="AS130" s="51"/>
      <c r="AT130" s="51"/>
      <c r="AU130" s="51"/>
      <c r="AV130" s="47"/>
      <c r="AW130" s="48"/>
      <c r="AX130" s="50"/>
      <c r="AY130" s="51"/>
      <c r="AZ130" s="51"/>
      <c r="BA130" s="51"/>
      <c r="BB130" s="51">
        <f t="shared" ref="BB130:BD130" si="128">IF(AND(ISNUMBER(Z130),COUNT(AG130,AM130,AS130,AY130)=2),Z130+SUM(AG130,AM130,AS130,AY130),"")</f>
        <v>0</v>
      </c>
      <c r="BC130" s="51">
        <f t="shared" si="128"/>
        <v>0</v>
      </c>
      <c r="BD130" s="51">
        <f t="shared" si="128"/>
        <v>0</v>
      </c>
    </row>
    <row r="131" ht="48.0" customHeight="1">
      <c r="A131" s="49" t="s">
        <v>40</v>
      </c>
      <c r="B131" s="49" t="str">
        <f t="array" ref="B131">INDEX('HD cty 2024'!B:B,MATCH('F0, F1, F2, ...'!$C131,'HD cty 2024'!B:B,0))</f>
        <v>#N/A</v>
      </c>
      <c r="C131" s="49">
        <v>160.0</v>
      </c>
      <c r="D131" s="50">
        <v>45391.0</v>
      </c>
      <c r="E131" s="51">
        <v>1.234276E7</v>
      </c>
      <c r="F131" s="51">
        <v>987421.0</v>
      </c>
      <c r="G131" s="51">
        <v>1.3330181E7</v>
      </c>
      <c r="H131" s="49" t="s">
        <v>414</v>
      </c>
      <c r="I131" s="52" t="s">
        <v>2931</v>
      </c>
      <c r="J131" s="50">
        <v>45804.0</v>
      </c>
      <c r="K131" s="51">
        <v>-526093.0</v>
      </c>
      <c r="L131" s="51">
        <v>-42087.0</v>
      </c>
      <c r="M131" s="51">
        <v>-568180.0</v>
      </c>
      <c r="N131" s="49"/>
      <c r="O131" s="52"/>
      <c r="P131" s="50"/>
      <c r="Q131" s="51"/>
      <c r="R131" s="51"/>
      <c r="S131" s="51"/>
      <c r="T131" s="49"/>
      <c r="U131" s="52"/>
      <c r="V131" s="50"/>
      <c r="W131" s="51"/>
      <c r="X131" s="51"/>
      <c r="Y131" s="51"/>
      <c r="Z131" s="51">
        <v>1.1816667E7</v>
      </c>
      <c r="AA131" s="51">
        <v>945334.0</v>
      </c>
      <c r="AB131" s="51">
        <v>1.2762001E7</v>
      </c>
      <c r="AC131" s="47"/>
      <c r="AD131" s="47" t="s">
        <v>2932</v>
      </c>
      <c r="AE131" s="48"/>
      <c r="AF131" s="50"/>
      <c r="AG131" s="51">
        <v>526093.0</v>
      </c>
      <c r="AH131" s="51">
        <v>42087.0</v>
      </c>
      <c r="AI131" s="51">
        <v>568180.0</v>
      </c>
      <c r="AJ131" s="47" t="s">
        <v>2933</v>
      </c>
      <c r="AK131" s="48"/>
      <c r="AL131" s="50"/>
      <c r="AM131" s="51">
        <v>-1.234276E7</v>
      </c>
      <c r="AN131" s="51">
        <v>-987421.0</v>
      </c>
      <c r="AO131" s="51">
        <v>-1.3330181E7</v>
      </c>
      <c r="AP131" s="47"/>
      <c r="AQ131" s="48"/>
      <c r="AR131" s="50"/>
      <c r="AS131" s="51"/>
      <c r="AT131" s="51"/>
      <c r="AU131" s="51"/>
      <c r="AV131" s="47"/>
      <c r="AW131" s="48"/>
      <c r="AX131" s="50"/>
      <c r="AY131" s="51"/>
      <c r="AZ131" s="51"/>
      <c r="BA131" s="51"/>
      <c r="BB131" s="51">
        <f t="shared" ref="BB131:BD131" si="129">IF(AND(ISNUMBER(Z131),COUNT(AG131,AM131,AS131,AY131)=2),Z131+SUM(AG131,AM131,AS131,AY131),"")</f>
        <v>0</v>
      </c>
      <c r="BC131" s="51">
        <f t="shared" si="129"/>
        <v>0</v>
      </c>
      <c r="BD131" s="51">
        <f t="shared" si="129"/>
        <v>0</v>
      </c>
    </row>
    <row r="132" ht="48.0" customHeight="1">
      <c r="A132" s="49" t="s">
        <v>40</v>
      </c>
      <c r="B132" s="49" t="str">
        <f t="array" ref="B132">INDEX('HD cty 2024'!B:B,MATCH('F0, F1, F2, ...'!$C132,'HD cty 2024'!B:B,0))</f>
        <v>#N/A</v>
      </c>
      <c r="C132" s="49">
        <v>161.0</v>
      </c>
      <c r="D132" s="50">
        <v>45391.0</v>
      </c>
      <c r="E132" s="51">
        <v>7492686.0</v>
      </c>
      <c r="F132" s="51">
        <v>599415.0</v>
      </c>
      <c r="G132" s="51">
        <v>8092101.0</v>
      </c>
      <c r="H132" s="49" t="s">
        <v>414</v>
      </c>
      <c r="I132" s="52" t="s">
        <v>2934</v>
      </c>
      <c r="J132" s="50">
        <v>45804.0</v>
      </c>
      <c r="K132" s="51">
        <v>-2088056.0</v>
      </c>
      <c r="L132" s="51">
        <v>-167045.0</v>
      </c>
      <c r="M132" s="51">
        <v>-2255101.0</v>
      </c>
      <c r="N132" s="49"/>
      <c r="O132" s="52"/>
      <c r="P132" s="50"/>
      <c r="Q132" s="51"/>
      <c r="R132" s="51"/>
      <c r="S132" s="51"/>
      <c r="T132" s="49"/>
      <c r="U132" s="52"/>
      <c r="V132" s="50"/>
      <c r="W132" s="51"/>
      <c r="X132" s="51"/>
      <c r="Y132" s="51"/>
      <c r="Z132" s="51">
        <v>5404630.0</v>
      </c>
      <c r="AA132" s="51">
        <v>432370.0</v>
      </c>
      <c r="AB132" s="51">
        <v>5837000.0</v>
      </c>
      <c r="AC132" s="47"/>
      <c r="AD132" s="47" t="s">
        <v>2935</v>
      </c>
      <c r="AE132" s="48"/>
      <c r="AF132" s="50"/>
      <c r="AG132" s="51">
        <v>2088056.0</v>
      </c>
      <c r="AH132" s="51">
        <v>167045.0</v>
      </c>
      <c r="AI132" s="51">
        <v>2255101.0</v>
      </c>
      <c r="AJ132" s="47" t="s">
        <v>2936</v>
      </c>
      <c r="AK132" s="48"/>
      <c r="AL132" s="50"/>
      <c r="AM132" s="51">
        <v>-7492686.0</v>
      </c>
      <c r="AN132" s="51">
        <v>-599415.0</v>
      </c>
      <c r="AO132" s="51">
        <v>-8092101.0</v>
      </c>
      <c r="AP132" s="47"/>
      <c r="AQ132" s="48"/>
      <c r="AR132" s="50"/>
      <c r="AS132" s="51"/>
      <c r="AT132" s="51"/>
      <c r="AU132" s="51"/>
      <c r="AV132" s="47"/>
      <c r="AW132" s="48"/>
      <c r="AX132" s="50"/>
      <c r="AY132" s="51"/>
      <c r="AZ132" s="51"/>
      <c r="BA132" s="51"/>
      <c r="BB132" s="51">
        <f t="shared" ref="BB132:BD132" si="130">IF(AND(ISNUMBER(Z132),COUNT(AG132,AM132,AS132,AY132)=2),Z132+SUM(AG132,AM132,AS132,AY132),"")</f>
        <v>0</v>
      </c>
      <c r="BC132" s="51">
        <f t="shared" si="130"/>
        <v>0</v>
      </c>
      <c r="BD132" s="51">
        <f t="shared" si="130"/>
        <v>0</v>
      </c>
    </row>
    <row r="133" ht="48.0" customHeight="1">
      <c r="A133" s="49" t="s">
        <v>40</v>
      </c>
      <c r="B133" s="49" t="str">
        <f t="array" ref="B133">INDEX('HD cty 2024'!B:B,MATCH('F0, F1, F2, ...'!$C133,'HD cty 2024'!B:B,0))</f>
        <v>#N/A</v>
      </c>
      <c r="C133" s="49">
        <v>165.0</v>
      </c>
      <c r="D133" s="50">
        <v>45392.0</v>
      </c>
      <c r="E133" s="51">
        <v>1.05494582E8</v>
      </c>
      <c r="F133" s="51">
        <v>8439567.0</v>
      </c>
      <c r="G133" s="51">
        <v>1.13934149E8</v>
      </c>
      <c r="H133" s="49" t="s">
        <v>414</v>
      </c>
      <c r="I133" s="52" t="s">
        <v>2937</v>
      </c>
      <c r="J133" s="50">
        <v>45804.0</v>
      </c>
      <c r="K133" s="51">
        <v>1.585727E7</v>
      </c>
      <c r="L133" s="51">
        <v>1268582.0</v>
      </c>
      <c r="M133" s="51">
        <v>1.7125852E7</v>
      </c>
      <c r="N133" s="49"/>
      <c r="O133" s="52"/>
      <c r="P133" s="50"/>
      <c r="Q133" s="51"/>
      <c r="R133" s="51"/>
      <c r="S133" s="51"/>
      <c r="T133" s="49"/>
      <c r="U133" s="52"/>
      <c r="V133" s="50"/>
      <c r="W133" s="51"/>
      <c r="X133" s="51"/>
      <c r="Y133" s="51"/>
      <c r="Z133" s="51">
        <v>1.21351852E8</v>
      </c>
      <c r="AA133" s="51">
        <v>9708149.0</v>
      </c>
      <c r="AB133" s="51">
        <v>1.31060001E8</v>
      </c>
      <c r="AC133" s="47"/>
      <c r="AD133" s="47" t="s">
        <v>2938</v>
      </c>
      <c r="AE133" s="48"/>
      <c r="AF133" s="50"/>
      <c r="AG133" s="51">
        <v>-1.585727E7</v>
      </c>
      <c r="AH133" s="51">
        <v>-1268582.0</v>
      </c>
      <c r="AI133" s="51">
        <v>-1.7125852E7</v>
      </c>
      <c r="AJ133" s="47" t="s">
        <v>2939</v>
      </c>
      <c r="AK133" s="48"/>
      <c r="AL133" s="50"/>
      <c r="AM133" s="51">
        <v>-1.05494582E8</v>
      </c>
      <c r="AN133" s="51">
        <v>-8439567.0</v>
      </c>
      <c r="AO133" s="51">
        <v>-1.13934149E8</v>
      </c>
      <c r="AP133" s="47"/>
      <c r="AQ133" s="48"/>
      <c r="AR133" s="50"/>
      <c r="AS133" s="51"/>
      <c r="AT133" s="51"/>
      <c r="AU133" s="51"/>
      <c r="AV133" s="47"/>
      <c r="AW133" s="48"/>
      <c r="AX133" s="50"/>
      <c r="AY133" s="51"/>
      <c r="AZ133" s="51"/>
      <c r="BA133" s="51"/>
      <c r="BB133" s="51">
        <f t="shared" ref="BB133:BD133" si="131">IF(AND(ISNUMBER(Z133),COUNT(AG133,AM133,AS133,AY133)=2),Z133+SUM(AG133,AM133,AS133,AY133),"")</f>
        <v>0</v>
      </c>
      <c r="BC133" s="51">
        <f t="shared" si="131"/>
        <v>0</v>
      </c>
      <c r="BD133" s="51">
        <f t="shared" si="131"/>
        <v>0</v>
      </c>
    </row>
    <row r="134" ht="48.0" customHeight="1">
      <c r="A134" s="49" t="s">
        <v>40</v>
      </c>
      <c r="B134" s="49" t="str">
        <f t="array" ref="B134">INDEX('HD cty 2024'!B:B,MATCH('F0, F1, F2, ...'!$C134,'HD cty 2024'!B:B,0))</f>
        <v>#N/A</v>
      </c>
      <c r="C134" s="49">
        <v>166.0</v>
      </c>
      <c r="D134" s="50">
        <v>45392.0</v>
      </c>
      <c r="E134" s="51">
        <v>2.3268388E7</v>
      </c>
      <c r="F134" s="51">
        <v>1861471.0</v>
      </c>
      <c r="G134" s="51">
        <v>2.5129859E7</v>
      </c>
      <c r="H134" s="49" t="s">
        <v>414</v>
      </c>
      <c r="I134" s="52" t="s">
        <v>2940</v>
      </c>
      <c r="J134" s="50">
        <v>45804.0</v>
      </c>
      <c r="K134" s="51">
        <v>2887168.0</v>
      </c>
      <c r="L134" s="51">
        <v>230973.0</v>
      </c>
      <c r="M134" s="51">
        <v>3118141.0</v>
      </c>
      <c r="N134" s="49"/>
      <c r="O134" s="52"/>
      <c r="P134" s="50"/>
      <c r="Q134" s="51"/>
      <c r="R134" s="51"/>
      <c r="S134" s="51"/>
      <c r="T134" s="49"/>
      <c r="U134" s="52"/>
      <c r="V134" s="50"/>
      <c r="W134" s="51"/>
      <c r="X134" s="51"/>
      <c r="Y134" s="51"/>
      <c r="Z134" s="51">
        <v>2.6155556E7</v>
      </c>
      <c r="AA134" s="51">
        <v>2092444.0</v>
      </c>
      <c r="AB134" s="51">
        <v>2.8248E7</v>
      </c>
      <c r="AC134" s="47"/>
      <c r="AD134" s="47" t="s">
        <v>2941</v>
      </c>
      <c r="AE134" s="48"/>
      <c r="AF134" s="50"/>
      <c r="AG134" s="51">
        <v>-2887168.0</v>
      </c>
      <c r="AH134" s="51">
        <v>-230973.0</v>
      </c>
      <c r="AI134" s="51">
        <v>-3118141.0</v>
      </c>
      <c r="AJ134" s="47" t="s">
        <v>2942</v>
      </c>
      <c r="AK134" s="48"/>
      <c r="AL134" s="50"/>
      <c r="AM134" s="51">
        <v>-2.3268388E7</v>
      </c>
      <c r="AN134" s="51">
        <v>-1861471.0</v>
      </c>
      <c r="AO134" s="51">
        <v>-2.5129859E7</v>
      </c>
      <c r="AP134" s="47"/>
      <c r="AQ134" s="48"/>
      <c r="AR134" s="50"/>
      <c r="AS134" s="51"/>
      <c r="AT134" s="51"/>
      <c r="AU134" s="51"/>
      <c r="AV134" s="47"/>
      <c r="AW134" s="48"/>
      <c r="AX134" s="50"/>
      <c r="AY134" s="51"/>
      <c r="AZ134" s="51"/>
      <c r="BA134" s="51"/>
      <c r="BB134" s="51">
        <f t="shared" ref="BB134:BD134" si="132">IF(AND(ISNUMBER(Z134),COUNT(AG134,AM134,AS134,AY134)=2),Z134+SUM(AG134,AM134,AS134,AY134),"")</f>
        <v>0</v>
      </c>
      <c r="BC134" s="51">
        <f t="shared" si="132"/>
        <v>0</v>
      </c>
      <c r="BD134" s="51">
        <f t="shared" si="132"/>
        <v>0</v>
      </c>
    </row>
    <row r="135" ht="48.0" customHeight="1">
      <c r="A135" s="49" t="s">
        <v>40</v>
      </c>
      <c r="B135" s="49" t="str">
        <f t="array" ref="B135">INDEX('HD cty 2024'!B:B,MATCH('F0, F1, F2, ...'!$C135,'HD cty 2024'!B:B,0))</f>
        <v>#N/A</v>
      </c>
      <c r="C135" s="49">
        <v>167.0</v>
      </c>
      <c r="D135" s="50">
        <v>45392.0</v>
      </c>
      <c r="E135" s="51">
        <v>7.8600463E7</v>
      </c>
      <c r="F135" s="51">
        <v>6288037.0</v>
      </c>
      <c r="G135" s="51">
        <v>8.48885E7</v>
      </c>
      <c r="H135" s="49" t="s">
        <v>414</v>
      </c>
      <c r="I135" s="52" t="s">
        <v>2943</v>
      </c>
      <c r="J135" s="50">
        <v>45808.0</v>
      </c>
      <c r="K135" s="51">
        <v>1.4623611E7</v>
      </c>
      <c r="L135" s="51">
        <v>1169889.0</v>
      </c>
      <c r="M135" s="51">
        <v>1.57935E7</v>
      </c>
      <c r="N135" s="49"/>
      <c r="O135" s="52"/>
      <c r="P135" s="50"/>
      <c r="Q135" s="51"/>
      <c r="R135" s="51"/>
      <c r="S135" s="51"/>
      <c r="T135" s="49"/>
      <c r="U135" s="52"/>
      <c r="V135" s="50"/>
      <c r="W135" s="51"/>
      <c r="X135" s="51"/>
      <c r="Y135" s="51"/>
      <c r="Z135" s="51">
        <v>9.3224074E7</v>
      </c>
      <c r="AA135" s="51">
        <v>7457926.0</v>
      </c>
      <c r="AB135" s="51">
        <v>1.00682E8</v>
      </c>
      <c r="AC135" s="47"/>
      <c r="AD135" s="47" t="s">
        <v>2944</v>
      </c>
      <c r="AE135" s="48"/>
      <c r="AF135" s="50"/>
      <c r="AG135" s="51">
        <v>-1.4623611E7</v>
      </c>
      <c r="AH135" s="51">
        <v>-1169889.0</v>
      </c>
      <c r="AI135" s="51">
        <v>-1.57935E7</v>
      </c>
      <c r="AJ135" s="47" t="s">
        <v>2945</v>
      </c>
      <c r="AK135" s="48"/>
      <c r="AL135" s="50"/>
      <c r="AM135" s="51">
        <v>-7.8600463E7</v>
      </c>
      <c r="AN135" s="51">
        <v>-6288037.0</v>
      </c>
      <c r="AO135" s="51">
        <v>-8.48885E7</v>
      </c>
      <c r="AP135" s="47"/>
      <c r="AQ135" s="48"/>
      <c r="AR135" s="50"/>
      <c r="AS135" s="51"/>
      <c r="AT135" s="51"/>
      <c r="AU135" s="51"/>
      <c r="AV135" s="47"/>
      <c r="AW135" s="48"/>
      <c r="AX135" s="50"/>
      <c r="AY135" s="51"/>
      <c r="AZ135" s="51"/>
      <c r="BA135" s="51"/>
      <c r="BB135" s="51">
        <f t="shared" ref="BB135:BD135" si="133">IF(AND(ISNUMBER(Z135),COUNT(AG135,AM135,AS135,AY135)=2),Z135+SUM(AG135,AM135,AS135,AY135),"")</f>
        <v>0</v>
      </c>
      <c r="BC135" s="51">
        <f t="shared" si="133"/>
        <v>0</v>
      </c>
      <c r="BD135" s="51">
        <f t="shared" si="133"/>
        <v>0</v>
      </c>
    </row>
    <row r="136" ht="48.0" customHeight="1">
      <c r="A136" s="49" t="s">
        <v>40</v>
      </c>
      <c r="B136" s="49" t="str">
        <f t="array" ref="B136">INDEX('HD cty 2024'!B:B,MATCH('F0, F1, F2, ...'!$C136,'HD cty 2024'!B:B,0))</f>
        <v>#N/A</v>
      </c>
      <c r="C136" s="49">
        <v>168.0</v>
      </c>
      <c r="D136" s="50">
        <v>45392.0</v>
      </c>
      <c r="E136" s="51">
        <v>9695228.0</v>
      </c>
      <c r="F136" s="51">
        <v>775618.0</v>
      </c>
      <c r="G136" s="51">
        <v>1.0470846E7</v>
      </c>
      <c r="H136" s="49" t="s">
        <v>414</v>
      </c>
      <c r="I136" s="52" t="s">
        <v>2946</v>
      </c>
      <c r="J136" s="50">
        <v>45808.0</v>
      </c>
      <c r="K136" s="51">
        <v>794459.0</v>
      </c>
      <c r="L136" s="51">
        <v>63557.0</v>
      </c>
      <c r="M136" s="51">
        <v>858016.0</v>
      </c>
      <c r="N136" s="49"/>
      <c r="O136" s="52"/>
      <c r="P136" s="50"/>
      <c r="Q136" s="51"/>
      <c r="R136" s="51"/>
      <c r="S136" s="51"/>
      <c r="T136" s="49"/>
      <c r="U136" s="52"/>
      <c r="V136" s="50"/>
      <c r="W136" s="51"/>
      <c r="X136" s="51"/>
      <c r="Y136" s="51"/>
      <c r="Z136" s="51">
        <v>1.0489687E7</v>
      </c>
      <c r="AA136" s="51">
        <v>839175.0</v>
      </c>
      <c r="AB136" s="51">
        <v>1.1328862E7</v>
      </c>
      <c r="AC136" s="47"/>
      <c r="AD136" s="47" t="s">
        <v>2947</v>
      </c>
      <c r="AE136" s="48"/>
      <c r="AF136" s="50"/>
      <c r="AG136" s="51">
        <v>-794459.0</v>
      </c>
      <c r="AH136" s="51">
        <v>-63557.0</v>
      </c>
      <c r="AI136" s="51">
        <v>-858016.0</v>
      </c>
      <c r="AJ136" s="47" t="s">
        <v>2948</v>
      </c>
      <c r="AK136" s="48"/>
      <c r="AL136" s="50"/>
      <c r="AM136" s="51">
        <v>-9695228.0</v>
      </c>
      <c r="AN136" s="51">
        <v>-775618.0</v>
      </c>
      <c r="AO136" s="51">
        <v>-1.0470846E7</v>
      </c>
      <c r="AP136" s="47"/>
      <c r="AQ136" s="48"/>
      <c r="AR136" s="50"/>
      <c r="AS136" s="51"/>
      <c r="AT136" s="51"/>
      <c r="AU136" s="51"/>
      <c r="AV136" s="47"/>
      <c r="AW136" s="48"/>
      <c r="AX136" s="50"/>
      <c r="AY136" s="51"/>
      <c r="AZ136" s="51"/>
      <c r="BA136" s="51"/>
      <c r="BB136" s="51">
        <f t="shared" ref="BB136:BD136" si="134">IF(AND(ISNUMBER(Z136),COUNT(AG136,AM136,AS136,AY136)=2),Z136+SUM(AG136,AM136,AS136,AY136),"")</f>
        <v>0</v>
      </c>
      <c r="BC136" s="51">
        <f t="shared" si="134"/>
        <v>0</v>
      </c>
      <c r="BD136" s="51">
        <f t="shared" si="134"/>
        <v>0</v>
      </c>
    </row>
    <row r="137" ht="48.0" customHeight="1">
      <c r="A137" s="49" t="s">
        <v>40</v>
      </c>
      <c r="B137" s="49" t="str">
        <f t="array" ref="B137">INDEX('HD cty 2024'!B:B,MATCH('F0, F1, F2, ...'!$C137,'HD cty 2024'!B:B,0))</f>
        <v>#N/A</v>
      </c>
      <c r="C137" s="49">
        <v>171.0</v>
      </c>
      <c r="D137" s="50">
        <v>45404.0</v>
      </c>
      <c r="E137" s="51">
        <v>8989828.0</v>
      </c>
      <c r="F137" s="51">
        <v>719186.0</v>
      </c>
      <c r="G137" s="51">
        <v>9709014.0</v>
      </c>
      <c r="H137" s="49" t="s">
        <v>414</v>
      </c>
      <c r="I137" s="52" t="s">
        <v>2949</v>
      </c>
      <c r="J137" s="50">
        <v>45808.0</v>
      </c>
      <c r="K137" s="51">
        <v>566486.0</v>
      </c>
      <c r="L137" s="51">
        <v>45319.0</v>
      </c>
      <c r="M137" s="51">
        <v>611805.0</v>
      </c>
      <c r="N137" s="49"/>
      <c r="O137" s="52"/>
      <c r="P137" s="50"/>
      <c r="Q137" s="51"/>
      <c r="R137" s="51"/>
      <c r="S137" s="51"/>
      <c r="T137" s="49"/>
      <c r="U137" s="52"/>
      <c r="V137" s="50"/>
      <c r="W137" s="51"/>
      <c r="X137" s="51"/>
      <c r="Y137" s="51"/>
      <c r="Z137" s="51">
        <v>9556314.0</v>
      </c>
      <c r="AA137" s="51">
        <v>764505.0</v>
      </c>
      <c r="AB137" s="51">
        <v>1.0320819E7</v>
      </c>
      <c r="AC137" s="47"/>
      <c r="AD137" s="47" t="s">
        <v>2950</v>
      </c>
      <c r="AE137" s="48"/>
      <c r="AF137" s="50"/>
      <c r="AG137" s="51">
        <v>-566486.0</v>
      </c>
      <c r="AH137" s="51">
        <v>-45319.0</v>
      </c>
      <c r="AI137" s="51">
        <v>-611805.0</v>
      </c>
      <c r="AJ137" s="47" t="s">
        <v>2951</v>
      </c>
      <c r="AK137" s="48"/>
      <c r="AL137" s="50"/>
      <c r="AM137" s="51">
        <v>-8989828.0</v>
      </c>
      <c r="AN137" s="51">
        <v>-719186.0</v>
      </c>
      <c r="AO137" s="51">
        <v>-9709014.0</v>
      </c>
      <c r="AP137" s="47"/>
      <c r="AQ137" s="48"/>
      <c r="AR137" s="50"/>
      <c r="AS137" s="51"/>
      <c r="AT137" s="51"/>
      <c r="AU137" s="51"/>
      <c r="AV137" s="47"/>
      <c r="AW137" s="48"/>
      <c r="AX137" s="50"/>
      <c r="AY137" s="51"/>
      <c r="AZ137" s="51"/>
      <c r="BA137" s="51"/>
      <c r="BB137" s="51">
        <f t="shared" ref="BB137:BD137" si="135">IF(AND(ISNUMBER(Z137),COUNT(AG137,AM137,AS137,AY137)=2),Z137+SUM(AG137,AM137,AS137,AY137),"")</f>
        <v>0</v>
      </c>
      <c r="BC137" s="51">
        <f t="shared" si="135"/>
        <v>0</v>
      </c>
      <c r="BD137" s="51">
        <f t="shared" si="135"/>
        <v>0</v>
      </c>
    </row>
    <row r="138" ht="48.0" customHeight="1">
      <c r="A138" s="49" t="s">
        <v>40</v>
      </c>
      <c r="B138" s="49" t="str">
        <f t="array" ref="B138">INDEX('HD cty 2024'!B:B,MATCH('F0, F1, F2, ...'!$C138,'HD cty 2024'!B:B,0))</f>
        <v>#N/A</v>
      </c>
      <c r="C138" s="49">
        <v>172.0</v>
      </c>
      <c r="D138" s="50">
        <v>45404.0</v>
      </c>
      <c r="E138" s="51">
        <v>4.6453047E7</v>
      </c>
      <c r="F138" s="51">
        <v>3716244.0</v>
      </c>
      <c r="G138" s="51">
        <v>5.0169291E7</v>
      </c>
      <c r="H138" s="49" t="s">
        <v>414</v>
      </c>
      <c r="I138" s="52" t="s">
        <v>2952</v>
      </c>
      <c r="J138" s="50">
        <v>45804.0</v>
      </c>
      <c r="K138" s="51">
        <v>2683064.0</v>
      </c>
      <c r="L138" s="51">
        <v>214645.0</v>
      </c>
      <c r="M138" s="51">
        <v>2897709.0</v>
      </c>
      <c r="N138" s="49"/>
      <c r="O138" s="52"/>
      <c r="P138" s="50"/>
      <c r="Q138" s="51"/>
      <c r="R138" s="51"/>
      <c r="S138" s="51"/>
      <c r="T138" s="49"/>
      <c r="U138" s="52"/>
      <c r="V138" s="50"/>
      <c r="W138" s="51"/>
      <c r="X138" s="51"/>
      <c r="Y138" s="51"/>
      <c r="Z138" s="51">
        <v>4.9136111E7</v>
      </c>
      <c r="AA138" s="51">
        <v>3930889.0</v>
      </c>
      <c r="AB138" s="51">
        <v>5.3067E7</v>
      </c>
      <c r="AC138" s="47"/>
      <c r="AD138" s="47" t="s">
        <v>2953</v>
      </c>
      <c r="AE138" s="48"/>
      <c r="AF138" s="50"/>
      <c r="AG138" s="51">
        <v>-2683064.0</v>
      </c>
      <c r="AH138" s="51">
        <v>-214645.0</v>
      </c>
      <c r="AI138" s="51">
        <v>-2897709.0</v>
      </c>
      <c r="AJ138" s="47" t="s">
        <v>2954</v>
      </c>
      <c r="AK138" s="48"/>
      <c r="AL138" s="50"/>
      <c r="AM138" s="51">
        <v>-4.6453047E7</v>
      </c>
      <c r="AN138" s="51">
        <v>-3716244.0</v>
      </c>
      <c r="AO138" s="51">
        <v>-5.0169291E7</v>
      </c>
      <c r="AP138" s="47"/>
      <c r="AQ138" s="48"/>
      <c r="AR138" s="50"/>
      <c r="AS138" s="51"/>
      <c r="AT138" s="51"/>
      <c r="AU138" s="51"/>
      <c r="AV138" s="47"/>
      <c r="AW138" s="48"/>
      <c r="AX138" s="50"/>
      <c r="AY138" s="51"/>
      <c r="AZ138" s="51"/>
      <c r="BA138" s="51"/>
      <c r="BB138" s="51">
        <f t="shared" ref="BB138:BD138" si="136">IF(AND(ISNUMBER(Z138),COUNT(AG138,AM138,AS138,AY138)=2),Z138+SUM(AG138,AM138,AS138,AY138),"")</f>
        <v>0</v>
      </c>
      <c r="BC138" s="51">
        <f t="shared" si="136"/>
        <v>0</v>
      </c>
      <c r="BD138" s="51">
        <f t="shared" si="136"/>
        <v>0</v>
      </c>
    </row>
    <row r="139" ht="102.0" customHeight="1">
      <c r="A139" s="49" t="s">
        <v>40</v>
      </c>
      <c r="B139" s="49" t="str">
        <f t="array" ref="B139">INDEX('HD cty 2024'!B:B,MATCH('F0, F1, F2, ...'!$C139,'HD cty 2024'!B:B,0))</f>
        <v>#N/A</v>
      </c>
      <c r="C139" s="49">
        <v>173.0</v>
      </c>
      <c r="D139" s="50">
        <v>45404.0</v>
      </c>
      <c r="E139" s="51">
        <v>2.6342038E7</v>
      </c>
      <c r="F139" s="51">
        <v>2107363.0</v>
      </c>
      <c r="G139" s="51">
        <v>2.8449401E7</v>
      </c>
      <c r="H139" s="49" t="s">
        <v>414</v>
      </c>
      <c r="I139" s="52" t="s">
        <v>2955</v>
      </c>
      <c r="J139" s="50">
        <v>45804.0</v>
      </c>
      <c r="K139" s="51">
        <v>-2.6342038E7</v>
      </c>
      <c r="L139" s="51">
        <v>-2107363.0</v>
      </c>
      <c r="M139" s="51">
        <v>-2.8449401E7</v>
      </c>
      <c r="N139" s="49"/>
      <c r="O139" s="52"/>
      <c r="P139" s="50"/>
      <c r="Q139" s="51"/>
      <c r="R139" s="51"/>
      <c r="S139" s="51"/>
      <c r="T139" s="49"/>
      <c r="U139" s="52"/>
      <c r="V139" s="50"/>
      <c r="W139" s="51"/>
      <c r="X139" s="51"/>
      <c r="Y139" s="51"/>
      <c r="Z139" s="51">
        <v>0.0</v>
      </c>
      <c r="AA139" s="51">
        <v>0.0</v>
      </c>
      <c r="AB139" s="51">
        <v>0.0</v>
      </c>
      <c r="AC139" s="47" t="s">
        <v>2956</v>
      </c>
      <c r="AD139" s="47" t="s">
        <v>2957</v>
      </c>
      <c r="AE139" s="48"/>
      <c r="AF139" s="50">
        <v>46304.0</v>
      </c>
      <c r="AG139" s="51">
        <v>2.6342038E7</v>
      </c>
      <c r="AH139" s="51">
        <v>2107363.0</v>
      </c>
      <c r="AI139" s="51">
        <v>2.8449401E7</v>
      </c>
      <c r="AJ139" s="47" t="s">
        <v>2958</v>
      </c>
      <c r="AK139" s="48"/>
      <c r="AL139" s="50">
        <v>46304.0</v>
      </c>
      <c r="AM139" s="51">
        <v>-2.6342038E7</v>
      </c>
      <c r="AN139" s="51">
        <v>-2107363.0</v>
      </c>
      <c r="AO139" s="51">
        <v>-2.8449401E7</v>
      </c>
      <c r="AP139" s="47"/>
      <c r="AQ139" s="48"/>
      <c r="AR139" s="50"/>
      <c r="AS139" s="51"/>
      <c r="AT139" s="51"/>
      <c r="AU139" s="51"/>
      <c r="AV139" s="47"/>
      <c r="AW139" s="48"/>
      <c r="AX139" s="50"/>
      <c r="AY139" s="51"/>
      <c r="AZ139" s="51"/>
      <c r="BA139" s="51"/>
      <c r="BB139" s="51">
        <f t="shared" ref="BB139:BD139" si="137">IF(AND(ISNUMBER(Z139),COUNT(AG139,AM139,AS139,AY139)=2),Z139+SUM(AG139,AM139,AS139,AY139),"")</f>
        <v>0</v>
      </c>
      <c r="BC139" s="51">
        <f t="shared" si="137"/>
        <v>0</v>
      </c>
      <c r="BD139" s="51">
        <f t="shared" si="137"/>
        <v>0</v>
      </c>
    </row>
    <row r="140" ht="48.0" customHeight="1">
      <c r="A140" s="49" t="s">
        <v>40</v>
      </c>
      <c r="B140" s="49" t="str">
        <f t="array" ref="B140">INDEX('HD cty 2024'!B:B,MATCH('F0, F1, F2, ...'!$C140,'HD cty 2024'!B:B,0))</f>
        <v>#N/A</v>
      </c>
      <c r="C140" s="49">
        <v>174.0</v>
      </c>
      <c r="D140" s="50">
        <v>45404.0</v>
      </c>
      <c r="E140" s="51">
        <v>1.9209267E7</v>
      </c>
      <c r="F140" s="51">
        <v>1536741.0</v>
      </c>
      <c r="G140" s="51">
        <v>2.0746008E7</v>
      </c>
      <c r="H140" s="49" t="s">
        <v>414</v>
      </c>
      <c r="I140" s="52" t="s">
        <v>2959</v>
      </c>
      <c r="J140" s="50">
        <v>45804.0</v>
      </c>
      <c r="K140" s="51">
        <v>1745363.0</v>
      </c>
      <c r="L140" s="51">
        <v>139629.0</v>
      </c>
      <c r="M140" s="51">
        <v>1884992.0</v>
      </c>
      <c r="N140" s="49"/>
      <c r="O140" s="52"/>
      <c r="P140" s="50"/>
      <c r="Q140" s="51"/>
      <c r="R140" s="51"/>
      <c r="S140" s="51"/>
      <c r="T140" s="49"/>
      <c r="U140" s="52"/>
      <c r="V140" s="50"/>
      <c r="W140" s="51"/>
      <c r="X140" s="51"/>
      <c r="Y140" s="51"/>
      <c r="Z140" s="51">
        <v>2.095463E7</v>
      </c>
      <c r="AA140" s="51">
        <v>1676370.0</v>
      </c>
      <c r="AB140" s="51">
        <v>2.2631E7</v>
      </c>
      <c r="AC140" s="47"/>
      <c r="AD140" s="47" t="s">
        <v>2960</v>
      </c>
      <c r="AE140" s="48"/>
      <c r="AF140" s="50"/>
      <c r="AG140" s="51">
        <v>-1745363.0</v>
      </c>
      <c r="AH140" s="51">
        <v>-139629.0</v>
      </c>
      <c r="AI140" s="51">
        <v>-1884992.0</v>
      </c>
      <c r="AJ140" s="47" t="s">
        <v>2961</v>
      </c>
      <c r="AK140" s="48"/>
      <c r="AL140" s="50"/>
      <c r="AM140" s="51">
        <v>-1.9209267E7</v>
      </c>
      <c r="AN140" s="51">
        <v>-1536741.0</v>
      </c>
      <c r="AO140" s="51">
        <v>-2.0746008E7</v>
      </c>
      <c r="AP140" s="47"/>
      <c r="AQ140" s="48"/>
      <c r="AR140" s="50"/>
      <c r="AS140" s="51"/>
      <c r="AT140" s="51"/>
      <c r="AU140" s="51"/>
      <c r="AV140" s="47"/>
      <c r="AW140" s="48"/>
      <c r="AX140" s="50"/>
      <c r="AY140" s="51"/>
      <c r="AZ140" s="51"/>
      <c r="BA140" s="51"/>
      <c r="BB140" s="51">
        <f t="shared" ref="BB140:BD140" si="138">IF(AND(ISNUMBER(Z140),COUNT(AG140,AM140,AS140,AY140)=2),Z140+SUM(AG140,AM140,AS140,AY140),"")</f>
        <v>0</v>
      </c>
      <c r="BC140" s="51">
        <f t="shared" si="138"/>
        <v>0</v>
      </c>
      <c r="BD140" s="51">
        <f t="shared" si="138"/>
        <v>0</v>
      </c>
    </row>
    <row r="141" ht="48.0" customHeight="1">
      <c r="A141" s="49" t="s">
        <v>40</v>
      </c>
      <c r="B141" s="49" t="str">
        <f t="array" ref="B141">INDEX('HD cty 2024'!B:B,MATCH('F0, F1, F2, ...'!$C141,'HD cty 2024'!B:B,0))</f>
        <v>#N/A</v>
      </c>
      <c r="C141" s="49">
        <v>176.0</v>
      </c>
      <c r="D141" s="50">
        <v>45405.0</v>
      </c>
      <c r="E141" s="51">
        <v>2.02388523E8</v>
      </c>
      <c r="F141" s="51">
        <v>1.6191082E7</v>
      </c>
      <c r="G141" s="51">
        <v>2.18579605E8</v>
      </c>
      <c r="H141" s="49" t="s">
        <v>414</v>
      </c>
      <c r="I141" s="52" t="s">
        <v>2962</v>
      </c>
      <c r="J141" s="50">
        <v>45804.0</v>
      </c>
      <c r="K141" s="51">
        <v>4.789481E7</v>
      </c>
      <c r="L141" s="51">
        <v>3831585.0</v>
      </c>
      <c r="M141" s="51">
        <v>5.1726395E7</v>
      </c>
      <c r="N141" s="49"/>
      <c r="O141" s="52"/>
      <c r="P141" s="50"/>
      <c r="Q141" s="51"/>
      <c r="R141" s="51"/>
      <c r="S141" s="51"/>
      <c r="T141" s="49"/>
      <c r="U141" s="52"/>
      <c r="V141" s="50"/>
      <c r="W141" s="51"/>
      <c r="X141" s="51"/>
      <c r="Y141" s="51"/>
      <c r="Z141" s="51">
        <v>2.50283333E8</v>
      </c>
      <c r="AA141" s="51">
        <v>2.0022667E7</v>
      </c>
      <c r="AB141" s="51">
        <v>2.70306E8</v>
      </c>
      <c r="AC141" s="47"/>
      <c r="AD141" s="47" t="s">
        <v>2963</v>
      </c>
      <c r="AE141" s="48"/>
      <c r="AF141" s="50"/>
      <c r="AG141" s="51">
        <v>-4.789481E7</v>
      </c>
      <c r="AH141" s="51">
        <v>-3831585.0</v>
      </c>
      <c r="AI141" s="51">
        <v>-5.1726395E7</v>
      </c>
      <c r="AJ141" s="47" t="s">
        <v>2964</v>
      </c>
      <c r="AK141" s="48"/>
      <c r="AL141" s="50"/>
      <c r="AM141" s="51">
        <v>-2.02388523E8</v>
      </c>
      <c r="AN141" s="51">
        <v>-1.6191082E7</v>
      </c>
      <c r="AO141" s="51">
        <v>-2.18579605E8</v>
      </c>
      <c r="AP141" s="47"/>
      <c r="AQ141" s="48"/>
      <c r="AR141" s="50"/>
      <c r="AS141" s="51"/>
      <c r="AT141" s="51"/>
      <c r="AU141" s="51"/>
      <c r="AV141" s="47"/>
      <c r="AW141" s="48"/>
      <c r="AX141" s="50"/>
      <c r="AY141" s="51"/>
      <c r="AZ141" s="51"/>
      <c r="BA141" s="51"/>
      <c r="BB141" s="51">
        <f t="shared" ref="BB141:BD141" si="139">IF(AND(ISNUMBER(Z141),COUNT(AG141,AM141,AS141,AY141)=2),Z141+SUM(AG141,AM141,AS141,AY141),"")</f>
        <v>0</v>
      </c>
      <c r="BC141" s="51">
        <f t="shared" si="139"/>
        <v>0</v>
      </c>
      <c r="BD141" s="51">
        <f t="shared" si="139"/>
        <v>0</v>
      </c>
    </row>
    <row r="142" ht="48.0" customHeight="1">
      <c r="A142" s="49" t="s">
        <v>40</v>
      </c>
      <c r="B142" s="49" t="str">
        <f t="array" ref="B142">INDEX('HD cty 2024'!B:B,MATCH('F0, F1, F2, ...'!$C142,'HD cty 2024'!B:B,0))</f>
        <v>#N/A</v>
      </c>
      <c r="C142" s="49">
        <v>177.0</v>
      </c>
      <c r="D142" s="50">
        <v>45405.0</v>
      </c>
      <c r="E142" s="51">
        <v>4.9239625E7</v>
      </c>
      <c r="F142" s="51">
        <v>3939170.0</v>
      </c>
      <c r="G142" s="51">
        <v>5.3178795E7</v>
      </c>
      <c r="H142" s="49" t="s">
        <v>414</v>
      </c>
      <c r="I142" s="52" t="s">
        <v>2965</v>
      </c>
      <c r="J142" s="50">
        <v>45804.0</v>
      </c>
      <c r="K142" s="51">
        <v>1.5568708E7</v>
      </c>
      <c r="L142" s="51">
        <v>1245497.0</v>
      </c>
      <c r="M142" s="51">
        <v>1.6814205E7</v>
      </c>
      <c r="N142" s="49"/>
      <c r="O142" s="52"/>
      <c r="P142" s="50"/>
      <c r="Q142" s="51"/>
      <c r="R142" s="51"/>
      <c r="S142" s="51"/>
      <c r="T142" s="49"/>
      <c r="U142" s="52"/>
      <c r="V142" s="50"/>
      <c r="W142" s="51"/>
      <c r="X142" s="51"/>
      <c r="Y142" s="51"/>
      <c r="Z142" s="51">
        <v>6.4808333E7</v>
      </c>
      <c r="AA142" s="51">
        <v>5184667.0</v>
      </c>
      <c r="AB142" s="51">
        <v>6.9993E7</v>
      </c>
      <c r="AC142" s="47"/>
      <c r="AD142" s="47" t="s">
        <v>2966</v>
      </c>
      <c r="AE142" s="48"/>
      <c r="AF142" s="50"/>
      <c r="AG142" s="51">
        <v>-1.5568708E7</v>
      </c>
      <c r="AH142" s="51">
        <v>-1245497.0</v>
      </c>
      <c r="AI142" s="51">
        <v>-1.6814205E7</v>
      </c>
      <c r="AJ142" s="47" t="s">
        <v>2967</v>
      </c>
      <c r="AK142" s="48"/>
      <c r="AL142" s="50"/>
      <c r="AM142" s="51">
        <v>-4.9239625E7</v>
      </c>
      <c r="AN142" s="51">
        <v>-3939170.0</v>
      </c>
      <c r="AO142" s="51">
        <v>-5.3178795E7</v>
      </c>
      <c r="AP142" s="47"/>
      <c r="AQ142" s="48"/>
      <c r="AR142" s="50"/>
      <c r="AS142" s="51"/>
      <c r="AT142" s="51"/>
      <c r="AU142" s="51"/>
      <c r="AV142" s="47"/>
      <c r="AW142" s="48"/>
      <c r="AX142" s="50"/>
      <c r="AY142" s="51"/>
      <c r="AZ142" s="51"/>
      <c r="BA142" s="51"/>
      <c r="BB142" s="51">
        <f t="shared" ref="BB142:BD142" si="140">IF(AND(ISNUMBER(Z142),COUNT(AG142,AM142,AS142,AY142)=2),Z142+SUM(AG142,AM142,AS142,AY142),"")</f>
        <v>0</v>
      </c>
      <c r="BC142" s="51">
        <f t="shared" si="140"/>
        <v>0</v>
      </c>
      <c r="BD142" s="51">
        <f t="shared" si="140"/>
        <v>0</v>
      </c>
    </row>
    <row r="143" ht="48.0" customHeight="1">
      <c r="A143" s="49" t="s">
        <v>40</v>
      </c>
      <c r="B143" s="49" t="str">
        <f t="array" ref="B143">INDEX('HD cty 2024'!B:B,MATCH('F0, F1, F2, ...'!$C143,'HD cty 2024'!B:B,0))</f>
        <v>#N/A</v>
      </c>
      <c r="C143" s="49">
        <v>178.0</v>
      </c>
      <c r="D143" s="50">
        <v>45405.0</v>
      </c>
      <c r="E143" s="51">
        <v>5.7008991E7</v>
      </c>
      <c r="F143" s="51">
        <v>4560719.0</v>
      </c>
      <c r="G143" s="51">
        <v>6.156971E7</v>
      </c>
      <c r="H143" s="49" t="s">
        <v>414</v>
      </c>
      <c r="I143" s="52" t="s">
        <v>2968</v>
      </c>
      <c r="J143" s="50">
        <v>45804.0</v>
      </c>
      <c r="K143" s="51">
        <v>7542861.0</v>
      </c>
      <c r="L143" s="51">
        <v>603429.0</v>
      </c>
      <c r="M143" s="51">
        <v>8146290.0</v>
      </c>
      <c r="N143" s="49"/>
      <c r="O143" s="52"/>
      <c r="P143" s="50"/>
      <c r="Q143" s="51"/>
      <c r="R143" s="51"/>
      <c r="S143" s="51"/>
      <c r="T143" s="49"/>
      <c r="U143" s="52"/>
      <c r="V143" s="50"/>
      <c r="W143" s="51"/>
      <c r="X143" s="51"/>
      <c r="Y143" s="51"/>
      <c r="Z143" s="51">
        <v>6.4551852E7</v>
      </c>
      <c r="AA143" s="51">
        <v>5164148.0</v>
      </c>
      <c r="AB143" s="51">
        <v>6.9716E7</v>
      </c>
      <c r="AC143" s="47"/>
      <c r="AD143" s="47" t="s">
        <v>2969</v>
      </c>
      <c r="AE143" s="48"/>
      <c r="AF143" s="50"/>
      <c r="AG143" s="51">
        <v>-7542861.0</v>
      </c>
      <c r="AH143" s="51">
        <v>-603429.0</v>
      </c>
      <c r="AI143" s="51">
        <v>-8146290.0</v>
      </c>
      <c r="AJ143" s="47" t="s">
        <v>2970</v>
      </c>
      <c r="AK143" s="48"/>
      <c r="AL143" s="50"/>
      <c r="AM143" s="51">
        <v>-5.7008991E7</v>
      </c>
      <c r="AN143" s="51">
        <v>-4560719.0</v>
      </c>
      <c r="AO143" s="51">
        <v>-6.156971E7</v>
      </c>
      <c r="AP143" s="47"/>
      <c r="AQ143" s="48"/>
      <c r="AR143" s="50"/>
      <c r="AS143" s="51"/>
      <c r="AT143" s="51"/>
      <c r="AU143" s="51"/>
      <c r="AV143" s="47"/>
      <c r="AW143" s="48"/>
      <c r="AX143" s="50"/>
      <c r="AY143" s="51"/>
      <c r="AZ143" s="51"/>
      <c r="BA143" s="51"/>
      <c r="BB143" s="51">
        <f t="shared" ref="BB143:BD143" si="141">IF(AND(ISNUMBER(Z143),COUNT(AG143,AM143,AS143,AY143)=2),Z143+SUM(AG143,AM143,AS143,AY143),"")</f>
        <v>0</v>
      </c>
      <c r="BC143" s="51">
        <f t="shared" si="141"/>
        <v>0</v>
      </c>
      <c r="BD143" s="51">
        <f t="shared" si="141"/>
        <v>0</v>
      </c>
    </row>
    <row r="144" ht="48.0" customHeight="1">
      <c r="A144" s="49" t="s">
        <v>40</v>
      </c>
      <c r="B144" s="49" t="str">
        <f t="array" ref="B144">INDEX('HD cty 2024'!B:B,MATCH('F0, F1, F2, ...'!$C144,'HD cty 2024'!B:B,0))</f>
        <v>#N/A</v>
      </c>
      <c r="C144" s="49">
        <v>179.0</v>
      </c>
      <c r="D144" s="50">
        <v>45405.0</v>
      </c>
      <c r="E144" s="51">
        <v>3.575211E7</v>
      </c>
      <c r="F144" s="51">
        <v>2860169.0</v>
      </c>
      <c r="G144" s="51">
        <v>3.8612279E7</v>
      </c>
      <c r="H144" s="49" t="s">
        <v>414</v>
      </c>
      <c r="I144" s="52" t="s">
        <v>2971</v>
      </c>
      <c r="J144" s="50">
        <v>45804.0</v>
      </c>
      <c r="K144" s="51">
        <v>1460853.0</v>
      </c>
      <c r="L144" s="51">
        <v>116868.0</v>
      </c>
      <c r="M144" s="51">
        <v>1577721.0</v>
      </c>
      <c r="N144" s="49"/>
      <c r="O144" s="52"/>
      <c r="P144" s="50"/>
      <c r="Q144" s="51"/>
      <c r="R144" s="51"/>
      <c r="S144" s="51"/>
      <c r="T144" s="49"/>
      <c r="U144" s="52"/>
      <c r="V144" s="50"/>
      <c r="W144" s="51"/>
      <c r="X144" s="51"/>
      <c r="Y144" s="51"/>
      <c r="Z144" s="51">
        <v>3.7212963E7</v>
      </c>
      <c r="AA144" s="51">
        <v>2977037.0</v>
      </c>
      <c r="AB144" s="51">
        <v>4.019E7</v>
      </c>
      <c r="AC144" s="47"/>
      <c r="AD144" s="47" t="s">
        <v>2972</v>
      </c>
      <c r="AE144" s="48"/>
      <c r="AF144" s="50"/>
      <c r="AG144" s="51">
        <v>-1460853.0</v>
      </c>
      <c r="AH144" s="51">
        <v>-116868.0</v>
      </c>
      <c r="AI144" s="51">
        <v>-1577721.0</v>
      </c>
      <c r="AJ144" s="47" t="s">
        <v>2973</v>
      </c>
      <c r="AK144" s="48"/>
      <c r="AL144" s="50"/>
      <c r="AM144" s="51">
        <v>-3.575211E7</v>
      </c>
      <c r="AN144" s="51">
        <v>-2860169.0</v>
      </c>
      <c r="AO144" s="51">
        <v>-3.8612279E7</v>
      </c>
      <c r="AP144" s="47"/>
      <c r="AQ144" s="48"/>
      <c r="AR144" s="50"/>
      <c r="AS144" s="51"/>
      <c r="AT144" s="51"/>
      <c r="AU144" s="51"/>
      <c r="AV144" s="47"/>
      <c r="AW144" s="48"/>
      <c r="AX144" s="50"/>
      <c r="AY144" s="51"/>
      <c r="AZ144" s="51"/>
      <c r="BA144" s="51"/>
      <c r="BB144" s="51">
        <f t="shared" ref="BB144:BD144" si="142">IF(AND(ISNUMBER(Z144),COUNT(AG144,AM144,AS144,AY144)=2),Z144+SUM(AG144,AM144,AS144,AY144),"")</f>
        <v>0</v>
      </c>
      <c r="BC144" s="51">
        <f t="shared" si="142"/>
        <v>0</v>
      </c>
      <c r="BD144" s="51">
        <f t="shared" si="142"/>
        <v>0</v>
      </c>
    </row>
    <row r="145" ht="48.0" customHeight="1">
      <c r="A145" s="49" t="s">
        <v>40</v>
      </c>
      <c r="B145" s="49" t="str">
        <f t="array" ref="B145">INDEX('HD cty 2024'!B:B,MATCH('F0, F1, F2, ...'!$C145,'HD cty 2024'!B:B,0))</f>
        <v>#N/A</v>
      </c>
      <c r="C145" s="49">
        <v>180.0</v>
      </c>
      <c r="D145" s="50">
        <v>45405.0</v>
      </c>
      <c r="E145" s="51">
        <v>1.12400852E8</v>
      </c>
      <c r="F145" s="51">
        <v>8992068.0</v>
      </c>
      <c r="G145" s="51">
        <v>1.2139292E8</v>
      </c>
      <c r="H145" s="49" t="s">
        <v>414</v>
      </c>
      <c r="I145" s="52" t="s">
        <v>2974</v>
      </c>
      <c r="J145" s="50">
        <v>45804.0</v>
      </c>
      <c r="K145" s="51">
        <v>1.4209333E7</v>
      </c>
      <c r="L145" s="51">
        <v>1136747.0</v>
      </c>
      <c r="M145" s="51">
        <v>1.534608E7</v>
      </c>
      <c r="N145" s="49"/>
      <c r="O145" s="52"/>
      <c r="P145" s="50"/>
      <c r="Q145" s="51"/>
      <c r="R145" s="51"/>
      <c r="S145" s="51"/>
      <c r="T145" s="49"/>
      <c r="U145" s="52"/>
      <c r="V145" s="50"/>
      <c r="W145" s="51"/>
      <c r="X145" s="51"/>
      <c r="Y145" s="51"/>
      <c r="Z145" s="51">
        <v>1.26610185E8</v>
      </c>
      <c r="AA145" s="51">
        <v>1.0128815E7</v>
      </c>
      <c r="AB145" s="51">
        <v>1.36739E8</v>
      </c>
      <c r="AC145" s="47"/>
      <c r="AD145" s="47" t="s">
        <v>2975</v>
      </c>
      <c r="AE145" s="48"/>
      <c r="AF145" s="50"/>
      <c r="AG145" s="51">
        <v>-1.4209333E7</v>
      </c>
      <c r="AH145" s="51">
        <v>-1136747.0</v>
      </c>
      <c r="AI145" s="51">
        <v>-1.534608E7</v>
      </c>
      <c r="AJ145" s="47" t="s">
        <v>2976</v>
      </c>
      <c r="AK145" s="48"/>
      <c r="AL145" s="50"/>
      <c r="AM145" s="51">
        <v>-1.12400852E8</v>
      </c>
      <c r="AN145" s="51">
        <v>-8992068.0</v>
      </c>
      <c r="AO145" s="51">
        <v>-1.2139292E8</v>
      </c>
      <c r="AP145" s="47"/>
      <c r="AQ145" s="48"/>
      <c r="AR145" s="50"/>
      <c r="AS145" s="51"/>
      <c r="AT145" s="51"/>
      <c r="AU145" s="51"/>
      <c r="AV145" s="47"/>
      <c r="AW145" s="48"/>
      <c r="AX145" s="50"/>
      <c r="AY145" s="51"/>
      <c r="AZ145" s="51"/>
      <c r="BA145" s="51"/>
      <c r="BB145" s="51">
        <f t="shared" ref="BB145:BD145" si="143">IF(AND(ISNUMBER(Z145),COUNT(AG145,AM145,AS145,AY145)=2),Z145+SUM(AG145,AM145,AS145,AY145),"")</f>
        <v>0</v>
      </c>
      <c r="BC145" s="51">
        <f t="shared" si="143"/>
        <v>0</v>
      </c>
      <c r="BD145" s="51">
        <f t="shared" si="143"/>
        <v>0</v>
      </c>
    </row>
    <row r="146" ht="48.0" customHeight="1">
      <c r="A146" s="49" t="s">
        <v>40</v>
      </c>
      <c r="B146" s="49" t="str">
        <f t="array" ref="B146">INDEX('HD cty 2024'!B:B,MATCH('F0, F1, F2, ...'!$C146,'HD cty 2024'!B:B,0))</f>
        <v>#N/A</v>
      </c>
      <c r="C146" s="49">
        <v>181.0</v>
      </c>
      <c r="D146" s="50">
        <v>45405.0</v>
      </c>
      <c r="E146" s="51">
        <v>1639264.0</v>
      </c>
      <c r="F146" s="51">
        <v>131141.0</v>
      </c>
      <c r="G146" s="51">
        <v>1770405.0</v>
      </c>
      <c r="H146" s="49" t="s">
        <v>414</v>
      </c>
      <c r="I146" s="52" t="s">
        <v>2977</v>
      </c>
      <c r="J146" s="50">
        <v>45807.0</v>
      </c>
      <c r="K146" s="51">
        <v>21296.0</v>
      </c>
      <c r="L146" s="51">
        <v>1704.0</v>
      </c>
      <c r="M146" s="51">
        <v>23000.0</v>
      </c>
      <c r="N146" s="49"/>
      <c r="O146" s="52"/>
      <c r="P146" s="50"/>
      <c r="Q146" s="51"/>
      <c r="R146" s="51"/>
      <c r="S146" s="51"/>
      <c r="T146" s="49"/>
      <c r="U146" s="52"/>
      <c r="V146" s="50"/>
      <c r="W146" s="51"/>
      <c r="X146" s="51"/>
      <c r="Y146" s="51"/>
      <c r="Z146" s="51">
        <v>1660560.0</v>
      </c>
      <c r="AA146" s="51">
        <v>132845.0</v>
      </c>
      <c r="AB146" s="51">
        <v>1793405.0</v>
      </c>
      <c r="AC146" s="47"/>
      <c r="AD146" s="47" t="s">
        <v>2978</v>
      </c>
      <c r="AE146" s="48"/>
      <c r="AF146" s="50"/>
      <c r="AG146" s="51">
        <v>-21296.0</v>
      </c>
      <c r="AH146" s="51">
        <v>-1704.0</v>
      </c>
      <c r="AI146" s="51">
        <v>-23000.0</v>
      </c>
      <c r="AJ146" s="47" t="s">
        <v>2979</v>
      </c>
      <c r="AK146" s="48"/>
      <c r="AL146" s="50"/>
      <c r="AM146" s="51">
        <v>-1639264.0</v>
      </c>
      <c r="AN146" s="51">
        <v>-131141.0</v>
      </c>
      <c r="AO146" s="51">
        <v>-1770405.0</v>
      </c>
      <c r="AP146" s="47"/>
      <c r="AQ146" s="48"/>
      <c r="AR146" s="50"/>
      <c r="AS146" s="51"/>
      <c r="AT146" s="51"/>
      <c r="AU146" s="51"/>
      <c r="AV146" s="47"/>
      <c r="AW146" s="48"/>
      <c r="AX146" s="50"/>
      <c r="AY146" s="51"/>
      <c r="AZ146" s="51"/>
      <c r="BA146" s="51"/>
      <c r="BB146" s="51">
        <f t="shared" ref="BB146:BD146" si="144">IF(AND(ISNUMBER(Z146),COUNT(AG146,AM146,AS146,AY146)=2),Z146+SUM(AG146,AM146,AS146,AY146),"")</f>
        <v>0</v>
      </c>
      <c r="BC146" s="51">
        <f t="shared" si="144"/>
        <v>0</v>
      </c>
      <c r="BD146" s="51">
        <f t="shared" si="144"/>
        <v>0</v>
      </c>
    </row>
    <row r="147" ht="48.0" customHeight="1">
      <c r="A147" s="49" t="s">
        <v>40</v>
      </c>
      <c r="B147" s="49" t="str">
        <f t="array" ref="B147">INDEX('HD cty 2024'!B:B,MATCH('F0, F1, F2, ...'!$C147,'HD cty 2024'!B:B,0))</f>
        <v>#N/A</v>
      </c>
      <c r="C147" s="49">
        <v>182.0</v>
      </c>
      <c r="D147" s="50">
        <v>45405.0</v>
      </c>
      <c r="E147" s="51">
        <v>1.3867442E8</v>
      </c>
      <c r="F147" s="51">
        <v>1.1093954E7</v>
      </c>
      <c r="G147" s="51">
        <v>1.49768374E8</v>
      </c>
      <c r="H147" s="49" t="s">
        <v>414</v>
      </c>
      <c r="I147" s="52" t="s">
        <v>2980</v>
      </c>
      <c r="J147" s="50">
        <v>45804.0</v>
      </c>
      <c r="K147" s="51">
        <v>1.9041321E7</v>
      </c>
      <c r="L147" s="51">
        <v>1523306.0</v>
      </c>
      <c r="M147" s="51">
        <v>2.0564627E7</v>
      </c>
      <c r="N147" s="49"/>
      <c r="O147" s="52"/>
      <c r="P147" s="50"/>
      <c r="Q147" s="51"/>
      <c r="R147" s="51"/>
      <c r="S147" s="51"/>
      <c r="T147" s="49"/>
      <c r="U147" s="52"/>
      <c r="V147" s="50"/>
      <c r="W147" s="51"/>
      <c r="X147" s="51"/>
      <c r="Y147" s="51"/>
      <c r="Z147" s="51">
        <v>1.57715741E8</v>
      </c>
      <c r="AA147" s="51">
        <v>1.261726E7</v>
      </c>
      <c r="AB147" s="51">
        <v>1.70333001E8</v>
      </c>
      <c r="AC147" s="47"/>
      <c r="AD147" s="47" t="s">
        <v>2981</v>
      </c>
      <c r="AE147" s="48"/>
      <c r="AF147" s="50"/>
      <c r="AG147" s="51">
        <v>-1.9041321E7</v>
      </c>
      <c r="AH147" s="51">
        <v>-1523306.0</v>
      </c>
      <c r="AI147" s="51">
        <v>-2.0564627E7</v>
      </c>
      <c r="AJ147" s="47" t="s">
        <v>2982</v>
      </c>
      <c r="AK147" s="48"/>
      <c r="AL147" s="50"/>
      <c r="AM147" s="51">
        <v>-1.3867442E8</v>
      </c>
      <c r="AN147" s="51">
        <v>-1.1093954E7</v>
      </c>
      <c r="AO147" s="51">
        <v>-1.49768374E8</v>
      </c>
      <c r="AP147" s="47"/>
      <c r="AQ147" s="48"/>
      <c r="AR147" s="50"/>
      <c r="AS147" s="51"/>
      <c r="AT147" s="51"/>
      <c r="AU147" s="51"/>
      <c r="AV147" s="47"/>
      <c r="AW147" s="48"/>
      <c r="AX147" s="50"/>
      <c r="AY147" s="51"/>
      <c r="AZ147" s="51"/>
      <c r="BA147" s="51"/>
      <c r="BB147" s="51">
        <f t="shared" ref="BB147:BD147" si="145">IF(AND(ISNUMBER(Z147),COUNT(AG147,AM147,AS147,AY147)=2),Z147+SUM(AG147,AM147,AS147,AY147),"")</f>
        <v>0</v>
      </c>
      <c r="BC147" s="51">
        <f t="shared" si="145"/>
        <v>0</v>
      </c>
      <c r="BD147" s="51">
        <f t="shared" si="145"/>
        <v>0</v>
      </c>
    </row>
    <row r="148" ht="48.0" customHeight="1">
      <c r="A148" s="49" t="s">
        <v>40</v>
      </c>
      <c r="B148" s="49" t="str">
        <f t="array" ref="B148">INDEX('HD cty 2024'!B:B,MATCH('F0, F1, F2, ...'!$C148,'HD cty 2024'!B:B,0))</f>
        <v>#N/A</v>
      </c>
      <c r="C148" s="49">
        <v>187.0</v>
      </c>
      <c r="D148" s="50">
        <v>45408.0</v>
      </c>
      <c r="E148" s="51">
        <v>2.6098462E7</v>
      </c>
      <c r="F148" s="51">
        <v>2087877.0</v>
      </c>
      <c r="G148" s="51">
        <v>2.8186339E7</v>
      </c>
      <c r="H148" s="49" t="s">
        <v>414</v>
      </c>
      <c r="I148" s="52" t="s">
        <v>2983</v>
      </c>
      <c r="J148" s="50">
        <v>45808.0</v>
      </c>
      <c r="K148" s="51">
        <v>1835797.0</v>
      </c>
      <c r="L148" s="51">
        <v>146864.0</v>
      </c>
      <c r="M148" s="51">
        <v>1982661.0</v>
      </c>
      <c r="N148" s="49"/>
      <c r="O148" s="52"/>
      <c r="P148" s="50"/>
      <c r="Q148" s="51"/>
      <c r="R148" s="51"/>
      <c r="S148" s="51"/>
      <c r="T148" s="49"/>
      <c r="U148" s="52"/>
      <c r="V148" s="50"/>
      <c r="W148" s="51"/>
      <c r="X148" s="51"/>
      <c r="Y148" s="51"/>
      <c r="Z148" s="51">
        <v>2.7934259E7</v>
      </c>
      <c r="AA148" s="51">
        <v>2234741.0</v>
      </c>
      <c r="AB148" s="51">
        <v>3.0169E7</v>
      </c>
      <c r="AC148" s="47"/>
      <c r="AD148" s="47" t="s">
        <v>2984</v>
      </c>
      <c r="AE148" s="48"/>
      <c r="AF148" s="50"/>
      <c r="AG148" s="51">
        <v>-1835797.0</v>
      </c>
      <c r="AH148" s="51">
        <v>-146864.0</v>
      </c>
      <c r="AI148" s="51">
        <v>-1982661.0</v>
      </c>
      <c r="AJ148" s="47" t="s">
        <v>2985</v>
      </c>
      <c r="AK148" s="48"/>
      <c r="AL148" s="50"/>
      <c r="AM148" s="51">
        <v>-2.6098462E7</v>
      </c>
      <c r="AN148" s="51">
        <v>-2087877.0</v>
      </c>
      <c r="AO148" s="51">
        <v>-2.8186339E7</v>
      </c>
      <c r="AP148" s="47"/>
      <c r="AQ148" s="48"/>
      <c r="AR148" s="50"/>
      <c r="AS148" s="51"/>
      <c r="AT148" s="51"/>
      <c r="AU148" s="51"/>
      <c r="AV148" s="47"/>
      <c r="AW148" s="48"/>
      <c r="AX148" s="50"/>
      <c r="AY148" s="51"/>
      <c r="AZ148" s="51"/>
      <c r="BA148" s="51"/>
      <c r="BB148" s="51">
        <f t="shared" ref="BB148:BD148" si="146">IF(AND(ISNUMBER(Z148),COUNT(AG148,AM148,AS148,AY148)=2),Z148+SUM(AG148,AM148,AS148,AY148),"")</f>
        <v>0</v>
      </c>
      <c r="BC148" s="51">
        <f t="shared" si="146"/>
        <v>0</v>
      </c>
      <c r="BD148" s="51">
        <f t="shared" si="146"/>
        <v>0</v>
      </c>
    </row>
    <row r="149" ht="48.0" customHeight="1">
      <c r="A149" s="49" t="s">
        <v>40</v>
      </c>
      <c r="B149" s="49" t="str">
        <f t="array" ref="B149">INDEX('HD cty 2024'!B:B,MATCH('F0, F1, F2, ...'!$C149,'HD cty 2024'!B:B,0))</f>
        <v>#N/A</v>
      </c>
      <c r="C149" s="49">
        <v>193.0</v>
      </c>
      <c r="D149" s="50">
        <v>45412.0</v>
      </c>
      <c r="E149" s="51">
        <v>4436918.0</v>
      </c>
      <c r="F149" s="51">
        <v>354953.0</v>
      </c>
      <c r="G149" s="51">
        <v>4791871.0</v>
      </c>
      <c r="H149" s="49" t="s">
        <v>414</v>
      </c>
      <c r="I149" s="52" t="s">
        <v>2986</v>
      </c>
      <c r="J149" s="50">
        <v>45807.0</v>
      </c>
      <c r="K149" s="51">
        <v>-100880.0</v>
      </c>
      <c r="L149" s="51">
        <v>-8070.0</v>
      </c>
      <c r="M149" s="51">
        <v>-108950.0</v>
      </c>
      <c r="N149" s="49"/>
      <c r="O149" s="52"/>
      <c r="P149" s="50"/>
      <c r="Q149" s="51"/>
      <c r="R149" s="51"/>
      <c r="S149" s="51"/>
      <c r="T149" s="49"/>
      <c r="U149" s="52"/>
      <c r="V149" s="50"/>
      <c r="W149" s="51"/>
      <c r="X149" s="51"/>
      <c r="Y149" s="51"/>
      <c r="Z149" s="51">
        <v>4336038.0</v>
      </c>
      <c r="AA149" s="51">
        <v>346883.0</v>
      </c>
      <c r="AB149" s="51">
        <v>4682921.0</v>
      </c>
      <c r="AC149" s="47"/>
      <c r="AD149" s="47" t="s">
        <v>2987</v>
      </c>
      <c r="AE149" s="48"/>
      <c r="AF149" s="50"/>
      <c r="AG149" s="51">
        <v>100880.0</v>
      </c>
      <c r="AH149" s="51">
        <v>8070.0</v>
      </c>
      <c r="AI149" s="51">
        <v>108950.0</v>
      </c>
      <c r="AJ149" s="47" t="s">
        <v>2988</v>
      </c>
      <c r="AK149" s="48"/>
      <c r="AL149" s="50"/>
      <c r="AM149" s="51">
        <v>-4436918.0</v>
      </c>
      <c r="AN149" s="51">
        <v>-354953.0</v>
      </c>
      <c r="AO149" s="51">
        <v>-4791871.0</v>
      </c>
      <c r="AP149" s="47"/>
      <c r="AQ149" s="48"/>
      <c r="AR149" s="50"/>
      <c r="AS149" s="51"/>
      <c r="AT149" s="51"/>
      <c r="AU149" s="51"/>
      <c r="AV149" s="47"/>
      <c r="AW149" s="48"/>
      <c r="AX149" s="50"/>
      <c r="AY149" s="51"/>
      <c r="AZ149" s="51"/>
      <c r="BA149" s="51"/>
      <c r="BB149" s="51">
        <f t="shared" ref="BB149:BD149" si="147">IF(AND(ISNUMBER(Z149),COUNT(AG149,AM149,AS149,AY149)=2),Z149+SUM(AG149,AM149,AS149,AY149),"")</f>
        <v>0</v>
      </c>
      <c r="BC149" s="51">
        <f t="shared" si="147"/>
        <v>0</v>
      </c>
      <c r="BD149" s="51">
        <f t="shared" si="147"/>
        <v>0</v>
      </c>
    </row>
    <row r="150" ht="48.0" customHeight="1">
      <c r="A150" s="49" t="s">
        <v>40</v>
      </c>
      <c r="B150" s="49" t="str">
        <f t="array" ref="B150">INDEX('HD cty 2024'!B:B,MATCH('F0, F1, F2, ...'!$C150,'HD cty 2024'!B:B,0))</f>
        <v>#N/A</v>
      </c>
      <c r="C150" s="49">
        <v>194.0</v>
      </c>
      <c r="D150" s="50">
        <v>45412.0</v>
      </c>
      <c r="E150" s="51">
        <v>2.6868424E7</v>
      </c>
      <c r="F150" s="51">
        <v>2149474.0</v>
      </c>
      <c r="G150" s="51">
        <v>2.9017898E7</v>
      </c>
      <c r="H150" s="49" t="s">
        <v>414</v>
      </c>
      <c r="I150" s="52" t="s">
        <v>2989</v>
      </c>
      <c r="J150" s="50">
        <v>45804.0</v>
      </c>
      <c r="K150" s="51">
        <v>3999169.0</v>
      </c>
      <c r="L150" s="51">
        <v>319934.0</v>
      </c>
      <c r="M150" s="51">
        <v>4319103.0</v>
      </c>
      <c r="N150" s="49"/>
      <c r="O150" s="52"/>
      <c r="P150" s="50"/>
      <c r="Q150" s="51"/>
      <c r="R150" s="51"/>
      <c r="S150" s="51"/>
      <c r="T150" s="49"/>
      <c r="U150" s="52"/>
      <c r="V150" s="50"/>
      <c r="W150" s="51"/>
      <c r="X150" s="51"/>
      <c r="Y150" s="51"/>
      <c r="Z150" s="51">
        <v>3.0867593E7</v>
      </c>
      <c r="AA150" s="51">
        <v>2469408.0</v>
      </c>
      <c r="AB150" s="51">
        <v>3.3337001E7</v>
      </c>
      <c r="AC150" s="47"/>
      <c r="AD150" s="47" t="s">
        <v>2990</v>
      </c>
      <c r="AE150" s="48"/>
      <c r="AF150" s="50"/>
      <c r="AG150" s="51">
        <v>-3999169.0</v>
      </c>
      <c r="AH150" s="51">
        <v>-319934.0</v>
      </c>
      <c r="AI150" s="51">
        <v>-4319103.0</v>
      </c>
      <c r="AJ150" s="47" t="s">
        <v>2991</v>
      </c>
      <c r="AK150" s="48"/>
      <c r="AL150" s="50"/>
      <c r="AM150" s="51">
        <v>-2.6868424E7</v>
      </c>
      <c r="AN150" s="51">
        <v>-2149474.0</v>
      </c>
      <c r="AO150" s="51">
        <v>-2.9017898E7</v>
      </c>
      <c r="AP150" s="47"/>
      <c r="AQ150" s="48"/>
      <c r="AR150" s="50"/>
      <c r="AS150" s="51"/>
      <c r="AT150" s="51"/>
      <c r="AU150" s="51"/>
      <c r="AV150" s="47"/>
      <c r="AW150" s="48"/>
      <c r="AX150" s="50"/>
      <c r="AY150" s="51"/>
      <c r="AZ150" s="51"/>
      <c r="BA150" s="51"/>
      <c r="BB150" s="51">
        <f t="shared" ref="BB150:BD150" si="148">IF(AND(ISNUMBER(Z150),COUNT(AG150,AM150,AS150,AY150)=2),Z150+SUM(AG150,AM150,AS150,AY150),"")</f>
        <v>0</v>
      </c>
      <c r="BC150" s="51">
        <f t="shared" si="148"/>
        <v>0</v>
      </c>
      <c r="BD150" s="51">
        <f t="shared" si="148"/>
        <v>0</v>
      </c>
    </row>
    <row r="151" ht="48.0" customHeight="1">
      <c r="A151" s="49" t="s">
        <v>40</v>
      </c>
      <c r="B151" s="49" t="str">
        <f t="array" ref="B151">INDEX('HD cty 2024'!B:B,MATCH('F0, F1, F2, ...'!$C151,'HD cty 2024'!B:B,0))</f>
        <v>#N/A</v>
      </c>
      <c r="C151" s="49">
        <v>195.0</v>
      </c>
      <c r="D151" s="50">
        <v>45412.0</v>
      </c>
      <c r="E151" s="51">
        <v>3058565.0</v>
      </c>
      <c r="F151" s="51">
        <v>244685.0</v>
      </c>
      <c r="G151" s="51">
        <v>3303250.0</v>
      </c>
      <c r="H151" s="49" t="s">
        <v>414</v>
      </c>
      <c r="I151" s="52" t="s">
        <v>2992</v>
      </c>
      <c r="J151" s="50">
        <v>45808.0</v>
      </c>
      <c r="K151" s="51">
        <v>321065.0</v>
      </c>
      <c r="L151" s="51">
        <v>25685.0</v>
      </c>
      <c r="M151" s="51">
        <v>346750.0</v>
      </c>
      <c r="N151" s="49"/>
      <c r="O151" s="52"/>
      <c r="P151" s="50"/>
      <c r="Q151" s="51"/>
      <c r="R151" s="51"/>
      <c r="S151" s="51"/>
      <c r="T151" s="49"/>
      <c r="U151" s="52"/>
      <c r="V151" s="50"/>
      <c r="W151" s="51"/>
      <c r="X151" s="51"/>
      <c r="Y151" s="51"/>
      <c r="Z151" s="51">
        <v>3379630.0</v>
      </c>
      <c r="AA151" s="51">
        <v>270370.0</v>
      </c>
      <c r="AB151" s="51">
        <v>3650000.0</v>
      </c>
      <c r="AC151" s="47"/>
      <c r="AD151" s="47" t="s">
        <v>2993</v>
      </c>
      <c r="AE151" s="48"/>
      <c r="AF151" s="50"/>
      <c r="AG151" s="51">
        <v>-321065.0</v>
      </c>
      <c r="AH151" s="51">
        <v>-25685.0</v>
      </c>
      <c r="AI151" s="51">
        <v>-346750.0</v>
      </c>
      <c r="AJ151" s="47" t="s">
        <v>2994</v>
      </c>
      <c r="AK151" s="48"/>
      <c r="AL151" s="50"/>
      <c r="AM151" s="51">
        <v>-3058565.0</v>
      </c>
      <c r="AN151" s="51">
        <v>-244685.0</v>
      </c>
      <c r="AO151" s="51">
        <v>-3303250.0</v>
      </c>
      <c r="AP151" s="47"/>
      <c r="AQ151" s="48"/>
      <c r="AR151" s="50"/>
      <c r="AS151" s="51"/>
      <c r="AT151" s="51"/>
      <c r="AU151" s="51"/>
      <c r="AV151" s="47"/>
      <c r="AW151" s="48"/>
      <c r="AX151" s="50"/>
      <c r="AY151" s="51"/>
      <c r="AZ151" s="51"/>
      <c r="BA151" s="51"/>
      <c r="BB151" s="51">
        <f t="shared" ref="BB151:BD151" si="149">IF(AND(ISNUMBER(Z151),COUNT(AG151,AM151,AS151,AY151)=2),Z151+SUM(AG151,AM151,AS151,AY151),"")</f>
        <v>0</v>
      </c>
      <c r="BC151" s="51">
        <f t="shared" si="149"/>
        <v>0</v>
      </c>
      <c r="BD151" s="51">
        <f t="shared" si="149"/>
        <v>0</v>
      </c>
    </row>
    <row r="152" ht="48.0" customHeight="1">
      <c r="A152" s="49" t="s">
        <v>40</v>
      </c>
      <c r="B152" s="49" t="str">
        <f t="array" ref="B152">INDEX('HD cty 2024'!B:B,MATCH('F0, F1, F2, ...'!$C152,'HD cty 2024'!B:B,0))</f>
        <v>#N/A</v>
      </c>
      <c r="C152" s="49">
        <v>196.0</v>
      </c>
      <c r="D152" s="50">
        <v>45412.0</v>
      </c>
      <c r="E152" s="51">
        <v>6.3181005E7</v>
      </c>
      <c r="F152" s="51">
        <v>5054480.0</v>
      </c>
      <c r="G152" s="51">
        <v>6.8235485E7</v>
      </c>
      <c r="H152" s="49" t="s">
        <v>414</v>
      </c>
      <c r="I152" s="52" t="s">
        <v>2995</v>
      </c>
      <c r="J152" s="50">
        <v>45804.0</v>
      </c>
      <c r="K152" s="51">
        <v>4339365.0</v>
      </c>
      <c r="L152" s="51">
        <v>347149.0</v>
      </c>
      <c r="M152" s="51">
        <v>4686514.0</v>
      </c>
      <c r="N152" s="49"/>
      <c r="O152" s="52"/>
      <c r="P152" s="50"/>
      <c r="Q152" s="51"/>
      <c r="R152" s="51"/>
      <c r="S152" s="51"/>
      <c r="T152" s="49"/>
      <c r="U152" s="52"/>
      <c r="V152" s="50"/>
      <c r="W152" s="51"/>
      <c r="X152" s="51"/>
      <c r="Y152" s="51"/>
      <c r="Z152" s="51">
        <v>6.752037E7</v>
      </c>
      <c r="AA152" s="51">
        <v>5401629.0</v>
      </c>
      <c r="AB152" s="51">
        <v>7.2921999E7</v>
      </c>
      <c r="AC152" s="47"/>
      <c r="AD152" s="47" t="s">
        <v>2996</v>
      </c>
      <c r="AE152" s="48"/>
      <c r="AF152" s="50"/>
      <c r="AG152" s="51">
        <v>-4339365.0</v>
      </c>
      <c r="AH152" s="51">
        <v>-347149.0</v>
      </c>
      <c r="AI152" s="51">
        <v>-4686514.0</v>
      </c>
      <c r="AJ152" s="47" t="s">
        <v>2997</v>
      </c>
      <c r="AK152" s="48"/>
      <c r="AL152" s="50"/>
      <c r="AM152" s="51">
        <v>-6.3181005E7</v>
      </c>
      <c r="AN152" s="51">
        <v>-5054480.0</v>
      </c>
      <c r="AO152" s="51">
        <v>-6.8235485E7</v>
      </c>
      <c r="AP152" s="47"/>
      <c r="AQ152" s="48"/>
      <c r="AR152" s="50"/>
      <c r="AS152" s="51"/>
      <c r="AT152" s="51"/>
      <c r="AU152" s="51"/>
      <c r="AV152" s="47"/>
      <c r="AW152" s="48"/>
      <c r="AX152" s="50"/>
      <c r="AY152" s="51"/>
      <c r="AZ152" s="51"/>
      <c r="BA152" s="51"/>
      <c r="BB152" s="51">
        <f t="shared" ref="BB152:BD152" si="150">IF(AND(ISNUMBER(Z152),COUNT(AG152,AM152,AS152,AY152)=2),Z152+SUM(AG152,AM152,AS152,AY152),"")</f>
        <v>0</v>
      </c>
      <c r="BC152" s="51">
        <f t="shared" si="150"/>
        <v>0</v>
      </c>
      <c r="BD152" s="51">
        <f t="shared" si="150"/>
        <v>0</v>
      </c>
    </row>
    <row r="153" ht="48.0" customHeight="1">
      <c r="A153" s="49" t="s">
        <v>40</v>
      </c>
      <c r="B153" s="49" t="str">
        <f t="array" ref="B153">INDEX('HD cty 2024'!B:B,MATCH('F0, F1, F2, ...'!$C153,'HD cty 2024'!B:B,0))</f>
        <v>#N/A</v>
      </c>
      <c r="C153" s="49">
        <v>197.0</v>
      </c>
      <c r="D153" s="50">
        <v>45412.0</v>
      </c>
      <c r="E153" s="51">
        <v>3.6563985E7</v>
      </c>
      <c r="F153" s="51">
        <v>2925119.0</v>
      </c>
      <c r="G153" s="51">
        <v>3.9489104E7</v>
      </c>
      <c r="H153" s="49" t="s">
        <v>414</v>
      </c>
      <c r="I153" s="52" t="s">
        <v>2998</v>
      </c>
      <c r="J153" s="50">
        <v>45804.0</v>
      </c>
      <c r="K153" s="51">
        <v>3277682.0</v>
      </c>
      <c r="L153" s="51">
        <v>262215.0</v>
      </c>
      <c r="M153" s="51">
        <v>3539897.0</v>
      </c>
      <c r="N153" s="49"/>
      <c r="O153" s="52"/>
      <c r="P153" s="50"/>
      <c r="Q153" s="51"/>
      <c r="R153" s="51"/>
      <c r="S153" s="51"/>
      <c r="T153" s="49"/>
      <c r="U153" s="52"/>
      <c r="V153" s="50"/>
      <c r="W153" s="51"/>
      <c r="X153" s="51"/>
      <c r="Y153" s="51"/>
      <c r="Z153" s="51">
        <v>3.9841667E7</v>
      </c>
      <c r="AA153" s="51">
        <v>3187334.0</v>
      </c>
      <c r="AB153" s="51">
        <v>4.3029001E7</v>
      </c>
      <c r="AC153" s="47"/>
      <c r="AD153" s="47" t="s">
        <v>2999</v>
      </c>
      <c r="AE153" s="48"/>
      <c r="AF153" s="50"/>
      <c r="AG153" s="51">
        <v>-3277682.0</v>
      </c>
      <c r="AH153" s="51">
        <v>-262215.0</v>
      </c>
      <c r="AI153" s="51">
        <v>-3539897.0</v>
      </c>
      <c r="AJ153" s="47" t="s">
        <v>3000</v>
      </c>
      <c r="AK153" s="48"/>
      <c r="AL153" s="50"/>
      <c r="AM153" s="51">
        <v>-3.6563985E7</v>
      </c>
      <c r="AN153" s="51">
        <v>-2925119.0</v>
      </c>
      <c r="AO153" s="51">
        <v>-3.9489104E7</v>
      </c>
      <c r="AP153" s="47"/>
      <c r="AQ153" s="48"/>
      <c r="AR153" s="50"/>
      <c r="AS153" s="51"/>
      <c r="AT153" s="51"/>
      <c r="AU153" s="51"/>
      <c r="AV153" s="47"/>
      <c r="AW153" s="48"/>
      <c r="AX153" s="50"/>
      <c r="AY153" s="51"/>
      <c r="AZ153" s="51"/>
      <c r="BA153" s="51"/>
      <c r="BB153" s="51">
        <f t="shared" ref="BB153:BD153" si="151">IF(AND(ISNUMBER(Z153),COUNT(AG153,AM153,AS153,AY153)=2),Z153+SUM(AG153,AM153,AS153,AY153),"")</f>
        <v>0</v>
      </c>
      <c r="BC153" s="51">
        <f t="shared" si="151"/>
        <v>0</v>
      </c>
      <c r="BD153" s="51">
        <f t="shared" si="151"/>
        <v>0</v>
      </c>
    </row>
    <row r="154" ht="48.0" customHeight="1">
      <c r="A154" s="49" t="s">
        <v>40</v>
      </c>
      <c r="B154" s="49" t="str">
        <f t="array" ref="B154">INDEX('HD cty 2024'!B:B,MATCH('F0, F1, F2, ...'!$C154,'HD cty 2024'!B:B,0))</f>
        <v>#N/A</v>
      </c>
      <c r="C154" s="49">
        <v>198.0</v>
      </c>
      <c r="D154" s="50">
        <v>45412.0</v>
      </c>
      <c r="E154" s="51">
        <v>7.9582388E7</v>
      </c>
      <c r="F154" s="51">
        <v>6366591.0</v>
      </c>
      <c r="G154" s="51">
        <v>8.5948979E7</v>
      </c>
      <c r="H154" s="49" t="s">
        <v>414</v>
      </c>
      <c r="I154" s="52" t="s">
        <v>3001</v>
      </c>
      <c r="J154" s="50">
        <v>45804.0</v>
      </c>
      <c r="K154" s="51">
        <v>7067612.0</v>
      </c>
      <c r="L154" s="51">
        <v>565409.0</v>
      </c>
      <c r="M154" s="51">
        <v>7633021.0</v>
      </c>
      <c r="N154" s="49"/>
      <c r="O154" s="52"/>
      <c r="P154" s="50"/>
      <c r="Q154" s="51"/>
      <c r="R154" s="51"/>
      <c r="S154" s="51"/>
      <c r="T154" s="49"/>
      <c r="U154" s="52"/>
      <c r="V154" s="50"/>
      <c r="W154" s="51"/>
      <c r="X154" s="51"/>
      <c r="Y154" s="51"/>
      <c r="Z154" s="51">
        <v>8.665E7</v>
      </c>
      <c r="AA154" s="51">
        <v>6932000.0</v>
      </c>
      <c r="AB154" s="51">
        <v>9.3582E7</v>
      </c>
      <c r="AC154" s="47"/>
      <c r="AD154" s="47" t="s">
        <v>3002</v>
      </c>
      <c r="AE154" s="48"/>
      <c r="AF154" s="50"/>
      <c r="AG154" s="51">
        <v>-7067612.0</v>
      </c>
      <c r="AH154" s="51">
        <v>-565409.0</v>
      </c>
      <c r="AI154" s="51">
        <v>-7633021.0</v>
      </c>
      <c r="AJ154" s="47" t="s">
        <v>3003</v>
      </c>
      <c r="AK154" s="48"/>
      <c r="AL154" s="50"/>
      <c r="AM154" s="51">
        <v>-7.9582388E7</v>
      </c>
      <c r="AN154" s="51">
        <v>-6366591.0</v>
      </c>
      <c r="AO154" s="51">
        <v>-8.5948979E7</v>
      </c>
      <c r="AP154" s="47"/>
      <c r="AQ154" s="48"/>
      <c r="AR154" s="50"/>
      <c r="AS154" s="51"/>
      <c r="AT154" s="51"/>
      <c r="AU154" s="51"/>
      <c r="AV154" s="47"/>
      <c r="AW154" s="48"/>
      <c r="AX154" s="50"/>
      <c r="AY154" s="51"/>
      <c r="AZ154" s="51"/>
      <c r="BA154" s="51"/>
      <c r="BB154" s="51">
        <f t="shared" ref="BB154:BD154" si="152">IF(AND(ISNUMBER(Z154),COUNT(AG154,AM154,AS154,AY154)=2),Z154+SUM(AG154,AM154,AS154,AY154),"")</f>
        <v>0</v>
      </c>
      <c r="BC154" s="51">
        <f t="shared" si="152"/>
        <v>0</v>
      </c>
      <c r="BD154" s="51">
        <f t="shared" si="152"/>
        <v>0</v>
      </c>
    </row>
    <row r="155" ht="48.0" customHeight="1">
      <c r="A155" s="49" t="s">
        <v>40</v>
      </c>
      <c r="B155" s="49" t="str">
        <f t="array" ref="B155">INDEX('HD cty 2024'!B:B,MATCH('F0, F1, F2, ...'!$C155,'HD cty 2024'!B:B,0))</f>
        <v>#N/A</v>
      </c>
      <c r="C155" s="49">
        <v>199.0</v>
      </c>
      <c r="D155" s="50">
        <v>45412.0</v>
      </c>
      <c r="E155" s="51">
        <v>6.2126757E7</v>
      </c>
      <c r="F155" s="51">
        <v>4970141.0</v>
      </c>
      <c r="G155" s="51">
        <v>6.7096898E7</v>
      </c>
      <c r="H155" s="49" t="s">
        <v>414</v>
      </c>
      <c r="I155" s="52" t="s">
        <v>3004</v>
      </c>
      <c r="J155" s="50">
        <v>45804.0</v>
      </c>
      <c r="K155" s="51">
        <v>-262868.0</v>
      </c>
      <c r="L155" s="51">
        <v>-21029.0</v>
      </c>
      <c r="M155" s="51">
        <v>-283897.0</v>
      </c>
      <c r="N155" s="49"/>
      <c r="O155" s="52"/>
      <c r="P155" s="50"/>
      <c r="Q155" s="51"/>
      <c r="R155" s="51"/>
      <c r="S155" s="51"/>
      <c r="T155" s="49"/>
      <c r="U155" s="52"/>
      <c r="V155" s="50"/>
      <c r="W155" s="51"/>
      <c r="X155" s="51"/>
      <c r="Y155" s="51"/>
      <c r="Z155" s="51">
        <v>6.1863889E7</v>
      </c>
      <c r="AA155" s="51">
        <v>4949112.0</v>
      </c>
      <c r="AB155" s="51">
        <v>6.6813001E7</v>
      </c>
      <c r="AC155" s="47"/>
      <c r="AD155" s="47" t="s">
        <v>3005</v>
      </c>
      <c r="AE155" s="48"/>
      <c r="AF155" s="50"/>
      <c r="AG155" s="51">
        <v>262868.0</v>
      </c>
      <c r="AH155" s="51">
        <v>21029.0</v>
      </c>
      <c r="AI155" s="51">
        <v>283897.0</v>
      </c>
      <c r="AJ155" s="47" t="s">
        <v>3006</v>
      </c>
      <c r="AK155" s="48"/>
      <c r="AL155" s="50"/>
      <c r="AM155" s="51">
        <v>-6.2126757E7</v>
      </c>
      <c r="AN155" s="51">
        <v>-4970141.0</v>
      </c>
      <c r="AO155" s="51">
        <v>-6.7096898E7</v>
      </c>
      <c r="AP155" s="47"/>
      <c r="AQ155" s="48"/>
      <c r="AR155" s="50"/>
      <c r="AS155" s="51"/>
      <c r="AT155" s="51"/>
      <c r="AU155" s="51"/>
      <c r="AV155" s="47"/>
      <c r="AW155" s="48"/>
      <c r="AX155" s="50"/>
      <c r="AY155" s="51"/>
      <c r="AZ155" s="51"/>
      <c r="BA155" s="51"/>
      <c r="BB155" s="51">
        <f t="shared" ref="BB155:BD155" si="153">IF(AND(ISNUMBER(Z155),COUNT(AG155,AM155,AS155,AY155)=2),Z155+SUM(AG155,AM155,AS155,AY155),"")</f>
        <v>0</v>
      </c>
      <c r="BC155" s="51">
        <f t="shared" si="153"/>
        <v>0</v>
      </c>
      <c r="BD155" s="51">
        <f t="shared" si="153"/>
        <v>0</v>
      </c>
    </row>
    <row r="156" ht="48.0" customHeight="1">
      <c r="A156" s="49" t="s">
        <v>40</v>
      </c>
      <c r="B156" s="49" t="str">
        <f t="array" ref="B156">INDEX('HD cty 2024'!B:B,MATCH('F0, F1, F2, ...'!$C156,'HD cty 2024'!B:B,0))</f>
        <v>#N/A</v>
      </c>
      <c r="C156" s="49">
        <v>200.0</v>
      </c>
      <c r="D156" s="50">
        <v>45412.0</v>
      </c>
      <c r="E156" s="51">
        <v>5.5758492E7</v>
      </c>
      <c r="F156" s="51">
        <v>4460679.0</v>
      </c>
      <c r="G156" s="51">
        <v>6.0219171E7</v>
      </c>
      <c r="H156" s="49" t="s">
        <v>414</v>
      </c>
      <c r="I156" s="52" t="s">
        <v>3007</v>
      </c>
      <c r="J156" s="50">
        <v>45804.0</v>
      </c>
      <c r="K156" s="51">
        <v>4431323.0</v>
      </c>
      <c r="L156" s="51">
        <v>354506.0</v>
      </c>
      <c r="M156" s="51">
        <v>4785829.0</v>
      </c>
      <c r="N156" s="49"/>
      <c r="O156" s="52"/>
      <c r="P156" s="50"/>
      <c r="Q156" s="51"/>
      <c r="R156" s="51"/>
      <c r="S156" s="51"/>
      <c r="T156" s="49"/>
      <c r="U156" s="52"/>
      <c r="V156" s="50"/>
      <c r="W156" s="51"/>
      <c r="X156" s="51"/>
      <c r="Y156" s="51"/>
      <c r="Z156" s="51">
        <v>6.0189815E7</v>
      </c>
      <c r="AA156" s="51">
        <v>4815185.0</v>
      </c>
      <c r="AB156" s="51">
        <v>6.5005E7</v>
      </c>
      <c r="AC156" s="47"/>
      <c r="AD156" s="47" t="s">
        <v>3008</v>
      </c>
      <c r="AE156" s="48"/>
      <c r="AF156" s="50"/>
      <c r="AG156" s="51">
        <v>-4431323.0</v>
      </c>
      <c r="AH156" s="51">
        <v>-354506.0</v>
      </c>
      <c r="AI156" s="51">
        <v>-4785829.0</v>
      </c>
      <c r="AJ156" s="47" t="s">
        <v>3009</v>
      </c>
      <c r="AK156" s="48"/>
      <c r="AL156" s="50"/>
      <c r="AM156" s="51">
        <v>-5.5758492E7</v>
      </c>
      <c r="AN156" s="51">
        <v>-4460679.0</v>
      </c>
      <c r="AO156" s="51">
        <v>-6.0219171E7</v>
      </c>
      <c r="AP156" s="47"/>
      <c r="AQ156" s="48"/>
      <c r="AR156" s="50"/>
      <c r="AS156" s="51"/>
      <c r="AT156" s="51"/>
      <c r="AU156" s="51"/>
      <c r="AV156" s="47"/>
      <c r="AW156" s="48"/>
      <c r="AX156" s="50"/>
      <c r="AY156" s="51"/>
      <c r="AZ156" s="51"/>
      <c r="BA156" s="51"/>
      <c r="BB156" s="51">
        <f t="shared" ref="BB156:BD156" si="154">IF(AND(ISNUMBER(Z156),COUNT(AG156,AM156,AS156,AY156)=2),Z156+SUM(AG156,AM156,AS156,AY156),"")</f>
        <v>0</v>
      </c>
      <c r="BC156" s="51">
        <f t="shared" si="154"/>
        <v>0</v>
      </c>
      <c r="BD156" s="51">
        <f t="shared" si="154"/>
        <v>0</v>
      </c>
    </row>
    <row r="157" ht="48.0" customHeight="1">
      <c r="A157" s="49" t="s">
        <v>40</v>
      </c>
      <c r="B157" s="49" t="str">
        <f t="array" ref="B157">INDEX('HD cty 2024'!B:B,MATCH('F0, F1, F2, ...'!$C157,'HD cty 2024'!B:B,0))</f>
        <v>#N/A</v>
      </c>
      <c r="C157" s="49">
        <v>201.0</v>
      </c>
      <c r="D157" s="50">
        <v>45412.0</v>
      </c>
      <c r="E157" s="51">
        <v>2.8362452E7</v>
      </c>
      <c r="F157" s="51">
        <v>2268996.0</v>
      </c>
      <c r="G157" s="51">
        <v>3.0631448E7</v>
      </c>
      <c r="H157" s="49" t="s">
        <v>414</v>
      </c>
      <c r="I157" s="52" t="s">
        <v>3010</v>
      </c>
      <c r="J157" s="50">
        <v>45804.0</v>
      </c>
      <c r="K157" s="51">
        <v>-681896.0</v>
      </c>
      <c r="L157" s="51">
        <v>-54552.0</v>
      </c>
      <c r="M157" s="51">
        <v>-736448.0</v>
      </c>
      <c r="N157" s="49"/>
      <c r="O157" s="52"/>
      <c r="P157" s="50"/>
      <c r="Q157" s="51"/>
      <c r="R157" s="51"/>
      <c r="S157" s="51"/>
      <c r="T157" s="49"/>
      <c r="U157" s="52"/>
      <c r="V157" s="50"/>
      <c r="W157" s="51"/>
      <c r="X157" s="51"/>
      <c r="Y157" s="51"/>
      <c r="Z157" s="51">
        <v>2.7680556E7</v>
      </c>
      <c r="AA157" s="51">
        <v>2214444.0</v>
      </c>
      <c r="AB157" s="51">
        <v>2.9895E7</v>
      </c>
      <c r="AC157" s="47"/>
      <c r="AD157" s="47" t="s">
        <v>3011</v>
      </c>
      <c r="AE157" s="48"/>
      <c r="AF157" s="50"/>
      <c r="AG157" s="51">
        <v>681896.0</v>
      </c>
      <c r="AH157" s="51">
        <v>54552.0</v>
      </c>
      <c r="AI157" s="51">
        <v>736448.0</v>
      </c>
      <c r="AJ157" s="47" t="s">
        <v>3012</v>
      </c>
      <c r="AK157" s="48"/>
      <c r="AL157" s="50"/>
      <c r="AM157" s="51">
        <v>-2.8362452E7</v>
      </c>
      <c r="AN157" s="51">
        <v>-2268996.0</v>
      </c>
      <c r="AO157" s="51">
        <v>-3.0631448E7</v>
      </c>
      <c r="AP157" s="47"/>
      <c r="AQ157" s="48"/>
      <c r="AR157" s="50"/>
      <c r="AS157" s="51"/>
      <c r="AT157" s="51"/>
      <c r="AU157" s="51"/>
      <c r="AV157" s="47"/>
      <c r="AW157" s="48"/>
      <c r="AX157" s="50"/>
      <c r="AY157" s="51"/>
      <c r="AZ157" s="51"/>
      <c r="BA157" s="51"/>
      <c r="BB157" s="51">
        <f t="shared" ref="BB157:BD157" si="155">IF(AND(ISNUMBER(Z157),COUNT(AG157,AM157,AS157,AY157)=2),Z157+SUM(AG157,AM157,AS157,AY157),"")</f>
        <v>0</v>
      </c>
      <c r="BC157" s="51">
        <f t="shared" si="155"/>
        <v>0</v>
      </c>
      <c r="BD157" s="51">
        <f t="shared" si="155"/>
        <v>0</v>
      </c>
    </row>
    <row r="158" ht="48.0" customHeight="1">
      <c r="A158" s="49" t="s">
        <v>40</v>
      </c>
      <c r="B158" s="49" t="str">
        <f t="array" ref="B158">INDEX('HD cty 2024'!B:B,MATCH('F0, F1, F2, ...'!$C158,'HD cty 2024'!B:B,0))</f>
        <v>#N/A</v>
      </c>
      <c r="C158" s="49">
        <v>202.0</v>
      </c>
      <c r="D158" s="50">
        <v>45412.0</v>
      </c>
      <c r="E158" s="51">
        <v>7.0229811E7</v>
      </c>
      <c r="F158" s="51">
        <v>5618385.0</v>
      </c>
      <c r="G158" s="51">
        <v>7.5848196E7</v>
      </c>
      <c r="H158" s="49" t="s">
        <v>414</v>
      </c>
      <c r="I158" s="52" t="s">
        <v>3013</v>
      </c>
      <c r="J158" s="50">
        <v>45804.0</v>
      </c>
      <c r="K158" s="51">
        <v>1771115.0</v>
      </c>
      <c r="L158" s="51">
        <v>141689.0</v>
      </c>
      <c r="M158" s="51">
        <v>1912804.0</v>
      </c>
      <c r="N158" s="49"/>
      <c r="O158" s="52"/>
      <c r="P158" s="50"/>
      <c r="Q158" s="51"/>
      <c r="R158" s="51"/>
      <c r="S158" s="51"/>
      <c r="T158" s="49"/>
      <c r="U158" s="52"/>
      <c r="V158" s="50"/>
      <c r="W158" s="51"/>
      <c r="X158" s="51"/>
      <c r="Y158" s="51"/>
      <c r="Z158" s="51">
        <v>7.2000926E7</v>
      </c>
      <c r="AA158" s="51">
        <v>5760074.0</v>
      </c>
      <c r="AB158" s="51">
        <v>7.7761E7</v>
      </c>
      <c r="AC158" s="47"/>
      <c r="AD158" s="47" t="s">
        <v>3014</v>
      </c>
      <c r="AE158" s="48"/>
      <c r="AF158" s="50"/>
      <c r="AG158" s="51">
        <v>-1771115.0</v>
      </c>
      <c r="AH158" s="51">
        <v>-141689.0</v>
      </c>
      <c r="AI158" s="51">
        <v>-1912804.0</v>
      </c>
      <c r="AJ158" s="47" t="s">
        <v>3015</v>
      </c>
      <c r="AK158" s="48"/>
      <c r="AL158" s="50"/>
      <c r="AM158" s="51">
        <v>-7.0229811E7</v>
      </c>
      <c r="AN158" s="51">
        <v>-5618385.0</v>
      </c>
      <c r="AO158" s="51">
        <v>-7.5848196E7</v>
      </c>
      <c r="AP158" s="47"/>
      <c r="AQ158" s="48"/>
      <c r="AR158" s="50"/>
      <c r="AS158" s="51"/>
      <c r="AT158" s="51"/>
      <c r="AU158" s="51"/>
      <c r="AV158" s="47"/>
      <c r="AW158" s="48"/>
      <c r="AX158" s="50"/>
      <c r="AY158" s="51"/>
      <c r="AZ158" s="51"/>
      <c r="BA158" s="51"/>
      <c r="BB158" s="51">
        <f t="shared" ref="BB158:BD158" si="156">IF(AND(ISNUMBER(Z158),COUNT(AG158,AM158,AS158,AY158)=2),Z158+SUM(AG158,AM158,AS158,AY158),"")</f>
        <v>0</v>
      </c>
      <c r="BC158" s="51">
        <f t="shared" si="156"/>
        <v>0</v>
      </c>
      <c r="BD158" s="51">
        <f t="shared" si="156"/>
        <v>0</v>
      </c>
    </row>
    <row r="159" ht="48.0" customHeight="1">
      <c r="A159" s="49" t="s">
        <v>40</v>
      </c>
      <c r="B159" s="49" t="str">
        <f t="array" ref="B159">INDEX('HD cty 2024'!B:B,MATCH('F0, F1, F2, ...'!$C159,'HD cty 2024'!B:B,0))</f>
        <v>#N/A</v>
      </c>
      <c r="C159" s="49">
        <v>203.0</v>
      </c>
      <c r="D159" s="50">
        <v>45412.0</v>
      </c>
      <c r="E159" s="51">
        <v>7.077001E7</v>
      </c>
      <c r="F159" s="51">
        <v>5661601.0</v>
      </c>
      <c r="G159" s="51">
        <v>7.6431611E7</v>
      </c>
      <c r="H159" s="49" t="s">
        <v>414</v>
      </c>
      <c r="I159" s="52" t="s">
        <v>3016</v>
      </c>
      <c r="J159" s="50">
        <v>45804.0</v>
      </c>
      <c r="K159" s="51">
        <v>6194805.0</v>
      </c>
      <c r="L159" s="51">
        <v>495584.0</v>
      </c>
      <c r="M159" s="51">
        <v>6690389.0</v>
      </c>
      <c r="N159" s="49"/>
      <c r="O159" s="52"/>
      <c r="P159" s="50"/>
      <c r="Q159" s="51"/>
      <c r="R159" s="51"/>
      <c r="S159" s="51"/>
      <c r="T159" s="49"/>
      <c r="U159" s="52"/>
      <c r="V159" s="50"/>
      <c r="W159" s="51"/>
      <c r="X159" s="51"/>
      <c r="Y159" s="51"/>
      <c r="Z159" s="51">
        <v>7.6964815E7</v>
      </c>
      <c r="AA159" s="51">
        <v>6157185.0</v>
      </c>
      <c r="AB159" s="51">
        <v>8.3122E7</v>
      </c>
      <c r="AC159" s="47"/>
      <c r="AD159" s="47" t="s">
        <v>3017</v>
      </c>
      <c r="AE159" s="48"/>
      <c r="AF159" s="50"/>
      <c r="AG159" s="51">
        <v>-6194805.0</v>
      </c>
      <c r="AH159" s="51">
        <v>-495584.0</v>
      </c>
      <c r="AI159" s="51">
        <v>-6690389.0</v>
      </c>
      <c r="AJ159" s="47" t="s">
        <v>3018</v>
      </c>
      <c r="AK159" s="48"/>
      <c r="AL159" s="50"/>
      <c r="AM159" s="51">
        <v>-7.077001E7</v>
      </c>
      <c r="AN159" s="51">
        <v>-5661601.0</v>
      </c>
      <c r="AO159" s="51">
        <v>-7.6431611E7</v>
      </c>
      <c r="AP159" s="47"/>
      <c r="AQ159" s="48"/>
      <c r="AR159" s="50"/>
      <c r="AS159" s="51"/>
      <c r="AT159" s="51"/>
      <c r="AU159" s="51"/>
      <c r="AV159" s="47"/>
      <c r="AW159" s="48"/>
      <c r="AX159" s="50"/>
      <c r="AY159" s="51"/>
      <c r="AZ159" s="51"/>
      <c r="BA159" s="51"/>
      <c r="BB159" s="51">
        <f t="shared" ref="BB159:BD159" si="157">IF(AND(ISNUMBER(Z159),COUNT(AG159,AM159,AS159,AY159)=2),Z159+SUM(AG159,AM159,AS159,AY159),"")</f>
        <v>0</v>
      </c>
      <c r="BC159" s="51">
        <f t="shared" si="157"/>
        <v>0</v>
      </c>
      <c r="BD159" s="51">
        <f t="shared" si="157"/>
        <v>0</v>
      </c>
    </row>
    <row r="160" ht="48.0" customHeight="1">
      <c r="A160" s="49" t="s">
        <v>40</v>
      </c>
      <c r="B160" s="49" t="str">
        <f t="array" ref="B160">INDEX('HD cty 2024'!B:B,MATCH('F0, F1, F2, ...'!$C160,'HD cty 2024'!B:B,0))</f>
        <v>#N/A</v>
      </c>
      <c r="C160" s="49">
        <v>204.0</v>
      </c>
      <c r="D160" s="50">
        <v>45412.0</v>
      </c>
      <c r="E160" s="51">
        <v>4.6776188E7</v>
      </c>
      <c r="F160" s="51">
        <v>3742095.0</v>
      </c>
      <c r="G160" s="51">
        <v>5.0518283E7</v>
      </c>
      <c r="H160" s="49" t="s">
        <v>414</v>
      </c>
      <c r="I160" s="52" t="s">
        <v>3019</v>
      </c>
      <c r="J160" s="50">
        <v>45805.0</v>
      </c>
      <c r="K160" s="51">
        <v>2082145.0</v>
      </c>
      <c r="L160" s="51">
        <v>166572.0</v>
      </c>
      <c r="M160" s="51">
        <v>2248717.0</v>
      </c>
      <c r="N160" s="49"/>
      <c r="O160" s="52"/>
      <c r="P160" s="50"/>
      <c r="Q160" s="51"/>
      <c r="R160" s="51"/>
      <c r="S160" s="51"/>
      <c r="T160" s="49"/>
      <c r="U160" s="52"/>
      <c r="V160" s="50"/>
      <c r="W160" s="51"/>
      <c r="X160" s="51"/>
      <c r="Y160" s="51"/>
      <c r="Z160" s="51">
        <v>4.8858333E7</v>
      </c>
      <c r="AA160" s="51">
        <v>3908667.0</v>
      </c>
      <c r="AB160" s="51">
        <v>5.2767E7</v>
      </c>
      <c r="AC160" s="47"/>
      <c r="AD160" s="47" t="s">
        <v>3020</v>
      </c>
      <c r="AE160" s="48"/>
      <c r="AF160" s="50"/>
      <c r="AG160" s="51">
        <v>-2082145.0</v>
      </c>
      <c r="AH160" s="51">
        <v>-166572.0</v>
      </c>
      <c r="AI160" s="51">
        <v>-2248717.0</v>
      </c>
      <c r="AJ160" s="47" t="s">
        <v>3021</v>
      </c>
      <c r="AK160" s="48"/>
      <c r="AL160" s="50"/>
      <c r="AM160" s="51">
        <v>-4.6776188E7</v>
      </c>
      <c r="AN160" s="51">
        <v>-3742095.0</v>
      </c>
      <c r="AO160" s="51">
        <v>-5.0518283E7</v>
      </c>
      <c r="AP160" s="47"/>
      <c r="AQ160" s="48"/>
      <c r="AR160" s="50"/>
      <c r="AS160" s="51"/>
      <c r="AT160" s="51"/>
      <c r="AU160" s="51"/>
      <c r="AV160" s="47"/>
      <c r="AW160" s="48"/>
      <c r="AX160" s="50"/>
      <c r="AY160" s="51"/>
      <c r="AZ160" s="51"/>
      <c r="BA160" s="51"/>
      <c r="BB160" s="51">
        <f t="shared" ref="BB160:BD160" si="158">IF(AND(ISNUMBER(Z160),COUNT(AG160,AM160,AS160,AY160)=2),Z160+SUM(AG160,AM160,AS160,AY160),"")</f>
        <v>0</v>
      </c>
      <c r="BC160" s="51">
        <f t="shared" si="158"/>
        <v>0</v>
      </c>
      <c r="BD160" s="51">
        <f t="shared" si="158"/>
        <v>0</v>
      </c>
    </row>
    <row r="161" ht="48.0" customHeight="1">
      <c r="A161" s="49" t="s">
        <v>40</v>
      </c>
      <c r="B161" s="49" t="str">
        <f t="array" ref="B161">INDEX('HD cty 2024'!B:B,MATCH('F0, F1, F2, ...'!$C161,'HD cty 2024'!B:B,0))</f>
        <v>#N/A</v>
      </c>
      <c r="C161" s="49">
        <v>205.0</v>
      </c>
      <c r="D161" s="50">
        <v>45412.0</v>
      </c>
      <c r="E161" s="51">
        <v>8.9861065E7</v>
      </c>
      <c r="F161" s="51">
        <v>7188885.0</v>
      </c>
      <c r="G161" s="51">
        <v>9.704995E7</v>
      </c>
      <c r="H161" s="49" t="s">
        <v>414</v>
      </c>
      <c r="I161" s="52" t="s">
        <v>3022</v>
      </c>
      <c r="J161" s="50">
        <v>45805.0</v>
      </c>
      <c r="K161" s="51">
        <v>5533663.0</v>
      </c>
      <c r="L161" s="51">
        <v>442693.0</v>
      </c>
      <c r="M161" s="51">
        <v>5976356.0</v>
      </c>
      <c r="N161" s="49"/>
      <c r="O161" s="52"/>
      <c r="P161" s="50"/>
      <c r="Q161" s="51"/>
      <c r="R161" s="51"/>
      <c r="S161" s="51"/>
      <c r="T161" s="49"/>
      <c r="U161" s="52"/>
      <c r="V161" s="50"/>
      <c r="W161" s="51"/>
      <c r="X161" s="51"/>
      <c r="Y161" s="51"/>
      <c r="Z161" s="51">
        <v>9.5394728E7</v>
      </c>
      <c r="AA161" s="51">
        <v>7631578.0</v>
      </c>
      <c r="AB161" s="51">
        <v>1.03026306E8</v>
      </c>
      <c r="AC161" s="47"/>
      <c r="AD161" s="47" t="s">
        <v>3023</v>
      </c>
      <c r="AE161" s="48"/>
      <c r="AF161" s="50"/>
      <c r="AG161" s="51">
        <v>-5533663.0</v>
      </c>
      <c r="AH161" s="51">
        <v>-442693.0</v>
      </c>
      <c r="AI161" s="51">
        <v>-5976356.0</v>
      </c>
      <c r="AJ161" s="47" t="s">
        <v>3024</v>
      </c>
      <c r="AK161" s="48"/>
      <c r="AL161" s="50"/>
      <c r="AM161" s="51">
        <v>-8.9861065E7</v>
      </c>
      <c r="AN161" s="51">
        <v>-7188885.0</v>
      </c>
      <c r="AO161" s="51">
        <v>-9.704995E7</v>
      </c>
      <c r="AP161" s="47"/>
      <c r="AQ161" s="48"/>
      <c r="AR161" s="50"/>
      <c r="AS161" s="51"/>
      <c r="AT161" s="51"/>
      <c r="AU161" s="51"/>
      <c r="AV161" s="47"/>
      <c r="AW161" s="48"/>
      <c r="AX161" s="50"/>
      <c r="AY161" s="51"/>
      <c r="AZ161" s="51"/>
      <c r="BA161" s="51"/>
      <c r="BB161" s="51">
        <f t="shared" ref="BB161:BD161" si="159">IF(AND(ISNUMBER(Z161),COUNT(AG161,AM161,AS161,AY161)=2),Z161+SUM(AG161,AM161,AS161,AY161),"")</f>
        <v>0</v>
      </c>
      <c r="BC161" s="51">
        <f t="shared" si="159"/>
        <v>0</v>
      </c>
      <c r="BD161" s="51">
        <f t="shared" si="159"/>
        <v>0</v>
      </c>
    </row>
    <row r="162" ht="48.0" customHeight="1">
      <c r="A162" s="49" t="s">
        <v>40</v>
      </c>
      <c r="B162" s="49" t="str">
        <f t="array" ref="B162">INDEX('HD cty 2024'!B:B,MATCH('F0, F1, F2, ...'!$C162,'HD cty 2024'!B:B,0))</f>
        <v>#N/A</v>
      </c>
      <c r="C162" s="49">
        <v>206.0</v>
      </c>
      <c r="D162" s="50">
        <v>45412.0</v>
      </c>
      <c r="E162" s="51">
        <v>3.8460674E7</v>
      </c>
      <c r="F162" s="51">
        <v>3076854.0</v>
      </c>
      <c r="G162" s="51">
        <v>4.1537528E7</v>
      </c>
      <c r="H162" s="49" t="s">
        <v>414</v>
      </c>
      <c r="I162" s="52" t="s">
        <v>3025</v>
      </c>
      <c r="J162" s="50">
        <v>45805.0</v>
      </c>
      <c r="K162" s="51">
        <v>3174511.0</v>
      </c>
      <c r="L162" s="51">
        <v>253961.0</v>
      </c>
      <c r="M162" s="51">
        <v>3428472.0</v>
      </c>
      <c r="N162" s="49"/>
      <c r="O162" s="52"/>
      <c r="P162" s="50"/>
      <c r="Q162" s="51"/>
      <c r="R162" s="51"/>
      <c r="S162" s="51"/>
      <c r="T162" s="49"/>
      <c r="U162" s="52"/>
      <c r="V162" s="50"/>
      <c r="W162" s="51"/>
      <c r="X162" s="51"/>
      <c r="Y162" s="51"/>
      <c r="Z162" s="51">
        <v>4.1635185E7</v>
      </c>
      <c r="AA162" s="51">
        <v>3330815.0</v>
      </c>
      <c r="AB162" s="51">
        <v>4.4966E7</v>
      </c>
      <c r="AC162" s="47"/>
      <c r="AD162" s="47" t="s">
        <v>3026</v>
      </c>
      <c r="AE162" s="48"/>
      <c r="AF162" s="50"/>
      <c r="AG162" s="51">
        <v>-3174511.0</v>
      </c>
      <c r="AH162" s="51">
        <v>-253961.0</v>
      </c>
      <c r="AI162" s="51">
        <v>-3428472.0</v>
      </c>
      <c r="AJ162" s="47" t="s">
        <v>3027</v>
      </c>
      <c r="AK162" s="48"/>
      <c r="AL162" s="50"/>
      <c r="AM162" s="51">
        <v>-3.8460674E7</v>
      </c>
      <c r="AN162" s="51">
        <v>-3076854.0</v>
      </c>
      <c r="AO162" s="51">
        <v>-4.1537528E7</v>
      </c>
      <c r="AP162" s="47"/>
      <c r="AQ162" s="48"/>
      <c r="AR162" s="50"/>
      <c r="AS162" s="51"/>
      <c r="AT162" s="51"/>
      <c r="AU162" s="51"/>
      <c r="AV162" s="47"/>
      <c r="AW162" s="48"/>
      <c r="AX162" s="50"/>
      <c r="AY162" s="51"/>
      <c r="AZ162" s="51"/>
      <c r="BA162" s="51"/>
      <c r="BB162" s="51">
        <f t="shared" ref="BB162:BD162" si="160">IF(AND(ISNUMBER(Z162),COUNT(AG162,AM162,AS162,AY162)=2),Z162+SUM(AG162,AM162,AS162,AY162),"")</f>
        <v>0</v>
      </c>
      <c r="BC162" s="51">
        <f t="shared" si="160"/>
        <v>0</v>
      </c>
      <c r="BD162" s="51">
        <f t="shared" si="160"/>
        <v>0</v>
      </c>
    </row>
    <row r="163" ht="48.0" customHeight="1">
      <c r="A163" s="49" t="s">
        <v>40</v>
      </c>
      <c r="B163" s="49" t="str">
        <f t="array" ref="B163">INDEX('HD cty 2024'!B:B,MATCH('F0, F1, F2, ...'!$C163,'HD cty 2024'!B:B,0))</f>
        <v>#N/A</v>
      </c>
      <c r="C163" s="49">
        <v>207.0</v>
      </c>
      <c r="D163" s="50">
        <v>45412.0</v>
      </c>
      <c r="E163" s="51">
        <v>1.98692321E8</v>
      </c>
      <c r="F163" s="51">
        <v>1.5895386E7</v>
      </c>
      <c r="G163" s="51">
        <v>2.14587707E8</v>
      </c>
      <c r="H163" s="49" t="s">
        <v>414</v>
      </c>
      <c r="I163" s="52" t="s">
        <v>3028</v>
      </c>
      <c r="J163" s="50">
        <v>45805.0</v>
      </c>
      <c r="K163" s="51">
        <v>9057362.0</v>
      </c>
      <c r="L163" s="51">
        <v>724589.0</v>
      </c>
      <c r="M163" s="51">
        <v>9781951.0</v>
      </c>
      <c r="N163" s="49"/>
      <c r="O163" s="52"/>
      <c r="P163" s="50"/>
      <c r="Q163" s="51"/>
      <c r="R163" s="51"/>
      <c r="S163" s="51"/>
      <c r="T163" s="49"/>
      <c r="U163" s="52"/>
      <c r="V163" s="50"/>
      <c r="W163" s="51"/>
      <c r="X163" s="51"/>
      <c r="Y163" s="51"/>
      <c r="Z163" s="51">
        <v>2.07749683E8</v>
      </c>
      <c r="AA163" s="51">
        <v>1.6619975E7</v>
      </c>
      <c r="AB163" s="51">
        <v>2.24369658E8</v>
      </c>
      <c r="AC163" s="47"/>
      <c r="AD163" s="47" t="s">
        <v>3029</v>
      </c>
      <c r="AE163" s="48"/>
      <c r="AF163" s="50"/>
      <c r="AG163" s="51">
        <v>-9057362.0</v>
      </c>
      <c r="AH163" s="51">
        <v>-724589.0</v>
      </c>
      <c r="AI163" s="51">
        <v>-9781951.0</v>
      </c>
      <c r="AJ163" s="47" t="s">
        <v>3030</v>
      </c>
      <c r="AK163" s="48"/>
      <c r="AL163" s="50"/>
      <c r="AM163" s="51">
        <v>-1.98692321E8</v>
      </c>
      <c r="AN163" s="51">
        <v>-1.5895386E7</v>
      </c>
      <c r="AO163" s="51">
        <v>-2.14587707E8</v>
      </c>
      <c r="AP163" s="47"/>
      <c r="AQ163" s="48"/>
      <c r="AR163" s="50"/>
      <c r="AS163" s="51"/>
      <c r="AT163" s="51"/>
      <c r="AU163" s="51"/>
      <c r="AV163" s="47"/>
      <c r="AW163" s="48"/>
      <c r="AX163" s="50"/>
      <c r="AY163" s="51"/>
      <c r="AZ163" s="51"/>
      <c r="BA163" s="51"/>
      <c r="BB163" s="51">
        <f t="shared" ref="BB163:BD163" si="161">IF(AND(ISNUMBER(Z163),COUNT(AG163,AM163,AS163,AY163)=2),Z163+SUM(AG163,AM163,AS163,AY163),"")</f>
        <v>0</v>
      </c>
      <c r="BC163" s="51">
        <f t="shared" si="161"/>
        <v>0</v>
      </c>
      <c r="BD163" s="51">
        <f t="shared" si="161"/>
        <v>0</v>
      </c>
    </row>
    <row r="164" ht="48.0" customHeight="1">
      <c r="A164" s="49" t="s">
        <v>40</v>
      </c>
      <c r="B164" s="49" t="str">
        <f t="array" ref="B164">INDEX('HD cty 2024'!B:B,MATCH('F0, F1, F2, ...'!$C164,'HD cty 2024'!B:B,0))</f>
        <v>#N/A</v>
      </c>
      <c r="C164" s="49">
        <v>208.0</v>
      </c>
      <c r="D164" s="50">
        <v>45412.0</v>
      </c>
      <c r="E164" s="51">
        <v>1.18286511E8</v>
      </c>
      <c r="F164" s="51">
        <v>9462921.0</v>
      </c>
      <c r="G164" s="51">
        <v>1.27749432E8</v>
      </c>
      <c r="H164" s="49" t="s">
        <v>414</v>
      </c>
      <c r="I164" s="52" t="s">
        <v>3031</v>
      </c>
      <c r="J164" s="50">
        <v>45805.0</v>
      </c>
      <c r="K164" s="51">
        <v>6179230.0</v>
      </c>
      <c r="L164" s="51">
        <v>494338.0</v>
      </c>
      <c r="M164" s="51">
        <v>6673568.0</v>
      </c>
      <c r="N164" s="49"/>
      <c r="O164" s="52"/>
      <c r="P164" s="50"/>
      <c r="Q164" s="51"/>
      <c r="R164" s="51"/>
      <c r="S164" s="51"/>
      <c r="T164" s="49"/>
      <c r="U164" s="52"/>
      <c r="V164" s="50"/>
      <c r="W164" s="51"/>
      <c r="X164" s="51"/>
      <c r="Y164" s="51"/>
      <c r="Z164" s="51">
        <v>1.24465741E8</v>
      </c>
      <c r="AA164" s="51">
        <v>9957259.0</v>
      </c>
      <c r="AB164" s="51">
        <v>1.34423E8</v>
      </c>
      <c r="AC164" s="47"/>
      <c r="AD164" s="47" t="s">
        <v>3032</v>
      </c>
      <c r="AE164" s="48"/>
      <c r="AF164" s="50"/>
      <c r="AG164" s="51">
        <v>-6179230.0</v>
      </c>
      <c r="AH164" s="51">
        <v>-494338.0</v>
      </c>
      <c r="AI164" s="51">
        <v>-6673568.0</v>
      </c>
      <c r="AJ164" s="47" t="s">
        <v>3033</v>
      </c>
      <c r="AK164" s="48"/>
      <c r="AL164" s="50"/>
      <c r="AM164" s="51">
        <v>-1.18286511E8</v>
      </c>
      <c r="AN164" s="51">
        <v>-9462921.0</v>
      </c>
      <c r="AO164" s="51">
        <v>-1.27749432E8</v>
      </c>
      <c r="AP164" s="47"/>
      <c r="AQ164" s="48"/>
      <c r="AR164" s="50"/>
      <c r="AS164" s="51"/>
      <c r="AT164" s="51"/>
      <c r="AU164" s="51"/>
      <c r="AV164" s="47"/>
      <c r="AW164" s="48"/>
      <c r="AX164" s="50"/>
      <c r="AY164" s="51"/>
      <c r="AZ164" s="51"/>
      <c r="BA164" s="51"/>
      <c r="BB164" s="51">
        <f t="shared" ref="BB164:BD164" si="162">IF(AND(ISNUMBER(Z164),COUNT(AG164,AM164,AS164,AY164)=2),Z164+SUM(AG164,AM164,AS164,AY164),"")</f>
        <v>0</v>
      </c>
      <c r="BC164" s="51">
        <f t="shared" si="162"/>
        <v>0</v>
      </c>
      <c r="BD164" s="51">
        <f t="shared" si="162"/>
        <v>0</v>
      </c>
    </row>
    <row r="165" ht="48.0" customHeight="1">
      <c r="A165" s="49" t="s">
        <v>40</v>
      </c>
      <c r="B165" s="49" t="str">
        <f t="array" ref="B165">INDEX('HD cty 2024'!B:B,MATCH('F0, F1, F2, ...'!$C165,'HD cty 2024'!B:B,0))</f>
        <v>#N/A</v>
      </c>
      <c r="C165" s="49">
        <v>209.0</v>
      </c>
      <c r="D165" s="50">
        <v>45412.0</v>
      </c>
      <c r="E165" s="51">
        <v>1.16939097E8</v>
      </c>
      <c r="F165" s="51">
        <v>9355128.0</v>
      </c>
      <c r="G165" s="51">
        <v>1.26294225E8</v>
      </c>
      <c r="H165" s="49" t="s">
        <v>414</v>
      </c>
      <c r="I165" s="52" t="s">
        <v>3034</v>
      </c>
      <c r="J165" s="50">
        <v>45805.0</v>
      </c>
      <c r="K165" s="51">
        <v>5898866.0</v>
      </c>
      <c r="L165" s="51">
        <v>471909.0</v>
      </c>
      <c r="M165" s="51">
        <v>6370775.0</v>
      </c>
      <c r="N165" s="49"/>
      <c r="O165" s="52"/>
      <c r="P165" s="50"/>
      <c r="Q165" s="51"/>
      <c r="R165" s="51"/>
      <c r="S165" s="51"/>
      <c r="T165" s="49"/>
      <c r="U165" s="52"/>
      <c r="V165" s="50"/>
      <c r="W165" s="51"/>
      <c r="X165" s="51"/>
      <c r="Y165" s="51"/>
      <c r="Z165" s="51">
        <v>1.22837963E8</v>
      </c>
      <c r="AA165" s="51">
        <v>9827037.0</v>
      </c>
      <c r="AB165" s="51">
        <v>1.32665E8</v>
      </c>
      <c r="AC165" s="47"/>
      <c r="AD165" s="47" t="s">
        <v>3035</v>
      </c>
      <c r="AE165" s="48"/>
      <c r="AF165" s="50"/>
      <c r="AG165" s="51">
        <v>-5898866.0</v>
      </c>
      <c r="AH165" s="51">
        <v>-471909.0</v>
      </c>
      <c r="AI165" s="51">
        <v>-6370775.0</v>
      </c>
      <c r="AJ165" s="47" t="s">
        <v>3036</v>
      </c>
      <c r="AK165" s="48"/>
      <c r="AL165" s="50"/>
      <c r="AM165" s="51">
        <v>-1.16939097E8</v>
      </c>
      <c r="AN165" s="51">
        <v>-9355128.0</v>
      </c>
      <c r="AO165" s="51">
        <v>-1.26294225E8</v>
      </c>
      <c r="AP165" s="47"/>
      <c r="AQ165" s="48"/>
      <c r="AR165" s="50"/>
      <c r="AS165" s="51"/>
      <c r="AT165" s="51"/>
      <c r="AU165" s="51"/>
      <c r="AV165" s="47"/>
      <c r="AW165" s="48"/>
      <c r="AX165" s="50"/>
      <c r="AY165" s="51"/>
      <c r="AZ165" s="51"/>
      <c r="BA165" s="51"/>
      <c r="BB165" s="51">
        <f t="shared" ref="BB165:BD165" si="163">IF(AND(ISNUMBER(Z165),COUNT(AG165,AM165,AS165,AY165)=2),Z165+SUM(AG165,AM165,AS165,AY165),"")</f>
        <v>0</v>
      </c>
      <c r="BC165" s="51">
        <f t="shared" si="163"/>
        <v>0</v>
      </c>
      <c r="BD165" s="51">
        <f t="shared" si="163"/>
        <v>0</v>
      </c>
    </row>
    <row r="166" ht="48.0" customHeight="1">
      <c r="A166" s="49" t="s">
        <v>40</v>
      </c>
      <c r="B166" s="49" t="str">
        <f t="array" ref="B166">INDEX('HD cty 2024'!B:B,MATCH('F0, F1, F2, ...'!$C166,'HD cty 2024'!B:B,0))</f>
        <v>#N/A</v>
      </c>
      <c r="C166" s="49">
        <v>210.0</v>
      </c>
      <c r="D166" s="50">
        <v>45412.0</v>
      </c>
      <c r="E166" s="51">
        <v>8.8080801E7</v>
      </c>
      <c r="F166" s="51">
        <v>7046464.0</v>
      </c>
      <c r="G166" s="51">
        <v>9.5127265E7</v>
      </c>
      <c r="H166" s="49" t="s">
        <v>414</v>
      </c>
      <c r="I166" s="52" t="s">
        <v>3037</v>
      </c>
      <c r="J166" s="50">
        <v>45805.0</v>
      </c>
      <c r="K166" s="51">
        <v>3901606.0</v>
      </c>
      <c r="L166" s="51">
        <v>312128.0</v>
      </c>
      <c r="M166" s="51">
        <v>4213734.0</v>
      </c>
      <c r="N166" s="49"/>
      <c r="O166" s="52"/>
      <c r="P166" s="50"/>
      <c r="Q166" s="51"/>
      <c r="R166" s="51"/>
      <c r="S166" s="51"/>
      <c r="T166" s="49"/>
      <c r="U166" s="52"/>
      <c r="V166" s="50"/>
      <c r="W166" s="51"/>
      <c r="X166" s="51"/>
      <c r="Y166" s="51"/>
      <c r="Z166" s="51">
        <v>9.1982407E7</v>
      </c>
      <c r="AA166" s="51">
        <v>7358592.0</v>
      </c>
      <c r="AB166" s="51">
        <v>9.9340999E7</v>
      </c>
      <c r="AC166" s="47"/>
      <c r="AD166" s="47" t="s">
        <v>3038</v>
      </c>
      <c r="AE166" s="48"/>
      <c r="AF166" s="50"/>
      <c r="AG166" s="51">
        <v>-3901606.0</v>
      </c>
      <c r="AH166" s="51">
        <v>-312128.0</v>
      </c>
      <c r="AI166" s="51">
        <v>-4213734.0</v>
      </c>
      <c r="AJ166" s="47" t="s">
        <v>3039</v>
      </c>
      <c r="AK166" s="48"/>
      <c r="AL166" s="50"/>
      <c r="AM166" s="51">
        <v>-8.8080801E7</v>
      </c>
      <c r="AN166" s="51">
        <v>-7046464.0</v>
      </c>
      <c r="AO166" s="51">
        <v>-9.5127265E7</v>
      </c>
      <c r="AP166" s="47"/>
      <c r="AQ166" s="48"/>
      <c r="AR166" s="50"/>
      <c r="AS166" s="51"/>
      <c r="AT166" s="51"/>
      <c r="AU166" s="51"/>
      <c r="AV166" s="47"/>
      <c r="AW166" s="48"/>
      <c r="AX166" s="50"/>
      <c r="AY166" s="51"/>
      <c r="AZ166" s="51"/>
      <c r="BA166" s="51"/>
      <c r="BB166" s="51">
        <f t="shared" ref="BB166:BD166" si="164">IF(AND(ISNUMBER(Z166),COUNT(AG166,AM166,AS166,AY166)=2),Z166+SUM(AG166,AM166,AS166,AY166),"")</f>
        <v>0</v>
      </c>
      <c r="BC166" s="51">
        <f t="shared" si="164"/>
        <v>0</v>
      </c>
      <c r="BD166" s="51">
        <f t="shared" si="164"/>
        <v>0</v>
      </c>
    </row>
    <row r="167" ht="48.0" customHeight="1">
      <c r="A167" s="49" t="s">
        <v>40</v>
      </c>
      <c r="B167" s="49" t="str">
        <f t="array" ref="B167">INDEX('HD cty 2024'!B:B,MATCH('F0, F1, F2, ...'!$C167,'HD cty 2024'!B:B,0))</f>
        <v>#N/A</v>
      </c>
      <c r="C167" s="49">
        <v>211.0</v>
      </c>
      <c r="D167" s="50">
        <v>45412.0</v>
      </c>
      <c r="E167" s="51">
        <v>7.218901E7</v>
      </c>
      <c r="F167" s="51">
        <v>5775121.0</v>
      </c>
      <c r="G167" s="51">
        <v>7.7964131E7</v>
      </c>
      <c r="H167" s="49" t="s">
        <v>414</v>
      </c>
      <c r="I167" s="52" t="s">
        <v>3040</v>
      </c>
      <c r="J167" s="50">
        <v>45805.0</v>
      </c>
      <c r="K167" s="51">
        <v>5760990.0</v>
      </c>
      <c r="L167" s="51">
        <v>460879.0</v>
      </c>
      <c r="M167" s="51">
        <v>6221869.0</v>
      </c>
      <c r="N167" s="49"/>
      <c r="O167" s="52"/>
      <c r="P167" s="50"/>
      <c r="Q167" s="51"/>
      <c r="R167" s="51"/>
      <c r="S167" s="51"/>
      <c r="T167" s="49"/>
      <c r="U167" s="52"/>
      <c r="V167" s="50"/>
      <c r="W167" s="51"/>
      <c r="X167" s="51"/>
      <c r="Y167" s="51"/>
      <c r="Z167" s="51">
        <v>7.795E7</v>
      </c>
      <c r="AA167" s="51">
        <v>6236000.0</v>
      </c>
      <c r="AB167" s="51">
        <v>8.4186E7</v>
      </c>
      <c r="AC167" s="47"/>
      <c r="AD167" s="47" t="s">
        <v>3041</v>
      </c>
      <c r="AE167" s="48"/>
      <c r="AF167" s="50"/>
      <c r="AG167" s="51">
        <v>-5760990.0</v>
      </c>
      <c r="AH167" s="51">
        <v>-460879.0</v>
      </c>
      <c r="AI167" s="51">
        <v>-6221869.0</v>
      </c>
      <c r="AJ167" s="47" t="s">
        <v>3042</v>
      </c>
      <c r="AK167" s="48"/>
      <c r="AL167" s="50"/>
      <c r="AM167" s="51">
        <v>-7.218901E7</v>
      </c>
      <c r="AN167" s="51">
        <v>-5775121.0</v>
      </c>
      <c r="AO167" s="51">
        <v>-7.7964131E7</v>
      </c>
      <c r="AP167" s="47"/>
      <c r="AQ167" s="48"/>
      <c r="AR167" s="50"/>
      <c r="AS167" s="51"/>
      <c r="AT167" s="51"/>
      <c r="AU167" s="51"/>
      <c r="AV167" s="47"/>
      <c r="AW167" s="48"/>
      <c r="AX167" s="50"/>
      <c r="AY167" s="51"/>
      <c r="AZ167" s="51"/>
      <c r="BA167" s="51"/>
      <c r="BB167" s="51">
        <f t="shared" ref="BB167:BD167" si="165">IF(AND(ISNUMBER(Z167),COUNT(AG167,AM167,AS167,AY167)=2),Z167+SUM(AG167,AM167,AS167,AY167),"")</f>
        <v>0</v>
      </c>
      <c r="BC167" s="51">
        <f t="shared" si="165"/>
        <v>0</v>
      </c>
      <c r="BD167" s="51">
        <f t="shared" si="165"/>
        <v>0</v>
      </c>
    </row>
    <row r="168" ht="48.0" customHeight="1">
      <c r="A168" s="49" t="s">
        <v>40</v>
      </c>
      <c r="B168" s="49" t="str">
        <f t="array" ref="B168">INDEX('HD cty 2024'!B:B,MATCH('F0, F1, F2, ...'!$C168,'HD cty 2024'!B:B,0))</f>
        <v>#N/A</v>
      </c>
      <c r="C168" s="49">
        <v>212.0</v>
      </c>
      <c r="D168" s="50">
        <v>45412.0</v>
      </c>
      <c r="E168" s="51">
        <v>5.1951176E7</v>
      </c>
      <c r="F168" s="51">
        <v>4156094.0</v>
      </c>
      <c r="G168" s="51">
        <v>5.610727E7</v>
      </c>
      <c r="H168" s="49" t="s">
        <v>414</v>
      </c>
      <c r="I168" s="52" t="s">
        <v>3043</v>
      </c>
      <c r="J168" s="50">
        <v>45804.0</v>
      </c>
      <c r="K168" s="51">
        <v>1.082475E7</v>
      </c>
      <c r="L168" s="51">
        <v>865980.0</v>
      </c>
      <c r="M168" s="51">
        <v>1.169073E7</v>
      </c>
      <c r="N168" s="49"/>
      <c r="O168" s="52"/>
      <c r="P168" s="50"/>
      <c r="Q168" s="51"/>
      <c r="R168" s="51"/>
      <c r="S168" s="51"/>
      <c r="T168" s="49"/>
      <c r="U168" s="52"/>
      <c r="V168" s="50"/>
      <c r="W168" s="51"/>
      <c r="X168" s="51"/>
      <c r="Y168" s="51"/>
      <c r="Z168" s="51">
        <v>6.2775926E7</v>
      </c>
      <c r="AA168" s="51">
        <v>5022074.0</v>
      </c>
      <c r="AB168" s="51">
        <v>6.7798E7</v>
      </c>
      <c r="AC168" s="47"/>
      <c r="AD168" s="47" t="s">
        <v>3044</v>
      </c>
      <c r="AE168" s="48"/>
      <c r="AF168" s="50"/>
      <c r="AG168" s="51">
        <v>-1.082475E7</v>
      </c>
      <c r="AH168" s="51">
        <v>-865980.0</v>
      </c>
      <c r="AI168" s="51">
        <v>-1.169073E7</v>
      </c>
      <c r="AJ168" s="47" t="s">
        <v>3045</v>
      </c>
      <c r="AK168" s="48"/>
      <c r="AL168" s="50"/>
      <c r="AM168" s="51">
        <v>-5.1951176E7</v>
      </c>
      <c r="AN168" s="51">
        <v>-4156094.0</v>
      </c>
      <c r="AO168" s="51">
        <v>-5.610727E7</v>
      </c>
      <c r="AP168" s="47"/>
      <c r="AQ168" s="48"/>
      <c r="AR168" s="50"/>
      <c r="AS168" s="51"/>
      <c r="AT168" s="51"/>
      <c r="AU168" s="51"/>
      <c r="AV168" s="47"/>
      <c r="AW168" s="48"/>
      <c r="AX168" s="50"/>
      <c r="AY168" s="51"/>
      <c r="AZ168" s="51"/>
      <c r="BA168" s="51"/>
      <c r="BB168" s="51">
        <f t="shared" ref="BB168:BD168" si="166">IF(AND(ISNUMBER(Z168),COUNT(AG168,AM168,AS168,AY168)=2),Z168+SUM(AG168,AM168,AS168,AY168),"")</f>
        <v>0</v>
      </c>
      <c r="BC168" s="51">
        <f t="shared" si="166"/>
        <v>0</v>
      </c>
      <c r="BD168" s="51">
        <f t="shared" si="166"/>
        <v>0</v>
      </c>
    </row>
    <row r="169" ht="48.0" customHeight="1">
      <c r="A169" s="49" t="s">
        <v>40</v>
      </c>
      <c r="B169" s="49" t="str">
        <f t="array" ref="B169">INDEX('HD cty 2024'!B:B,MATCH('F0, F1, F2, ...'!$C169,'HD cty 2024'!B:B,0))</f>
        <v>#N/A</v>
      </c>
      <c r="C169" s="49">
        <v>213.0</v>
      </c>
      <c r="D169" s="50">
        <v>45412.0</v>
      </c>
      <c r="E169" s="51">
        <v>3.4900907E7</v>
      </c>
      <c r="F169" s="51">
        <v>2792073.0</v>
      </c>
      <c r="G169" s="51">
        <v>3.769298E7</v>
      </c>
      <c r="H169" s="49" t="s">
        <v>414</v>
      </c>
      <c r="I169" s="52" t="s">
        <v>3046</v>
      </c>
      <c r="J169" s="50">
        <v>45805.0</v>
      </c>
      <c r="K169" s="51">
        <v>1936130.0</v>
      </c>
      <c r="L169" s="51">
        <v>154890.0</v>
      </c>
      <c r="M169" s="51">
        <v>2091020.0</v>
      </c>
      <c r="N169" s="49"/>
      <c r="O169" s="52"/>
      <c r="P169" s="50"/>
      <c r="Q169" s="51"/>
      <c r="R169" s="51"/>
      <c r="S169" s="51"/>
      <c r="T169" s="49"/>
      <c r="U169" s="52"/>
      <c r="V169" s="50"/>
      <c r="W169" s="51"/>
      <c r="X169" s="51"/>
      <c r="Y169" s="51"/>
      <c r="Z169" s="51">
        <v>3.6837037E7</v>
      </c>
      <c r="AA169" s="51">
        <v>2946963.0</v>
      </c>
      <c r="AB169" s="51">
        <v>3.9784E7</v>
      </c>
      <c r="AC169" s="47"/>
      <c r="AD169" s="47" t="s">
        <v>3047</v>
      </c>
      <c r="AE169" s="48"/>
      <c r="AF169" s="50"/>
      <c r="AG169" s="51">
        <v>-1936130.0</v>
      </c>
      <c r="AH169" s="51">
        <v>-154890.0</v>
      </c>
      <c r="AI169" s="51">
        <v>-2091020.0</v>
      </c>
      <c r="AJ169" s="47" t="s">
        <v>3048</v>
      </c>
      <c r="AK169" s="48"/>
      <c r="AL169" s="50"/>
      <c r="AM169" s="51">
        <v>-3.4900907E7</v>
      </c>
      <c r="AN169" s="51">
        <v>-2792073.0</v>
      </c>
      <c r="AO169" s="51">
        <v>-3.769298E7</v>
      </c>
      <c r="AP169" s="47"/>
      <c r="AQ169" s="48"/>
      <c r="AR169" s="50"/>
      <c r="AS169" s="51"/>
      <c r="AT169" s="51"/>
      <c r="AU169" s="51"/>
      <c r="AV169" s="47"/>
      <c r="AW169" s="48"/>
      <c r="AX169" s="50"/>
      <c r="AY169" s="51"/>
      <c r="AZ169" s="51"/>
      <c r="BA169" s="51"/>
      <c r="BB169" s="51">
        <f t="shared" ref="BB169:BD169" si="167">IF(AND(ISNUMBER(Z169),COUNT(AG169,AM169,AS169,AY169)=2),Z169+SUM(AG169,AM169,AS169,AY169),"")</f>
        <v>0</v>
      </c>
      <c r="BC169" s="51">
        <f t="shared" si="167"/>
        <v>0</v>
      </c>
      <c r="BD169" s="51">
        <f t="shared" si="167"/>
        <v>0</v>
      </c>
    </row>
    <row r="170" ht="48.0" customHeight="1">
      <c r="A170" s="49" t="s">
        <v>40</v>
      </c>
      <c r="B170" s="49" t="str">
        <f t="array" ref="B170">INDEX('HD cty 2024'!B:B,MATCH('F0, F1, F2, ...'!$C170,'HD cty 2024'!B:B,0))</f>
        <v>#N/A</v>
      </c>
      <c r="C170" s="49">
        <v>214.0</v>
      </c>
      <c r="D170" s="50">
        <v>45412.0</v>
      </c>
      <c r="E170" s="51">
        <v>4.5771581E7</v>
      </c>
      <c r="F170" s="51">
        <v>3661726.0</v>
      </c>
      <c r="G170" s="51">
        <v>4.9433307E7</v>
      </c>
      <c r="H170" s="49" t="s">
        <v>414</v>
      </c>
      <c r="I170" s="52" t="s">
        <v>3049</v>
      </c>
      <c r="J170" s="50">
        <v>45804.0</v>
      </c>
      <c r="K170" s="51">
        <v>4685826.0</v>
      </c>
      <c r="L170" s="51">
        <v>374866.0</v>
      </c>
      <c r="M170" s="51">
        <v>5060692.0</v>
      </c>
      <c r="N170" s="49"/>
      <c r="O170" s="52"/>
      <c r="P170" s="50"/>
      <c r="Q170" s="51"/>
      <c r="R170" s="51"/>
      <c r="S170" s="51"/>
      <c r="T170" s="49"/>
      <c r="U170" s="52"/>
      <c r="V170" s="50"/>
      <c r="W170" s="51"/>
      <c r="X170" s="51"/>
      <c r="Y170" s="51"/>
      <c r="Z170" s="51">
        <v>5.0457407E7</v>
      </c>
      <c r="AA170" s="51">
        <v>4036592.0</v>
      </c>
      <c r="AB170" s="51">
        <v>5.4493999E7</v>
      </c>
      <c r="AC170" s="47"/>
      <c r="AD170" s="47" t="s">
        <v>3050</v>
      </c>
      <c r="AE170" s="48"/>
      <c r="AF170" s="50"/>
      <c r="AG170" s="51">
        <v>-4685826.0</v>
      </c>
      <c r="AH170" s="51">
        <v>-374866.0</v>
      </c>
      <c r="AI170" s="51">
        <v>-5060692.0</v>
      </c>
      <c r="AJ170" s="47" t="s">
        <v>3051</v>
      </c>
      <c r="AK170" s="48"/>
      <c r="AL170" s="50"/>
      <c r="AM170" s="51">
        <v>-4.5771581E7</v>
      </c>
      <c r="AN170" s="51">
        <v>-3661726.0</v>
      </c>
      <c r="AO170" s="51">
        <v>-4.9433307E7</v>
      </c>
      <c r="AP170" s="47"/>
      <c r="AQ170" s="48"/>
      <c r="AR170" s="50"/>
      <c r="AS170" s="51"/>
      <c r="AT170" s="51"/>
      <c r="AU170" s="51"/>
      <c r="AV170" s="47"/>
      <c r="AW170" s="48"/>
      <c r="AX170" s="50"/>
      <c r="AY170" s="51"/>
      <c r="AZ170" s="51"/>
      <c r="BA170" s="51"/>
      <c r="BB170" s="51">
        <f t="shared" ref="BB170:BD170" si="168">IF(AND(ISNUMBER(Z170),COUNT(AG170,AM170,AS170,AY170)=2),Z170+SUM(AG170,AM170,AS170,AY170),"")</f>
        <v>0</v>
      </c>
      <c r="BC170" s="51">
        <f t="shared" si="168"/>
        <v>0</v>
      </c>
      <c r="BD170" s="51">
        <f t="shared" si="168"/>
        <v>0</v>
      </c>
    </row>
    <row r="171" ht="48.0" customHeight="1">
      <c r="A171" s="49" t="s">
        <v>40</v>
      </c>
      <c r="B171" s="49" t="str">
        <f t="array" ref="B171">INDEX('HD cty 2024'!B:B,MATCH('F0, F1, F2, ...'!$C171,'HD cty 2024'!B:B,0))</f>
        <v>#N/A</v>
      </c>
      <c r="C171" s="49">
        <v>215.0</v>
      </c>
      <c r="D171" s="50">
        <v>45412.0</v>
      </c>
      <c r="E171" s="51">
        <v>4.2561583E7</v>
      </c>
      <c r="F171" s="51">
        <v>3404927.0</v>
      </c>
      <c r="G171" s="51">
        <v>4.596651E7</v>
      </c>
      <c r="H171" s="49" t="s">
        <v>414</v>
      </c>
      <c r="I171" s="52" t="s">
        <v>3052</v>
      </c>
      <c r="J171" s="50">
        <v>45805.0</v>
      </c>
      <c r="K171" s="51">
        <v>756936.0</v>
      </c>
      <c r="L171" s="51">
        <v>60555.0</v>
      </c>
      <c r="M171" s="51">
        <v>817491.0</v>
      </c>
      <c r="N171" s="49"/>
      <c r="O171" s="52"/>
      <c r="P171" s="50"/>
      <c r="Q171" s="51"/>
      <c r="R171" s="51"/>
      <c r="S171" s="51"/>
      <c r="T171" s="49"/>
      <c r="U171" s="52"/>
      <c r="V171" s="50"/>
      <c r="W171" s="51"/>
      <c r="X171" s="51"/>
      <c r="Y171" s="51"/>
      <c r="Z171" s="51">
        <v>4.3318519E7</v>
      </c>
      <c r="AA171" s="51">
        <v>3465482.0</v>
      </c>
      <c r="AB171" s="51">
        <v>4.6784001E7</v>
      </c>
      <c r="AC171" s="47"/>
      <c r="AD171" s="47" t="s">
        <v>3053</v>
      </c>
      <c r="AE171" s="48"/>
      <c r="AF171" s="50"/>
      <c r="AG171" s="51">
        <v>-756936.0</v>
      </c>
      <c r="AH171" s="51">
        <v>-60555.0</v>
      </c>
      <c r="AI171" s="51">
        <v>-817491.0</v>
      </c>
      <c r="AJ171" s="47" t="s">
        <v>3054</v>
      </c>
      <c r="AK171" s="48"/>
      <c r="AL171" s="50"/>
      <c r="AM171" s="51">
        <v>-4.2561583E7</v>
      </c>
      <c r="AN171" s="51">
        <v>-3404927.0</v>
      </c>
      <c r="AO171" s="51">
        <v>-4.596651E7</v>
      </c>
      <c r="AP171" s="47"/>
      <c r="AQ171" s="48"/>
      <c r="AR171" s="50"/>
      <c r="AS171" s="51"/>
      <c r="AT171" s="51"/>
      <c r="AU171" s="51"/>
      <c r="AV171" s="47"/>
      <c r="AW171" s="48"/>
      <c r="AX171" s="50"/>
      <c r="AY171" s="51"/>
      <c r="AZ171" s="51"/>
      <c r="BA171" s="51"/>
      <c r="BB171" s="51">
        <f t="shared" ref="BB171:BD171" si="169">IF(AND(ISNUMBER(Z171),COUNT(AG171,AM171,AS171,AY171)=2),Z171+SUM(AG171,AM171,AS171,AY171),"")</f>
        <v>0</v>
      </c>
      <c r="BC171" s="51">
        <f t="shared" si="169"/>
        <v>0</v>
      </c>
      <c r="BD171" s="51">
        <f t="shared" si="169"/>
        <v>0</v>
      </c>
    </row>
    <row r="172" ht="48.0" customHeight="1">
      <c r="A172" s="49" t="s">
        <v>40</v>
      </c>
      <c r="B172" s="49" t="str">
        <f t="array" ref="B172">INDEX('HD cty 2024'!B:B,MATCH('F0, F1, F2, ...'!$C172,'HD cty 2024'!B:B,0))</f>
        <v>#N/A</v>
      </c>
      <c r="C172" s="49">
        <v>217.0</v>
      </c>
      <c r="D172" s="50">
        <v>45412.0</v>
      </c>
      <c r="E172" s="51">
        <v>1.22941488E8</v>
      </c>
      <c r="F172" s="51">
        <v>9835319.0</v>
      </c>
      <c r="G172" s="51">
        <v>1.32776807E8</v>
      </c>
      <c r="H172" s="49" t="s">
        <v>414</v>
      </c>
      <c r="I172" s="52" t="s">
        <v>3055</v>
      </c>
      <c r="J172" s="50">
        <v>45804.0</v>
      </c>
      <c r="K172" s="51">
        <v>1.6570549E7</v>
      </c>
      <c r="L172" s="51">
        <v>1325644.0</v>
      </c>
      <c r="M172" s="51">
        <v>1.7896193E7</v>
      </c>
      <c r="N172" s="49"/>
      <c r="O172" s="52"/>
      <c r="P172" s="50"/>
      <c r="Q172" s="51"/>
      <c r="R172" s="51"/>
      <c r="S172" s="51"/>
      <c r="T172" s="49"/>
      <c r="U172" s="52"/>
      <c r="V172" s="50"/>
      <c r="W172" s="51"/>
      <c r="X172" s="51"/>
      <c r="Y172" s="51"/>
      <c r="Z172" s="51">
        <v>1.39512037E8</v>
      </c>
      <c r="AA172" s="51">
        <v>1.1160963E7</v>
      </c>
      <c r="AB172" s="51">
        <v>1.50673E8</v>
      </c>
      <c r="AC172" s="47"/>
      <c r="AD172" s="47" t="s">
        <v>3056</v>
      </c>
      <c r="AE172" s="48"/>
      <c r="AF172" s="50"/>
      <c r="AG172" s="51">
        <v>-1.6570549E7</v>
      </c>
      <c r="AH172" s="51">
        <v>-1325644.0</v>
      </c>
      <c r="AI172" s="51">
        <v>-1.7896193E7</v>
      </c>
      <c r="AJ172" s="47" t="s">
        <v>3057</v>
      </c>
      <c r="AK172" s="48"/>
      <c r="AL172" s="50"/>
      <c r="AM172" s="51">
        <v>-1.22941488E8</v>
      </c>
      <c r="AN172" s="51">
        <v>-9835319.0</v>
      </c>
      <c r="AO172" s="51">
        <v>-1.32776807E8</v>
      </c>
      <c r="AP172" s="47"/>
      <c r="AQ172" s="48"/>
      <c r="AR172" s="50"/>
      <c r="AS172" s="51"/>
      <c r="AT172" s="51"/>
      <c r="AU172" s="51"/>
      <c r="AV172" s="47"/>
      <c r="AW172" s="48"/>
      <c r="AX172" s="50"/>
      <c r="AY172" s="51"/>
      <c r="AZ172" s="51"/>
      <c r="BA172" s="51"/>
      <c r="BB172" s="51">
        <f t="shared" ref="BB172:BD172" si="170">IF(AND(ISNUMBER(Z172),COUNT(AG172,AM172,AS172,AY172)=2),Z172+SUM(AG172,AM172,AS172,AY172),"")</f>
        <v>0</v>
      </c>
      <c r="BC172" s="51">
        <f t="shared" si="170"/>
        <v>0</v>
      </c>
      <c r="BD172" s="51">
        <f t="shared" si="170"/>
        <v>0</v>
      </c>
    </row>
    <row r="173" ht="48.0" customHeight="1">
      <c r="A173" s="49" t="s">
        <v>40</v>
      </c>
      <c r="B173" s="49" t="str">
        <f t="array" ref="B173">INDEX('HD cty 2024'!B:B,MATCH('F0, F1, F2, ...'!$C173,'HD cty 2024'!B:B,0))</f>
        <v>#N/A</v>
      </c>
      <c r="C173" s="49">
        <v>221.0</v>
      </c>
      <c r="D173" s="50">
        <v>45421.0</v>
      </c>
      <c r="E173" s="51">
        <v>1882559.0</v>
      </c>
      <c r="F173" s="51">
        <v>150605.0</v>
      </c>
      <c r="G173" s="51">
        <v>2033164.0</v>
      </c>
      <c r="H173" s="49" t="s">
        <v>414</v>
      </c>
      <c r="I173" s="52" t="s">
        <v>3058</v>
      </c>
      <c r="J173" s="50">
        <v>45807.0</v>
      </c>
      <c r="K173" s="51">
        <v>-50020.0</v>
      </c>
      <c r="L173" s="51">
        <v>-4002.0</v>
      </c>
      <c r="M173" s="51">
        <v>-54022.0</v>
      </c>
      <c r="N173" s="49"/>
      <c r="O173" s="52"/>
      <c r="P173" s="50"/>
      <c r="Q173" s="51"/>
      <c r="R173" s="51"/>
      <c r="S173" s="51"/>
      <c r="T173" s="49"/>
      <c r="U173" s="52"/>
      <c r="V173" s="50"/>
      <c r="W173" s="51"/>
      <c r="X173" s="51"/>
      <c r="Y173" s="51"/>
      <c r="Z173" s="51">
        <v>1832539.0</v>
      </c>
      <c r="AA173" s="51">
        <v>146603.0</v>
      </c>
      <c r="AB173" s="51">
        <v>1979142.0</v>
      </c>
      <c r="AC173" s="47"/>
      <c r="AD173" s="47" t="s">
        <v>3059</v>
      </c>
      <c r="AE173" s="48"/>
      <c r="AF173" s="50"/>
      <c r="AG173" s="51">
        <v>50020.0</v>
      </c>
      <c r="AH173" s="51">
        <v>4002.0</v>
      </c>
      <c r="AI173" s="51">
        <v>54022.0</v>
      </c>
      <c r="AJ173" s="47" t="s">
        <v>3060</v>
      </c>
      <c r="AK173" s="48"/>
      <c r="AL173" s="50"/>
      <c r="AM173" s="51">
        <v>-1882559.0</v>
      </c>
      <c r="AN173" s="51">
        <v>-150605.0</v>
      </c>
      <c r="AO173" s="51">
        <v>-2033164.0</v>
      </c>
      <c r="AP173" s="47"/>
      <c r="AQ173" s="48"/>
      <c r="AR173" s="50"/>
      <c r="AS173" s="51"/>
      <c r="AT173" s="51"/>
      <c r="AU173" s="51"/>
      <c r="AV173" s="47"/>
      <c r="AW173" s="48"/>
      <c r="AX173" s="50"/>
      <c r="AY173" s="51"/>
      <c r="AZ173" s="51"/>
      <c r="BA173" s="51"/>
      <c r="BB173" s="51">
        <f t="shared" ref="BB173:BD173" si="171">IF(AND(ISNUMBER(Z173),COUNT(AG173,AM173,AS173,AY173)=2),Z173+SUM(AG173,AM173,AS173,AY173),"")</f>
        <v>0</v>
      </c>
      <c r="BC173" s="51">
        <f t="shared" si="171"/>
        <v>0</v>
      </c>
      <c r="BD173" s="51">
        <f t="shared" si="171"/>
        <v>0</v>
      </c>
    </row>
    <row r="174" ht="48.0" customHeight="1">
      <c r="A174" s="49" t="s">
        <v>40</v>
      </c>
      <c r="B174" s="49" t="str">
        <f t="array" ref="B174">INDEX('HD cty 2024'!B:B,MATCH('F0, F1, F2, ...'!$C174,'HD cty 2024'!B:B,0))</f>
        <v>#N/A</v>
      </c>
      <c r="C174" s="49">
        <v>222.0</v>
      </c>
      <c r="D174" s="50">
        <v>45421.0</v>
      </c>
      <c r="E174" s="51">
        <v>1.9221079E7</v>
      </c>
      <c r="F174" s="51">
        <v>1537686.0</v>
      </c>
      <c r="G174" s="51">
        <v>2.0758765E7</v>
      </c>
      <c r="H174" s="49" t="s">
        <v>414</v>
      </c>
      <c r="I174" s="52" t="s">
        <v>3061</v>
      </c>
      <c r="J174" s="50">
        <v>45805.0</v>
      </c>
      <c r="K174" s="51">
        <v>2177995.0</v>
      </c>
      <c r="L174" s="51">
        <v>174240.0</v>
      </c>
      <c r="M174" s="51">
        <v>2352235.0</v>
      </c>
      <c r="N174" s="49"/>
      <c r="O174" s="52"/>
      <c r="P174" s="50"/>
      <c r="Q174" s="51"/>
      <c r="R174" s="51"/>
      <c r="S174" s="51"/>
      <c r="T174" s="49"/>
      <c r="U174" s="52"/>
      <c r="V174" s="50"/>
      <c r="W174" s="51"/>
      <c r="X174" s="51"/>
      <c r="Y174" s="51"/>
      <c r="Z174" s="51">
        <v>2.1399074E7</v>
      </c>
      <c r="AA174" s="51">
        <v>1711926.0</v>
      </c>
      <c r="AB174" s="51">
        <v>2.3111E7</v>
      </c>
      <c r="AC174" s="47"/>
      <c r="AD174" s="47" t="s">
        <v>3062</v>
      </c>
      <c r="AE174" s="48"/>
      <c r="AF174" s="50"/>
      <c r="AG174" s="51">
        <v>-2177995.0</v>
      </c>
      <c r="AH174" s="51">
        <v>-174240.0</v>
      </c>
      <c r="AI174" s="51">
        <v>-2352235.0</v>
      </c>
      <c r="AJ174" s="47" t="s">
        <v>3063</v>
      </c>
      <c r="AK174" s="48"/>
      <c r="AL174" s="50"/>
      <c r="AM174" s="51">
        <v>-1.9221079E7</v>
      </c>
      <c r="AN174" s="51">
        <v>-1537686.0</v>
      </c>
      <c r="AO174" s="51">
        <v>-2.0758765E7</v>
      </c>
      <c r="AP174" s="47"/>
      <c r="AQ174" s="48"/>
      <c r="AR174" s="50"/>
      <c r="AS174" s="51"/>
      <c r="AT174" s="51"/>
      <c r="AU174" s="51"/>
      <c r="AV174" s="47"/>
      <c r="AW174" s="48"/>
      <c r="AX174" s="50"/>
      <c r="AY174" s="51"/>
      <c r="AZ174" s="51"/>
      <c r="BA174" s="51"/>
      <c r="BB174" s="51">
        <f t="shared" ref="BB174:BD174" si="172">IF(AND(ISNUMBER(Z174),COUNT(AG174,AM174,AS174,AY174)=2),Z174+SUM(AG174,AM174,AS174,AY174),"")</f>
        <v>0</v>
      </c>
      <c r="BC174" s="51">
        <f t="shared" si="172"/>
        <v>0</v>
      </c>
      <c r="BD174" s="51">
        <f t="shared" si="172"/>
        <v>0</v>
      </c>
    </row>
    <row r="175" ht="48.0" customHeight="1">
      <c r="A175" s="49" t="s">
        <v>40</v>
      </c>
      <c r="B175" s="49" t="str">
        <f t="array" ref="B175">INDEX('HD cty 2024'!B:B,MATCH('F0, F1, F2, ...'!$C175,'HD cty 2024'!B:B,0))</f>
        <v>#N/A</v>
      </c>
      <c r="C175" s="49">
        <v>223.0</v>
      </c>
      <c r="D175" s="50">
        <v>45421.0</v>
      </c>
      <c r="E175" s="51">
        <v>1614197.0</v>
      </c>
      <c r="F175" s="51">
        <v>129136.0</v>
      </c>
      <c r="G175" s="51">
        <v>1743333.0</v>
      </c>
      <c r="H175" s="49" t="s">
        <v>414</v>
      </c>
      <c r="I175" s="52" t="s">
        <v>3064</v>
      </c>
      <c r="J175" s="50">
        <v>45807.0</v>
      </c>
      <c r="K175" s="51">
        <v>177538.0</v>
      </c>
      <c r="L175" s="51">
        <v>14203.0</v>
      </c>
      <c r="M175" s="51">
        <v>191741.0</v>
      </c>
      <c r="N175" s="49"/>
      <c r="O175" s="52"/>
      <c r="P175" s="50"/>
      <c r="Q175" s="51"/>
      <c r="R175" s="51"/>
      <c r="S175" s="51"/>
      <c r="T175" s="49"/>
      <c r="U175" s="52"/>
      <c r="V175" s="50"/>
      <c r="W175" s="51"/>
      <c r="X175" s="51"/>
      <c r="Y175" s="51"/>
      <c r="Z175" s="51">
        <v>1791735.0</v>
      </c>
      <c r="AA175" s="51">
        <v>143339.0</v>
      </c>
      <c r="AB175" s="51">
        <v>1935074.0</v>
      </c>
      <c r="AC175" s="47"/>
      <c r="AD175" s="47" t="s">
        <v>3065</v>
      </c>
      <c r="AE175" s="48"/>
      <c r="AF175" s="50"/>
      <c r="AG175" s="51">
        <v>-177538.0</v>
      </c>
      <c r="AH175" s="51">
        <v>-14203.0</v>
      </c>
      <c r="AI175" s="51">
        <v>-191741.0</v>
      </c>
      <c r="AJ175" s="47" t="s">
        <v>3066</v>
      </c>
      <c r="AK175" s="48"/>
      <c r="AL175" s="50"/>
      <c r="AM175" s="51">
        <v>-1614197.0</v>
      </c>
      <c r="AN175" s="51">
        <v>-129136.0</v>
      </c>
      <c r="AO175" s="51">
        <v>-1743333.0</v>
      </c>
      <c r="AP175" s="47"/>
      <c r="AQ175" s="48"/>
      <c r="AR175" s="50"/>
      <c r="AS175" s="51"/>
      <c r="AT175" s="51"/>
      <c r="AU175" s="51"/>
      <c r="AV175" s="47"/>
      <c r="AW175" s="48"/>
      <c r="AX175" s="50"/>
      <c r="AY175" s="51"/>
      <c r="AZ175" s="51"/>
      <c r="BA175" s="51"/>
      <c r="BB175" s="51">
        <f t="shared" ref="BB175:BD175" si="173">IF(AND(ISNUMBER(Z175),COUNT(AG175,AM175,AS175,AY175)=2),Z175+SUM(AG175,AM175,AS175,AY175),"")</f>
        <v>0</v>
      </c>
      <c r="BC175" s="51">
        <f t="shared" si="173"/>
        <v>0</v>
      </c>
      <c r="BD175" s="51">
        <f t="shared" si="173"/>
        <v>0</v>
      </c>
    </row>
    <row r="176" ht="48.0" customHeight="1">
      <c r="A176" s="49" t="s">
        <v>40</v>
      </c>
      <c r="B176" s="49" t="str">
        <f t="array" ref="B176">INDEX('HD cty 2024'!B:B,MATCH('F0, F1, F2, ...'!$C176,'HD cty 2024'!B:B,0))</f>
        <v>#N/A</v>
      </c>
      <c r="C176" s="49">
        <v>224.0</v>
      </c>
      <c r="D176" s="50">
        <v>45421.0</v>
      </c>
      <c r="E176" s="51">
        <v>3.0684535E7</v>
      </c>
      <c r="F176" s="51">
        <v>2454763.0</v>
      </c>
      <c r="G176" s="51">
        <v>3.3139298E7</v>
      </c>
      <c r="H176" s="49" t="s">
        <v>414</v>
      </c>
      <c r="I176" s="52" t="s">
        <v>3067</v>
      </c>
      <c r="J176" s="50">
        <v>45805.0</v>
      </c>
      <c r="K176" s="51">
        <v>2868243.0</v>
      </c>
      <c r="L176" s="51">
        <v>229459.0</v>
      </c>
      <c r="M176" s="51">
        <v>3097702.0</v>
      </c>
      <c r="N176" s="49"/>
      <c r="O176" s="52"/>
      <c r="P176" s="50"/>
      <c r="Q176" s="51"/>
      <c r="R176" s="51"/>
      <c r="S176" s="51"/>
      <c r="T176" s="49"/>
      <c r="U176" s="52"/>
      <c r="V176" s="50"/>
      <c r="W176" s="51"/>
      <c r="X176" s="51"/>
      <c r="Y176" s="51"/>
      <c r="Z176" s="51">
        <v>3.3552778E7</v>
      </c>
      <c r="AA176" s="51">
        <v>2684222.0</v>
      </c>
      <c r="AB176" s="51">
        <v>3.6237E7</v>
      </c>
      <c r="AC176" s="47"/>
      <c r="AD176" s="47" t="s">
        <v>3068</v>
      </c>
      <c r="AE176" s="48"/>
      <c r="AF176" s="50"/>
      <c r="AG176" s="51">
        <v>-2868243.0</v>
      </c>
      <c r="AH176" s="51">
        <v>-229459.0</v>
      </c>
      <c r="AI176" s="51">
        <v>-3097702.0</v>
      </c>
      <c r="AJ176" s="47" t="s">
        <v>3069</v>
      </c>
      <c r="AK176" s="48"/>
      <c r="AL176" s="50"/>
      <c r="AM176" s="51">
        <v>-3.0684535E7</v>
      </c>
      <c r="AN176" s="51">
        <v>-2454763.0</v>
      </c>
      <c r="AO176" s="51">
        <v>-3.3139298E7</v>
      </c>
      <c r="AP176" s="47"/>
      <c r="AQ176" s="48"/>
      <c r="AR176" s="50"/>
      <c r="AS176" s="51"/>
      <c r="AT176" s="51"/>
      <c r="AU176" s="51"/>
      <c r="AV176" s="47"/>
      <c r="AW176" s="48"/>
      <c r="AX176" s="50"/>
      <c r="AY176" s="51"/>
      <c r="AZ176" s="51"/>
      <c r="BA176" s="51"/>
      <c r="BB176" s="51">
        <f t="shared" ref="BB176:BD176" si="174">IF(AND(ISNUMBER(Z176),COUNT(AG176,AM176,AS176,AY176)=2),Z176+SUM(AG176,AM176,AS176,AY176),"")</f>
        <v>0</v>
      </c>
      <c r="BC176" s="51">
        <f t="shared" si="174"/>
        <v>0</v>
      </c>
      <c r="BD176" s="51">
        <f t="shared" si="174"/>
        <v>0</v>
      </c>
    </row>
    <row r="177" ht="87.0" customHeight="1">
      <c r="A177" s="49" t="s">
        <v>40</v>
      </c>
      <c r="B177" s="49" t="str">
        <f t="array" ref="B177">INDEX('HD cty 2024'!B:B,MATCH('F0, F1, F2, ...'!$C177,'HD cty 2024'!B:B,0))</f>
        <v>#N/A</v>
      </c>
      <c r="C177" s="49">
        <v>225.0</v>
      </c>
      <c r="D177" s="50">
        <v>45421.0</v>
      </c>
      <c r="E177" s="51">
        <v>3062962.0</v>
      </c>
      <c r="F177" s="51">
        <v>245037.0</v>
      </c>
      <c r="G177" s="51">
        <v>3307999.0</v>
      </c>
      <c r="H177" s="49" t="s">
        <v>414</v>
      </c>
      <c r="I177" s="52" t="s">
        <v>3070</v>
      </c>
      <c r="J177" s="50">
        <v>45808.0</v>
      </c>
      <c r="K177" s="51">
        <v>-3062962.0</v>
      </c>
      <c r="L177" s="51">
        <v>-245037.0</v>
      </c>
      <c r="M177" s="51">
        <v>-3307999.0</v>
      </c>
      <c r="N177" s="49"/>
      <c r="O177" s="52"/>
      <c r="P177" s="50"/>
      <c r="Q177" s="51"/>
      <c r="R177" s="51"/>
      <c r="S177" s="51"/>
      <c r="T177" s="49"/>
      <c r="U177" s="52"/>
      <c r="V177" s="50"/>
      <c r="W177" s="51"/>
      <c r="X177" s="51"/>
      <c r="Y177" s="51"/>
      <c r="Z177" s="51">
        <v>0.0</v>
      </c>
      <c r="AA177" s="51">
        <v>0.0</v>
      </c>
      <c r="AB177" s="51">
        <v>0.0</v>
      </c>
      <c r="AC177" s="47" t="s">
        <v>3071</v>
      </c>
      <c r="AD177" s="47" t="s">
        <v>3072</v>
      </c>
      <c r="AE177" s="48"/>
      <c r="AF177" s="50">
        <v>46304.0</v>
      </c>
      <c r="AG177" s="51">
        <v>3062962.0</v>
      </c>
      <c r="AH177" s="51">
        <v>245037.0</v>
      </c>
      <c r="AI177" s="51">
        <v>3307999.0</v>
      </c>
      <c r="AJ177" s="47" t="s">
        <v>3073</v>
      </c>
      <c r="AK177" s="48"/>
      <c r="AL177" s="50">
        <v>46304.0</v>
      </c>
      <c r="AM177" s="51">
        <v>-3062962.0</v>
      </c>
      <c r="AN177" s="51">
        <v>-245037.0</v>
      </c>
      <c r="AO177" s="51">
        <v>-3307999.0</v>
      </c>
      <c r="AP177" s="47"/>
      <c r="AQ177" s="48"/>
      <c r="AR177" s="50"/>
      <c r="AS177" s="51"/>
      <c r="AT177" s="51"/>
      <c r="AU177" s="51"/>
      <c r="AV177" s="47"/>
      <c r="AW177" s="48"/>
      <c r="AX177" s="50"/>
      <c r="AY177" s="51"/>
      <c r="AZ177" s="51"/>
      <c r="BA177" s="51"/>
      <c r="BB177" s="51">
        <f t="shared" ref="BB177:BD177" si="175">IF(AND(ISNUMBER(Z177),COUNT(AG177,AM177,AS177,AY177)=2),Z177+SUM(AG177,AM177,AS177,AY177),"")</f>
        <v>0</v>
      </c>
      <c r="BC177" s="51">
        <f t="shared" si="175"/>
        <v>0</v>
      </c>
      <c r="BD177" s="51">
        <f t="shared" si="175"/>
        <v>0</v>
      </c>
    </row>
    <row r="178" ht="48.0" customHeight="1">
      <c r="A178" s="49" t="s">
        <v>40</v>
      </c>
      <c r="B178" s="49" t="str">
        <f t="array" ref="B178">INDEX('HD cty 2024'!B:B,MATCH('F0, F1, F2, ...'!$C178,'HD cty 2024'!B:B,0))</f>
        <v>#N/A</v>
      </c>
      <c r="C178" s="49">
        <v>226.0</v>
      </c>
      <c r="D178" s="50">
        <v>45421.0</v>
      </c>
      <c r="E178" s="51">
        <v>4887629.0</v>
      </c>
      <c r="F178" s="51">
        <v>391010.0</v>
      </c>
      <c r="G178" s="51">
        <v>5278639.0</v>
      </c>
      <c r="H178" s="49" t="s">
        <v>414</v>
      </c>
      <c r="I178" s="52" t="s">
        <v>3074</v>
      </c>
      <c r="J178" s="50">
        <v>45807.0</v>
      </c>
      <c r="K178" s="51">
        <v>79897.0</v>
      </c>
      <c r="L178" s="51">
        <v>6392.0</v>
      </c>
      <c r="M178" s="51">
        <v>86289.0</v>
      </c>
      <c r="N178" s="49"/>
      <c r="O178" s="52"/>
      <c r="P178" s="50"/>
      <c r="Q178" s="51"/>
      <c r="R178" s="51"/>
      <c r="S178" s="51"/>
      <c r="T178" s="49"/>
      <c r="U178" s="52"/>
      <c r="V178" s="50"/>
      <c r="W178" s="51"/>
      <c r="X178" s="51"/>
      <c r="Y178" s="51"/>
      <c r="Z178" s="51">
        <v>4967526.0</v>
      </c>
      <c r="AA178" s="51">
        <v>397402.0</v>
      </c>
      <c r="AB178" s="51">
        <v>5364928.0</v>
      </c>
      <c r="AC178" s="47"/>
      <c r="AD178" s="47" t="s">
        <v>3075</v>
      </c>
      <c r="AE178" s="48"/>
      <c r="AF178" s="50"/>
      <c r="AG178" s="51">
        <v>-79897.0</v>
      </c>
      <c r="AH178" s="51">
        <v>-6392.0</v>
      </c>
      <c r="AI178" s="51">
        <v>-86289.0</v>
      </c>
      <c r="AJ178" s="47" t="s">
        <v>3076</v>
      </c>
      <c r="AK178" s="48"/>
      <c r="AL178" s="50"/>
      <c r="AM178" s="51">
        <v>-4887629.0</v>
      </c>
      <c r="AN178" s="51">
        <v>-391010.0</v>
      </c>
      <c r="AO178" s="51">
        <v>-5278639.0</v>
      </c>
      <c r="AP178" s="47"/>
      <c r="AQ178" s="48"/>
      <c r="AR178" s="50"/>
      <c r="AS178" s="51"/>
      <c r="AT178" s="51"/>
      <c r="AU178" s="51"/>
      <c r="AV178" s="47"/>
      <c r="AW178" s="48"/>
      <c r="AX178" s="50"/>
      <c r="AY178" s="51"/>
      <c r="AZ178" s="51"/>
      <c r="BA178" s="51"/>
      <c r="BB178" s="51">
        <f t="shared" ref="BB178:BD178" si="176">IF(AND(ISNUMBER(Z178),COUNT(AG178,AM178,AS178,AY178)=2),Z178+SUM(AG178,AM178,AS178,AY178),"")</f>
        <v>0</v>
      </c>
      <c r="BC178" s="51">
        <f t="shared" si="176"/>
        <v>0</v>
      </c>
      <c r="BD178" s="51">
        <f t="shared" si="176"/>
        <v>0</v>
      </c>
    </row>
    <row r="179" ht="48.0" customHeight="1">
      <c r="A179" s="49" t="s">
        <v>40</v>
      </c>
      <c r="B179" s="49" t="str">
        <f t="array" ref="B179">INDEX('HD cty 2024'!B:B,MATCH('F0, F1, F2, ...'!$C179,'HD cty 2024'!B:B,0))</f>
        <v>#N/A</v>
      </c>
      <c r="C179" s="49">
        <v>227.0</v>
      </c>
      <c r="D179" s="50">
        <v>45425.0</v>
      </c>
      <c r="E179" s="51">
        <v>3.8772521E7</v>
      </c>
      <c r="F179" s="51">
        <v>3101802.0</v>
      </c>
      <c r="G179" s="51">
        <v>4.1874323E7</v>
      </c>
      <c r="H179" s="49" t="s">
        <v>414</v>
      </c>
      <c r="I179" s="52" t="s">
        <v>3077</v>
      </c>
      <c r="J179" s="50">
        <v>45805.0</v>
      </c>
      <c r="K179" s="51">
        <v>3155257.0</v>
      </c>
      <c r="L179" s="51">
        <v>252421.0</v>
      </c>
      <c r="M179" s="51">
        <v>3407678.0</v>
      </c>
      <c r="N179" s="49"/>
      <c r="O179" s="52"/>
      <c r="P179" s="50"/>
      <c r="Q179" s="51"/>
      <c r="R179" s="51"/>
      <c r="S179" s="51"/>
      <c r="T179" s="49"/>
      <c r="U179" s="52"/>
      <c r="V179" s="50"/>
      <c r="W179" s="51"/>
      <c r="X179" s="51"/>
      <c r="Y179" s="51"/>
      <c r="Z179" s="51">
        <v>4.1927778E7</v>
      </c>
      <c r="AA179" s="51">
        <v>3354223.0</v>
      </c>
      <c r="AB179" s="51">
        <v>4.5282001E7</v>
      </c>
      <c r="AC179" s="47"/>
      <c r="AD179" s="47" t="s">
        <v>3078</v>
      </c>
      <c r="AE179" s="48"/>
      <c r="AF179" s="50"/>
      <c r="AG179" s="51">
        <v>-3155257.0</v>
      </c>
      <c r="AH179" s="51">
        <v>-252421.0</v>
      </c>
      <c r="AI179" s="51">
        <v>-3407678.0</v>
      </c>
      <c r="AJ179" s="47" t="s">
        <v>3079</v>
      </c>
      <c r="AK179" s="48"/>
      <c r="AL179" s="50"/>
      <c r="AM179" s="51">
        <v>-3.8772521E7</v>
      </c>
      <c r="AN179" s="51">
        <v>-3101802.0</v>
      </c>
      <c r="AO179" s="51">
        <v>-4.1874323E7</v>
      </c>
      <c r="AP179" s="47"/>
      <c r="AQ179" s="48"/>
      <c r="AR179" s="50"/>
      <c r="AS179" s="51"/>
      <c r="AT179" s="51"/>
      <c r="AU179" s="51"/>
      <c r="AV179" s="47"/>
      <c r="AW179" s="48"/>
      <c r="AX179" s="50"/>
      <c r="AY179" s="51"/>
      <c r="AZ179" s="51"/>
      <c r="BA179" s="51"/>
      <c r="BB179" s="51">
        <f t="shared" ref="BB179:BD179" si="177">IF(AND(ISNUMBER(Z179),COUNT(AG179,AM179,AS179,AY179)=2),Z179+SUM(AG179,AM179,AS179,AY179),"")</f>
        <v>0</v>
      </c>
      <c r="BC179" s="51">
        <f t="shared" si="177"/>
        <v>0</v>
      </c>
      <c r="BD179" s="51">
        <f t="shared" si="177"/>
        <v>0</v>
      </c>
    </row>
    <row r="180" ht="135.0" customHeight="1">
      <c r="A180" s="49" t="s">
        <v>40</v>
      </c>
      <c r="B180" s="49" t="str">
        <f t="array" ref="B180">INDEX('HD cty 2024'!B:B,MATCH('F0, F1, F2, ...'!$C180,'HD cty 2024'!B:B,0))</f>
        <v>#N/A</v>
      </c>
      <c r="C180" s="49">
        <v>228.0</v>
      </c>
      <c r="D180" s="50">
        <v>45425.0</v>
      </c>
      <c r="E180" s="51">
        <v>1.0131221E7</v>
      </c>
      <c r="F180" s="51">
        <v>810498.0</v>
      </c>
      <c r="G180" s="51">
        <v>1.0941719E7</v>
      </c>
      <c r="H180" s="49" t="s">
        <v>414</v>
      </c>
      <c r="I180" s="52" t="s">
        <v>3080</v>
      </c>
      <c r="J180" s="50">
        <v>45808.0</v>
      </c>
      <c r="K180" s="51">
        <v>-589554.0</v>
      </c>
      <c r="L180" s="51">
        <v>-47164.0</v>
      </c>
      <c r="M180" s="51">
        <v>-636719.0</v>
      </c>
      <c r="N180" s="49" t="s">
        <v>414</v>
      </c>
      <c r="O180" s="52" t="s">
        <v>3081</v>
      </c>
      <c r="P180" s="50">
        <v>45808.0</v>
      </c>
      <c r="Q180" s="51">
        <v>1718981.0</v>
      </c>
      <c r="R180" s="51">
        <v>137518.0</v>
      </c>
      <c r="S180" s="51">
        <v>1856499.0</v>
      </c>
      <c r="T180" s="49"/>
      <c r="U180" s="52"/>
      <c r="V180" s="50"/>
      <c r="W180" s="51"/>
      <c r="X180" s="51"/>
      <c r="Y180" s="51"/>
      <c r="Z180" s="51">
        <v>1.1260648E7</v>
      </c>
      <c r="AA180" s="51">
        <v>900852.0</v>
      </c>
      <c r="AB180" s="51">
        <v>1.2161499E7</v>
      </c>
      <c r="AC180" s="47" t="s">
        <v>2776</v>
      </c>
      <c r="AD180" s="47" t="s">
        <v>3082</v>
      </c>
      <c r="AE180" s="48"/>
      <c r="AF180" s="50">
        <v>46307.0</v>
      </c>
      <c r="AG180" s="51">
        <v>589554.0</v>
      </c>
      <c r="AH180" s="51">
        <v>47164.0</v>
      </c>
      <c r="AI180" s="51">
        <v>636719.0</v>
      </c>
      <c r="AJ180" s="47" t="s">
        <v>3083</v>
      </c>
      <c r="AK180" s="48"/>
      <c r="AL180" s="50">
        <v>46307.0</v>
      </c>
      <c r="AM180" s="51">
        <v>-1718981.0</v>
      </c>
      <c r="AN180" s="51">
        <v>-137518.0</v>
      </c>
      <c r="AO180" s="51">
        <v>-1856499.0</v>
      </c>
      <c r="AP180" s="47" t="s">
        <v>3084</v>
      </c>
      <c r="AQ180" s="48"/>
      <c r="AR180" s="50">
        <v>46307.0</v>
      </c>
      <c r="AS180" s="51">
        <v>-1.0131221E7</v>
      </c>
      <c r="AT180" s="51">
        <v>-810498.0</v>
      </c>
      <c r="AU180" s="51">
        <v>-1.0941719E7</v>
      </c>
      <c r="AV180" s="47"/>
      <c r="AW180" s="48"/>
      <c r="AX180" s="50"/>
      <c r="AY180" s="51"/>
      <c r="AZ180" s="51"/>
      <c r="BA180" s="51"/>
      <c r="BB180" s="51">
        <f t="shared" ref="BB180:BD180" si="178">IF(AND(ISNUMBER(Z180),COUNT(AG180,AM180,AS180,AY180)=3),Z180+SUM(AG180,AM180,AS180,AY180),"")</f>
        <v>0</v>
      </c>
      <c r="BC180" s="51">
        <f t="shared" si="178"/>
        <v>0</v>
      </c>
      <c r="BD180" s="51">
        <f t="shared" si="178"/>
        <v>0</v>
      </c>
    </row>
    <row r="181" ht="48.0" customHeight="1">
      <c r="A181" s="49" t="s">
        <v>40</v>
      </c>
      <c r="B181" s="49" t="str">
        <f t="array" ref="B181">INDEX('HD cty 2024'!B:B,MATCH('F0, F1, F2, ...'!$C181,'HD cty 2024'!B:B,0))</f>
        <v>#N/A</v>
      </c>
      <c r="C181" s="49">
        <v>229.0</v>
      </c>
      <c r="D181" s="50">
        <v>45425.0</v>
      </c>
      <c r="E181" s="51">
        <v>4928556.0</v>
      </c>
      <c r="F181" s="51">
        <v>394284.0</v>
      </c>
      <c r="G181" s="51">
        <v>5322840.0</v>
      </c>
      <c r="H181" s="49" t="s">
        <v>414</v>
      </c>
      <c r="I181" s="52" t="s">
        <v>3085</v>
      </c>
      <c r="J181" s="50">
        <v>45807.0</v>
      </c>
      <c r="K181" s="51">
        <v>238400.0</v>
      </c>
      <c r="L181" s="51">
        <v>19072.0</v>
      </c>
      <c r="M181" s="51">
        <v>257472.0</v>
      </c>
      <c r="N181" s="49"/>
      <c r="O181" s="52"/>
      <c r="P181" s="50"/>
      <c r="Q181" s="51"/>
      <c r="R181" s="51"/>
      <c r="S181" s="51"/>
      <c r="T181" s="49"/>
      <c r="U181" s="52"/>
      <c r="V181" s="50"/>
      <c r="W181" s="51"/>
      <c r="X181" s="51"/>
      <c r="Y181" s="51"/>
      <c r="Z181" s="51">
        <v>5166956.0</v>
      </c>
      <c r="AA181" s="51">
        <v>413356.0</v>
      </c>
      <c r="AB181" s="51">
        <v>5580312.0</v>
      </c>
      <c r="AC181" s="47"/>
      <c r="AD181" s="47" t="s">
        <v>3086</v>
      </c>
      <c r="AE181" s="48"/>
      <c r="AF181" s="50"/>
      <c r="AG181" s="51">
        <v>-238400.0</v>
      </c>
      <c r="AH181" s="51">
        <v>-19072.0</v>
      </c>
      <c r="AI181" s="51">
        <v>-257472.0</v>
      </c>
      <c r="AJ181" s="47" t="s">
        <v>3087</v>
      </c>
      <c r="AK181" s="48"/>
      <c r="AL181" s="50"/>
      <c r="AM181" s="51">
        <v>-4928556.0</v>
      </c>
      <c r="AN181" s="51">
        <v>-394284.0</v>
      </c>
      <c r="AO181" s="51">
        <v>-5322840.0</v>
      </c>
      <c r="AP181" s="47"/>
      <c r="AQ181" s="48"/>
      <c r="AR181" s="50"/>
      <c r="AS181" s="51"/>
      <c r="AT181" s="51"/>
      <c r="AU181" s="51"/>
      <c r="AV181" s="47"/>
      <c r="AW181" s="48"/>
      <c r="AX181" s="50"/>
      <c r="AY181" s="51"/>
      <c r="AZ181" s="51"/>
      <c r="BA181" s="51"/>
      <c r="BB181" s="51">
        <f t="shared" ref="BB181:BD181" si="179">IF(AND(ISNUMBER(Z181),COUNT(AG181,AM181,AS181,AY181)=2),Z181+SUM(AG181,AM181,AS181,AY181),"")</f>
        <v>0</v>
      </c>
      <c r="BC181" s="51">
        <f t="shared" si="179"/>
        <v>0</v>
      </c>
      <c r="BD181" s="51">
        <f t="shared" si="179"/>
        <v>0</v>
      </c>
    </row>
    <row r="182" ht="48.0" customHeight="1">
      <c r="A182" s="49" t="s">
        <v>40</v>
      </c>
      <c r="B182" s="49" t="str">
        <f t="array" ref="B182">INDEX('HD cty 2024'!B:B,MATCH('F0, F1, F2, ...'!$C182,'HD cty 2024'!B:B,0))</f>
        <v>#N/A</v>
      </c>
      <c r="C182" s="49">
        <v>230.0</v>
      </c>
      <c r="D182" s="50">
        <v>45425.0</v>
      </c>
      <c r="E182" s="51">
        <v>1.53062855E8</v>
      </c>
      <c r="F182" s="51">
        <v>1.2245028E7</v>
      </c>
      <c r="G182" s="51">
        <v>1.65307883E8</v>
      </c>
      <c r="H182" s="49" t="s">
        <v>414</v>
      </c>
      <c r="I182" s="52" t="s">
        <v>3088</v>
      </c>
      <c r="J182" s="50">
        <v>45805.0</v>
      </c>
      <c r="K182" s="51">
        <v>2.5456589E7</v>
      </c>
      <c r="L182" s="51">
        <v>2036527.0</v>
      </c>
      <c r="M182" s="51">
        <v>2.7493116E7</v>
      </c>
      <c r="N182" s="49"/>
      <c r="O182" s="52"/>
      <c r="P182" s="50"/>
      <c r="Q182" s="51"/>
      <c r="R182" s="51"/>
      <c r="S182" s="51"/>
      <c r="T182" s="49"/>
      <c r="U182" s="52"/>
      <c r="V182" s="50"/>
      <c r="W182" s="51"/>
      <c r="X182" s="51"/>
      <c r="Y182" s="51"/>
      <c r="Z182" s="51">
        <v>1.78519444E8</v>
      </c>
      <c r="AA182" s="51">
        <v>1.4281555E7</v>
      </c>
      <c r="AB182" s="51">
        <v>1.92800999E8</v>
      </c>
      <c r="AC182" s="47"/>
      <c r="AD182" s="47" t="s">
        <v>3089</v>
      </c>
      <c r="AE182" s="48"/>
      <c r="AF182" s="50"/>
      <c r="AG182" s="51">
        <v>-2.5456589E7</v>
      </c>
      <c r="AH182" s="51">
        <v>-2036527.0</v>
      </c>
      <c r="AI182" s="51">
        <v>-2.7493116E7</v>
      </c>
      <c r="AJ182" s="47" t="s">
        <v>3090</v>
      </c>
      <c r="AK182" s="48"/>
      <c r="AL182" s="50"/>
      <c r="AM182" s="51">
        <v>-1.53062855E8</v>
      </c>
      <c r="AN182" s="51">
        <v>-1.2245028E7</v>
      </c>
      <c r="AO182" s="51">
        <v>-1.65307883E8</v>
      </c>
      <c r="AP182" s="47"/>
      <c r="AQ182" s="48"/>
      <c r="AR182" s="50"/>
      <c r="AS182" s="51"/>
      <c r="AT182" s="51"/>
      <c r="AU182" s="51"/>
      <c r="AV182" s="47"/>
      <c r="AW182" s="48"/>
      <c r="AX182" s="50"/>
      <c r="AY182" s="51"/>
      <c r="AZ182" s="51"/>
      <c r="BA182" s="51"/>
      <c r="BB182" s="51">
        <f t="shared" ref="BB182:BD182" si="180">IF(AND(ISNUMBER(Z182),COUNT(AG182,AM182,AS182,AY182)=2),Z182+SUM(AG182,AM182,AS182,AY182),"")</f>
        <v>0</v>
      </c>
      <c r="BC182" s="51">
        <f t="shared" si="180"/>
        <v>0</v>
      </c>
      <c r="BD182" s="51">
        <f t="shared" si="180"/>
        <v>0</v>
      </c>
    </row>
    <row r="183" ht="48.0" customHeight="1">
      <c r="A183" s="49" t="s">
        <v>40</v>
      </c>
      <c r="B183" s="49" t="str">
        <f t="array" ref="B183">INDEX('HD cty 2024'!B:B,MATCH('F0, F1, F2, ...'!$C183,'HD cty 2024'!B:B,0))</f>
        <v>#N/A</v>
      </c>
      <c r="C183" s="49">
        <v>231.0</v>
      </c>
      <c r="D183" s="50">
        <v>45425.0</v>
      </c>
      <c r="E183" s="51">
        <v>7964629.0</v>
      </c>
      <c r="F183" s="51">
        <v>637170.0</v>
      </c>
      <c r="G183" s="51">
        <v>8601799.0</v>
      </c>
      <c r="H183" s="49" t="s">
        <v>414</v>
      </c>
      <c r="I183" s="52" t="s">
        <v>3091</v>
      </c>
      <c r="J183" s="50">
        <v>45805.0</v>
      </c>
      <c r="K183" s="51">
        <v>-1216018.0</v>
      </c>
      <c r="L183" s="51">
        <v>-97281.0</v>
      </c>
      <c r="M183" s="51">
        <v>-1313299.0</v>
      </c>
      <c r="N183" s="49"/>
      <c r="O183" s="52"/>
      <c r="P183" s="50"/>
      <c r="Q183" s="51"/>
      <c r="R183" s="51"/>
      <c r="S183" s="51"/>
      <c r="T183" s="49"/>
      <c r="U183" s="52"/>
      <c r="V183" s="50"/>
      <c r="W183" s="51"/>
      <c r="X183" s="51"/>
      <c r="Y183" s="51"/>
      <c r="Z183" s="51">
        <v>6748611.0</v>
      </c>
      <c r="AA183" s="51">
        <v>539889.0</v>
      </c>
      <c r="AB183" s="51">
        <v>7288500.0</v>
      </c>
      <c r="AC183" s="47"/>
      <c r="AD183" s="47" t="s">
        <v>3092</v>
      </c>
      <c r="AE183" s="48"/>
      <c r="AF183" s="50"/>
      <c r="AG183" s="51">
        <v>1216018.0</v>
      </c>
      <c r="AH183" s="51">
        <v>97281.0</v>
      </c>
      <c r="AI183" s="51">
        <v>1313299.0</v>
      </c>
      <c r="AJ183" s="47" t="s">
        <v>3093</v>
      </c>
      <c r="AK183" s="48"/>
      <c r="AL183" s="50"/>
      <c r="AM183" s="51">
        <v>-7964629.0</v>
      </c>
      <c r="AN183" s="51">
        <v>-637170.0</v>
      </c>
      <c r="AO183" s="51">
        <v>-8601799.0</v>
      </c>
      <c r="AP183" s="47"/>
      <c r="AQ183" s="48"/>
      <c r="AR183" s="50"/>
      <c r="AS183" s="51"/>
      <c r="AT183" s="51"/>
      <c r="AU183" s="51"/>
      <c r="AV183" s="47"/>
      <c r="AW183" s="48"/>
      <c r="AX183" s="50"/>
      <c r="AY183" s="51"/>
      <c r="AZ183" s="51"/>
      <c r="BA183" s="51"/>
      <c r="BB183" s="51">
        <f t="shared" ref="BB183:BD183" si="181">IF(AND(ISNUMBER(Z183),COUNT(AG183,AM183,AS183,AY183)=2),Z183+SUM(AG183,AM183,AS183,AY183),"")</f>
        <v>0</v>
      </c>
      <c r="BC183" s="51">
        <f t="shared" si="181"/>
        <v>0</v>
      </c>
      <c r="BD183" s="51">
        <f t="shared" si="181"/>
        <v>0</v>
      </c>
    </row>
    <row r="184" ht="48.0" customHeight="1">
      <c r="A184" s="49" t="s">
        <v>40</v>
      </c>
      <c r="B184" s="49" t="str">
        <f t="array" ref="B184">INDEX('HD cty 2024'!B:B,MATCH('F0, F1, F2, ...'!$C184,'HD cty 2024'!B:B,0))</f>
        <v>#N/A</v>
      </c>
      <c r="C184" s="49">
        <v>232.0</v>
      </c>
      <c r="D184" s="50">
        <v>45425.0</v>
      </c>
      <c r="E184" s="51">
        <v>5.0452525E7</v>
      </c>
      <c r="F184" s="51">
        <v>4036202.0</v>
      </c>
      <c r="G184" s="51">
        <v>5.4488727E7</v>
      </c>
      <c r="H184" s="49" t="s">
        <v>414</v>
      </c>
      <c r="I184" s="52" t="s">
        <v>3094</v>
      </c>
      <c r="J184" s="50">
        <v>45805.0</v>
      </c>
      <c r="K184" s="51">
        <v>5815994.0</v>
      </c>
      <c r="L184" s="51">
        <v>465280.0</v>
      </c>
      <c r="M184" s="51">
        <v>6281274.0</v>
      </c>
      <c r="N184" s="49"/>
      <c r="O184" s="52"/>
      <c r="P184" s="50"/>
      <c r="Q184" s="51"/>
      <c r="R184" s="51"/>
      <c r="S184" s="51"/>
      <c r="T184" s="49"/>
      <c r="U184" s="52"/>
      <c r="V184" s="50"/>
      <c r="W184" s="51"/>
      <c r="X184" s="51"/>
      <c r="Y184" s="51"/>
      <c r="Z184" s="51">
        <v>5.6268519E7</v>
      </c>
      <c r="AA184" s="51">
        <v>4501482.0</v>
      </c>
      <c r="AB184" s="51">
        <v>6.0770001E7</v>
      </c>
      <c r="AC184" s="47"/>
      <c r="AD184" s="47" t="s">
        <v>3095</v>
      </c>
      <c r="AE184" s="48"/>
      <c r="AF184" s="50"/>
      <c r="AG184" s="51">
        <v>-5815994.0</v>
      </c>
      <c r="AH184" s="51">
        <v>-465280.0</v>
      </c>
      <c r="AI184" s="51">
        <v>-6281274.0</v>
      </c>
      <c r="AJ184" s="47" t="s">
        <v>3096</v>
      </c>
      <c r="AK184" s="48"/>
      <c r="AL184" s="50"/>
      <c r="AM184" s="51">
        <v>-5.0452525E7</v>
      </c>
      <c r="AN184" s="51">
        <v>-4036202.0</v>
      </c>
      <c r="AO184" s="51">
        <v>-5.4488727E7</v>
      </c>
      <c r="AP184" s="47"/>
      <c r="AQ184" s="48"/>
      <c r="AR184" s="50"/>
      <c r="AS184" s="51"/>
      <c r="AT184" s="51"/>
      <c r="AU184" s="51"/>
      <c r="AV184" s="47"/>
      <c r="AW184" s="48"/>
      <c r="AX184" s="50"/>
      <c r="AY184" s="51"/>
      <c r="AZ184" s="51"/>
      <c r="BA184" s="51"/>
      <c r="BB184" s="51">
        <f t="shared" ref="BB184:BD184" si="182">IF(AND(ISNUMBER(Z184),COUNT(AG184,AM184,AS184,AY184)=2),Z184+SUM(AG184,AM184,AS184,AY184),"")</f>
        <v>0</v>
      </c>
      <c r="BC184" s="51">
        <f t="shared" si="182"/>
        <v>0</v>
      </c>
      <c r="BD184" s="51">
        <f t="shared" si="182"/>
        <v>0</v>
      </c>
    </row>
    <row r="185" ht="48.0" customHeight="1">
      <c r="A185" s="49" t="s">
        <v>40</v>
      </c>
      <c r="B185" s="49" t="str">
        <f t="array" ref="B185">INDEX('HD cty 2024'!B:B,MATCH('F0, F1, F2, ...'!$C185,'HD cty 2024'!B:B,0))</f>
        <v>#N/A</v>
      </c>
      <c r="C185" s="49">
        <v>233.0</v>
      </c>
      <c r="D185" s="50">
        <v>45425.0</v>
      </c>
      <c r="E185" s="51">
        <v>3.658451E7</v>
      </c>
      <c r="F185" s="51">
        <v>2926761.0</v>
      </c>
      <c r="G185" s="51">
        <v>3.9511271E7</v>
      </c>
      <c r="H185" s="49" t="s">
        <v>414</v>
      </c>
      <c r="I185" s="52" t="s">
        <v>3097</v>
      </c>
      <c r="J185" s="50">
        <v>45805.0</v>
      </c>
      <c r="K185" s="51">
        <v>1948823.0</v>
      </c>
      <c r="L185" s="51">
        <v>155906.0</v>
      </c>
      <c r="M185" s="51">
        <v>2104729.0</v>
      </c>
      <c r="N185" s="49"/>
      <c r="O185" s="52"/>
      <c r="P185" s="50"/>
      <c r="Q185" s="51"/>
      <c r="R185" s="51"/>
      <c r="S185" s="51"/>
      <c r="T185" s="49"/>
      <c r="U185" s="52"/>
      <c r="V185" s="50"/>
      <c r="W185" s="51"/>
      <c r="X185" s="51"/>
      <c r="Y185" s="51"/>
      <c r="Z185" s="51">
        <v>3.8533333E7</v>
      </c>
      <c r="AA185" s="51">
        <v>3082667.0</v>
      </c>
      <c r="AB185" s="51">
        <v>4.1616E7</v>
      </c>
      <c r="AC185" s="47"/>
      <c r="AD185" s="47" t="s">
        <v>3098</v>
      </c>
      <c r="AE185" s="48"/>
      <c r="AF185" s="50"/>
      <c r="AG185" s="51">
        <v>-1948823.0</v>
      </c>
      <c r="AH185" s="51">
        <v>-155906.0</v>
      </c>
      <c r="AI185" s="51">
        <v>-2104729.0</v>
      </c>
      <c r="AJ185" s="47" t="s">
        <v>3099</v>
      </c>
      <c r="AK185" s="48"/>
      <c r="AL185" s="50"/>
      <c r="AM185" s="51">
        <v>-3.658451E7</v>
      </c>
      <c r="AN185" s="51">
        <v>-2926761.0</v>
      </c>
      <c r="AO185" s="51">
        <v>-3.9511271E7</v>
      </c>
      <c r="AP185" s="47"/>
      <c r="AQ185" s="48"/>
      <c r="AR185" s="50"/>
      <c r="AS185" s="51"/>
      <c r="AT185" s="51"/>
      <c r="AU185" s="51"/>
      <c r="AV185" s="47"/>
      <c r="AW185" s="48"/>
      <c r="AX185" s="50"/>
      <c r="AY185" s="51"/>
      <c r="AZ185" s="51"/>
      <c r="BA185" s="51"/>
      <c r="BB185" s="51">
        <f t="shared" ref="BB185:BD185" si="183">IF(AND(ISNUMBER(Z185),COUNT(AG185,AM185,AS185,AY185)=2),Z185+SUM(AG185,AM185,AS185,AY185),"")</f>
        <v>0</v>
      </c>
      <c r="BC185" s="51">
        <f t="shared" si="183"/>
        <v>0</v>
      </c>
      <c r="BD185" s="51">
        <f t="shared" si="183"/>
        <v>0</v>
      </c>
    </row>
    <row r="186" ht="48.0" customHeight="1">
      <c r="A186" s="49" t="s">
        <v>40</v>
      </c>
      <c r="B186" s="49" t="str">
        <f t="array" ref="B186">INDEX('HD cty 2024'!B:B,MATCH('F0, F1, F2, ...'!$C186,'HD cty 2024'!B:B,0))</f>
        <v>#N/A</v>
      </c>
      <c r="C186" s="49">
        <v>235.0</v>
      </c>
      <c r="D186" s="50">
        <v>45433.0</v>
      </c>
      <c r="E186" s="51">
        <v>1.31856E7</v>
      </c>
      <c r="F186" s="51">
        <v>1054848.0</v>
      </c>
      <c r="G186" s="51">
        <v>1.4240448E7</v>
      </c>
      <c r="H186" s="49" t="s">
        <v>414</v>
      </c>
      <c r="I186" s="52" t="s">
        <v>3100</v>
      </c>
      <c r="J186" s="50">
        <v>45805.0</v>
      </c>
      <c r="K186" s="51">
        <v>2231993.0</v>
      </c>
      <c r="L186" s="51">
        <v>178559.0</v>
      </c>
      <c r="M186" s="51">
        <v>2410552.0</v>
      </c>
      <c r="N186" s="49"/>
      <c r="O186" s="52"/>
      <c r="P186" s="50"/>
      <c r="Q186" s="51"/>
      <c r="R186" s="51"/>
      <c r="S186" s="51"/>
      <c r="T186" s="49"/>
      <c r="U186" s="52"/>
      <c r="V186" s="50"/>
      <c r="W186" s="51"/>
      <c r="X186" s="51"/>
      <c r="Y186" s="51"/>
      <c r="Z186" s="51">
        <v>1.5417593E7</v>
      </c>
      <c r="AA186" s="51">
        <v>1233407.0</v>
      </c>
      <c r="AB186" s="51">
        <v>1.6651E7</v>
      </c>
      <c r="AC186" s="47"/>
      <c r="AD186" s="47" t="s">
        <v>3101</v>
      </c>
      <c r="AE186" s="48"/>
      <c r="AF186" s="50"/>
      <c r="AG186" s="51">
        <v>-2231993.0</v>
      </c>
      <c r="AH186" s="51">
        <v>-178559.0</v>
      </c>
      <c r="AI186" s="51">
        <v>-2410552.0</v>
      </c>
      <c r="AJ186" s="47" t="s">
        <v>3102</v>
      </c>
      <c r="AK186" s="48"/>
      <c r="AL186" s="50"/>
      <c r="AM186" s="51">
        <v>-1.31856E7</v>
      </c>
      <c r="AN186" s="51">
        <v>-1054848.0</v>
      </c>
      <c r="AO186" s="51">
        <v>-1.4240448E7</v>
      </c>
      <c r="AP186" s="47"/>
      <c r="AQ186" s="48"/>
      <c r="AR186" s="50"/>
      <c r="AS186" s="51"/>
      <c r="AT186" s="51"/>
      <c r="AU186" s="51"/>
      <c r="AV186" s="47"/>
      <c r="AW186" s="48"/>
      <c r="AX186" s="50"/>
      <c r="AY186" s="51"/>
      <c r="AZ186" s="51"/>
      <c r="BA186" s="51"/>
      <c r="BB186" s="51">
        <f t="shared" ref="BB186:BD186" si="184">IF(AND(ISNUMBER(Z186),COUNT(AG186,AM186,AS186,AY186)=2),Z186+SUM(AG186,AM186,AS186,AY186),"")</f>
        <v>0</v>
      </c>
      <c r="BC186" s="51">
        <f t="shared" si="184"/>
        <v>0</v>
      </c>
      <c r="BD186" s="51">
        <f t="shared" si="184"/>
        <v>0</v>
      </c>
    </row>
    <row r="187" ht="48.0" customHeight="1">
      <c r="A187" s="49" t="s">
        <v>40</v>
      </c>
      <c r="B187" s="49" t="str">
        <f t="array" ref="B187">INDEX('HD cty 2024'!B:B,MATCH('F0, F1, F2, ...'!$C187,'HD cty 2024'!B:B,0))</f>
        <v>#N/A</v>
      </c>
      <c r="C187" s="49">
        <v>236.0</v>
      </c>
      <c r="D187" s="50">
        <v>45433.0</v>
      </c>
      <c r="E187" s="51">
        <v>3.2841453E7</v>
      </c>
      <c r="F187" s="51">
        <v>2627316.0</v>
      </c>
      <c r="G187" s="51">
        <v>3.5468769E7</v>
      </c>
      <c r="H187" s="49" t="s">
        <v>414</v>
      </c>
      <c r="I187" s="52" t="s">
        <v>3103</v>
      </c>
      <c r="J187" s="50">
        <v>45805.0</v>
      </c>
      <c r="K187" s="51">
        <v>2269195.0</v>
      </c>
      <c r="L187" s="51">
        <v>181536.0</v>
      </c>
      <c r="M187" s="51">
        <v>2450731.0</v>
      </c>
      <c r="N187" s="49"/>
      <c r="O187" s="52"/>
      <c r="P187" s="50"/>
      <c r="Q187" s="51"/>
      <c r="R187" s="51"/>
      <c r="S187" s="51"/>
      <c r="T187" s="49"/>
      <c r="U187" s="52"/>
      <c r="V187" s="50"/>
      <c r="W187" s="51"/>
      <c r="X187" s="51"/>
      <c r="Y187" s="51"/>
      <c r="Z187" s="51">
        <v>3.5110648E7</v>
      </c>
      <c r="AA187" s="51">
        <v>2808852.0</v>
      </c>
      <c r="AB187" s="51">
        <v>3.79195E7</v>
      </c>
      <c r="AC187" s="47"/>
      <c r="AD187" s="47" t="s">
        <v>3104</v>
      </c>
      <c r="AE187" s="48"/>
      <c r="AF187" s="50"/>
      <c r="AG187" s="51">
        <v>-2269195.0</v>
      </c>
      <c r="AH187" s="51">
        <v>-181536.0</v>
      </c>
      <c r="AI187" s="51">
        <v>-2450731.0</v>
      </c>
      <c r="AJ187" s="47" t="s">
        <v>3105</v>
      </c>
      <c r="AK187" s="48"/>
      <c r="AL187" s="50"/>
      <c r="AM187" s="51">
        <v>-3.2841453E7</v>
      </c>
      <c r="AN187" s="51">
        <v>-2627316.0</v>
      </c>
      <c r="AO187" s="51">
        <v>-3.5468769E7</v>
      </c>
      <c r="AP187" s="47"/>
      <c r="AQ187" s="48"/>
      <c r="AR187" s="50"/>
      <c r="AS187" s="51"/>
      <c r="AT187" s="51"/>
      <c r="AU187" s="51"/>
      <c r="AV187" s="47"/>
      <c r="AW187" s="48"/>
      <c r="AX187" s="50"/>
      <c r="AY187" s="51"/>
      <c r="AZ187" s="51"/>
      <c r="BA187" s="51"/>
      <c r="BB187" s="51">
        <f t="shared" ref="BB187:BD187" si="185">IF(AND(ISNUMBER(Z187),COUNT(AG187,AM187,AS187,AY187)=2),Z187+SUM(AG187,AM187,AS187,AY187),"")</f>
        <v>0</v>
      </c>
      <c r="BC187" s="51">
        <f t="shared" si="185"/>
        <v>0</v>
      </c>
      <c r="BD187" s="51">
        <f t="shared" si="185"/>
        <v>0</v>
      </c>
    </row>
    <row r="188" ht="48.0" customHeight="1">
      <c r="A188" s="49" t="s">
        <v>40</v>
      </c>
      <c r="B188" s="49" t="str">
        <f t="array" ref="B188">INDEX('HD cty 2024'!B:B,MATCH('F0, F1, F2, ...'!$C188,'HD cty 2024'!B:B,0))</f>
        <v>#N/A</v>
      </c>
      <c r="C188" s="49">
        <v>237.0</v>
      </c>
      <c r="D188" s="50">
        <v>45433.0</v>
      </c>
      <c r="E188" s="51">
        <v>6.8768855E7</v>
      </c>
      <c r="F188" s="51">
        <v>5501508.0</v>
      </c>
      <c r="G188" s="51">
        <v>7.4270363E7</v>
      </c>
      <c r="H188" s="49" t="s">
        <v>414</v>
      </c>
      <c r="I188" s="52" t="s">
        <v>3106</v>
      </c>
      <c r="J188" s="50">
        <v>45805.0</v>
      </c>
      <c r="K188" s="51">
        <v>5928367.0</v>
      </c>
      <c r="L188" s="51">
        <v>474269.0</v>
      </c>
      <c r="M188" s="51">
        <v>6402636.0</v>
      </c>
      <c r="N188" s="49"/>
      <c r="O188" s="52"/>
      <c r="P188" s="50"/>
      <c r="Q188" s="51"/>
      <c r="R188" s="51"/>
      <c r="S188" s="51"/>
      <c r="T188" s="49"/>
      <c r="U188" s="52"/>
      <c r="V188" s="50"/>
      <c r="W188" s="51"/>
      <c r="X188" s="51"/>
      <c r="Y188" s="51"/>
      <c r="Z188" s="51">
        <v>7.4697222E7</v>
      </c>
      <c r="AA188" s="51">
        <v>5975777.0</v>
      </c>
      <c r="AB188" s="51">
        <v>8.0672999E7</v>
      </c>
      <c r="AC188" s="47"/>
      <c r="AD188" s="47" t="s">
        <v>3107</v>
      </c>
      <c r="AE188" s="48"/>
      <c r="AF188" s="50"/>
      <c r="AG188" s="51">
        <v>-5928367.0</v>
      </c>
      <c r="AH188" s="51">
        <v>-474269.0</v>
      </c>
      <c r="AI188" s="51">
        <v>-6402636.0</v>
      </c>
      <c r="AJ188" s="47" t="s">
        <v>3108</v>
      </c>
      <c r="AK188" s="48"/>
      <c r="AL188" s="50"/>
      <c r="AM188" s="51">
        <v>-6.8768855E7</v>
      </c>
      <c r="AN188" s="51">
        <v>-5501508.0</v>
      </c>
      <c r="AO188" s="51">
        <v>-7.4270363E7</v>
      </c>
      <c r="AP188" s="47"/>
      <c r="AQ188" s="48"/>
      <c r="AR188" s="50"/>
      <c r="AS188" s="51"/>
      <c r="AT188" s="51"/>
      <c r="AU188" s="51"/>
      <c r="AV188" s="47"/>
      <c r="AW188" s="48"/>
      <c r="AX188" s="50"/>
      <c r="AY188" s="51"/>
      <c r="AZ188" s="51"/>
      <c r="BA188" s="51"/>
      <c r="BB188" s="51">
        <f t="shared" ref="BB188:BD188" si="186">IF(AND(ISNUMBER(Z188),COUNT(AG188,AM188,AS188,AY188)=2),Z188+SUM(AG188,AM188,AS188,AY188),"")</f>
        <v>0</v>
      </c>
      <c r="BC188" s="51">
        <f t="shared" si="186"/>
        <v>0</v>
      </c>
      <c r="BD188" s="51">
        <f t="shared" si="186"/>
        <v>0</v>
      </c>
    </row>
    <row r="189" ht="48.0" customHeight="1">
      <c r="A189" s="49" t="s">
        <v>40</v>
      </c>
      <c r="B189" s="49" t="str">
        <f t="array" ref="B189">INDEX('HD cty 2024'!B:B,MATCH('F0, F1, F2, ...'!$C189,'HD cty 2024'!B:B,0))</f>
        <v>#N/A</v>
      </c>
      <c r="C189" s="49">
        <v>238.0</v>
      </c>
      <c r="D189" s="50">
        <v>45433.0</v>
      </c>
      <c r="E189" s="51">
        <v>4.8826183E7</v>
      </c>
      <c r="F189" s="51">
        <v>3906095.0</v>
      </c>
      <c r="G189" s="51">
        <v>5.2732278E7</v>
      </c>
      <c r="H189" s="49" t="s">
        <v>414</v>
      </c>
      <c r="I189" s="52" t="s">
        <v>3109</v>
      </c>
      <c r="J189" s="50">
        <v>45805.0</v>
      </c>
      <c r="K189" s="51">
        <v>4517336.0</v>
      </c>
      <c r="L189" s="51">
        <v>361387.0</v>
      </c>
      <c r="M189" s="51">
        <v>4878723.0</v>
      </c>
      <c r="N189" s="49"/>
      <c r="O189" s="52"/>
      <c r="P189" s="50"/>
      <c r="Q189" s="51"/>
      <c r="R189" s="51"/>
      <c r="S189" s="51"/>
      <c r="T189" s="49"/>
      <c r="U189" s="52"/>
      <c r="V189" s="50"/>
      <c r="W189" s="51"/>
      <c r="X189" s="51"/>
      <c r="Y189" s="51"/>
      <c r="Z189" s="51">
        <v>5.3343519E7</v>
      </c>
      <c r="AA189" s="51">
        <v>4267482.0</v>
      </c>
      <c r="AB189" s="51">
        <v>5.7611001E7</v>
      </c>
      <c r="AC189" s="47"/>
      <c r="AD189" s="47" t="s">
        <v>3110</v>
      </c>
      <c r="AE189" s="48"/>
      <c r="AF189" s="50"/>
      <c r="AG189" s="51">
        <v>-4517336.0</v>
      </c>
      <c r="AH189" s="51">
        <v>-361387.0</v>
      </c>
      <c r="AI189" s="51">
        <v>-4878723.0</v>
      </c>
      <c r="AJ189" s="47" t="s">
        <v>3111</v>
      </c>
      <c r="AK189" s="48"/>
      <c r="AL189" s="50"/>
      <c r="AM189" s="51">
        <v>-4.8826183E7</v>
      </c>
      <c r="AN189" s="51">
        <v>-3906095.0</v>
      </c>
      <c r="AO189" s="51">
        <v>-5.2732278E7</v>
      </c>
      <c r="AP189" s="47"/>
      <c r="AQ189" s="48"/>
      <c r="AR189" s="50"/>
      <c r="AS189" s="51"/>
      <c r="AT189" s="51"/>
      <c r="AU189" s="51"/>
      <c r="AV189" s="47"/>
      <c r="AW189" s="48"/>
      <c r="AX189" s="50"/>
      <c r="AY189" s="51"/>
      <c r="AZ189" s="51"/>
      <c r="BA189" s="51"/>
      <c r="BB189" s="51">
        <f t="shared" ref="BB189:BD189" si="187">IF(AND(ISNUMBER(Z189),COUNT(AG189,AM189,AS189,AY189)=2),Z189+SUM(AG189,AM189,AS189,AY189),"")</f>
        <v>0</v>
      </c>
      <c r="BC189" s="51">
        <f t="shared" si="187"/>
        <v>0</v>
      </c>
      <c r="BD189" s="51">
        <f t="shared" si="187"/>
        <v>0</v>
      </c>
    </row>
    <row r="190" ht="48.0" customHeight="1">
      <c r="A190" s="49" t="s">
        <v>40</v>
      </c>
      <c r="B190" s="49" t="str">
        <f t="array" ref="B190">INDEX('HD cty 2024'!B:B,MATCH('F0, F1, F2, ...'!$C190,'HD cty 2024'!B:B,0))</f>
        <v>#N/A</v>
      </c>
      <c r="C190" s="49">
        <v>239.0</v>
      </c>
      <c r="D190" s="50">
        <v>45433.0</v>
      </c>
      <c r="E190" s="51">
        <v>7.0064756E7</v>
      </c>
      <c r="F190" s="51">
        <v>5605180.0</v>
      </c>
      <c r="G190" s="51">
        <v>7.5669936E7</v>
      </c>
      <c r="H190" s="49" t="s">
        <v>414</v>
      </c>
      <c r="I190" s="52" t="s">
        <v>3112</v>
      </c>
      <c r="J190" s="50">
        <v>45805.0</v>
      </c>
      <c r="K190" s="51">
        <v>1.048617E7</v>
      </c>
      <c r="L190" s="51">
        <v>838894.0</v>
      </c>
      <c r="M190" s="51">
        <v>1.1325064E7</v>
      </c>
      <c r="N190" s="49"/>
      <c r="O190" s="52"/>
      <c r="P190" s="50"/>
      <c r="Q190" s="51"/>
      <c r="R190" s="51"/>
      <c r="S190" s="51"/>
      <c r="T190" s="49"/>
      <c r="U190" s="52"/>
      <c r="V190" s="50"/>
      <c r="W190" s="51"/>
      <c r="X190" s="51"/>
      <c r="Y190" s="51"/>
      <c r="Z190" s="51">
        <v>8.0550926E7</v>
      </c>
      <c r="AA190" s="51">
        <v>6444074.0</v>
      </c>
      <c r="AB190" s="51">
        <v>8.6995E7</v>
      </c>
      <c r="AC190" s="47"/>
      <c r="AD190" s="47" t="s">
        <v>3113</v>
      </c>
      <c r="AE190" s="48"/>
      <c r="AF190" s="50"/>
      <c r="AG190" s="51">
        <v>-1.048617E7</v>
      </c>
      <c r="AH190" s="51">
        <v>-838894.0</v>
      </c>
      <c r="AI190" s="51">
        <v>-1.1325064E7</v>
      </c>
      <c r="AJ190" s="47" t="s">
        <v>3114</v>
      </c>
      <c r="AK190" s="48"/>
      <c r="AL190" s="50"/>
      <c r="AM190" s="51">
        <v>-7.0064756E7</v>
      </c>
      <c r="AN190" s="51">
        <v>-5605180.0</v>
      </c>
      <c r="AO190" s="51">
        <v>-7.5669936E7</v>
      </c>
      <c r="AP190" s="47"/>
      <c r="AQ190" s="48"/>
      <c r="AR190" s="50"/>
      <c r="AS190" s="51"/>
      <c r="AT190" s="51"/>
      <c r="AU190" s="51"/>
      <c r="AV190" s="47"/>
      <c r="AW190" s="48"/>
      <c r="AX190" s="50"/>
      <c r="AY190" s="51"/>
      <c r="AZ190" s="51"/>
      <c r="BA190" s="51"/>
      <c r="BB190" s="51">
        <f t="shared" ref="BB190:BD190" si="188">IF(AND(ISNUMBER(Z190),COUNT(AG190,AM190,AS190,AY190)=2),Z190+SUM(AG190,AM190,AS190,AY190),"")</f>
        <v>0</v>
      </c>
      <c r="BC190" s="51">
        <f t="shared" si="188"/>
        <v>0</v>
      </c>
      <c r="BD190" s="51">
        <f t="shared" si="188"/>
        <v>0</v>
      </c>
    </row>
    <row r="191" ht="48.0" customHeight="1">
      <c r="A191" s="49" t="s">
        <v>40</v>
      </c>
      <c r="B191" s="49" t="str">
        <f t="array" ref="B191">INDEX('HD cty 2024'!B:B,MATCH('F0, F1, F2, ...'!$C191,'HD cty 2024'!B:B,0))</f>
        <v>#N/A</v>
      </c>
      <c r="C191" s="49">
        <v>240.0</v>
      </c>
      <c r="D191" s="50">
        <v>45433.0</v>
      </c>
      <c r="E191" s="51">
        <v>8234871.0</v>
      </c>
      <c r="F191" s="51">
        <v>658790.0</v>
      </c>
      <c r="G191" s="51">
        <v>8893661.0</v>
      </c>
      <c r="H191" s="49" t="s">
        <v>414</v>
      </c>
      <c r="I191" s="52" t="s">
        <v>3115</v>
      </c>
      <c r="J191" s="50">
        <v>45805.0</v>
      </c>
      <c r="K191" s="51">
        <v>-4421908.0</v>
      </c>
      <c r="L191" s="51">
        <v>-353753.0</v>
      </c>
      <c r="M191" s="51">
        <v>-4775661.0</v>
      </c>
      <c r="N191" s="49"/>
      <c r="O191" s="52"/>
      <c r="P191" s="50"/>
      <c r="Q191" s="51"/>
      <c r="R191" s="51"/>
      <c r="S191" s="51"/>
      <c r="T191" s="49"/>
      <c r="U191" s="52"/>
      <c r="V191" s="50"/>
      <c r="W191" s="51"/>
      <c r="X191" s="51"/>
      <c r="Y191" s="51"/>
      <c r="Z191" s="51">
        <v>3812963.0</v>
      </c>
      <c r="AA191" s="51">
        <v>305037.0</v>
      </c>
      <c r="AB191" s="51">
        <v>4118000.0</v>
      </c>
      <c r="AC191" s="47"/>
      <c r="AD191" s="47" t="s">
        <v>3116</v>
      </c>
      <c r="AE191" s="48"/>
      <c r="AF191" s="50"/>
      <c r="AG191" s="51">
        <v>4421908.0</v>
      </c>
      <c r="AH191" s="51">
        <v>353753.0</v>
      </c>
      <c r="AI191" s="51">
        <v>4775661.0</v>
      </c>
      <c r="AJ191" s="47" t="s">
        <v>3117</v>
      </c>
      <c r="AK191" s="48"/>
      <c r="AL191" s="50"/>
      <c r="AM191" s="51">
        <v>-8234871.0</v>
      </c>
      <c r="AN191" s="51">
        <v>-658790.0</v>
      </c>
      <c r="AO191" s="51">
        <v>-8893661.0</v>
      </c>
      <c r="AP191" s="47"/>
      <c r="AQ191" s="48"/>
      <c r="AR191" s="50"/>
      <c r="AS191" s="51"/>
      <c r="AT191" s="51"/>
      <c r="AU191" s="51"/>
      <c r="AV191" s="47"/>
      <c r="AW191" s="48"/>
      <c r="AX191" s="50"/>
      <c r="AY191" s="51"/>
      <c r="AZ191" s="51"/>
      <c r="BA191" s="51"/>
      <c r="BB191" s="51">
        <f t="shared" ref="BB191:BD191" si="189">IF(AND(ISNUMBER(Z191),COUNT(AG191,AM191,AS191,AY191)=2),Z191+SUM(AG191,AM191,AS191,AY191),"")</f>
        <v>0</v>
      </c>
      <c r="BC191" s="51">
        <f t="shared" si="189"/>
        <v>0</v>
      </c>
      <c r="BD191" s="51">
        <f t="shared" si="189"/>
        <v>0</v>
      </c>
    </row>
    <row r="192" ht="48.0" customHeight="1">
      <c r="A192" s="49" t="s">
        <v>40</v>
      </c>
      <c r="B192" s="49" t="str">
        <f t="array" ref="B192">INDEX('HD cty 2024'!B:B,MATCH('F0, F1, F2, ...'!$C192,'HD cty 2024'!B:B,0))</f>
        <v>#N/A</v>
      </c>
      <c r="C192" s="49">
        <v>241.0</v>
      </c>
      <c r="D192" s="50">
        <v>45433.0</v>
      </c>
      <c r="E192" s="51">
        <v>2723653.0</v>
      </c>
      <c r="F192" s="51">
        <v>217892.0</v>
      </c>
      <c r="G192" s="51">
        <v>2941545.0</v>
      </c>
      <c r="H192" s="49" t="s">
        <v>414</v>
      </c>
      <c r="I192" s="52" t="s">
        <v>3118</v>
      </c>
      <c r="J192" s="50">
        <v>45807.0</v>
      </c>
      <c r="K192" s="51">
        <v>207754.0</v>
      </c>
      <c r="L192" s="51">
        <v>16620.0</v>
      </c>
      <c r="M192" s="51">
        <v>224374.0</v>
      </c>
      <c r="N192" s="49"/>
      <c r="O192" s="52"/>
      <c r="P192" s="50"/>
      <c r="Q192" s="51"/>
      <c r="R192" s="51"/>
      <c r="S192" s="51"/>
      <c r="T192" s="49"/>
      <c r="U192" s="52"/>
      <c r="V192" s="50"/>
      <c r="W192" s="51"/>
      <c r="X192" s="51"/>
      <c r="Y192" s="51"/>
      <c r="Z192" s="51">
        <v>2931407.0</v>
      </c>
      <c r="AA192" s="51">
        <v>234512.0</v>
      </c>
      <c r="AB192" s="51">
        <v>3165919.0</v>
      </c>
      <c r="AC192" s="47"/>
      <c r="AD192" s="47" t="s">
        <v>3119</v>
      </c>
      <c r="AE192" s="48"/>
      <c r="AF192" s="50"/>
      <c r="AG192" s="51">
        <v>-207754.0</v>
      </c>
      <c r="AH192" s="51">
        <v>-16620.0</v>
      </c>
      <c r="AI192" s="51">
        <v>-224374.0</v>
      </c>
      <c r="AJ192" s="47" t="s">
        <v>3120</v>
      </c>
      <c r="AK192" s="48"/>
      <c r="AL192" s="50"/>
      <c r="AM192" s="51">
        <v>-2723653.0</v>
      </c>
      <c r="AN192" s="51">
        <v>-217892.0</v>
      </c>
      <c r="AO192" s="51">
        <v>-2941545.0</v>
      </c>
      <c r="AP192" s="47"/>
      <c r="AQ192" s="48"/>
      <c r="AR192" s="50"/>
      <c r="AS192" s="51"/>
      <c r="AT192" s="51"/>
      <c r="AU192" s="51"/>
      <c r="AV192" s="47"/>
      <c r="AW192" s="48"/>
      <c r="AX192" s="50"/>
      <c r="AY192" s="51"/>
      <c r="AZ192" s="51"/>
      <c r="BA192" s="51"/>
      <c r="BB192" s="51">
        <f t="shared" ref="BB192:BD192" si="190">IF(AND(ISNUMBER(Z192),COUNT(AG192,AM192,AS192,AY192)=2),Z192+SUM(AG192,AM192,AS192,AY192),"")</f>
        <v>0</v>
      </c>
      <c r="BC192" s="51">
        <f t="shared" si="190"/>
        <v>0</v>
      </c>
      <c r="BD192" s="51">
        <f t="shared" si="190"/>
        <v>0</v>
      </c>
    </row>
    <row r="193" ht="48.0" customHeight="1">
      <c r="A193" s="49" t="s">
        <v>40</v>
      </c>
      <c r="B193" s="49" t="str">
        <f t="array" ref="B193">INDEX('HD cty 2024'!B:B,MATCH('F0, F1, F2, ...'!$C193,'HD cty 2024'!B:B,0))</f>
        <v>#N/A</v>
      </c>
      <c r="C193" s="49">
        <v>246.0</v>
      </c>
      <c r="D193" s="50">
        <v>45440.0</v>
      </c>
      <c r="E193" s="51">
        <v>5.8300647E7</v>
      </c>
      <c r="F193" s="51">
        <v>4664052.0</v>
      </c>
      <c r="G193" s="51">
        <v>6.2964699E7</v>
      </c>
      <c r="H193" s="49" t="s">
        <v>414</v>
      </c>
      <c r="I193" s="52" t="s">
        <v>3121</v>
      </c>
      <c r="J193" s="50">
        <v>45805.0</v>
      </c>
      <c r="K193" s="51">
        <v>1.024102E7</v>
      </c>
      <c r="L193" s="51">
        <v>819282.0</v>
      </c>
      <c r="M193" s="51">
        <v>1.1060302E7</v>
      </c>
      <c r="N193" s="49"/>
      <c r="O193" s="52"/>
      <c r="P193" s="50"/>
      <c r="Q193" s="51"/>
      <c r="R193" s="51"/>
      <c r="S193" s="51"/>
      <c r="T193" s="49"/>
      <c r="U193" s="52"/>
      <c r="V193" s="50"/>
      <c r="W193" s="51"/>
      <c r="X193" s="51"/>
      <c r="Y193" s="51"/>
      <c r="Z193" s="51">
        <v>6.8541667E7</v>
      </c>
      <c r="AA193" s="51">
        <v>5483334.0</v>
      </c>
      <c r="AB193" s="51">
        <v>7.4025001E7</v>
      </c>
      <c r="AC193" s="47"/>
      <c r="AD193" s="47" t="s">
        <v>3122</v>
      </c>
      <c r="AE193" s="48"/>
      <c r="AF193" s="50"/>
      <c r="AG193" s="51">
        <v>-1.024102E7</v>
      </c>
      <c r="AH193" s="51">
        <v>-819282.0</v>
      </c>
      <c r="AI193" s="51">
        <v>-1.1060302E7</v>
      </c>
      <c r="AJ193" s="47" t="s">
        <v>3123</v>
      </c>
      <c r="AK193" s="48"/>
      <c r="AL193" s="50"/>
      <c r="AM193" s="51">
        <v>-5.8300647E7</v>
      </c>
      <c r="AN193" s="51">
        <v>-4664052.0</v>
      </c>
      <c r="AO193" s="51">
        <v>-6.2964699E7</v>
      </c>
      <c r="AP193" s="47"/>
      <c r="AQ193" s="48"/>
      <c r="AR193" s="50"/>
      <c r="AS193" s="51"/>
      <c r="AT193" s="51"/>
      <c r="AU193" s="51"/>
      <c r="AV193" s="47"/>
      <c r="AW193" s="48"/>
      <c r="AX193" s="50"/>
      <c r="AY193" s="51"/>
      <c r="AZ193" s="51"/>
      <c r="BA193" s="51"/>
      <c r="BB193" s="51">
        <f t="shared" ref="BB193:BD193" si="191">IF(AND(ISNUMBER(Z193),COUNT(AG193,AM193,AS193,AY193)=2),Z193+SUM(AG193,AM193,AS193,AY193),"")</f>
        <v>0</v>
      </c>
      <c r="BC193" s="51">
        <f t="shared" si="191"/>
        <v>0</v>
      </c>
      <c r="BD193" s="51">
        <f t="shared" si="191"/>
        <v>0</v>
      </c>
    </row>
    <row r="194" ht="48.0" customHeight="1">
      <c r="A194" s="49" t="s">
        <v>40</v>
      </c>
      <c r="B194" s="49" t="str">
        <f t="array" ref="B194">INDEX('HD cty 2024'!B:B,MATCH('F0, F1, F2, ...'!$C194,'HD cty 2024'!B:B,0))</f>
        <v>#N/A</v>
      </c>
      <c r="C194" s="49">
        <v>247.0</v>
      </c>
      <c r="D194" s="50">
        <v>45440.0</v>
      </c>
      <c r="E194" s="51">
        <v>5.8091046E7</v>
      </c>
      <c r="F194" s="51">
        <v>4647284.0</v>
      </c>
      <c r="G194" s="51">
        <v>6.273833E7</v>
      </c>
      <c r="H194" s="49" t="s">
        <v>414</v>
      </c>
      <c r="I194" s="52" t="s">
        <v>3124</v>
      </c>
      <c r="J194" s="50">
        <v>45805.0</v>
      </c>
      <c r="K194" s="51">
        <v>6284880.0</v>
      </c>
      <c r="L194" s="51">
        <v>502790.0</v>
      </c>
      <c r="M194" s="51">
        <v>6787670.0</v>
      </c>
      <c r="N194" s="49"/>
      <c r="O194" s="52"/>
      <c r="P194" s="50"/>
      <c r="Q194" s="51"/>
      <c r="R194" s="51"/>
      <c r="S194" s="51"/>
      <c r="T194" s="49"/>
      <c r="U194" s="52"/>
      <c r="V194" s="50"/>
      <c r="W194" s="51"/>
      <c r="X194" s="51"/>
      <c r="Y194" s="51"/>
      <c r="Z194" s="51">
        <v>6.4375926E7</v>
      </c>
      <c r="AA194" s="51">
        <v>5150074.0</v>
      </c>
      <c r="AB194" s="51">
        <v>6.9526E7</v>
      </c>
      <c r="AC194" s="47"/>
      <c r="AD194" s="47" t="s">
        <v>3125</v>
      </c>
      <c r="AE194" s="48"/>
      <c r="AF194" s="50"/>
      <c r="AG194" s="51">
        <v>-6284880.0</v>
      </c>
      <c r="AH194" s="51">
        <v>-502790.0</v>
      </c>
      <c r="AI194" s="51">
        <v>-6787670.0</v>
      </c>
      <c r="AJ194" s="47" t="s">
        <v>3126</v>
      </c>
      <c r="AK194" s="48"/>
      <c r="AL194" s="50"/>
      <c r="AM194" s="51">
        <v>-5.8091046E7</v>
      </c>
      <c r="AN194" s="51">
        <v>-4647284.0</v>
      </c>
      <c r="AO194" s="51">
        <v>-6.273833E7</v>
      </c>
      <c r="AP194" s="47"/>
      <c r="AQ194" s="48"/>
      <c r="AR194" s="50"/>
      <c r="AS194" s="51"/>
      <c r="AT194" s="51"/>
      <c r="AU194" s="51"/>
      <c r="AV194" s="47"/>
      <c r="AW194" s="48"/>
      <c r="AX194" s="50"/>
      <c r="AY194" s="51"/>
      <c r="AZ194" s="51"/>
      <c r="BA194" s="51"/>
      <c r="BB194" s="51">
        <f t="shared" ref="BB194:BD194" si="192">IF(AND(ISNUMBER(Z194),COUNT(AG194,AM194,AS194,AY194)=2),Z194+SUM(AG194,AM194,AS194,AY194),"")</f>
        <v>0</v>
      </c>
      <c r="BC194" s="51">
        <f t="shared" si="192"/>
        <v>0</v>
      </c>
      <c r="BD194" s="51">
        <f t="shared" si="192"/>
        <v>0</v>
      </c>
    </row>
    <row r="195" ht="48.0" customHeight="1">
      <c r="A195" s="49" t="s">
        <v>40</v>
      </c>
      <c r="B195" s="49" t="str">
        <f t="array" ref="B195">INDEX('HD cty 2024'!B:B,MATCH('F0, F1, F2, ...'!$C195,'HD cty 2024'!B:B,0))</f>
        <v>#N/A</v>
      </c>
      <c r="C195" s="49">
        <v>248.0</v>
      </c>
      <c r="D195" s="50">
        <v>45440.0</v>
      </c>
      <c r="E195" s="51">
        <v>1.01692231E8</v>
      </c>
      <c r="F195" s="51">
        <v>8135378.0</v>
      </c>
      <c r="G195" s="51">
        <v>1.09827609E8</v>
      </c>
      <c r="H195" s="49" t="s">
        <v>414</v>
      </c>
      <c r="I195" s="52" t="s">
        <v>3127</v>
      </c>
      <c r="J195" s="50">
        <v>45805.0</v>
      </c>
      <c r="K195" s="51">
        <v>9944811.0</v>
      </c>
      <c r="L195" s="51">
        <v>795585.0</v>
      </c>
      <c r="M195" s="51">
        <v>1.0740396E7</v>
      </c>
      <c r="N195" s="49"/>
      <c r="O195" s="52"/>
      <c r="P195" s="50"/>
      <c r="Q195" s="51"/>
      <c r="R195" s="51"/>
      <c r="S195" s="51"/>
      <c r="T195" s="49"/>
      <c r="U195" s="52"/>
      <c r="V195" s="50"/>
      <c r="W195" s="51"/>
      <c r="X195" s="51"/>
      <c r="Y195" s="51"/>
      <c r="Z195" s="51">
        <v>1.11637042E8</v>
      </c>
      <c r="AA195" s="51">
        <v>8930963.0</v>
      </c>
      <c r="AB195" s="51">
        <v>1.20568005E8</v>
      </c>
      <c r="AC195" s="47"/>
      <c r="AD195" s="47" t="s">
        <v>3128</v>
      </c>
      <c r="AE195" s="48"/>
      <c r="AF195" s="50"/>
      <c r="AG195" s="51">
        <v>-9944811.0</v>
      </c>
      <c r="AH195" s="51">
        <v>-795585.0</v>
      </c>
      <c r="AI195" s="51">
        <v>-1.0740396E7</v>
      </c>
      <c r="AJ195" s="47" t="s">
        <v>3129</v>
      </c>
      <c r="AK195" s="48"/>
      <c r="AL195" s="50"/>
      <c r="AM195" s="51">
        <v>-1.01692231E8</v>
      </c>
      <c r="AN195" s="51">
        <v>-8135378.0</v>
      </c>
      <c r="AO195" s="51">
        <v>-1.09827609E8</v>
      </c>
      <c r="AP195" s="47"/>
      <c r="AQ195" s="48"/>
      <c r="AR195" s="50"/>
      <c r="AS195" s="51"/>
      <c r="AT195" s="51"/>
      <c r="AU195" s="51"/>
      <c r="AV195" s="47"/>
      <c r="AW195" s="48"/>
      <c r="AX195" s="50"/>
      <c r="AY195" s="51"/>
      <c r="AZ195" s="51"/>
      <c r="BA195" s="51"/>
      <c r="BB195" s="51">
        <f t="shared" ref="BB195:BD195" si="193">IF(AND(ISNUMBER(Z195),COUNT(AG195,AM195,AS195,AY195)=2),Z195+SUM(AG195,AM195,AS195,AY195),"")</f>
        <v>0</v>
      </c>
      <c r="BC195" s="51">
        <f t="shared" si="193"/>
        <v>0</v>
      </c>
      <c r="BD195" s="51">
        <f t="shared" si="193"/>
        <v>0</v>
      </c>
    </row>
    <row r="196" ht="48.0" customHeight="1">
      <c r="A196" s="49" t="s">
        <v>40</v>
      </c>
      <c r="B196" s="49" t="str">
        <f t="array" ref="B196">INDEX('HD cty 2024'!B:B,MATCH('F0, F1, F2, ...'!$C196,'HD cty 2024'!B:B,0))</f>
        <v>#N/A</v>
      </c>
      <c r="C196" s="49">
        <v>249.0</v>
      </c>
      <c r="D196" s="50">
        <v>45440.0</v>
      </c>
      <c r="E196" s="51">
        <v>1.27055085E8</v>
      </c>
      <c r="F196" s="51">
        <v>1.0164407E7</v>
      </c>
      <c r="G196" s="51">
        <v>1.37219492E8</v>
      </c>
      <c r="H196" s="49" t="s">
        <v>414</v>
      </c>
      <c r="I196" s="52" t="s">
        <v>3130</v>
      </c>
      <c r="J196" s="50">
        <v>45805.0</v>
      </c>
      <c r="K196" s="51">
        <v>1.4023619E7</v>
      </c>
      <c r="L196" s="51">
        <v>1121890.0</v>
      </c>
      <c r="M196" s="51">
        <v>1.5145509E7</v>
      </c>
      <c r="N196" s="49"/>
      <c r="O196" s="52"/>
      <c r="P196" s="50"/>
      <c r="Q196" s="51"/>
      <c r="R196" s="51"/>
      <c r="S196" s="51"/>
      <c r="T196" s="49"/>
      <c r="U196" s="52"/>
      <c r="V196" s="50"/>
      <c r="W196" s="51"/>
      <c r="X196" s="51"/>
      <c r="Y196" s="51"/>
      <c r="Z196" s="51">
        <v>1.41078704E8</v>
      </c>
      <c r="AA196" s="51">
        <v>1.1286297E7</v>
      </c>
      <c r="AB196" s="51">
        <v>1.52365001E8</v>
      </c>
      <c r="AC196" s="47"/>
      <c r="AD196" s="47" t="s">
        <v>3131</v>
      </c>
      <c r="AE196" s="48"/>
      <c r="AF196" s="50"/>
      <c r="AG196" s="51">
        <v>-1.4023619E7</v>
      </c>
      <c r="AH196" s="51">
        <v>-1121890.0</v>
      </c>
      <c r="AI196" s="51">
        <v>-1.5145509E7</v>
      </c>
      <c r="AJ196" s="47" t="s">
        <v>3132</v>
      </c>
      <c r="AK196" s="48"/>
      <c r="AL196" s="50"/>
      <c r="AM196" s="51">
        <v>-1.27055085E8</v>
      </c>
      <c r="AN196" s="51">
        <v>-1.0164407E7</v>
      </c>
      <c r="AO196" s="51">
        <v>-1.37219492E8</v>
      </c>
      <c r="AP196" s="47"/>
      <c r="AQ196" s="48"/>
      <c r="AR196" s="50"/>
      <c r="AS196" s="51"/>
      <c r="AT196" s="51"/>
      <c r="AU196" s="51"/>
      <c r="AV196" s="47"/>
      <c r="AW196" s="48"/>
      <c r="AX196" s="50"/>
      <c r="AY196" s="51"/>
      <c r="AZ196" s="51"/>
      <c r="BA196" s="51"/>
      <c r="BB196" s="51">
        <f t="shared" ref="BB196:BD196" si="194">IF(AND(ISNUMBER(Z196),COUNT(AG196,AM196,AS196,AY196)=2),Z196+SUM(AG196,AM196,AS196,AY196),"")</f>
        <v>0</v>
      </c>
      <c r="BC196" s="51">
        <f t="shared" si="194"/>
        <v>0</v>
      </c>
      <c r="BD196" s="51">
        <f t="shared" si="194"/>
        <v>0</v>
      </c>
    </row>
    <row r="197" ht="48.0" customHeight="1">
      <c r="A197" s="49" t="s">
        <v>40</v>
      </c>
      <c r="B197" s="49" t="str">
        <f t="array" ref="B197">INDEX('HD cty 2024'!B:B,MATCH('F0, F1, F2, ...'!$C197,'HD cty 2024'!B:B,0))</f>
        <v>#N/A</v>
      </c>
      <c r="C197" s="49">
        <v>250.0</v>
      </c>
      <c r="D197" s="50">
        <v>45440.0</v>
      </c>
      <c r="E197" s="51">
        <v>8.3516201E7</v>
      </c>
      <c r="F197" s="51">
        <v>6681296.0</v>
      </c>
      <c r="G197" s="51">
        <v>9.0197497E7</v>
      </c>
      <c r="H197" s="49" t="s">
        <v>414</v>
      </c>
      <c r="I197" s="52" t="s">
        <v>3133</v>
      </c>
      <c r="J197" s="50">
        <v>45805.0</v>
      </c>
      <c r="K197" s="51">
        <v>8451672.0</v>
      </c>
      <c r="L197" s="51">
        <v>676134.0</v>
      </c>
      <c r="M197" s="51">
        <v>9127806.0</v>
      </c>
      <c r="N197" s="49"/>
      <c r="O197" s="52"/>
      <c r="P197" s="50"/>
      <c r="Q197" s="51"/>
      <c r="R197" s="51"/>
      <c r="S197" s="51"/>
      <c r="T197" s="49"/>
      <c r="U197" s="52"/>
      <c r="V197" s="50"/>
      <c r="W197" s="51"/>
      <c r="X197" s="51"/>
      <c r="Y197" s="51"/>
      <c r="Z197" s="51">
        <v>9.1967873E7</v>
      </c>
      <c r="AA197" s="51">
        <v>7357430.0</v>
      </c>
      <c r="AB197" s="51">
        <v>9.9325303E7</v>
      </c>
      <c r="AC197" s="47"/>
      <c r="AD197" s="47" t="s">
        <v>3134</v>
      </c>
      <c r="AE197" s="48"/>
      <c r="AF197" s="50"/>
      <c r="AG197" s="51">
        <v>-8451672.0</v>
      </c>
      <c r="AH197" s="51">
        <v>-676134.0</v>
      </c>
      <c r="AI197" s="51">
        <v>-9127806.0</v>
      </c>
      <c r="AJ197" s="47" t="s">
        <v>3135</v>
      </c>
      <c r="AK197" s="48"/>
      <c r="AL197" s="50"/>
      <c r="AM197" s="51">
        <v>-8.3516201E7</v>
      </c>
      <c r="AN197" s="51">
        <v>-6681296.0</v>
      </c>
      <c r="AO197" s="51">
        <v>-9.0197497E7</v>
      </c>
      <c r="AP197" s="47"/>
      <c r="AQ197" s="48"/>
      <c r="AR197" s="50"/>
      <c r="AS197" s="51"/>
      <c r="AT197" s="51"/>
      <c r="AU197" s="51"/>
      <c r="AV197" s="47"/>
      <c r="AW197" s="48"/>
      <c r="AX197" s="50"/>
      <c r="AY197" s="51"/>
      <c r="AZ197" s="51"/>
      <c r="BA197" s="51"/>
      <c r="BB197" s="51">
        <f t="shared" ref="BB197:BD197" si="195">IF(AND(ISNUMBER(Z197),COUNT(AG197,AM197,AS197,AY197)=2),Z197+SUM(AG197,AM197,AS197,AY197),"")</f>
        <v>0</v>
      </c>
      <c r="BC197" s="51">
        <f t="shared" si="195"/>
        <v>0</v>
      </c>
      <c r="BD197" s="51">
        <f t="shared" si="195"/>
        <v>0</v>
      </c>
    </row>
    <row r="198" ht="48.0" customHeight="1">
      <c r="A198" s="49" t="s">
        <v>40</v>
      </c>
      <c r="B198" s="49" t="str">
        <f t="array" ref="B198">INDEX('HD cty 2024'!B:B,MATCH('F0, F1, F2, ...'!$C198,'HD cty 2024'!B:B,0))</f>
        <v>#N/A</v>
      </c>
      <c r="C198" s="49">
        <v>251.0</v>
      </c>
      <c r="D198" s="50">
        <v>45440.0</v>
      </c>
      <c r="E198" s="51">
        <v>9.7759616E7</v>
      </c>
      <c r="F198" s="51">
        <v>7820769.0</v>
      </c>
      <c r="G198" s="51">
        <v>1.05580385E8</v>
      </c>
      <c r="H198" s="49" t="s">
        <v>414</v>
      </c>
      <c r="I198" s="52" t="s">
        <v>3136</v>
      </c>
      <c r="J198" s="50">
        <v>45805.0</v>
      </c>
      <c r="K198" s="51">
        <v>9898717.0</v>
      </c>
      <c r="L198" s="51">
        <v>791897.0</v>
      </c>
      <c r="M198" s="51">
        <v>1.0690614E7</v>
      </c>
      <c r="N198" s="49"/>
      <c r="O198" s="52"/>
      <c r="P198" s="50"/>
      <c r="Q198" s="51"/>
      <c r="R198" s="51"/>
      <c r="S198" s="51"/>
      <c r="T198" s="49"/>
      <c r="U198" s="52"/>
      <c r="V198" s="50"/>
      <c r="W198" s="51"/>
      <c r="X198" s="51"/>
      <c r="Y198" s="51"/>
      <c r="Z198" s="51">
        <v>1.07658333E8</v>
      </c>
      <c r="AA198" s="51">
        <v>8612666.0</v>
      </c>
      <c r="AB198" s="51">
        <v>1.16270999E8</v>
      </c>
      <c r="AC198" s="47"/>
      <c r="AD198" s="47" t="s">
        <v>3137</v>
      </c>
      <c r="AE198" s="48"/>
      <c r="AF198" s="50"/>
      <c r="AG198" s="51">
        <v>-9898717.0</v>
      </c>
      <c r="AH198" s="51">
        <v>-791897.0</v>
      </c>
      <c r="AI198" s="51">
        <v>-1.0690614E7</v>
      </c>
      <c r="AJ198" s="47" t="s">
        <v>3138</v>
      </c>
      <c r="AK198" s="48"/>
      <c r="AL198" s="50"/>
      <c r="AM198" s="51">
        <v>-9.7759616E7</v>
      </c>
      <c r="AN198" s="51">
        <v>-7820769.0</v>
      </c>
      <c r="AO198" s="51">
        <v>-1.05580385E8</v>
      </c>
      <c r="AP198" s="47"/>
      <c r="AQ198" s="48"/>
      <c r="AR198" s="50"/>
      <c r="AS198" s="51"/>
      <c r="AT198" s="51"/>
      <c r="AU198" s="51"/>
      <c r="AV198" s="47"/>
      <c r="AW198" s="48"/>
      <c r="AX198" s="50"/>
      <c r="AY198" s="51"/>
      <c r="AZ198" s="51"/>
      <c r="BA198" s="51"/>
      <c r="BB198" s="51">
        <f t="shared" ref="BB198:BD198" si="196">IF(AND(ISNUMBER(Z198),COUNT(AG198,AM198,AS198,AY198)=2),Z198+SUM(AG198,AM198,AS198,AY198),"")</f>
        <v>0</v>
      </c>
      <c r="BC198" s="51">
        <f t="shared" si="196"/>
        <v>0</v>
      </c>
      <c r="BD198" s="51">
        <f t="shared" si="196"/>
        <v>0</v>
      </c>
    </row>
    <row r="199" ht="48.0" customHeight="1">
      <c r="A199" s="49" t="s">
        <v>40</v>
      </c>
      <c r="B199" s="49" t="str">
        <f t="array" ref="B199">INDEX('HD cty 2024'!B:B,MATCH('F0, F1, F2, ...'!$C199,'HD cty 2024'!B:B,0))</f>
        <v>#N/A</v>
      </c>
      <c r="C199" s="49">
        <v>252.0</v>
      </c>
      <c r="D199" s="50">
        <v>45440.0</v>
      </c>
      <c r="E199" s="51">
        <v>1.14127653E8</v>
      </c>
      <c r="F199" s="51">
        <v>9130212.0</v>
      </c>
      <c r="G199" s="51">
        <v>1.23257865E8</v>
      </c>
      <c r="H199" s="49" t="s">
        <v>414</v>
      </c>
      <c r="I199" s="52" t="s">
        <v>3139</v>
      </c>
      <c r="J199" s="50">
        <v>45805.0</v>
      </c>
      <c r="K199" s="51">
        <v>9778828.0</v>
      </c>
      <c r="L199" s="51">
        <v>782306.0</v>
      </c>
      <c r="M199" s="51">
        <v>1.0561134E7</v>
      </c>
      <c r="N199" s="49"/>
      <c r="O199" s="52"/>
      <c r="P199" s="50"/>
      <c r="Q199" s="51"/>
      <c r="R199" s="51"/>
      <c r="S199" s="51"/>
      <c r="T199" s="49"/>
      <c r="U199" s="52"/>
      <c r="V199" s="50"/>
      <c r="W199" s="51"/>
      <c r="X199" s="51"/>
      <c r="Y199" s="51"/>
      <c r="Z199" s="51">
        <v>1.23906481E8</v>
      </c>
      <c r="AA199" s="51">
        <v>9912518.0</v>
      </c>
      <c r="AB199" s="51">
        <v>1.33818999E8</v>
      </c>
      <c r="AC199" s="47"/>
      <c r="AD199" s="47" t="s">
        <v>3140</v>
      </c>
      <c r="AE199" s="48"/>
      <c r="AF199" s="50"/>
      <c r="AG199" s="51">
        <v>-9778828.0</v>
      </c>
      <c r="AH199" s="51">
        <v>-782306.0</v>
      </c>
      <c r="AI199" s="51">
        <v>-1.0561134E7</v>
      </c>
      <c r="AJ199" s="47" t="s">
        <v>3141</v>
      </c>
      <c r="AK199" s="48"/>
      <c r="AL199" s="50"/>
      <c r="AM199" s="51">
        <v>-1.14127653E8</v>
      </c>
      <c r="AN199" s="51">
        <v>-9130212.0</v>
      </c>
      <c r="AO199" s="51">
        <v>-1.23257865E8</v>
      </c>
      <c r="AP199" s="47"/>
      <c r="AQ199" s="48"/>
      <c r="AR199" s="50"/>
      <c r="AS199" s="51"/>
      <c r="AT199" s="51"/>
      <c r="AU199" s="51"/>
      <c r="AV199" s="47"/>
      <c r="AW199" s="48"/>
      <c r="AX199" s="50"/>
      <c r="AY199" s="51"/>
      <c r="AZ199" s="51"/>
      <c r="BA199" s="51"/>
      <c r="BB199" s="51">
        <f t="shared" ref="BB199:BD199" si="197">IF(AND(ISNUMBER(Z199),COUNT(AG199,AM199,AS199,AY199)=2),Z199+SUM(AG199,AM199,AS199,AY199),"")</f>
        <v>0</v>
      </c>
      <c r="BC199" s="51">
        <f t="shared" si="197"/>
        <v>0</v>
      </c>
      <c r="BD199" s="51">
        <f t="shared" si="197"/>
        <v>0</v>
      </c>
    </row>
    <row r="200" ht="48.0" customHeight="1">
      <c r="A200" s="49" t="s">
        <v>40</v>
      </c>
      <c r="B200" s="49" t="str">
        <f t="array" ref="B200">INDEX('HD cty 2024'!B:B,MATCH('F0, F1, F2, ...'!$C200,'HD cty 2024'!B:B,0))</f>
        <v>#N/A</v>
      </c>
      <c r="C200" s="49">
        <v>253.0</v>
      </c>
      <c r="D200" s="50">
        <v>45441.0</v>
      </c>
      <c r="E200" s="51">
        <v>7.6043819E7</v>
      </c>
      <c r="F200" s="51">
        <v>6083506.0</v>
      </c>
      <c r="G200" s="51">
        <v>8.2127325E7</v>
      </c>
      <c r="H200" s="49" t="s">
        <v>414</v>
      </c>
      <c r="I200" s="52" t="s">
        <v>3142</v>
      </c>
      <c r="J200" s="50">
        <v>45805.0</v>
      </c>
      <c r="K200" s="51">
        <v>6444607.0</v>
      </c>
      <c r="L200" s="51">
        <v>515569.0</v>
      </c>
      <c r="M200" s="51">
        <v>6960176.0</v>
      </c>
      <c r="N200" s="49"/>
      <c r="O200" s="52"/>
      <c r="P200" s="50"/>
      <c r="Q200" s="51"/>
      <c r="R200" s="51"/>
      <c r="S200" s="51"/>
      <c r="T200" s="49"/>
      <c r="U200" s="52"/>
      <c r="V200" s="50"/>
      <c r="W200" s="51"/>
      <c r="X200" s="51"/>
      <c r="Y200" s="51"/>
      <c r="Z200" s="51">
        <v>8.2488426E7</v>
      </c>
      <c r="AA200" s="51">
        <v>6599075.0</v>
      </c>
      <c r="AB200" s="51">
        <v>8.9087501E7</v>
      </c>
      <c r="AC200" s="47"/>
      <c r="AD200" s="47" t="s">
        <v>3143</v>
      </c>
      <c r="AE200" s="48"/>
      <c r="AF200" s="50"/>
      <c r="AG200" s="51">
        <v>-6444607.0</v>
      </c>
      <c r="AH200" s="51">
        <v>-515569.0</v>
      </c>
      <c r="AI200" s="51">
        <v>-6960176.0</v>
      </c>
      <c r="AJ200" s="47" t="s">
        <v>3144</v>
      </c>
      <c r="AK200" s="48"/>
      <c r="AL200" s="50"/>
      <c r="AM200" s="51">
        <v>-7.6043819E7</v>
      </c>
      <c r="AN200" s="51">
        <v>-6083506.0</v>
      </c>
      <c r="AO200" s="51">
        <v>-8.2127325E7</v>
      </c>
      <c r="AP200" s="47"/>
      <c r="AQ200" s="48"/>
      <c r="AR200" s="50"/>
      <c r="AS200" s="51"/>
      <c r="AT200" s="51"/>
      <c r="AU200" s="51"/>
      <c r="AV200" s="47"/>
      <c r="AW200" s="48"/>
      <c r="AX200" s="50"/>
      <c r="AY200" s="51"/>
      <c r="AZ200" s="51"/>
      <c r="BA200" s="51"/>
      <c r="BB200" s="51">
        <f t="shared" ref="BB200:BD200" si="198">IF(AND(ISNUMBER(Z200),COUNT(AG200,AM200,AS200,AY200)=2),Z200+SUM(AG200,AM200,AS200,AY200),"")</f>
        <v>0</v>
      </c>
      <c r="BC200" s="51">
        <f t="shared" si="198"/>
        <v>0</v>
      </c>
      <c r="BD200" s="51">
        <f t="shared" si="198"/>
        <v>0</v>
      </c>
    </row>
    <row r="201" ht="48.0" customHeight="1">
      <c r="A201" s="49" t="s">
        <v>40</v>
      </c>
      <c r="B201" s="49" t="str">
        <f t="array" ref="B201">INDEX('HD cty 2024'!B:B,MATCH('F0, F1, F2, ...'!$C201,'HD cty 2024'!B:B,0))</f>
        <v>#N/A</v>
      </c>
      <c r="C201" s="49">
        <v>254.0</v>
      </c>
      <c r="D201" s="50">
        <v>45441.0</v>
      </c>
      <c r="E201" s="51">
        <v>6.2493258E7</v>
      </c>
      <c r="F201" s="51">
        <v>4999461.0</v>
      </c>
      <c r="G201" s="51">
        <v>6.7492719E7</v>
      </c>
      <c r="H201" s="49" t="s">
        <v>414</v>
      </c>
      <c r="I201" s="52" t="s">
        <v>3145</v>
      </c>
      <c r="J201" s="50">
        <v>45805.0</v>
      </c>
      <c r="K201" s="51">
        <v>4114608.0</v>
      </c>
      <c r="L201" s="51">
        <v>329169.0</v>
      </c>
      <c r="M201" s="51">
        <v>4443777.0</v>
      </c>
      <c r="N201" s="49"/>
      <c r="O201" s="52"/>
      <c r="P201" s="50"/>
      <c r="Q201" s="51"/>
      <c r="R201" s="51"/>
      <c r="S201" s="51"/>
      <c r="T201" s="49"/>
      <c r="U201" s="52"/>
      <c r="V201" s="50"/>
      <c r="W201" s="51"/>
      <c r="X201" s="51"/>
      <c r="Y201" s="51"/>
      <c r="Z201" s="51">
        <v>6.6607866E7</v>
      </c>
      <c r="AA201" s="51">
        <v>5328630.0</v>
      </c>
      <c r="AB201" s="51">
        <v>7.1936496E7</v>
      </c>
      <c r="AC201" s="47"/>
      <c r="AD201" s="47" t="s">
        <v>3146</v>
      </c>
      <c r="AE201" s="48"/>
      <c r="AF201" s="50"/>
      <c r="AG201" s="51">
        <v>-4114608.0</v>
      </c>
      <c r="AH201" s="51">
        <v>-329169.0</v>
      </c>
      <c r="AI201" s="51">
        <v>-4443777.0</v>
      </c>
      <c r="AJ201" s="47" t="s">
        <v>3147</v>
      </c>
      <c r="AK201" s="48"/>
      <c r="AL201" s="50"/>
      <c r="AM201" s="51">
        <v>-6.2493258E7</v>
      </c>
      <c r="AN201" s="51">
        <v>-4999461.0</v>
      </c>
      <c r="AO201" s="51">
        <v>-6.7492719E7</v>
      </c>
      <c r="AP201" s="47"/>
      <c r="AQ201" s="48"/>
      <c r="AR201" s="50"/>
      <c r="AS201" s="51"/>
      <c r="AT201" s="51"/>
      <c r="AU201" s="51"/>
      <c r="AV201" s="47"/>
      <c r="AW201" s="48"/>
      <c r="AX201" s="50"/>
      <c r="AY201" s="51"/>
      <c r="AZ201" s="51"/>
      <c r="BA201" s="51"/>
      <c r="BB201" s="51">
        <f t="shared" ref="BB201:BD201" si="199">IF(AND(ISNUMBER(Z201),COUNT(AG201,AM201,AS201,AY201)=2),Z201+SUM(AG201,AM201,AS201,AY201),"")</f>
        <v>0</v>
      </c>
      <c r="BC201" s="51">
        <f t="shared" si="199"/>
        <v>0</v>
      </c>
      <c r="BD201" s="51">
        <f t="shared" si="199"/>
        <v>0</v>
      </c>
    </row>
    <row r="202" ht="48.0" customHeight="1">
      <c r="A202" s="49" t="s">
        <v>40</v>
      </c>
      <c r="B202" s="49" t="str">
        <f t="array" ref="B202">INDEX('HD cty 2024'!B:B,MATCH('F0, F1, F2, ...'!$C202,'HD cty 2024'!B:B,0))</f>
        <v>#N/A</v>
      </c>
      <c r="C202" s="49">
        <v>255.0</v>
      </c>
      <c r="D202" s="50">
        <v>45441.0</v>
      </c>
      <c r="E202" s="51">
        <v>1.7707301E7</v>
      </c>
      <c r="F202" s="51">
        <v>1416584.0</v>
      </c>
      <c r="G202" s="51">
        <v>1.9123885E7</v>
      </c>
      <c r="H202" s="49" t="s">
        <v>414</v>
      </c>
      <c r="I202" s="52" t="s">
        <v>3148</v>
      </c>
      <c r="J202" s="50">
        <v>45805.0</v>
      </c>
      <c r="K202" s="51">
        <v>714921.0</v>
      </c>
      <c r="L202" s="51">
        <v>57194.0</v>
      </c>
      <c r="M202" s="51">
        <v>772115.0</v>
      </c>
      <c r="N202" s="49"/>
      <c r="O202" s="52"/>
      <c r="P202" s="50"/>
      <c r="Q202" s="51"/>
      <c r="R202" s="51"/>
      <c r="S202" s="51"/>
      <c r="T202" s="49"/>
      <c r="U202" s="52"/>
      <c r="V202" s="50"/>
      <c r="W202" s="51"/>
      <c r="X202" s="51"/>
      <c r="Y202" s="51"/>
      <c r="Z202" s="51">
        <v>1.8422222E7</v>
      </c>
      <c r="AA202" s="51">
        <v>1473778.0</v>
      </c>
      <c r="AB202" s="51">
        <v>1.9896E7</v>
      </c>
      <c r="AC202" s="47"/>
      <c r="AD202" s="47" t="s">
        <v>3149</v>
      </c>
      <c r="AE202" s="48"/>
      <c r="AF202" s="50"/>
      <c r="AG202" s="51">
        <v>-714921.0</v>
      </c>
      <c r="AH202" s="51">
        <v>-57194.0</v>
      </c>
      <c r="AI202" s="51">
        <v>-772115.0</v>
      </c>
      <c r="AJ202" s="47" t="s">
        <v>3150</v>
      </c>
      <c r="AK202" s="48"/>
      <c r="AL202" s="50"/>
      <c r="AM202" s="51">
        <v>-1.7707301E7</v>
      </c>
      <c r="AN202" s="51">
        <v>-1416584.0</v>
      </c>
      <c r="AO202" s="51">
        <v>-1.9123885E7</v>
      </c>
      <c r="AP202" s="47"/>
      <c r="AQ202" s="48"/>
      <c r="AR202" s="50"/>
      <c r="AS202" s="51"/>
      <c r="AT202" s="51"/>
      <c r="AU202" s="51"/>
      <c r="AV202" s="47"/>
      <c r="AW202" s="48"/>
      <c r="AX202" s="50"/>
      <c r="AY202" s="51"/>
      <c r="AZ202" s="51"/>
      <c r="BA202" s="51"/>
      <c r="BB202" s="51">
        <f t="shared" ref="BB202:BD202" si="200">IF(AND(ISNUMBER(Z202),COUNT(AG202,AM202,AS202,AY202)=2),Z202+SUM(AG202,AM202,AS202,AY202),"")</f>
        <v>0</v>
      </c>
      <c r="BC202" s="51">
        <f t="shared" si="200"/>
        <v>0</v>
      </c>
      <c r="BD202" s="51">
        <f t="shared" si="200"/>
        <v>0</v>
      </c>
    </row>
    <row r="203" ht="48.0" customHeight="1">
      <c r="A203" s="49" t="s">
        <v>40</v>
      </c>
      <c r="B203" s="49" t="str">
        <f t="array" ref="B203">INDEX('HD cty 2024'!B:B,MATCH('F0, F1, F2, ...'!$C203,'HD cty 2024'!B:B,0))</f>
        <v>#N/A</v>
      </c>
      <c r="C203" s="49">
        <v>256.0</v>
      </c>
      <c r="D203" s="50">
        <v>45441.0</v>
      </c>
      <c r="E203" s="51">
        <v>2.7986168E7</v>
      </c>
      <c r="F203" s="51">
        <v>2238893.0</v>
      </c>
      <c r="G203" s="51">
        <v>3.0225061E7</v>
      </c>
      <c r="H203" s="49" t="s">
        <v>414</v>
      </c>
      <c r="I203" s="52" t="s">
        <v>3151</v>
      </c>
      <c r="J203" s="50">
        <v>45805.0</v>
      </c>
      <c r="K203" s="51">
        <v>2882351.0</v>
      </c>
      <c r="L203" s="51">
        <v>230588.0</v>
      </c>
      <c r="M203" s="51">
        <v>3112939.0</v>
      </c>
      <c r="N203" s="49"/>
      <c r="O203" s="52"/>
      <c r="P203" s="50"/>
      <c r="Q203" s="51"/>
      <c r="R203" s="51"/>
      <c r="S203" s="51"/>
      <c r="T203" s="49"/>
      <c r="U203" s="52"/>
      <c r="V203" s="50"/>
      <c r="W203" s="51"/>
      <c r="X203" s="51"/>
      <c r="Y203" s="51"/>
      <c r="Z203" s="51">
        <v>3.0868519E7</v>
      </c>
      <c r="AA203" s="51">
        <v>2469481.0</v>
      </c>
      <c r="AB203" s="51">
        <v>3.3338E7</v>
      </c>
      <c r="AC203" s="47"/>
      <c r="AD203" s="47" t="s">
        <v>3152</v>
      </c>
      <c r="AE203" s="48"/>
      <c r="AF203" s="50"/>
      <c r="AG203" s="51">
        <v>-2882351.0</v>
      </c>
      <c r="AH203" s="51">
        <v>-230588.0</v>
      </c>
      <c r="AI203" s="51">
        <v>-3112939.0</v>
      </c>
      <c r="AJ203" s="47" t="s">
        <v>3153</v>
      </c>
      <c r="AK203" s="48"/>
      <c r="AL203" s="50"/>
      <c r="AM203" s="51">
        <v>-2.7986168E7</v>
      </c>
      <c r="AN203" s="51">
        <v>-2238893.0</v>
      </c>
      <c r="AO203" s="51">
        <v>-3.0225061E7</v>
      </c>
      <c r="AP203" s="47"/>
      <c r="AQ203" s="48"/>
      <c r="AR203" s="50"/>
      <c r="AS203" s="51"/>
      <c r="AT203" s="51"/>
      <c r="AU203" s="51"/>
      <c r="AV203" s="47"/>
      <c r="AW203" s="48"/>
      <c r="AX203" s="50"/>
      <c r="AY203" s="51"/>
      <c r="AZ203" s="51"/>
      <c r="BA203" s="51"/>
      <c r="BB203" s="51">
        <f t="shared" ref="BB203:BD203" si="201">IF(AND(ISNUMBER(Z203),COUNT(AG203,AM203,AS203,AY203)=2),Z203+SUM(AG203,AM203,AS203,AY203),"")</f>
        <v>0</v>
      </c>
      <c r="BC203" s="51">
        <f t="shared" si="201"/>
        <v>0</v>
      </c>
      <c r="BD203" s="51">
        <f t="shared" si="201"/>
        <v>0</v>
      </c>
    </row>
    <row r="204" ht="48.0" customHeight="1">
      <c r="A204" s="49" t="s">
        <v>40</v>
      </c>
      <c r="B204" s="49" t="str">
        <f t="array" ref="B204">INDEX('HD cty 2024'!B:B,MATCH('F0, F1, F2, ...'!$C204,'HD cty 2024'!B:B,0))</f>
        <v>#N/A</v>
      </c>
      <c r="C204" s="49">
        <v>257.0</v>
      </c>
      <c r="D204" s="50">
        <v>45441.0</v>
      </c>
      <c r="E204" s="51">
        <v>2.9788093E7</v>
      </c>
      <c r="F204" s="51">
        <v>2383047.0</v>
      </c>
      <c r="G204" s="51">
        <v>3.217114E7</v>
      </c>
      <c r="H204" s="49" t="s">
        <v>414</v>
      </c>
      <c r="I204" s="52" t="s">
        <v>3154</v>
      </c>
      <c r="J204" s="50">
        <v>45805.0</v>
      </c>
      <c r="K204" s="51">
        <v>1782277.0</v>
      </c>
      <c r="L204" s="51">
        <v>142582.0</v>
      </c>
      <c r="M204" s="51">
        <v>1924859.0</v>
      </c>
      <c r="N204" s="49"/>
      <c r="O204" s="52"/>
      <c r="P204" s="50"/>
      <c r="Q204" s="51"/>
      <c r="R204" s="51"/>
      <c r="S204" s="51"/>
      <c r="T204" s="49"/>
      <c r="U204" s="52"/>
      <c r="V204" s="50"/>
      <c r="W204" s="51"/>
      <c r="X204" s="51"/>
      <c r="Y204" s="51"/>
      <c r="Z204" s="51">
        <v>3.157037E7</v>
      </c>
      <c r="AA204" s="51">
        <v>2525629.0</v>
      </c>
      <c r="AB204" s="51">
        <v>3.4095999E7</v>
      </c>
      <c r="AC204" s="47"/>
      <c r="AD204" s="47" t="s">
        <v>3155</v>
      </c>
      <c r="AE204" s="48"/>
      <c r="AF204" s="50"/>
      <c r="AG204" s="51">
        <v>-1782277.0</v>
      </c>
      <c r="AH204" s="51">
        <v>-142582.0</v>
      </c>
      <c r="AI204" s="51">
        <v>-1924859.0</v>
      </c>
      <c r="AJ204" s="47" t="s">
        <v>3156</v>
      </c>
      <c r="AK204" s="48"/>
      <c r="AL204" s="50"/>
      <c r="AM204" s="51">
        <v>-2.9788093E7</v>
      </c>
      <c r="AN204" s="51">
        <v>-2383047.0</v>
      </c>
      <c r="AO204" s="51">
        <v>-3.217114E7</v>
      </c>
      <c r="AP204" s="47"/>
      <c r="AQ204" s="48"/>
      <c r="AR204" s="50"/>
      <c r="AS204" s="51"/>
      <c r="AT204" s="51"/>
      <c r="AU204" s="51"/>
      <c r="AV204" s="47"/>
      <c r="AW204" s="48"/>
      <c r="AX204" s="50"/>
      <c r="AY204" s="51"/>
      <c r="AZ204" s="51"/>
      <c r="BA204" s="51"/>
      <c r="BB204" s="51">
        <f t="shared" ref="BB204:BD204" si="202">IF(AND(ISNUMBER(Z204),COUNT(AG204,AM204,AS204,AY204)=2),Z204+SUM(AG204,AM204,AS204,AY204),"")</f>
        <v>0</v>
      </c>
      <c r="BC204" s="51">
        <f t="shared" si="202"/>
        <v>0</v>
      </c>
      <c r="BD204" s="51">
        <f t="shared" si="202"/>
        <v>0</v>
      </c>
    </row>
    <row r="205" ht="48.0" customHeight="1">
      <c r="A205" s="49" t="s">
        <v>40</v>
      </c>
      <c r="B205" s="49" t="str">
        <f t="array" ref="B205">INDEX('HD cty 2024'!B:B,MATCH('F0, F1, F2, ...'!$C205,'HD cty 2024'!B:B,0))</f>
        <v>#N/A</v>
      </c>
      <c r="C205" s="49">
        <v>258.0</v>
      </c>
      <c r="D205" s="50">
        <v>45441.0</v>
      </c>
      <c r="E205" s="51">
        <v>2513199.0</v>
      </c>
      <c r="F205" s="51">
        <v>201056.0</v>
      </c>
      <c r="G205" s="51">
        <v>2714255.0</v>
      </c>
      <c r="H205" s="49" t="s">
        <v>414</v>
      </c>
      <c r="I205" s="52" t="s">
        <v>3157</v>
      </c>
      <c r="J205" s="50">
        <v>45807.0</v>
      </c>
      <c r="K205" s="51">
        <v>85968.0</v>
      </c>
      <c r="L205" s="51">
        <v>6877.0</v>
      </c>
      <c r="M205" s="51">
        <v>92845.0</v>
      </c>
      <c r="N205" s="49"/>
      <c r="O205" s="52"/>
      <c r="P205" s="50"/>
      <c r="Q205" s="51"/>
      <c r="R205" s="51"/>
      <c r="S205" s="51"/>
      <c r="T205" s="49"/>
      <c r="U205" s="52"/>
      <c r="V205" s="50"/>
      <c r="W205" s="51"/>
      <c r="X205" s="51"/>
      <c r="Y205" s="51"/>
      <c r="Z205" s="51">
        <v>2599167.0</v>
      </c>
      <c r="AA205" s="51">
        <v>207933.0</v>
      </c>
      <c r="AB205" s="51">
        <v>2807100.0</v>
      </c>
      <c r="AC205" s="47"/>
      <c r="AD205" s="47" t="s">
        <v>3158</v>
      </c>
      <c r="AE205" s="48"/>
      <c r="AF205" s="50"/>
      <c r="AG205" s="51">
        <v>-85968.0</v>
      </c>
      <c r="AH205" s="51">
        <v>-6877.0</v>
      </c>
      <c r="AI205" s="51">
        <v>-92845.0</v>
      </c>
      <c r="AJ205" s="47" t="s">
        <v>3159</v>
      </c>
      <c r="AK205" s="48"/>
      <c r="AL205" s="50"/>
      <c r="AM205" s="51">
        <v>-2513199.0</v>
      </c>
      <c r="AN205" s="51">
        <v>-201056.0</v>
      </c>
      <c r="AO205" s="51">
        <v>-2714255.0</v>
      </c>
      <c r="AP205" s="47"/>
      <c r="AQ205" s="48"/>
      <c r="AR205" s="50"/>
      <c r="AS205" s="51"/>
      <c r="AT205" s="51"/>
      <c r="AU205" s="51"/>
      <c r="AV205" s="47"/>
      <c r="AW205" s="48"/>
      <c r="AX205" s="50"/>
      <c r="AY205" s="51"/>
      <c r="AZ205" s="51"/>
      <c r="BA205" s="51"/>
      <c r="BB205" s="51">
        <f t="shared" ref="BB205:BD205" si="203">IF(AND(ISNUMBER(Z205),COUNT(AG205,AM205,AS205,AY205)=2),Z205+SUM(AG205,AM205,AS205,AY205),"")</f>
        <v>0</v>
      </c>
      <c r="BC205" s="51">
        <f t="shared" si="203"/>
        <v>0</v>
      </c>
      <c r="BD205" s="51">
        <f t="shared" si="203"/>
        <v>0</v>
      </c>
    </row>
    <row r="206" ht="48.0" customHeight="1">
      <c r="A206" s="49" t="s">
        <v>40</v>
      </c>
      <c r="B206" s="49" t="str">
        <f t="array" ref="B206">INDEX('HD cty 2024'!B:B,MATCH('F0, F1, F2, ...'!$C206,'HD cty 2024'!B:B,0))</f>
        <v>#N/A</v>
      </c>
      <c r="C206" s="49">
        <v>259.0</v>
      </c>
      <c r="D206" s="50">
        <v>45443.0</v>
      </c>
      <c r="E206" s="51">
        <v>4.9155213E7</v>
      </c>
      <c r="F206" s="51">
        <v>3932417.0</v>
      </c>
      <c r="G206" s="51">
        <v>5.308763E7</v>
      </c>
      <c r="H206" s="49" t="s">
        <v>414</v>
      </c>
      <c r="I206" s="52" t="s">
        <v>3160</v>
      </c>
      <c r="J206" s="50">
        <v>45805.0</v>
      </c>
      <c r="K206" s="51">
        <v>3373028.0</v>
      </c>
      <c r="L206" s="51">
        <v>269842.0</v>
      </c>
      <c r="M206" s="51">
        <v>3642870.0</v>
      </c>
      <c r="N206" s="49"/>
      <c r="O206" s="52"/>
      <c r="P206" s="50"/>
      <c r="Q206" s="51"/>
      <c r="R206" s="51"/>
      <c r="S206" s="51"/>
      <c r="T206" s="49"/>
      <c r="U206" s="52"/>
      <c r="V206" s="50"/>
      <c r="W206" s="51"/>
      <c r="X206" s="51"/>
      <c r="Y206" s="51"/>
      <c r="Z206" s="51">
        <v>5.2528241E7</v>
      </c>
      <c r="AA206" s="51">
        <v>4202259.0</v>
      </c>
      <c r="AB206" s="51">
        <v>5.67305E7</v>
      </c>
      <c r="AC206" s="47"/>
      <c r="AD206" s="47" t="s">
        <v>3161</v>
      </c>
      <c r="AE206" s="48"/>
      <c r="AF206" s="50"/>
      <c r="AG206" s="51">
        <v>-3373028.0</v>
      </c>
      <c r="AH206" s="51">
        <v>-269842.0</v>
      </c>
      <c r="AI206" s="51">
        <v>-3642870.0</v>
      </c>
      <c r="AJ206" s="47" t="s">
        <v>3162</v>
      </c>
      <c r="AK206" s="48"/>
      <c r="AL206" s="50"/>
      <c r="AM206" s="51">
        <v>-4.9155213E7</v>
      </c>
      <c r="AN206" s="51">
        <v>-3932417.0</v>
      </c>
      <c r="AO206" s="51">
        <v>-5.308763E7</v>
      </c>
      <c r="AP206" s="47"/>
      <c r="AQ206" s="48"/>
      <c r="AR206" s="50"/>
      <c r="AS206" s="51"/>
      <c r="AT206" s="51"/>
      <c r="AU206" s="51"/>
      <c r="AV206" s="47"/>
      <c r="AW206" s="48"/>
      <c r="AX206" s="50"/>
      <c r="AY206" s="51"/>
      <c r="AZ206" s="51"/>
      <c r="BA206" s="51"/>
      <c r="BB206" s="51">
        <f t="shared" ref="BB206:BD206" si="204">IF(AND(ISNUMBER(Z206),COUNT(AG206,AM206,AS206,AY206)=2),Z206+SUM(AG206,AM206,AS206,AY206),"")</f>
        <v>0</v>
      </c>
      <c r="BC206" s="51">
        <f t="shared" si="204"/>
        <v>0</v>
      </c>
      <c r="BD206" s="51">
        <f t="shared" si="204"/>
        <v>0</v>
      </c>
    </row>
    <row r="207" ht="48.0" customHeight="1">
      <c r="A207" s="49" t="s">
        <v>40</v>
      </c>
      <c r="B207" s="49" t="str">
        <f t="array" ref="B207">INDEX('HD cty 2024'!B:B,MATCH('F0, F1, F2, ...'!$C207,'HD cty 2024'!B:B,0))</f>
        <v>#N/A</v>
      </c>
      <c r="C207" s="49">
        <v>260.0</v>
      </c>
      <c r="D207" s="50">
        <v>45443.0</v>
      </c>
      <c r="E207" s="51">
        <v>5.9001341E7</v>
      </c>
      <c r="F207" s="51">
        <v>4720107.0</v>
      </c>
      <c r="G207" s="51">
        <v>6.3721448E7</v>
      </c>
      <c r="H207" s="49" t="s">
        <v>414</v>
      </c>
      <c r="I207" s="52" t="s">
        <v>3163</v>
      </c>
      <c r="J207" s="50">
        <v>45805.0</v>
      </c>
      <c r="K207" s="51">
        <v>3043566.0</v>
      </c>
      <c r="L207" s="51">
        <v>243485.0</v>
      </c>
      <c r="M207" s="51">
        <v>3287051.0</v>
      </c>
      <c r="N207" s="49"/>
      <c r="O207" s="52"/>
      <c r="P207" s="50"/>
      <c r="Q207" s="51"/>
      <c r="R207" s="51"/>
      <c r="S207" s="51"/>
      <c r="T207" s="49"/>
      <c r="U207" s="52"/>
      <c r="V207" s="50"/>
      <c r="W207" s="51"/>
      <c r="X207" s="51"/>
      <c r="Y207" s="51"/>
      <c r="Z207" s="51">
        <v>6.2044907E7</v>
      </c>
      <c r="AA207" s="51">
        <v>4963592.0</v>
      </c>
      <c r="AB207" s="51">
        <v>6.7008499E7</v>
      </c>
      <c r="AC207" s="47"/>
      <c r="AD207" s="47" t="s">
        <v>3164</v>
      </c>
      <c r="AE207" s="48"/>
      <c r="AF207" s="50"/>
      <c r="AG207" s="51">
        <v>-3043566.0</v>
      </c>
      <c r="AH207" s="51">
        <v>-243485.0</v>
      </c>
      <c r="AI207" s="51">
        <v>-3287051.0</v>
      </c>
      <c r="AJ207" s="47" t="s">
        <v>3165</v>
      </c>
      <c r="AK207" s="48"/>
      <c r="AL207" s="50"/>
      <c r="AM207" s="51">
        <v>-5.9001341E7</v>
      </c>
      <c r="AN207" s="51">
        <v>-4720107.0</v>
      </c>
      <c r="AO207" s="51">
        <v>-6.3721448E7</v>
      </c>
      <c r="AP207" s="47"/>
      <c r="AQ207" s="48"/>
      <c r="AR207" s="50"/>
      <c r="AS207" s="51"/>
      <c r="AT207" s="51"/>
      <c r="AU207" s="51"/>
      <c r="AV207" s="47"/>
      <c r="AW207" s="48"/>
      <c r="AX207" s="50"/>
      <c r="AY207" s="51"/>
      <c r="AZ207" s="51"/>
      <c r="BA207" s="51"/>
      <c r="BB207" s="51">
        <f t="shared" ref="BB207:BD207" si="205">IF(AND(ISNUMBER(Z207),COUNT(AG207,AM207,AS207,AY207)=2),Z207+SUM(AG207,AM207,AS207,AY207),"")</f>
        <v>0</v>
      </c>
      <c r="BC207" s="51">
        <f t="shared" si="205"/>
        <v>0</v>
      </c>
      <c r="BD207" s="51">
        <f t="shared" si="205"/>
        <v>0</v>
      </c>
    </row>
    <row r="208" ht="48.0" customHeight="1">
      <c r="A208" s="49" t="s">
        <v>40</v>
      </c>
      <c r="B208" s="49" t="str">
        <f t="array" ref="B208">INDEX('HD cty 2024'!B:B,MATCH('F0, F1, F2, ...'!$C208,'HD cty 2024'!B:B,0))</f>
        <v>#N/A</v>
      </c>
      <c r="C208" s="49">
        <v>261.0</v>
      </c>
      <c r="D208" s="50">
        <v>45443.0</v>
      </c>
      <c r="E208" s="51">
        <v>5.8670933E7</v>
      </c>
      <c r="F208" s="51">
        <v>4693675.0</v>
      </c>
      <c r="G208" s="51">
        <v>6.3364608E7</v>
      </c>
      <c r="H208" s="49" t="s">
        <v>414</v>
      </c>
      <c r="I208" s="52" t="s">
        <v>3166</v>
      </c>
      <c r="J208" s="50">
        <v>45805.0</v>
      </c>
      <c r="K208" s="51">
        <v>1.1624437E7</v>
      </c>
      <c r="L208" s="51">
        <v>929955.0</v>
      </c>
      <c r="M208" s="51">
        <v>1.2554392E7</v>
      </c>
      <c r="N208" s="49"/>
      <c r="O208" s="52"/>
      <c r="P208" s="50"/>
      <c r="Q208" s="51"/>
      <c r="R208" s="51"/>
      <c r="S208" s="51"/>
      <c r="T208" s="49"/>
      <c r="U208" s="52"/>
      <c r="V208" s="50"/>
      <c r="W208" s="51"/>
      <c r="X208" s="51"/>
      <c r="Y208" s="51"/>
      <c r="Z208" s="51">
        <v>7.029537E7</v>
      </c>
      <c r="AA208" s="51">
        <v>5623630.0</v>
      </c>
      <c r="AB208" s="51">
        <v>7.5919E7</v>
      </c>
      <c r="AC208" s="47"/>
      <c r="AD208" s="47" t="s">
        <v>3167</v>
      </c>
      <c r="AE208" s="48"/>
      <c r="AF208" s="50"/>
      <c r="AG208" s="51">
        <v>-1.1624437E7</v>
      </c>
      <c r="AH208" s="51">
        <v>-929955.0</v>
      </c>
      <c r="AI208" s="51">
        <v>-1.2554392E7</v>
      </c>
      <c r="AJ208" s="47" t="s">
        <v>3168</v>
      </c>
      <c r="AK208" s="48"/>
      <c r="AL208" s="50"/>
      <c r="AM208" s="51">
        <v>-5.8670933E7</v>
      </c>
      <c r="AN208" s="51">
        <v>-4693675.0</v>
      </c>
      <c r="AO208" s="51">
        <v>-6.3364608E7</v>
      </c>
      <c r="AP208" s="47"/>
      <c r="AQ208" s="48"/>
      <c r="AR208" s="50"/>
      <c r="AS208" s="51"/>
      <c r="AT208" s="51"/>
      <c r="AU208" s="51"/>
      <c r="AV208" s="47"/>
      <c r="AW208" s="48"/>
      <c r="AX208" s="50"/>
      <c r="AY208" s="51"/>
      <c r="AZ208" s="51"/>
      <c r="BA208" s="51"/>
      <c r="BB208" s="51">
        <f t="shared" ref="BB208:BD208" si="206">IF(AND(ISNUMBER(Z208),COUNT(AG208,AM208,AS208,AY208)=2),Z208+SUM(AG208,AM208,AS208,AY208),"")</f>
        <v>0</v>
      </c>
      <c r="BC208" s="51">
        <f t="shared" si="206"/>
        <v>0</v>
      </c>
      <c r="BD208" s="51">
        <f t="shared" si="206"/>
        <v>0</v>
      </c>
    </row>
    <row r="209" ht="48.0" customHeight="1">
      <c r="A209" s="49" t="s">
        <v>40</v>
      </c>
      <c r="B209" s="49" t="str">
        <f t="array" ref="B209">INDEX('HD cty 2024'!B:B,MATCH('F0, F1, F2, ...'!$C209,'HD cty 2024'!B:B,0))</f>
        <v>#N/A</v>
      </c>
      <c r="C209" s="49">
        <v>262.0</v>
      </c>
      <c r="D209" s="50">
        <v>45443.0</v>
      </c>
      <c r="E209" s="51">
        <v>5380643.0</v>
      </c>
      <c r="F209" s="51">
        <v>430451.0</v>
      </c>
      <c r="G209" s="51">
        <v>5811094.0</v>
      </c>
      <c r="H209" s="49" t="s">
        <v>414</v>
      </c>
      <c r="I209" s="52" t="s">
        <v>3169</v>
      </c>
      <c r="J209" s="50">
        <v>45805.0</v>
      </c>
      <c r="K209" s="51">
        <v>376932.0</v>
      </c>
      <c r="L209" s="51">
        <v>30155.0</v>
      </c>
      <c r="M209" s="51">
        <v>407087.0</v>
      </c>
      <c r="N209" s="49"/>
      <c r="O209" s="52"/>
      <c r="P209" s="50"/>
      <c r="Q209" s="51"/>
      <c r="R209" s="51"/>
      <c r="S209" s="51"/>
      <c r="T209" s="49"/>
      <c r="U209" s="52"/>
      <c r="V209" s="50"/>
      <c r="W209" s="51"/>
      <c r="X209" s="51"/>
      <c r="Y209" s="51"/>
      <c r="Z209" s="51">
        <v>5757575.0</v>
      </c>
      <c r="AA209" s="51">
        <v>460606.0</v>
      </c>
      <c r="AB209" s="51">
        <v>6218181.0</v>
      </c>
      <c r="AC209" s="47"/>
      <c r="AD209" s="47" t="s">
        <v>3170</v>
      </c>
      <c r="AE209" s="48"/>
      <c r="AF209" s="50"/>
      <c r="AG209" s="51">
        <v>-376932.0</v>
      </c>
      <c r="AH209" s="51">
        <v>-30155.0</v>
      </c>
      <c r="AI209" s="51">
        <v>-407087.0</v>
      </c>
      <c r="AJ209" s="47" t="s">
        <v>3171</v>
      </c>
      <c r="AK209" s="48"/>
      <c r="AL209" s="50"/>
      <c r="AM209" s="51">
        <v>-5380643.0</v>
      </c>
      <c r="AN209" s="51">
        <v>-430451.0</v>
      </c>
      <c r="AO209" s="51">
        <v>-5811094.0</v>
      </c>
      <c r="AP209" s="47"/>
      <c r="AQ209" s="48"/>
      <c r="AR209" s="50"/>
      <c r="AS209" s="51"/>
      <c r="AT209" s="51"/>
      <c r="AU209" s="51"/>
      <c r="AV209" s="47"/>
      <c r="AW209" s="48"/>
      <c r="AX209" s="50"/>
      <c r="AY209" s="51"/>
      <c r="AZ209" s="51"/>
      <c r="BA209" s="51"/>
      <c r="BB209" s="51">
        <f t="shared" ref="BB209:BD209" si="207">IF(AND(ISNUMBER(Z209),COUNT(AG209,AM209,AS209,AY209)=2),Z209+SUM(AG209,AM209,AS209,AY209),"")</f>
        <v>0</v>
      </c>
      <c r="BC209" s="51">
        <f t="shared" si="207"/>
        <v>0</v>
      </c>
      <c r="BD209" s="51">
        <f t="shared" si="207"/>
        <v>0</v>
      </c>
    </row>
    <row r="210" ht="48.0" customHeight="1">
      <c r="A210" s="49" t="s">
        <v>40</v>
      </c>
      <c r="B210" s="49" t="str">
        <f t="array" ref="B210">INDEX('HD cty 2024'!B:B,MATCH('F0, F1, F2, ...'!$C210,'HD cty 2024'!B:B,0))</f>
        <v>#N/A</v>
      </c>
      <c r="C210" s="49">
        <v>263.0</v>
      </c>
      <c r="D210" s="50">
        <v>45443.0</v>
      </c>
      <c r="E210" s="51">
        <v>1637079.0</v>
      </c>
      <c r="F210" s="51">
        <v>130966.0</v>
      </c>
      <c r="G210" s="51">
        <v>1768045.0</v>
      </c>
      <c r="H210" s="49" t="s">
        <v>414</v>
      </c>
      <c r="I210" s="52" t="s">
        <v>3172</v>
      </c>
      <c r="J210" s="50">
        <v>45808.0</v>
      </c>
      <c r="K210" s="51">
        <v>63014.0</v>
      </c>
      <c r="L210" s="51">
        <v>5041.0</v>
      </c>
      <c r="M210" s="51">
        <v>68055.0</v>
      </c>
      <c r="N210" s="49"/>
      <c r="O210" s="52"/>
      <c r="P210" s="50"/>
      <c r="Q210" s="51"/>
      <c r="R210" s="51"/>
      <c r="S210" s="51"/>
      <c r="T210" s="49"/>
      <c r="U210" s="52"/>
      <c r="V210" s="50"/>
      <c r="W210" s="51"/>
      <c r="X210" s="51"/>
      <c r="Y210" s="51"/>
      <c r="Z210" s="51">
        <v>1700093.0</v>
      </c>
      <c r="AA210" s="51">
        <v>136007.0</v>
      </c>
      <c r="AB210" s="51">
        <v>1836100.0</v>
      </c>
      <c r="AC210" s="47"/>
      <c r="AD210" s="47" t="s">
        <v>3173</v>
      </c>
      <c r="AE210" s="48"/>
      <c r="AF210" s="50"/>
      <c r="AG210" s="51">
        <v>-63014.0</v>
      </c>
      <c r="AH210" s="51">
        <v>-5041.0</v>
      </c>
      <c r="AI210" s="51">
        <v>-68055.0</v>
      </c>
      <c r="AJ210" s="47" t="s">
        <v>3174</v>
      </c>
      <c r="AK210" s="48"/>
      <c r="AL210" s="50"/>
      <c r="AM210" s="51">
        <v>-1637079.0</v>
      </c>
      <c r="AN210" s="51">
        <v>-130966.0</v>
      </c>
      <c r="AO210" s="51">
        <v>-1768045.0</v>
      </c>
      <c r="AP210" s="47"/>
      <c r="AQ210" s="48"/>
      <c r="AR210" s="50"/>
      <c r="AS210" s="51"/>
      <c r="AT210" s="51"/>
      <c r="AU210" s="51"/>
      <c r="AV210" s="47"/>
      <c r="AW210" s="48"/>
      <c r="AX210" s="50"/>
      <c r="AY210" s="51"/>
      <c r="AZ210" s="51"/>
      <c r="BA210" s="51"/>
      <c r="BB210" s="51">
        <f t="shared" ref="BB210:BD210" si="208">IF(AND(ISNUMBER(Z210),COUNT(AG210,AM210,AS210,AY210)=2),Z210+SUM(AG210,AM210,AS210,AY210),"")</f>
        <v>0</v>
      </c>
      <c r="BC210" s="51">
        <f t="shared" si="208"/>
        <v>0</v>
      </c>
      <c r="BD210" s="51">
        <f t="shared" si="208"/>
        <v>0</v>
      </c>
    </row>
    <row r="211" ht="48.0" customHeight="1">
      <c r="A211" s="49" t="s">
        <v>40</v>
      </c>
      <c r="B211" s="49" t="str">
        <f t="array" ref="B211">INDEX('HD cty 2024'!B:B,MATCH('F0, F1, F2, ...'!$C211,'HD cty 2024'!B:B,0))</f>
        <v>#N/A</v>
      </c>
      <c r="C211" s="49">
        <v>264.0</v>
      </c>
      <c r="D211" s="50">
        <v>45443.0</v>
      </c>
      <c r="E211" s="51">
        <v>5.1002122E7</v>
      </c>
      <c r="F211" s="51">
        <v>4080170.0</v>
      </c>
      <c r="G211" s="51">
        <v>5.5082292E7</v>
      </c>
      <c r="H211" s="49" t="s">
        <v>414</v>
      </c>
      <c r="I211" s="52" t="s">
        <v>3175</v>
      </c>
      <c r="J211" s="50">
        <v>45805.0</v>
      </c>
      <c r="K211" s="51">
        <v>3487693.0</v>
      </c>
      <c r="L211" s="51">
        <v>279015.0</v>
      </c>
      <c r="M211" s="51">
        <v>3766708.0</v>
      </c>
      <c r="N211" s="49"/>
      <c r="O211" s="52"/>
      <c r="P211" s="50"/>
      <c r="Q211" s="51"/>
      <c r="R211" s="51"/>
      <c r="S211" s="51"/>
      <c r="T211" s="49"/>
      <c r="U211" s="52"/>
      <c r="V211" s="50"/>
      <c r="W211" s="51"/>
      <c r="X211" s="51"/>
      <c r="Y211" s="51"/>
      <c r="Z211" s="51">
        <v>5.4489815E7</v>
      </c>
      <c r="AA211" s="51">
        <v>4359185.0</v>
      </c>
      <c r="AB211" s="51">
        <v>5.8849E7</v>
      </c>
      <c r="AC211" s="47"/>
      <c r="AD211" s="47" t="s">
        <v>3176</v>
      </c>
      <c r="AE211" s="48"/>
      <c r="AF211" s="50"/>
      <c r="AG211" s="51">
        <v>-3487693.0</v>
      </c>
      <c r="AH211" s="51">
        <v>-279015.0</v>
      </c>
      <c r="AI211" s="51">
        <v>-3766708.0</v>
      </c>
      <c r="AJ211" s="47" t="s">
        <v>3177</v>
      </c>
      <c r="AK211" s="48"/>
      <c r="AL211" s="50"/>
      <c r="AM211" s="51">
        <v>-5.1002122E7</v>
      </c>
      <c r="AN211" s="51">
        <v>-4080170.0</v>
      </c>
      <c r="AO211" s="51">
        <v>-5.5082292E7</v>
      </c>
      <c r="AP211" s="47"/>
      <c r="AQ211" s="48"/>
      <c r="AR211" s="50"/>
      <c r="AS211" s="51"/>
      <c r="AT211" s="51"/>
      <c r="AU211" s="51"/>
      <c r="AV211" s="47"/>
      <c r="AW211" s="48"/>
      <c r="AX211" s="50"/>
      <c r="AY211" s="51"/>
      <c r="AZ211" s="51"/>
      <c r="BA211" s="51"/>
      <c r="BB211" s="51">
        <f t="shared" ref="BB211:BD211" si="209">IF(AND(ISNUMBER(Z211),COUNT(AG211,AM211,AS211,AY211)=2),Z211+SUM(AG211,AM211,AS211,AY211),"")</f>
        <v>0</v>
      </c>
      <c r="BC211" s="51">
        <f t="shared" si="209"/>
        <v>0</v>
      </c>
      <c r="BD211" s="51">
        <f t="shared" si="209"/>
        <v>0</v>
      </c>
    </row>
    <row r="212" ht="48.0" customHeight="1">
      <c r="A212" s="49" t="s">
        <v>40</v>
      </c>
      <c r="B212" s="49" t="str">
        <f t="array" ref="B212">INDEX('HD cty 2024'!B:B,MATCH('F0, F1, F2, ...'!$C212,'HD cty 2024'!B:B,0))</f>
        <v>#N/A</v>
      </c>
      <c r="C212" s="49">
        <v>265.0</v>
      </c>
      <c r="D212" s="50">
        <v>45443.0</v>
      </c>
      <c r="E212" s="51">
        <v>2.7249942E7</v>
      </c>
      <c r="F212" s="51">
        <v>2179995.0</v>
      </c>
      <c r="G212" s="51">
        <v>2.9429937E7</v>
      </c>
      <c r="H212" s="49" t="s">
        <v>414</v>
      </c>
      <c r="I212" s="52" t="s">
        <v>3178</v>
      </c>
      <c r="J212" s="50">
        <v>45805.0</v>
      </c>
      <c r="K212" s="51">
        <v>2957465.0</v>
      </c>
      <c r="L212" s="51">
        <v>236597.0</v>
      </c>
      <c r="M212" s="51">
        <v>3194062.0</v>
      </c>
      <c r="N212" s="49"/>
      <c r="O212" s="52"/>
      <c r="P212" s="50"/>
      <c r="Q212" s="51"/>
      <c r="R212" s="51"/>
      <c r="S212" s="51"/>
      <c r="T212" s="49"/>
      <c r="U212" s="52"/>
      <c r="V212" s="50"/>
      <c r="W212" s="51"/>
      <c r="X212" s="51"/>
      <c r="Y212" s="51"/>
      <c r="Z212" s="51">
        <v>3.0207407E7</v>
      </c>
      <c r="AA212" s="51">
        <v>2416592.0</v>
      </c>
      <c r="AB212" s="51">
        <v>3.2623999E7</v>
      </c>
      <c r="AC212" s="47"/>
      <c r="AD212" s="47" t="s">
        <v>3179</v>
      </c>
      <c r="AE212" s="48"/>
      <c r="AF212" s="50"/>
      <c r="AG212" s="51">
        <v>-2957465.0</v>
      </c>
      <c r="AH212" s="51">
        <v>-236597.0</v>
      </c>
      <c r="AI212" s="51">
        <v>-3194062.0</v>
      </c>
      <c r="AJ212" s="47" t="s">
        <v>3180</v>
      </c>
      <c r="AK212" s="48"/>
      <c r="AL212" s="50"/>
      <c r="AM212" s="51">
        <v>-2.7249942E7</v>
      </c>
      <c r="AN212" s="51">
        <v>-2179995.0</v>
      </c>
      <c r="AO212" s="51">
        <v>-2.9429937E7</v>
      </c>
      <c r="AP212" s="47"/>
      <c r="AQ212" s="48"/>
      <c r="AR212" s="50"/>
      <c r="AS212" s="51"/>
      <c r="AT212" s="51"/>
      <c r="AU212" s="51"/>
      <c r="AV212" s="47"/>
      <c r="AW212" s="48"/>
      <c r="AX212" s="50"/>
      <c r="AY212" s="51"/>
      <c r="AZ212" s="51"/>
      <c r="BA212" s="51"/>
      <c r="BB212" s="51">
        <f t="shared" ref="BB212:BD212" si="210">IF(AND(ISNUMBER(Z212),COUNT(AG212,AM212,AS212,AY212)=2),Z212+SUM(AG212,AM212,AS212,AY212),"")</f>
        <v>0</v>
      </c>
      <c r="BC212" s="51">
        <f t="shared" si="210"/>
        <v>0</v>
      </c>
      <c r="BD212" s="51">
        <f t="shared" si="210"/>
        <v>0</v>
      </c>
    </row>
    <row r="213" ht="48.0" customHeight="1">
      <c r="A213" s="49" t="s">
        <v>40</v>
      </c>
      <c r="B213" s="49" t="str">
        <f t="array" ref="B213">INDEX('HD cty 2024'!B:B,MATCH('F0, F1, F2, ...'!$C213,'HD cty 2024'!B:B,0))</f>
        <v>#N/A</v>
      </c>
      <c r="C213" s="49">
        <v>269.0</v>
      </c>
      <c r="D213" s="50">
        <v>45454.0</v>
      </c>
      <c r="E213" s="51">
        <v>3.6240374E7</v>
      </c>
      <c r="F213" s="51">
        <v>2899230.0</v>
      </c>
      <c r="G213" s="51">
        <v>3.9139604E7</v>
      </c>
      <c r="H213" s="49" t="s">
        <v>414</v>
      </c>
      <c r="I213" s="52" t="s">
        <v>3181</v>
      </c>
      <c r="J213" s="50">
        <v>45806.0</v>
      </c>
      <c r="K213" s="51">
        <v>1027219.0</v>
      </c>
      <c r="L213" s="51">
        <v>82177.0</v>
      </c>
      <c r="M213" s="51">
        <v>1109396.0</v>
      </c>
      <c r="N213" s="49"/>
      <c r="O213" s="52"/>
      <c r="P213" s="50"/>
      <c r="Q213" s="51"/>
      <c r="R213" s="51"/>
      <c r="S213" s="51"/>
      <c r="T213" s="49"/>
      <c r="U213" s="52"/>
      <c r="V213" s="50"/>
      <c r="W213" s="51"/>
      <c r="X213" s="51"/>
      <c r="Y213" s="51"/>
      <c r="Z213" s="51">
        <v>3.7267593E7</v>
      </c>
      <c r="AA213" s="51">
        <v>2981407.0</v>
      </c>
      <c r="AB213" s="51">
        <v>4.0249E7</v>
      </c>
      <c r="AC213" s="47"/>
      <c r="AD213" s="47" t="s">
        <v>3182</v>
      </c>
      <c r="AE213" s="48"/>
      <c r="AF213" s="50"/>
      <c r="AG213" s="51">
        <v>-1027219.0</v>
      </c>
      <c r="AH213" s="51">
        <v>-82177.0</v>
      </c>
      <c r="AI213" s="51">
        <v>-1109396.0</v>
      </c>
      <c r="AJ213" s="47" t="s">
        <v>3183</v>
      </c>
      <c r="AK213" s="48"/>
      <c r="AL213" s="50"/>
      <c r="AM213" s="51">
        <v>-3.6240374E7</v>
      </c>
      <c r="AN213" s="51">
        <v>-2899230.0</v>
      </c>
      <c r="AO213" s="51">
        <v>-3.9139604E7</v>
      </c>
      <c r="AP213" s="47"/>
      <c r="AQ213" s="48"/>
      <c r="AR213" s="50"/>
      <c r="AS213" s="51"/>
      <c r="AT213" s="51"/>
      <c r="AU213" s="51"/>
      <c r="AV213" s="47"/>
      <c r="AW213" s="48"/>
      <c r="AX213" s="50"/>
      <c r="AY213" s="51"/>
      <c r="AZ213" s="51"/>
      <c r="BA213" s="51"/>
      <c r="BB213" s="51">
        <f t="shared" ref="BB213:BD213" si="211">IF(AND(ISNUMBER(Z213),COUNT(AG213,AM213,AS213,AY213)=2),Z213+SUM(AG213,AM213,AS213,AY213),"")</f>
        <v>0</v>
      </c>
      <c r="BC213" s="51">
        <f t="shared" si="211"/>
        <v>0</v>
      </c>
      <c r="BD213" s="51">
        <f t="shared" si="211"/>
        <v>0</v>
      </c>
    </row>
    <row r="214" ht="102.0" customHeight="1">
      <c r="A214" s="49" t="s">
        <v>40</v>
      </c>
      <c r="B214" s="49" t="str">
        <f t="array" ref="B214">INDEX('HD cty 2024'!B:B,MATCH('F0, F1, F2, ...'!$C214,'HD cty 2024'!B:B,0))</f>
        <v>#N/A</v>
      </c>
      <c r="C214" s="49">
        <v>270.0</v>
      </c>
      <c r="D214" s="50">
        <v>45454.0</v>
      </c>
      <c r="E214" s="51">
        <v>1535185.0</v>
      </c>
      <c r="F214" s="51">
        <v>122815.0</v>
      </c>
      <c r="G214" s="51">
        <v>1658000.0</v>
      </c>
      <c r="H214" s="49" t="s">
        <v>414</v>
      </c>
      <c r="I214" s="52" t="s">
        <v>3184</v>
      </c>
      <c r="J214" s="50">
        <v>45806.0</v>
      </c>
      <c r="K214" s="51">
        <v>-1535185.0</v>
      </c>
      <c r="L214" s="51">
        <v>-122815.0</v>
      </c>
      <c r="M214" s="51">
        <v>-1658000.0</v>
      </c>
      <c r="N214" s="49"/>
      <c r="O214" s="52"/>
      <c r="P214" s="50"/>
      <c r="Q214" s="51"/>
      <c r="R214" s="51"/>
      <c r="S214" s="51"/>
      <c r="T214" s="49"/>
      <c r="U214" s="52"/>
      <c r="V214" s="50"/>
      <c r="W214" s="51"/>
      <c r="X214" s="51"/>
      <c r="Y214" s="51"/>
      <c r="Z214" s="51">
        <v>0.0</v>
      </c>
      <c r="AA214" s="51">
        <v>0.0</v>
      </c>
      <c r="AB214" s="51">
        <v>0.0</v>
      </c>
      <c r="AC214" s="47" t="s">
        <v>3185</v>
      </c>
      <c r="AD214" s="47" t="s">
        <v>3186</v>
      </c>
      <c r="AE214" s="48"/>
      <c r="AF214" s="50">
        <v>46304.0</v>
      </c>
      <c r="AG214" s="51">
        <v>1535185.0</v>
      </c>
      <c r="AH214" s="51">
        <v>122815.0</v>
      </c>
      <c r="AI214" s="51">
        <v>1658000.0</v>
      </c>
      <c r="AJ214" s="47" t="s">
        <v>3187</v>
      </c>
      <c r="AK214" s="48"/>
      <c r="AL214" s="50">
        <v>46304.0</v>
      </c>
      <c r="AM214" s="51">
        <v>-1535185.0</v>
      </c>
      <c r="AN214" s="51">
        <v>-122815.0</v>
      </c>
      <c r="AO214" s="51">
        <v>-1658000.0</v>
      </c>
      <c r="AP214" s="47"/>
      <c r="AQ214" s="48"/>
      <c r="AR214" s="50"/>
      <c r="AS214" s="51"/>
      <c r="AT214" s="51"/>
      <c r="AU214" s="51"/>
      <c r="AV214" s="47"/>
      <c r="AW214" s="48"/>
      <c r="AX214" s="50"/>
      <c r="AY214" s="51"/>
      <c r="AZ214" s="51"/>
      <c r="BA214" s="51"/>
      <c r="BB214" s="51">
        <f t="shared" ref="BB214:BD214" si="212">IF(AND(ISNUMBER(Z214),COUNT(AG214,AM214,AS214,AY214)=2),Z214+SUM(AG214,AM214,AS214,AY214),"")</f>
        <v>0</v>
      </c>
      <c r="BC214" s="51">
        <f t="shared" si="212"/>
        <v>0</v>
      </c>
      <c r="BD214" s="51">
        <f t="shared" si="212"/>
        <v>0</v>
      </c>
    </row>
    <row r="215" ht="48.0" customHeight="1">
      <c r="A215" s="49" t="s">
        <v>40</v>
      </c>
      <c r="B215" s="49" t="str">
        <f t="array" ref="B215">INDEX('HD cty 2024'!B:B,MATCH('F0, F1, F2, ...'!$C215,'HD cty 2024'!B:B,0))</f>
        <v>#N/A</v>
      </c>
      <c r="C215" s="49">
        <v>271.0</v>
      </c>
      <c r="D215" s="50">
        <v>45454.0</v>
      </c>
      <c r="E215" s="51">
        <v>8.85783E7</v>
      </c>
      <c r="F215" s="51">
        <v>7086264.0</v>
      </c>
      <c r="G215" s="51">
        <v>9.5664564E7</v>
      </c>
      <c r="H215" s="49" t="s">
        <v>414</v>
      </c>
      <c r="I215" s="52" t="s">
        <v>3188</v>
      </c>
      <c r="J215" s="50">
        <v>45808.0</v>
      </c>
      <c r="K215" s="51">
        <v>1.6439293E7</v>
      </c>
      <c r="L215" s="51">
        <v>1315143.0</v>
      </c>
      <c r="M215" s="51">
        <v>1.7754436E7</v>
      </c>
      <c r="N215" s="49"/>
      <c r="O215" s="52"/>
      <c r="P215" s="50"/>
      <c r="Q215" s="51"/>
      <c r="R215" s="51"/>
      <c r="S215" s="51"/>
      <c r="T215" s="49"/>
      <c r="U215" s="52"/>
      <c r="V215" s="50"/>
      <c r="W215" s="51"/>
      <c r="X215" s="51"/>
      <c r="Y215" s="51"/>
      <c r="Z215" s="51">
        <v>1.05017593E8</v>
      </c>
      <c r="AA215" s="51">
        <v>8401407.0</v>
      </c>
      <c r="AB215" s="51">
        <v>1.13419E8</v>
      </c>
      <c r="AC215" s="47"/>
      <c r="AD215" s="47" t="s">
        <v>3189</v>
      </c>
      <c r="AE215" s="48"/>
      <c r="AF215" s="50"/>
      <c r="AG215" s="51">
        <v>-1.6439293E7</v>
      </c>
      <c r="AH215" s="51">
        <v>-1315143.0</v>
      </c>
      <c r="AI215" s="51">
        <v>-1.7754436E7</v>
      </c>
      <c r="AJ215" s="47" t="s">
        <v>3190</v>
      </c>
      <c r="AK215" s="48"/>
      <c r="AL215" s="50"/>
      <c r="AM215" s="51">
        <v>-8.85783E7</v>
      </c>
      <c r="AN215" s="51">
        <v>-7086264.0</v>
      </c>
      <c r="AO215" s="51">
        <v>-9.5664564E7</v>
      </c>
      <c r="AP215" s="47"/>
      <c r="AQ215" s="48"/>
      <c r="AR215" s="50"/>
      <c r="AS215" s="51"/>
      <c r="AT215" s="51"/>
      <c r="AU215" s="51"/>
      <c r="AV215" s="47"/>
      <c r="AW215" s="48"/>
      <c r="AX215" s="50"/>
      <c r="AY215" s="51"/>
      <c r="AZ215" s="51"/>
      <c r="BA215" s="51"/>
      <c r="BB215" s="51">
        <f t="shared" ref="BB215:BD215" si="213">IF(AND(ISNUMBER(Z215),COUNT(AG215,AM215,AS215,AY215)=2),Z215+SUM(AG215,AM215,AS215,AY215),"")</f>
        <v>0</v>
      </c>
      <c r="BC215" s="51">
        <f t="shared" si="213"/>
        <v>0</v>
      </c>
      <c r="BD215" s="51">
        <f t="shared" si="213"/>
        <v>0</v>
      </c>
    </row>
    <row r="216" ht="48.0" customHeight="1">
      <c r="A216" s="49" t="s">
        <v>40</v>
      </c>
      <c r="B216" s="49" t="str">
        <f t="array" ref="B216">INDEX('HD cty 2024'!B:B,MATCH('F0, F1, F2, ...'!$C216,'HD cty 2024'!B:B,0))</f>
        <v>#N/A</v>
      </c>
      <c r="C216" s="49">
        <v>272.0</v>
      </c>
      <c r="D216" s="50">
        <v>45454.0</v>
      </c>
      <c r="E216" s="51">
        <v>8450497.0</v>
      </c>
      <c r="F216" s="51">
        <v>676040.0</v>
      </c>
      <c r="G216" s="51">
        <v>9126537.0</v>
      </c>
      <c r="H216" s="49" t="s">
        <v>414</v>
      </c>
      <c r="I216" s="52" t="s">
        <v>3191</v>
      </c>
      <c r="J216" s="50">
        <v>45807.0</v>
      </c>
      <c r="K216" s="51">
        <v>773309.0</v>
      </c>
      <c r="L216" s="51">
        <v>61865.0</v>
      </c>
      <c r="M216" s="51">
        <v>835174.0</v>
      </c>
      <c r="N216" s="49"/>
      <c r="O216" s="52"/>
      <c r="P216" s="50"/>
      <c r="Q216" s="51"/>
      <c r="R216" s="51"/>
      <c r="S216" s="51"/>
      <c r="T216" s="49"/>
      <c r="U216" s="52"/>
      <c r="V216" s="50"/>
      <c r="W216" s="51"/>
      <c r="X216" s="51"/>
      <c r="Y216" s="51"/>
      <c r="Z216" s="51">
        <v>9223806.0</v>
      </c>
      <c r="AA216" s="51">
        <v>737905.0</v>
      </c>
      <c r="AB216" s="51">
        <v>9961711.0</v>
      </c>
      <c r="AC216" s="47"/>
      <c r="AD216" s="47" t="s">
        <v>3192</v>
      </c>
      <c r="AE216" s="48"/>
      <c r="AF216" s="50"/>
      <c r="AG216" s="51">
        <v>-773309.0</v>
      </c>
      <c r="AH216" s="51">
        <v>-61865.0</v>
      </c>
      <c r="AI216" s="51">
        <v>-835174.0</v>
      </c>
      <c r="AJ216" s="47" t="s">
        <v>3193</v>
      </c>
      <c r="AK216" s="48"/>
      <c r="AL216" s="50"/>
      <c r="AM216" s="51">
        <v>-8450497.0</v>
      </c>
      <c r="AN216" s="51">
        <v>-676040.0</v>
      </c>
      <c r="AO216" s="51">
        <v>-9126537.0</v>
      </c>
      <c r="AP216" s="47"/>
      <c r="AQ216" s="48"/>
      <c r="AR216" s="50"/>
      <c r="AS216" s="51"/>
      <c r="AT216" s="51"/>
      <c r="AU216" s="51"/>
      <c r="AV216" s="47"/>
      <c r="AW216" s="48"/>
      <c r="AX216" s="50"/>
      <c r="AY216" s="51"/>
      <c r="AZ216" s="51"/>
      <c r="BA216" s="51"/>
      <c r="BB216" s="51">
        <f t="shared" ref="BB216:BD216" si="214">IF(AND(ISNUMBER(Z216),COUNT(AG216,AM216,AS216,AY216)=2),Z216+SUM(AG216,AM216,AS216,AY216),"")</f>
        <v>0</v>
      </c>
      <c r="BC216" s="51">
        <f t="shared" si="214"/>
        <v>0</v>
      </c>
      <c r="BD216" s="51">
        <f t="shared" si="214"/>
        <v>0</v>
      </c>
    </row>
    <row r="217" ht="48.0" customHeight="1">
      <c r="A217" s="49" t="s">
        <v>40</v>
      </c>
      <c r="B217" s="49" t="str">
        <f t="array" ref="B217">INDEX('HD cty 2024'!B:B,MATCH('F0, F1, F2, ...'!$C217,'HD cty 2024'!B:B,0))</f>
        <v>#N/A</v>
      </c>
      <c r="C217" s="49">
        <v>273.0</v>
      </c>
      <c r="D217" s="50">
        <v>45455.0</v>
      </c>
      <c r="E217" s="51">
        <v>5.2988195E7</v>
      </c>
      <c r="F217" s="51">
        <v>4239056.0</v>
      </c>
      <c r="G217" s="51">
        <v>5.7227251E7</v>
      </c>
      <c r="H217" s="49" t="s">
        <v>414</v>
      </c>
      <c r="I217" s="52" t="s">
        <v>3194</v>
      </c>
      <c r="J217" s="50">
        <v>45806.0</v>
      </c>
      <c r="K217" s="51">
        <v>9491435.0</v>
      </c>
      <c r="L217" s="51">
        <v>759315.0</v>
      </c>
      <c r="M217" s="51">
        <v>1.025075E7</v>
      </c>
      <c r="N217" s="49"/>
      <c r="O217" s="52"/>
      <c r="P217" s="50"/>
      <c r="Q217" s="51"/>
      <c r="R217" s="51"/>
      <c r="S217" s="51"/>
      <c r="T217" s="49"/>
      <c r="U217" s="52"/>
      <c r="V217" s="50"/>
      <c r="W217" s="51"/>
      <c r="X217" s="51"/>
      <c r="Y217" s="51"/>
      <c r="Z217" s="51">
        <v>6.247963E7</v>
      </c>
      <c r="AA217" s="51">
        <v>4998371.0</v>
      </c>
      <c r="AB217" s="51">
        <v>6.7478001E7</v>
      </c>
      <c r="AC217" s="47"/>
      <c r="AD217" s="47" t="s">
        <v>3195</v>
      </c>
      <c r="AE217" s="48"/>
      <c r="AF217" s="50"/>
      <c r="AG217" s="51">
        <v>-9491435.0</v>
      </c>
      <c r="AH217" s="51">
        <v>-759315.0</v>
      </c>
      <c r="AI217" s="51">
        <v>-1.025075E7</v>
      </c>
      <c r="AJ217" s="47" t="s">
        <v>3196</v>
      </c>
      <c r="AK217" s="48"/>
      <c r="AL217" s="50"/>
      <c r="AM217" s="51">
        <v>-5.2988195E7</v>
      </c>
      <c r="AN217" s="51">
        <v>-4239056.0</v>
      </c>
      <c r="AO217" s="51">
        <v>-5.7227251E7</v>
      </c>
      <c r="AP217" s="47"/>
      <c r="AQ217" s="48"/>
      <c r="AR217" s="50"/>
      <c r="AS217" s="51"/>
      <c r="AT217" s="51"/>
      <c r="AU217" s="51"/>
      <c r="AV217" s="47"/>
      <c r="AW217" s="48"/>
      <c r="AX217" s="50"/>
      <c r="AY217" s="51"/>
      <c r="AZ217" s="51"/>
      <c r="BA217" s="51"/>
      <c r="BB217" s="51">
        <f t="shared" ref="BB217:BD217" si="215">IF(AND(ISNUMBER(Z217),COUNT(AG217,AM217,AS217,AY217)=2),Z217+SUM(AG217,AM217,AS217,AY217),"")</f>
        <v>0</v>
      </c>
      <c r="BC217" s="51">
        <f t="shared" si="215"/>
        <v>0</v>
      </c>
      <c r="BD217" s="51">
        <f t="shared" si="215"/>
        <v>0</v>
      </c>
    </row>
    <row r="218" ht="48.0" customHeight="1">
      <c r="A218" s="49" t="s">
        <v>40</v>
      </c>
      <c r="B218" s="49" t="str">
        <f t="array" ref="B218">INDEX('HD cty 2024'!B:B,MATCH('F0, F1, F2, ...'!$C218,'HD cty 2024'!B:B,0))</f>
        <v>#N/A</v>
      </c>
      <c r="C218" s="49">
        <v>274.0</v>
      </c>
      <c r="D218" s="50">
        <v>45455.0</v>
      </c>
      <c r="E218" s="51">
        <v>6.5724025E7</v>
      </c>
      <c r="F218" s="51">
        <v>5257922.0</v>
      </c>
      <c r="G218" s="51">
        <v>7.0981947E7</v>
      </c>
      <c r="H218" s="49" t="s">
        <v>414</v>
      </c>
      <c r="I218" s="52" t="s">
        <v>3197</v>
      </c>
      <c r="J218" s="50">
        <v>45808.0</v>
      </c>
      <c r="K218" s="51">
        <v>6129679.0</v>
      </c>
      <c r="L218" s="51">
        <v>490374.0</v>
      </c>
      <c r="M218" s="51">
        <v>6620053.0</v>
      </c>
      <c r="N218" s="49"/>
      <c r="O218" s="52"/>
      <c r="P218" s="50"/>
      <c r="Q218" s="51"/>
      <c r="R218" s="51"/>
      <c r="S218" s="51"/>
      <c r="T218" s="49"/>
      <c r="U218" s="52"/>
      <c r="V218" s="50"/>
      <c r="W218" s="51"/>
      <c r="X218" s="51"/>
      <c r="Y218" s="51"/>
      <c r="Z218" s="51">
        <v>7.1853704E7</v>
      </c>
      <c r="AA218" s="51">
        <v>5748296.0</v>
      </c>
      <c r="AB218" s="51">
        <v>7.7602E7</v>
      </c>
      <c r="AC218" s="47"/>
      <c r="AD218" s="47" t="s">
        <v>3198</v>
      </c>
      <c r="AE218" s="48"/>
      <c r="AF218" s="50"/>
      <c r="AG218" s="51">
        <v>-6129679.0</v>
      </c>
      <c r="AH218" s="51">
        <v>-490374.0</v>
      </c>
      <c r="AI218" s="51">
        <v>-6620053.0</v>
      </c>
      <c r="AJ218" s="47" t="s">
        <v>3199</v>
      </c>
      <c r="AK218" s="48"/>
      <c r="AL218" s="50"/>
      <c r="AM218" s="51">
        <v>-6.5724025E7</v>
      </c>
      <c r="AN218" s="51">
        <v>-5257922.0</v>
      </c>
      <c r="AO218" s="51">
        <v>-7.0981947E7</v>
      </c>
      <c r="AP218" s="47"/>
      <c r="AQ218" s="48"/>
      <c r="AR218" s="50"/>
      <c r="AS218" s="51"/>
      <c r="AT218" s="51"/>
      <c r="AU218" s="51"/>
      <c r="AV218" s="47"/>
      <c r="AW218" s="48"/>
      <c r="AX218" s="50"/>
      <c r="AY218" s="51"/>
      <c r="AZ218" s="51"/>
      <c r="BA218" s="51"/>
      <c r="BB218" s="51">
        <f t="shared" ref="BB218:BD218" si="216">IF(AND(ISNUMBER(Z218),COUNT(AG218,AM218,AS218,AY218)=2),Z218+SUM(AG218,AM218,AS218,AY218),"")</f>
        <v>0</v>
      </c>
      <c r="BC218" s="51">
        <f t="shared" si="216"/>
        <v>0</v>
      </c>
      <c r="BD218" s="51">
        <f t="shared" si="216"/>
        <v>0</v>
      </c>
    </row>
    <row r="219" ht="48.0" customHeight="1">
      <c r="A219" s="49" t="s">
        <v>40</v>
      </c>
      <c r="B219" s="49" t="str">
        <f t="array" ref="B219">INDEX('HD cty 2024'!B:B,MATCH('F0, F1, F2, ...'!$C219,'HD cty 2024'!B:B,0))</f>
        <v>#N/A</v>
      </c>
      <c r="C219" s="49">
        <v>275.0</v>
      </c>
      <c r="D219" s="50">
        <v>45455.0</v>
      </c>
      <c r="E219" s="51">
        <v>1.05389874E8</v>
      </c>
      <c r="F219" s="51">
        <v>8431190.0</v>
      </c>
      <c r="G219" s="51">
        <v>1.13821064E8</v>
      </c>
      <c r="H219" s="49" t="s">
        <v>414</v>
      </c>
      <c r="I219" s="52" t="s">
        <v>3200</v>
      </c>
      <c r="J219" s="50">
        <v>45806.0</v>
      </c>
      <c r="K219" s="51">
        <v>-1085707.0</v>
      </c>
      <c r="L219" s="51">
        <v>-86857.0</v>
      </c>
      <c r="M219" s="51">
        <v>-1172564.0</v>
      </c>
      <c r="N219" s="49"/>
      <c r="O219" s="52"/>
      <c r="P219" s="50"/>
      <c r="Q219" s="51"/>
      <c r="R219" s="51"/>
      <c r="S219" s="51"/>
      <c r="T219" s="49"/>
      <c r="U219" s="52"/>
      <c r="V219" s="50"/>
      <c r="W219" s="51"/>
      <c r="X219" s="51"/>
      <c r="Y219" s="51"/>
      <c r="Z219" s="51">
        <v>1.04304167E8</v>
      </c>
      <c r="AA219" s="51">
        <v>8344333.0</v>
      </c>
      <c r="AB219" s="51">
        <v>1.126485E8</v>
      </c>
      <c r="AC219" s="47"/>
      <c r="AD219" s="47" t="s">
        <v>3201</v>
      </c>
      <c r="AE219" s="48"/>
      <c r="AF219" s="50"/>
      <c r="AG219" s="51">
        <v>1085707.0</v>
      </c>
      <c r="AH219" s="51">
        <v>86857.0</v>
      </c>
      <c r="AI219" s="51">
        <v>1172564.0</v>
      </c>
      <c r="AJ219" s="47" t="s">
        <v>3202</v>
      </c>
      <c r="AK219" s="48"/>
      <c r="AL219" s="50"/>
      <c r="AM219" s="51">
        <v>-1.05389874E8</v>
      </c>
      <c r="AN219" s="51">
        <v>-8431190.0</v>
      </c>
      <c r="AO219" s="51">
        <v>-1.13821064E8</v>
      </c>
      <c r="AP219" s="47"/>
      <c r="AQ219" s="48"/>
      <c r="AR219" s="50"/>
      <c r="AS219" s="51"/>
      <c r="AT219" s="51"/>
      <c r="AU219" s="51"/>
      <c r="AV219" s="47"/>
      <c r="AW219" s="48"/>
      <c r="AX219" s="50"/>
      <c r="AY219" s="51"/>
      <c r="AZ219" s="51"/>
      <c r="BA219" s="51"/>
      <c r="BB219" s="51">
        <f t="shared" ref="BB219:BD219" si="217">IF(AND(ISNUMBER(Z219),COUNT(AG219,AM219,AS219,AY219)=2),Z219+SUM(AG219,AM219,AS219,AY219),"")</f>
        <v>0</v>
      </c>
      <c r="BC219" s="51">
        <f t="shared" si="217"/>
        <v>0</v>
      </c>
      <c r="BD219" s="51">
        <f t="shared" si="217"/>
        <v>0</v>
      </c>
    </row>
    <row r="220" ht="48.0" customHeight="1">
      <c r="A220" s="49" t="s">
        <v>40</v>
      </c>
      <c r="B220" s="49" t="str">
        <f t="array" ref="B220">INDEX('HD cty 2024'!B:B,MATCH('F0, F1, F2, ...'!$C220,'HD cty 2024'!B:B,0))</f>
        <v>#N/A</v>
      </c>
      <c r="C220" s="49">
        <v>276.0</v>
      </c>
      <c r="D220" s="50">
        <v>45456.0</v>
      </c>
      <c r="E220" s="51">
        <v>7.896979E7</v>
      </c>
      <c r="F220" s="51">
        <v>6317583.0</v>
      </c>
      <c r="G220" s="51">
        <v>8.5287373E7</v>
      </c>
      <c r="H220" s="49" t="s">
        <v>414</v>
      </c>
      <c r="I220" s="52" t="s">
        <v>3203</v>
      </c>
      <c r="J220" s="50">
        <v>45806.0</v>
      </c>
      <c r="K220" s="51">
        <v>4863543.0</v>
      </c>
      <c r="L220" s="51">
        <v>389083.0</v>
      </c>
      <c r="M220" s="51">
        <v>5252626.0</v>
      </c>
      <c r="N220" s="49"/>
      <c r="O220" s="52"/>
      <c r="P220" s="50"/>
      <c r="Q220" s="51"/>
      <c r="R220" s="51"/>
      <c r="S220" s="51"/>
      <c r="T220" s="49"/>
      <c r="U220" s="52"/>
      <c r="V220" s="50"/>
      <c r="W220" s="51"/>
      <c r="X220" s="51"/>
      <c r="Y220" s="51"/>
      <c r="Z220" s="51">
        <v>8.3833333E7</v>
      </c>
      <c r="AA220" s="51">
        <v>6706666.0</v>
      </c>
      <c r="AB220" s="51">
        <v>9.0539999E7</v>
      </c>
      <c r="AC220" s="47"/>
      <c r="AD220" s="47" t="s">
        <v>3204</v>
      </c>
      <c r="AE220" s="48"/>
      <c r="AF220" s="50"/>
      <c r="AG220" s="51">
        <v>-4863543.0</v>
      </c>
      <c r="AH220" s="51">
        <v>-389083.0</v>
      </c>
      <c r="AI220" s="51">
        <v>-5252626.0</v>
      </c>
      <c r="AJ220" s="47" t="s">
        <v>3205</v>
      </c>
      <c r="AK220" s="48"/>
      <c r="AL220" s="50"/>
      <c r="AM220" s="51">
        <v>-7.896979E7</v>
      </c>
      <c r="AN220" s="51">
        <v>-6317583.0</v>
      </c>
      <c r="AO220" s="51">
        <v>-8.5287373E7</v>
      </c>
      <c r="AP220" s="47"/>
      <c r="AQ220" s="48"/>
      <c r="AR220" s="50"/>
      <c r="AS220" s="51"/>
      <c r="AT220" s="51"/>
      <c r="AU220" s="51"/>
      <c r="AV220" s="47"/>
      <c r="AW220" s="48"/>
      <c r="AX220" s="50"/>
      <c r="AY220" s="51"/>
      <c r="AZ220" s="51"/>
      <c r="BA220" s="51"/>
      <c r="BB220" s="51">
        <f t="shared" ref="BB220:BD220" si="218">IF(AND(ISNUMBER(Z220),COUNT(AG220,AM220,AS220,AY220)=2),Z220+SUM(AG220,AM220,AS220,AY220),"")</f>
        <v>0</v>
      </c>
      <c r="BC220" s="51">
        <f t="shared" si="218"/>
        <v>0</v>
      </c>
      <c r="BD220" s="51">
        <f t="shared" si="218"/>
        <v>0</v>
      </c>
    </row>
    <row r="221" ht="48.0" customHeight="1">
      <c r="A221" s="49" t="s">
        <v>40</v>
      </c>
      <c r="B221" s="49" t="str">
        <f t="array" ref="B221">INDEX('HD cty 2024'!B:B,MATCH('F0, F1, F2, ...'!$C221,'HD cty 2024'!B:B,0))</f>
        <v>#N/A</v>
      </c>
      <c r="C221" s="49">
        <v>277.0</v>
      </c>
      <c r="D221" s="50">
        <v>45456.0</v>
      </c>
      <c r="E221" s="51">
        <v>7.9159517E7</v>
      </c>
      <c r="F221" s="51">
        <v>6332761.0</v>
      </c>
      <c r="G221" s="51">
        <v>8.5492278E7</v>
      </c>
      <c r="H221" s="49" t="s">
        <v>414</v>
      </c>
      <c r="I221" s="52" t="s">
        <v>3206</v>
      </c>
      <c r="J221" s="50">
        <v>45806.0</v>
      </c>
      <c r="K221" s="51">
        <v>1047723.0</v>
      </c>
      <c r="L221" s="51">
        <v>83818.0</v>
      </c>
      <c r="M221" s="51">
        <v>1131541.0</v>
      </c>
      <c r="N221" s="49"/>
      <c r="O221" s="52"/>
      <c r="P221" s="50"/>
      <c r="Q221" s="51"/>
      <c r="R221" s="51"/>
      <c r="S221" s="51"/>
      <c r="T221" s="49"/>
      <c r="U221" s="52"/>
      <c r="V221" s="50"/>
      <c r="W221" s="51"/>
      <c r="X221" s="51"/>
      <c r="Y221" s="51"/>
      <c r="Z221" s="51">
        <v>8.020724E7</v>
      </c>
      <c r="AA221" s="51">
        <v>6416579.0</v>
      </c>
      <c r="AB221" s="51">
        <v>8.6623819E7</v>
      </c>
      <c r="AC221" s="47"/>
      <c r="AD221" s="47" t="s">
        <v>3207</v>
      </c>
      <c r="AE221" s="48"/>
      <c r="AF221" s="50"/>
      <c r="AG221" s="51">
        <v>-1047723.0</v>
      </c>
      <c r="AH221" s="51">
        <v>-83818.0</v>
      </c>
      <c r="AI221" s="51">
        <v>-1131541.0</v>
      </c>
      <c r="AJ221" s="47" t="s">
        <v>3208</v>
      </c>
      <c r="AK221" s="48"/>
      <c r="AL221" s="50"/>
      <c r="AM221" s="51">
        <v>-7.9159517E7</v>
      </c>
      <c r="AN221" s="51">
        <v>-6332761.0</v>
      </c>
      <c r="AO221" s="51">
        <v>-8.5492278E7</v>
      </c>
      <c r="AP221" s="47"/>
      <c r="AQ221" s="48"/>
      <c r="AR221" s="50"/>
      <c r="AS221" s="51"/>
      <c r="AT221" s="51"/>
      <c r="AU221" s="51"/>
      <c r="AV221" s="47"/>
      <c r="AW221" s="48"/>
      <c r="AX221" s="50"/>
      <c r="AY221" s="51"/>
      <c r="AZ221" s="51"/>
      <c r="BA221" s="51"/>
      <c r="BB221" s="51">
        <f t="shared" ref="BB221:BD221" si="219">IF(AND(ISNUMBER(Z221),COUNT(AG221,AM221,AS221,AY221)=2),Z221+SUM(AG221,AM221,AS221,AY221),"")</f>
        <v>0</v>
      </c>
      <c r="BC221" s="51">
        <f t="shared" si="219"/>
        <v>0</v>
      </c>
      <c r="BD221" s="51">
        <f t="shared" si="219"/>
        <v>0</v>
      </c>
    </row>
    <row r="222" ht="48.0" customHeight="1">
      <c r="A222" s="49" t="s">
        <v>40</v>
      </c>
      <c r="B222" s="49" t="str">
        <f t="array" ref="B222">INDEX('HD cty 2024'!B:B,MATCH('F0, F1, F2, ...'!$C222,'HD cty 2024'!B:B,0))</f>
        <v>#N/A</v>
      </c>
      <c r="C222" s="49">
        <v>278.0</v>
      </c>
      <c r="D222" s="50">
        <v>45456.0</v>
      </c>
      <c r="E222" s="51">
        <v>6.7745694E7</v>
      </c>
      <c r="F222" s="51">
        <v>5419656.0</v>
      </c>
      <c r="G222" s="51">
        <v>7.316535E7</v>
      </c>
      <c r="H222" s="49" t="s">
        <v>414</v>
      </c>
      <c r="I222" s="52" t="s">
        <v>3209</v>
      </c>
      <c r="J222" s="50">
        <v>45806.0</v>
      </c>
      <c r="K222" s="51">
        <v>3288733.0</v>
      </c>
      <c r="L222" s="51">
        <v>263099.0</v>
      </c>
      <c r="M222" s="51">
        <v>3551832.0</v>
      </c>
      <c r="N222" s="49"/>
      <c r="O222" s="52"/>
      <c r="P222" s="50"/>
      <c r="Q222" s="51"/>
      <c r="R222" s="51"/>
      <c r="S222" s="51"/>
      <c r="T222" s="49"/>
      <c r="U222" s="52"/>
      <c r="V222" s="50"/>
      <c r="W222" s="51"/>
      <c r="X222" s="51"/>
      <c r="Y222" s="51"/>
      <c r="Z222" s="51">
        <v>7.1034427E7</v>
      </c>
      <c r="AA222" s="51">
        <v>5682755.0</v>
      </c>
      <c r="AB222" s="51">
        <v>7.6717182E7</v>
      </c>
      <c r="AC222" s="47"/>
      <c r="AD222" s="47" t="s">
        <v>3210</v>
      </c>
      <c r="AE222" s="48"/>
      <c r="AF222" s="50"/>
      <c r="AG222" s="51">
        <v>-3288733.0</v>
      </c>
      <c r="AH222" s="51">
        <v>-263099.0</v>
      </c>
      <c r="AI222" s="51">
        <v>-3551832.0</v>
      </c>
      <c r="AJ222" s="47" t="s">
        <v>3211</v>
      </c>
      <c r="AK222" s="48"/>
      <c r="AL222" s="50"/>
      <c r="AM222" s="51">
        <v>-6.7745694E7</v>
      </c>
      <c r="AN222" s="51">
        <v>-5419656.0</v>
      </c>
      <c r="AO222" s="51">
        <v>-7.316535E7</v>
      </c>
      <c r="AP222" s="47"/>
      <c r="AQ222" s="48"/>
      <c r="AR222" s="50"/>
      <c r="AS222" s="51"/>
      <c r="AT222" s="51"/>
      <c r="AU222" s="51"/>
      <c r="AV222" s="47"/>
      <c r="AW222" s="48"/>
      <c r="AX222" s="50"/>
      <c r="AY222" s="51"/>
      <c r="AZ222" s="51"/>
      <c r="BA222" s="51"/>
      <c r="BB222" s="51">
        <f t="shared" ref="BB222:BD222" si="220">IF(AND(ISNUMBER(Z222),COUNT(AG222,AM222,AS222,AY222)=2),Z222+SUM(AG222,AM222,AS222,AY222),"")</f>
        <v>0</v>
      </c>
      <c r="BC222" s="51">
        <f t="shared" si="220"/>
        <v>0</v>
      </c>
      <c r="BD222" s="51">
        <f t="shared" si="220"/>
        <v>0</v>
      </c>
    </row>
    <row r="223" ht="48.0" customHeight="1">
      <c r="A223" s="49" t="s">
        <v>40</v>
      </c>
      <c r="B223" s="49" t="str">
        <f t="array" ref="B223">INDEX('HD cty 2024'!B:B,MATCH('F0, F1, F2, ...'!$C223,'HD cty 2024'!B:B,0))</f>
        <v>#N/A</v>
      </c>
      <c r="C223" s="49">
        <v>279.0</v>
      </c>
      <c r="D223" s="50">
        <v>45457.0</v>
      </c>
      <c r="E223" s="51">
        <v>8.1522331E7</v>
      </c>
      <c r="F223" s="51">
        <v>6521786.0</v>
      </c>
      <c r="G223" s="51">
        <v>8.8044117E7</v>
      </c>
      <c r="H223" s="49" t="s">
        <v>414</v>
      </c>
      <c r="I223" s="52" t="s">
        <v>3212</v>
      </c>
      <c r="J223" s="50">
        <v>45806.0</v>
      </c>
      <c r="K223" s="51">
        <v>5351809.0</v>
      </c>
      <c r="L223" s="51">
        <v>428145.0</v>
      </c>
      <c r="M223" s="51">
        <v>5779954.0</v>
      </c>
      <c r="N223" s="49"/>
      <c r="O223" s="52"/>
      <c r="P223" s="50"/>
      <c r="Q223" s="51"/>
      <c r="R223" s="51"/>
      <c r="S223" s="51"/>
      <c r="T223" s="49"/>
      <c r="U223" s="52"/>
      <c r="V223" s="50"/>
      <c r="W223" s="51"/>
      <c r="X223" s="51"/>
      <c r="Y223" s="51"/>
      <c r="Z223" s="51">
        <v>8.687414E7</v>
      </c>
      <c r="AA223" s="51">
        <v>6949931.0</v>
      </c>
      <c r="AB223" s="51">
        <v>9.3824071E7</v>
      </c>
      <c r="AC223" s="47"/>
      <c r="AD223" s="47" t="s">
        <v>3213</v>
      </c>
      <c r="AE223" s="48"/>
      <c r="AF223" s="50"/>
      <c r="AG223" s="51">
        <v>-5351809.0</v>
      </c>
      <c r="AH223" s="51">
        <v>-428145.0</v>
      </c>
      <c r="AI223" s="51">
        <v>-5779954.0</v>
      </c>
      <c r="AJ223" s="47" t="s">
        <v>3214</v>
      </c>
      <c r="AK223" s="48"/>
      <c r="AL223" s="50"/>
      <c r="AM223" s="51">
        <v>-8.1522331E7</v>
      </c>
      <c r="AN223" s="51">
        <v>-6521786.0</v>
      </c>
      <c r="AO223" s="51">
        <v>-8.8044117E7</v>
      </c>
      <c r="AP223" s="47"/>
      <c r="AQ223" s="48"/>
      <c r="AR223" s="50"/>
      <c r="AS223" s="51"/>
      <c r="AT223" s="51"/>
      <c r="AU223" s="51"/>
      <c r="AV223" s="47"/>
      <c r="AW223" s="48"/>
      <c r="AX223" s="50"/>
      <c r="AY223" s="51"/>
      <c r="AZ223" s="51"/>
      <c r="BA223" s="51"/>
      <c r="BB223" s="51">
        <f t="shared" ref="BB223:BD223" si="221">IF(AND(ISNUMBER(Z223),COUNT(AG223,AM223,AS223,AY223)=2),Z223+SUM(AG223,AM223,AS223,AY223),"")</f>
        <v>0</v>
      </c>
      <c r="BC223" s="51">
        <f t="shared" si="221"/>
        <v>0</v>
      </c>
      <c r="BD223" s="51">
        <f t="shared" si="221"/>
        <v>0</v>
      </c>
    </row>
    <row r="224" ht="48.0" customHeight="1">
      <c r="A224" s="49" t="s">
        <v>40</v>
      </c>
      <c r="B224" s="49" t="str">
        <f t="array" ref="B224">INDEX('HD cty 2024'!B:B,MATCH('F0, F1, F2, ...'!$C224,'HD cty 2024'!B:B,0))</f>
        <v>#N/A</v>
      </c>
      <c r="C224" s="49">
        <v>280.0</v>
      </c>
      <c r="D224" s="50">
        <v>45457.0</v>
      </c>
      <c r="E224" s="51">
        <v>8.9878821E7</v>
      </c>
      <c r="F224" s="51">
        <v>7190306.0</v>
      </c>
      <c r="G224" s="51">
        <v>9.7069127E7</v>
      </c>
      <c r="H224" s="49" t="s">
        <v>414</v>
      </c>
      <c r="I224" s="52" t="s">
        <v>3215</v>
      </c>
      <c r="J224" s="50">
        <v>45806.0</v>
      </c>
      <c r="K224" s="51">
        <v>7912185.0</v>
      </c>
      <c r="L224" s="51">
        <v>632975.0</v>
      </c>
      <c r="M224" s="51">
        <v>8545160.0</v>
      </c>
      <c r="N224" s="49"/>
      <c r="O224" s="52"/>
      <c r="P224" s="50"/>
      <c r="Q224" s="51"/>
      <c r="R224" s="51"/>
      <c r="S224" s="51"/>
      <c r="T224" s="49"/>
      <c r="U224" s="52"/>
      <c r="V224" s="50"/>
      <c r="W224" s="51"/>
      <c r="X224" s="51"/>
      <c r="Y224" s="51"/>
      <c r="Z224" s="51">
        <v>9.7791006E7</v>
      </c>
      <c r="AA224" s="51">
        <v>7823281.0</v>
      </c>
      <c r="AB224" s="51">
        <v>1.05614287E8</v>
      </c>
      <c r="AC224" s="47"/>
      <c r="AD224" s="47" t="s">
        <v>3216</v>
      </c>
      <c r="AE224" s="48"/>
      <c r="AF224" s="50"/>
      <c r="AG224" s="51">
        <v>-7912185.0</v>
      </c>
      <c r="AH224" s="51">
        <v>-632975.0</v>
      </c>
      <c r="AI224" s="51">
        <v>-8545160.0</v>
      </c>
      <c r="AJ224" s="47" t="s">
        <v>3217</v>
      </c>
      <c r="AK224" s="48"/>
      <c r="AL224" s="50"/>
      <c r="AM224" s="51">
        <v>-8.9878821E7</v>
      </c>
      <c r="AN224" s="51">
        <v>-7190306.0</v>
      </c>
      <c r="AO224" s="51">
        <v>-9.7069127E7</v>
      </c>
      <c r="AP224" s="47"/>
      <c r="AQ224" s="48"/>
      <c r="AR224" s="50"/>
      <c r="AS224" s="51"/>
      <c r="AT224" s="51"/>
      <c r="AU224" s="51"/>
      <c r="AV224" s="47"/>
      <c r="AW224" s="48"/>
      <c r="AX224" s="50"/>
      <c r="AY224" s="51"/>
      <c r="AZ224" s="51"/>
      <c r="BA224" s="51"/>
      <c r="BB224" s="51">
        <f t="shared" ref="BB224:BD224" si="222">IF(AND(ISNUMBER(Z224),COUNT(AG224,AM224,AS224,AY224)=2),Z224+SUM(AG224,AM224,AS224,AY224),"")</f>
        <v>0</v>
      </c>
      <c r="BC224" s="51">
        <f t="shared" si="222"/>
        <v>0</v>
      </c>
      <c r="BD224" s="51">
        <f t="shared" si="222"/>
        <v>0</v>
      </c>
    </row>
    <row r="225" ht="48.0" customHeight="1">
      <c r="A225" s="49" t="s">
        <v>40</v>
      </c>
      <c r="B225" s="49" t="str">
        <f t="array" ref="B225">INDEX('HD cty 2024'!B:B,MATCH('F0, F1, F2, ...'!$C225,'HD cty 2024'!B:B,0))</f>
        <v>#N/A</v>
      </c>
      <c r="C225" s="49">
        <v>281.0</v>
      </c>
      <c r="D225" s="50">
        <v>45457.0</v>
      </c>
      <c r="E225" s="51">
        <v>1.06446016E8</v>
      </c>
      <c r="F225" s="51">
        <v>8515681.0</v>
      </c>
      <c r="G225" s="51">
        <v>1.14961697E8</v>
      </c>
      <c r="H225" s="49" t="s">
        <v>414</v>
      </c>
      <c r="I225" s="52" t="s">
        <v>3218</v>
      </c>
      <c r="J225" s="50">
        <v>45806.0</v>
      </c>
      <c r="K225" s="51">
        <v>8977132.0</v>
      </c>
      <c r="L225" s="51">
        <v>718171.0</v>
      </c>
      <c r="M225" s="51">
        <v>9695303.0</v>
      </c>
      <c r="N225" s="49"/>
      <c r="O225" s="52"/>
      <c r="P225" s="50"/>
      <c r="Q225" s="51"/>
      <c r="R225" s="51"/>
      <c r="S225" s="51"/>
      <c r="T225" s="49"/>
      <c r="U225" s="52"/>
      <c r="V225" s="50"/>
      <c r="W225" s="51"/>
      <c r="X225" s="51"/>
      <c r="Y225" s="51"/>
      <c r="Z225" s="51">
        <v>1.15423148E8</v>
      </c>
      <c r="AA225" s="51">
        <v>9233852.0</v>
      </c>
      <c r="AB225" s="51">
        <v>1.24657E8</v>
      </c>
      <c r="AC225" s="47"/>
      <c r="AD225" s="47" t="s">
        <v>3219</v>
      </c>
      <c r="AE225" s="48"/>
      <c r="AF225" s="50"/>
      <c r="AG225" s="51">
        <v>-8977132.0</v>
      </c>
      <c r="AH225" s="51">
        <v>-718171.0</v>
      </c>
      <c r="AI225" s="51">
        <v>-9695303.0</v>
      </c>
      <c r="AJ225" s="47" t="s">
        <v>3220</v>
      </c>
      <c r="AK225" s="48"/>
      <c r="AL225" s="50"/>
      <c r="AM225" s="51">
        <v>-1.06446016E8</v>
      </c>
      <c r="AN225" s="51">
        <v>-8515681.0</v>
      </c>
      <c r="AO225" s="51">
        <v>-1.14961697E8</v>
      </c>
      <c r="AP225" s="47"/>
      <c r="AQ225" s="48"/>
      <c r="AR225" s="50"/>
      <c r="AS225" s="51"/>
      <c r="AT225" s="51"/>
      <c r="AU225" s="51"/>
      <c r="AV225" s="47"/>
      <c r="AW225" s="48"/>
      <c r="AX225" s="50"/>
      <c r="AY225" s="51"/>
      <c r="AZ225" s="51"/>
      <c r="BA225" s="51"/>
      <c r="BB225" s="51">
        <f t="shared" ref="BB225:BD225" si="223">IF(AND(ISNUMBER(Z225),COUNT(AG225,AM225,AS225,AY225)=2),Z225+SUM(AG225,AM225,AS225,AY225),"")</f>
        <v>0</v>
      </c>
      <c r="BC225" s="51">
        <f t="shared" si="223"/>
        <v>0</v>
      </c>
      <c r="BD225" s="51">
        <f t="shared" si="223"/>
        <v>0</v>
      </c>
    </row>
    <row r="226" ht="48.0" customHeight="1">
      <c r="A226" s="49" t="s">
        <v>40</v>
      </c>
      <c r="B226" s="49" t="str">
        <f t="array" ref="B226">INDEX('HD cty 2024'!B:B,MATCH('F0, F1, F2, ...'!$C226,'HD cty 2024'!B:B,0))</f>
        <v>#N/A</v>
      </c>
      <c r="C226" s="49">
        <v>282.0</v>
      </c>
      <c r="D226" s="50">
        <v>45457.0</v>
      </c>
      <c r="E226" s="51">
        <v>4.989019E7</v>
      </c>
      <c r="F226" s="51">
        <v>3991215.0</v>
      </c>
      <c r="G226" s="51">
        <v>5.3881405E7</v>
      </c>
      <c r="H226" s="49" t="s">
        <v>414</v>
      </c>
      <c r="I226" s="52" t="s">
        <v>3221</v>
      </c>
      <c r="J226" s="50">
        <v>45806.0</v>
      </c>
      <c r="K226" s="51">
        <v>2200551.0</v>
      </c>
      <c r="L226" s="51">
        <v>176044.0</v>
      </c>
      <c r="M226" s="51">
        <v>2376595.0</v>
      </c>
      <c r="N226" s="49"/>
      <c r="O226" s="52"/>
      <c r="P226" s="50"/>
      <c r="Q226" s="51"/>
      <c r="R226" s="51"/>
      <c r="S226" s="51"/>
      <c r="T226" s="49"/>
      <c r="U226" s="52"/>
      <c r="V226" s="50"/>
      <c r="W226" s="51"/>
      <c r="X226" s="51"/>
      <c r="Y226" s="51"/>
      <c r="Z226" s="51">
        <v>5.2090741E7</v>
      </c>
      <c r="AA226" s="51">
        <v>4167259.0</v>
      </c>
      <c r="AB226" s="51">
        <v>5.6258E7</v>
      </c>
      <c r="AC226" s="47"/>
      <c r="AD226" s="47" t="s">
        <v>3222</v>
      </c>
      <c r="AE226" s="48"/>
      <c r="AF226" s="50"/>
      <c r="AG226" s="51">
        <v>-2200551.0</v>
      </c>
      <c r="AH226" s="51">
        <v>-176044.0</v>
      </c>
      <c r="AI226" s="51">
        <v>-2376595.0</v>
      </c>
      <c r="AJ226" s="47" t="s">
        <v>3223</v>
      </c>
      <c r="AK226" s="48"/>
      <c r="AL226" s="50"/>
      <c r="AM226" s="51">
        <v>-4.989019E7</v>
      </c>
      <c r="AN226" s="51">
        <v>-3991215.0</v>
      </c>
      <c r="AO226" s="51">
        <v>-5.3881405E7</v>
      </c>
      <c r="AP226" s="47"/>
      <c r="AQ226" s="48"/>
      <c r="AR226" s="50"/>
      <c r="AS226" s="51"/>
      <c r="AT226" s="51"/>
      <c r="AU226" s="51"/>
      <c r="AV226" s="47"/>
      <c r="AW226" s="48"/>
      <c r="AX226" s="50"/>
      <c r="AY226" s="51"/>
      <c r="AZ226" s="51"/>
      <c r="BA226" s="51"/>
      <c r="BB226" s="51">
        <f t="shared" ref="BB226:BD226" si="224">IF(AND(ISNUMBER(Z226),COUNT(AG226,AM226,AS226,AY226)=2),Z226+SUM(AG226,AM226,AS226,AY226),"")</f>
        <v>0</v>
      </c>
      <c r="BC226" s="51">
        <f t="shared" si="224"/>
        <v>0</v>
      </c>
      <c r="BD226" s="51">
        <f t="shared" si="224"/>
        <v>0</v>
      </c>
    </row>
    <row r="227" ht="90.0" customHeight="1">
      <c r="A227" s="49" t="s">
        <v>40</v>
      </c>
      <c r="B227" s="49" t="str">
        <f t="array" ref="B227">INDEX('HD cty 2024'!B:B,MATCH('F0, F1, F2, ...'!$C227,'HD cty 2024'!B:B,0))</f>
        <v>#N/A</v>
      </c>
      <c r="C227" s="49">
        <v>283.0</v>
      </c>
      <c r="D227" s="50">
        <v>45457.0</v>
      </c>
      <c r="E227" s="51">
        <v>9.0142915E7</v>
      </c>
      <c r="F227" s="51">
        <v>7211433.0</v>
      </c>
      <c r="G227" s="51">
        <v>9.7354348E7</v>
      </c>
      <c r="H227" s="49" t="s">
        <v>414</v>
      </c>
      <c r="I227" s="52" t="s">
        <v>3224</v>
      </c>
      <c r="J227" s="50">
        <v>45806.0</v>
      </c>
      <c r="K227" s="51">
        <v>7599678.0</v>
      </c>
      <c r="L227" s="51">
        <v>609974.0</v>
      </c>
      <c r="M227" s="51">
        <v>8207652.0</v>
      </c>
      <c r="N227" s="49"/>
      <c r="O227" s="52"/>
      <c r="P227" s="50"/>
      <c r="Q227" s="51"/>
      <c r="R227" s="51"/>
      <c r="S227" s="51"/>
      <c r="T227" s="49"/>
      <c r="U227" s="52"/>
      <c r="V227" s="50"/>
      <c r="W227" s="51"/>
      <c r="X227" s="51"/>
      <c r="Y227" s="51"/>
      <c r="Z227" s="51">
        <v>9.7742593E7</v>
      </c>
      <c r="AA227" s="51">
        <v>7821407.0</v>
      </c>
      <c r="AB227" s="51">
        <v>1.05562E8</v>
      </c>
      <c r="AC227" s="47" t="s">
        <v>2776</v>
      </c>
      <c r="AD227" s="47" t="s">
        <v>3225</v>
      </c>
      <c r="AE227" s="48"/>
      <c r="AF227" s="50">
        <v>46307.0</v>
      </c>
      <c r="AG227" s="51">
        <v>-7599678.0</v>
      </c>
      <c r="AH227" s="51">
        <v>-609974.0</v>
      </c>
      <c r="AI227" s="51">
        <v>-8207652.0</v>
      </c>
      <c r="AJ227" s="47" t="s">
        <v>3226</v>
      </c>
      <c r="AK227" s="48"/>
      <c r="AL227" s="50">
        <v>46307.0</v>
      </c>
      <c r="AM227" s="51">
        <v>-9.0142915E7</v>
      </c>
      <c r="AN227" s="51">
        <v>-7211433.0</v>
      </c>
      <c r="AO227" s="51">
        <v>-9.7354348E7</v>
      </c>
      <c r="AP227" s="47"/>
      <c r="AQ227" s="48"/>
      <c r="AR227" s="50"/>
      <c r="AS227" s="51"/>
      <c r="AT227" s="51"/>
      <c r="AU227" s="51"/>
      <c r="AV227" s="47"/>
      <c r="AW227" s="48"/>
      <c r="AX227" s="50"/>
      <c r="AY227" s="51"/>
      <c r="AZ227" s="51"/>
      <c r="BA227" s="51"/>
      <c r="BB227" s="51">
        <f t="shared" ref="BB227:BD227" si="225">IF(AND(ISNUMBER(Z227),COUNT(AG227,AM227,AS227,AY227)=2),Z227+SUM(AG227,AM227,AS227,AY227),"")</f>
        <v>0</v>
      </c>
      <c r="BC227" s="51">
        <f t="shared" si="225"/>
        <v>0</v>
      </c>
      <c r="BD227" s="51">
        <f t="shared" si="225"/>
        <v>0</v>
      </c>
    </row>
    <row r="228" ht="48.0" customHeight="1">
      <c r="A228" s="49" t="s">
        <v>40</v>
      </c>
      <c r="B228" s="49" t="str">
        <f t="array" ref="B228">INDEX('HD cty 2024'!B:B,MATCH('F0, F1, F2, ...'!$C228,'HD cty 2024'!B:B,0))</f>
        <v>#N/A</v>
      </c>
      <c r="C228" s="49">
        <v>284.0</v>
      </c>
      <c r="D228" s="50">
        <v>45457.0</v>
      </c>
      <c r="E228" s="51">
        <v>2.0283021E8</v>
      </c>
      <c r="F228" s="51">
        <v>1.6226417E7</v>
      </c>
      <c r="G228" s="51">
        <v>2.19056627E8</v>
      </c>
      <c r="H228" s="49" t="s">
        <v>414</v>
      </c>
      <c r="I228" s="52" t="s">
        <v>3227</v>
      </c>
      <c r="J228" s="50">
        <v>45806.0</v>
      </c>
      <c r="K228" s="51">
        <v>1.514034E7</v>
      </c>
      <c r="L228" s="51">
        <v>1211227.0</v>
      </c>
      <c r="M228" s="51">
        <v>1.6351567E7</v>
      </c>
      <c r="N228" s="49"/>
      <c r="O228" s="52"/>
      <c r="P228" s="50"/>
      <c r="Q228" s="51"/>
      <c r="R228" s="51"/>
      <c r="S228" s="51"/>
      <c r="T228" s="49"/>
      <c r="U228" s="52"/>
      <c r="V228" s="50"/>
      <c r="W228" s="51"/>
      <c r="X228" s="51"/>
      <c r="Y228" s="51"/>
      <c r="Z228" s="51">
        <v>2.1797055E8</v>
      </c>
      <c r="AA228" s="51">
        <v>1.7437644E7</v>
      </c>
      <c r="AB228" s="51">
        <v>2.35408194E8</v>
      </c>
      <c r="AC228" s="47"/>
      <c r="AD228" s="47" t="s">
        <v>3228</v>
      </c>
      <c r="AE228" s="48"/>
      <c r="AF228" s="50"/>
      <c r="AG228" s="51">
        <v>-1.514034E7</v>
      </c>
      <c r="AH228" s="51">
        <v>-1211227.0</v>
      </c>
      <c r="AI228" s="51">
        <v>-1.6351567E7</v>
      </c>
      <c r="AJ228" s="47" t="s">
        <v>3229</v>
      </c>
      <c r="AK228" s="48"/>
      <c r="AL228" s="50"/>
      <c r="AM228" s="51">
        <v>-2.0283021E8</v>
      </c>
      <c r="AN228" s="51">
        <v>-1.6226417E7</v>
      </c>
      <c r="AO228" s="51">
        <v>-2.19056627E8</v>
      </c>
      <c r="AP228" s="47"/>
      <c r="AQ228" s="48"/>
      <c r="AR228" s="50"/>
      <c r="AS228" s="51"/>
      <c r="AT228" s="51"/>
      <c r="AU228" s="51"/>
      <c r="AV228" s="47"/>
      <c r="AW228" s="48"/>
      <c r="AX228" s="50"/>
      <c r="AY228" s="51"/>
      <c r="AZ228" s="51"/>
      <c r="BA228" s="51"/>
      <c r="BB228" s="51">
        <f t="shared" ref="BB228:BD228" si="226">IF(AND(ISNUMBER(Z228),COUNT(AG228,AM228,AS228,AY228)=2),Z228+SUM(AG228,AM228,AS228,AY228),"")</f>
        <v>0</v>
      </c>
      <c r="BC228" s="51">
        <f t="shared" si="226"/>
        <v>0</v>
      </c>
      <c r="BD228" s="51">
        <f t="shared" si="226"/>
        <v>0</v>
      </c>
    </row>
    <row r="229" ht="90.0" customHeight="1">
      <c r="A229" s="49" t="s">
        <v>40</v>
      </c>
      <c r="B229" s="49" t="str">
        <f t="array" ref="B229">INDEX('HD cty 2024'!B:B,MATCH('F0, F1, F2, ...'!$C229,'HD cty 2024'!B:B,0))</f>
        <v>#N/A</v>
      </c>
      <c r="C229" s="49">
        <v>285.0</v>
      </c>
      <c r="D229" s="50">
        <v>45458.0</v>
      </c>
      <c r="E229" s="51">
        <v>8.7458193E7</v>
      </c>
      <c r="F229" s="51">
        <v>6996655.0</v>
      </c>
      <c r="G229" s="51">
        <v>9.4454848E7</v>
      </c>
      <c r="H229" s="49" t="s">
        <v>414</v>
      </c>
      <c r="I229" s="52" t="s">
        <v>3230</v>
      </c>
      <c r="J229" s="50">
        <v>45806.0</v>
      </c>
      <c r="K229" s="51">
        <v>5701066.0</v>
      </c>
      <c r="L229" s="51">
        <v>456085.0</v>
      </c>
      <c r="M229" s="51">
        <v>6157152.0</v>
      </c>
      <c r="N229" s="49"/>
      <c r="O229" s="52"/>
      <c r="P229" s="50"/>
      <c r="Q229" s="51"/>
      <c r="R229" s="51"/>
      <c r="S229" s="51"/>
      <c r="T229" s="49"/>
      <c r="U229" s="52"/>
      <c r="V229" s="50"/>
      <c r="W229" s="51"/>
      <c r="X229" s="51"/>
      <c r="Y229" s="51"/>
      <c r="Z229" s="51">
        <v>9.3159259E7</v>
      </c>
      <c r="AA229" s="51">
        <v>7452740.0</v>
      </c>
      <c r="AB229" s="51">
        <v>1.00612E8</v>
      </c>
      <c r="AC229" s="47" t="s">
        <v>2776</v>
      </c>
      <c r="AD229" s="47" t="s">
        <v>3231</v>
      </c>
      <c r="AE229" s="48"/>
      <c r="AF229" s="50">
        <v>46307.0</v>
      </c>
      <c r="AG229" s="51">
        <v>-5701066.0</v>
      </c>
      <c r="AH229" s="51">
        <v>-456085.0</v>
      </c>
      <c r="AI229" s="51">
        <v>-6157152.0</v>
      </c>
      <c r="AJ229" s="47" t="s">
        <v>3232</v>
      </c>
      <c r="AK229" s="48"/>
      <c r="AL229" s="50">
        <v>46307.0</v>
      </c>
      <c r="AM229" s="51">
        <v>-8.7458193E7</v>
      </c>
      <c r="AN229" s="51">
        <v>-6996655.0</v>
      </c>
      <c r="AO229" s="51">
        <v>-9.4454848E7</v>
      </c>
      <c r="AP229" s="47"/>
      <c r="AQ229" s="48"/>
      <c r="AR229" s="50"/>
      <c r="AS229" s="51"/>
      <c r="AT229" s="51"/>
      <c r="AU229" s="51"/>
      <c r="AV229" s="47"/>
      <c r="AW229" s="48"/>
      <c r="AX229" s="50"/>
      <c r="AY229" s="51"/>
      <c r="AZ229" s="51"/>
      <c r="BA229" s="51"/>
      <c r="BB229" s="51">
        <f t="shared" ref="BB229:BD229" si="227">IF(AND(ISNUMBER(Z229),COUNT(AG229,AM229,AS229,AY229)=2),Z229+SUM(AG229,AM229,AS229,AY229),"")</f>
        <v>0</v>
      </c>
      <c r="BC229" s="51">
        <f t="shared" si="227"/>
        <v>0</v>
      </c>
      <c r="BD229" s="51">
        <f t="shared" si="227"/>
        <v>0</v>
      </c>
    </row>
    <row r="230" ht="48.0" customHeight="1">
      <c r="A230" s="49" t="s">
        <v>40</v>
      </c>
      <c r="B230" s="49" t="str">
        <f t="array" ref="B230">INDEX('HD cty 2024'!B:B,MATCH('F0, F1, F2, ...'!$C230,'HD cty 2024'!B:B,0))</f>
        <v>#N/A</v>
      </c>
      <c r="C230" s="49">
        <v>286.0</v>
      </c>
      <c r="D230" s="50">
        <v>45458.0</v>
      </c>
      <c r="E230" s="51">
        <v>1.59422313E8</v>
      </c>
      <c r="F230" s="51">
        <v>1.2753785E7</v>
      </c>
      <c r="G230" s="51">
        <v>1.72176098E8</v>
      </c>
      <c r="H230" s="49" t="s">
        <v>414</v>
      </c>
      <c r="I230" s="52" t="s">
        <v>3233</v>
      </c>
      <c r="J230" s="50">
        <v>45806.0</v>
      </c>
      <c r="K230" s="51">
        <v>1.1279539E7</v>
      </c>
      <c r="L230" s="51">
        <v>902363.0</v>
      </c>
      <c r="M230" s="51">
        <v>1.2181902E7</v>
      </c>
      <c r="N230" s="49"/>
      <c r="O230" s="52"/>
      <c r="P230" s="50"/>
      <c r="Q230" s="51"/>
      <c r="R230" s="51"/>
      <c r="S230" s="51"/>
      <c r="T230" s="49"/>
      <c r="U230" s="52"/>
      <c r="V230" s="50"/>
      <c r="W230" s="51"/>
      <c r="X230" s="51"/>
      <c r="Y230" s="51"/>
      <c r="Z230" s="51">
        <v>1.70701852E8</v>
      </c>
      <c r="AA230" s="51">
        <v>1.3656148E7</v>
      </c>
      <c r="AB230" s="51">
        <v>1.84358E8</v>
      </c>
      <c r="AC230" s="47"/>
      <c r="AD230" s="47" t="s">
        <v>3234</v>
      </c>
      <c r="AE230" s="48"/>
      <c r="AF230" s="50"/>
      <c r="AG230" s="51">
        <v>-1.1279539E7</v>
      </c>
      <c r="AH230" s="51">
        <v>-902363.0</v>
      </c>
      <c r="AI230" s="51">
        <v>-1.2181902E7</v>
      </c>
      <c r="AJ230" s="47" t="s">
        <v>3235</v>
      </c>
      <c r="AK230" s="48"/>
      <c r="AL230" s="50"/>
      <c r="AM230" s="51">
        <v>-1.59422313E8</v>
      </c>
      <c r="AN230" s="51">
        <v>-1.2753785E7</v>
      </c>
      <c r="AO230" s="51">
        <v>-1.72176098E8</v>
      </c>
      <c r="AP230" s="47"/>
      <c r="AQ230" s="48"/>
      <c r="AR230" s="50"/>
      <c r="AS230" s="51"/>
      <c r="AT230" s="51"/>
      <c r="AU230" s="51"/>
      <c r="AV230" s="47"/>
      <c r="AW230" s="48"/>
      <c r="AX230" s="50"/>
      <c r="AY230" s="51"/>
      <c r="AZ230" s="51"/>
      <c r="BA230" s="51"/>
      <c r="BB230" s="51">
        <f t="shared" ref="BB230:BD230" si="228">IF(AND(ISNUMBER(Z230),COUNT(AG230,AM230,AS230,AY230)=2),Z230+SUM(AG230,AM230,AS230,AY230),"")</f>
        <v>0</v>
      </c>
      <c r="BC230" s="51">
        <f t="shared" si="228"/>
        <v>0</v>
      </c>
      <c r="BD230" s="51">
        <f t="shared" si="228"/>
        <v>0</v>
      </c>
    </row>
    <row r="231" ht="48.0" customHeight="1">
      <c r="A231" s="49" t="s">
        <v>40</v>
      </c>
      <c r="B231" s="49" t="str">
        <f t="array" ref="B231">INDEX('HD cty 2024'!B:B,MATCH('F0, F1, F2, ...'!$C231,'HD cty 2024'!B:B,0))</f>
        <v>#N/A</v>
      </c>
      <c r="C231" s="49">
        <v>287.0</v>
      </c>
      <c r="D231" s="50">
        <v>45458.0</v>
      </c>
      <c r="E231" s="51">
        <v>1.95589974E8</v>
      </c>
      <c r="F231" s="51">
        <v>1.5647198E7</v>
      </c>
      <c r="G231" s="51">
        <v>2.11237172E8</v>
      </c>
      <c r="H231" s="49" t="s">
        <v>414</v>
      </c>
      <c r="I231" s="52" t="s">
        <v>3236</v>
      </c>
      <c r="J231" s="50">
        <v>45806.0</v>
      </c>
      <c r="K231" s="51">
        <v>1.0793359E7</v>
      </c>
      <c r="L231" s="51">
        <v>863469.0</v>
      </c>
      <c r="M231" s="51">
        <v>1.1656828E7</v>
      </c>
      <c r="N231" s="49"/>
      <c r="O231" s="52"/>
      <c r="P231" s="50"/>
      <c r="Q231" s="51"/>
      <c r="R231" s="51"/>
      <c r="S231" s="51"/>
      <c r="T231" s="49"/>
      <c r="U231" s="52"/>
      <c r="V231" s="50"/>
      <c r="W231" s="51"/>
      <c r="X231" s="51"/>
      <c r="Y231" s="51"/>
      <c r="Z231" s="51">
        <v>2.06383333E8</v>
      </c>
      <c r="AA231" s="51">
        <v>1.6510667E7</v>
      </c>
      <c r="AB231" s="51">
        <v>2.22894E8</v>
      </c>
      <c r="AC231" s="47"/>
      <c r="AD231" s="47" t="s">
        <v>3237</v>
      </c>
      <c r="AE231" s="48"/>
      <c r="AF231" s="50"/>
      <c r="AG231" s="51">
        <v>-1.0793359E7</v>
      </c>
      <c r="AH231" s="51">
        <v>-863469.0</v>
      </c>
      <c r="AI231" s="51">
        <v>-1.1656828E7</v>
      </c>
      <c r="AJ231" s="47" t="s">
        <v>3238</v>
      </c>
      <c r="AK231" s="48"/>
      <c r="AL231" s="50"/>
      <c r="AM231" s="51">
        <v>-1.95589974E8</v>
      </c>
      <c r="AN231" s="51">
        <v>-1.5647198E7</v>
      </c>
      <c r="AO231" s="51">
        <v>-2.11237172E8</v>
      </c>
      <c r="AP231" s="47"/>
      <c r="AQ231" s="48"/>
      <c r="AR231" s="50"/>
      <c r="AS231" s="51"/>
      <c r="AT231" s="51"/>
      <c r="AU231" s="51"/>
      <c r="AV231" s="47"/>
      <c r="AW231" s="48"/>
      <c r="AX231" s="50"/>
      <c r="AY231" s="51"/>
      <c r="AZ231" s="51"/>
      <c r="BA231" s="51"/>
      <c r="BB231" s="51">
        <f t="shared" ref="BB231:BD231" si="229">IF(AND(ISNUMBER(Z231),COUNT(AG231,AM231,AS231,AY231)=2),Z231+SUM(AG231,AM231,AS231,AY231),"")</f>
        <v>0</v>
      </c>
      <c r="BC231" s="51">
        <f t="shared" si="229"/>
        <v>0</v>
      </c>
      <c r="BD231" s="51">
        <f t="shared" si="229"/>
        <v>0</v>
      </c>
    </row>
    <row r="232" ht="48.0" customHeight="1">
      <c r="A232" s="49" t="s">
        <v>40</v>
      </c>
      <c r="B232" s="49" t="str">
        <f t="array" ref="B232">INDEX('HD cty 2024'!B:B,MATCH('F0, F1, F2, ...'!$C232,'HD cty 2024'!B:B,0))</f>
        <v>#N/A</v>
      </c>
      <c r="C232" s="49">
        <v>288.0</v>
      </c>
      <c r="D232" s="50">
        <v>45460.0</v>
      </c>
      <c r="E232" s="51">
        <v>2.20157016E8</v>
      </c>
      <c r="F232" s="51">
        <v>1.7612561E7</v>
      </c>
      <c r="G232" s="51">
        <v>2.37769577E8</v>
      </c>
      <c r="H232" s="49" t="s">
        <v>414</v>
      </c>
      <c r="I232" s="52" t="s">
        <v>3239</v>
      </c>
      <c r="J232" s="50">
        <v>45806.0</v>
      </c>
      <c r="K232" s="51">
        <v>1.3629095E7</v>
      </c>
      <c r="L232" s="51">
        <v>1090328.0</v>
      </c>
      <c r="M232" s="51">
        <v>1.4719423E7</v>
      </c>
      <c r="N232" s="49"/>
      <c r="O232" s="52"/>
      <c r="P232" s="50"/>
      <c r="Q232" s="51"/>
      <c r="R232" s="51"/>
      <c r="S232" s="51"/>
      <c r="T232" s="49"/>
      <c r="U232" s="52"/>
      <c r="V232" s="50"/>
      <c r="W232" s="51"/>
      <c r="X232" s="51"/>
      <c r="Y232" s="51"/>
      <c r="Z232" s="51">
        <v>2.33786111E8</v>
      </c>
      <c r="AA232" s="51">
        <v>1.8702889E7</v>
      </c>
      <c r="AB232" s="51">
        <v>2.52489E8</v>
      </c>
      <c r="AC232" s="47"/>
      <c r="AD232" s="47" t="s">
        <v>3240</v>
      </c>
      <c r="AE232" s="48"/>
      <c r="AF232" s="50"/>
      <c r="AG232" s="51">
        <v>-1.3629095E7</v>
      </c>
      <c r="AH232" s="51">
        <v>-1090328.0</v>
      </c>
      <c r="AI232" s="51">
        <v>-1.4719423E7</v>
      </c>
      <c r="AJ232" s="47" t="s">
        <v>3241</v>
      </c>
      <c r="AK232" s="48"/>
      <c r="AL232" s="50"/>
      <c r="AM232" s="51">
        <v>-2.20157016E8</v>
      </c>
      <c r="AN232" s="51">
        <v>-1.7612561E7</v>
      </c>
      <c r="AO232" s="51">
        <v>-2.37769577E8</v>
      </c>
      <c r="AP232" s="47"/>
      <c r="AQ232" s="48"/>
      <c r="AR232" s="50"/>
      <c r="AS232" s="51"/>
      <c r="AT232" s="51"/>
      <c r="AU232" s="51"/>
      <c r="AV232" s="47"/>
      <c r="AW232" s="48"/>
      <c r="AX232" s="50"/>
      <c r="AY232" s="51"/>
      <c r="AZ232" s="51"/>
      <c r="BA232" s="51"/>
      <c r="BB232" s="51">
        <f t="shared" ref="BB232:BD232" si="230">IF(AND(ISNUMBER(Z232),COUNT(AG232,AM232,AS232,AY232)=2),Z232+SUM(AG232,AM232,AS232,AY232),"")</f>
        <v>0</v>
      </c>
      <c r="BC232" s="51">
        <f t="shared" si="230"/>
        <v>0</v>
      </c>
      <c r="BD232" s="51">
        <f t="shared" si="230"/>
        <v>0</v>
      </c>
    </row>
    <row r="233" ht="48.0" customHeight="1">
      <c r="A233" s="49" t="s">
        <v>40</v>
      </c>
      <c r="B233" s="49" t="str">
        <f t="array" ref="B233">INDEX('HD cty 2024'!B:B,MATCH('F0, F1, F2, ...'!$C233,'HD cty 2024'!B:B,0))</f>
        <v>#N/A</v>
      </c>
      <c r="C233" s="49">
        <v>290.0</v>
      </c>
      <c r="D233" s="50">
        <v>45460.0</v>
      </c>
      <c r="E233" s="51">
        <v>3.6601068E7</v>
      </c>
      <c r="F233" s="51">
        <v>2928085.0</v>
      </c>
      <c r="G233" s="51">
        <v>3.9529153E7</v>
      </c>
      <c r="H233" s="49" t="s">
        <v>414</v>
      </c>
      <c r="I233" s="52" t="s">
        <v>3242</v>
      </c>
      <c r="J233" s="50">
        <v>45806.0</v>
      </c>
      <c r="K233" s="51">
        <v>5366525.0</v>
      </c>
      <c r="L233" s="51">
        <v>429322.0</v>
      </c>
      <c r="M233" s="51">
        <v>5795847.0</v>
      </c>
      <c r="N233" s="49"/>
      <c r="O233" s="52"/>
      <c r="P233" s="50"/>
      <c r="Q233" s="51"/>
      <c r="R233" s="51"/>
      <c r="S233" s="51"/>
      <c r="T233" s="49"/>
      <c r="U233" s="52"/>
      <c r="V233" s="50"/>
      <c r="W233" s="51"/>
      <c r="X233" s="51"/>
      <c r="Y233" s="51"/>
      <c r="Z233" s="51">
        <v>4.1967593E7</v>
      </c>
      <c r="AA233" s="51">
        <v>3357407.0</v>
      </c>
      <c r="AB233" s="51">
        <v>4.5325E7</v>
      </c>
      <c r="AC233" s="47"/>
      <c r="AD233" s="47" t="s">
        <v>3243</v>
      </c>
      <c r="AE233" s="48"/>
      <c r="AF233" s="50"/>
      <c r="AG233" s="51">
        <v>-5366525.0</v>
      </c>
      <c r="AH233" s="51">
        <v>-429322.0</v>
      </c>
      <c r="AI233" s="51">
        <v>-5795847.0</v>
      </c>
      <c r="AJ233" s="47" t="s">
        <v>3244</v>
      </c>
      <c r="AK233" s="48"/>
      <c r="AL233" s="50"/>
      <c r="AM233" s="51">
        <v>-3.6601068E7</v>
      </c>
      <c r="AN233" s="51">
        <v>-2928085.0</v>
      </c>
      <c r="AO233" s="51">
        <v>-3.9529153E7</v>
      </c>
      <c r="AP233" s="47"/>
      <c r="AQ233" s="48"/>
      <c r="AR233" s="50"/>
      <c r="AS233" s="51"/>
      <c r="AT233" s="51"/>
      <c r="AU233" s="51"/>
      <c r="AV233" s="47"/>
      <c r="AW233" s="48"/>
      <c r="AX233" s="50"/>
      <c r="AY233" s="51"/>
      <c r="AZ233" s="51"/>
      <c r="BA233" s="51"/>
      <c r="BB233" s="51">
        <f t="shared" ref="BB233:BD233" si="231">IF(AND(ISNUMBER(Z233),COUNT(AG233,AM233,AS233,AY233)=2),Z233+SUM(AG233,AM233,AS233,AY233),"")</f>
        <v>0</v>
      </c>
      <c r="BC233" s="51">
        <f t="shared" si="231"/>
        <v>0</v>
      </c>
      <c r="BD233" s="51">
        <f t="shared" si="231"/>
        <v>0</v>
      </c>
    </row>
    <row r="234" ht="48.0" customHeight="1">
      <c r="A234" s="49" t="s">
        <v>40</v>
      </c>
      <c r="B234" s="49" t="str">
        <f t="array" ref="B234">INDEX('HD cty 2024'!B:B,MATCH('F0, F1, F2, ...'!$C234,'HD cty 2024'!B:B,0))</f>
        <v>#N/A</v>
      </c>
      <c r="C234" s="49">
        <v>291.0</v>
      </c>
      <c r="D234" s="50">
        <v>45460.0</v>
      </c>
      <c r="E234" s="51">
        <v>1.43537306E8</v>
      </c>
      <c r="F234" s="51">
        <v>1.1482984E7</v>
      </c>
      <c r="G234" s="51">
        <v>1.5502029E8</v>
      </c>
      <c r="H234" s="49" t="s">
        <v>414</v>
      </c>
      <c r="I234" s="52" t="s">
        <v>3245</v>
      </c>
      <c r="J234" s="50">
        <v>45806.0</v>
      </c>
      <c r="K234" s="51">
        <v>3.2644175E7</v>
      </c>
      <c r="L234" s="51">
        <v>2611534.0</v>
      </c>
      <c r="M234" s="51">
        <v>3.5255709E7</v>
      </c>
      <c r="N234" s="49"/>
      <c r="O234" s="52"/>
      <c r="P234" s="50"/>
      <c r="Q234" s="51"/>
      <c r="R234" s="51"/>
      <c r="S234" s="51"/>
      <c r="T234" s="49"/>
      <c r="U234" s="52"/>
      <c r="V234" s="50"/>
      <c r="W234" s="51"/>
      <c r="X234" s="51"/>
      <c r="Y234" s="51"/>
      <c r="Z234" s="51">
        <v>1.76181481E8</v>
      </c>
      <c r="AA234" s="51">
        <v>1.4094518E7</v>
      </c>
      <c r="AB234" s="51">
        <v>1.90275999E8</v>
      </c>
      <c r="AC234" s="47"/>
      <c r="AD234" s="47" t="s">
        <v>3246</v>
      </c>
      <c r="AE234" s="48"/>
      <c r="AF234" s="50"/>
      <c r="AG234" s="51">
        <v>-3.2644175E7</v>
      </c>
      <c r="AH234" s="51">
        <v>-2611534.0</v>
      </c>
      <c r="AI234" s="51">
        <v>-3.5255709E7</v>
      </c>
      <c r="AJ234" s="47" t="s">
        <v>3247</v>
      </c>
      <c r="AK234" s="48"/>
      <c r="AL234" s="50"/>
      <c r="AM234" s="51">
        <v>-1.43537306E8</v>
      </c>
      <c r="AN234" s="51">
        <v>-1.1482984E7</v>
      </c>
      <c r="AO234" s="51">
        <v>-1.5502029E8</v>
      </c>
      <c r="AP234" s="47"/>
      <c r="AQ234" s="48"/>
      <c r="AR234" s="50"/>
      <c r="AS234" s="51"/>
      <c r="AT234" s="51"/>
      <c r="AU234" s="51"/>
      <c r="AV234" s="47"/>
      <c r="AW234" s="48"/>
      <c r="AX234" s="50"/>
      <c r="AY234" s="51"/>
      <c r="AZ234" s="51"/>
      <c r="BA234" s="51"/>
      <c r="BB234" s="51">
        <f t="shared" ref="BB234:BD234" si="232">IF(AND(ISNUMBER(Z234),COUNT(AG234,AM234,AS234,AY234)=2),Z234+SUM(AG234,AM234,AS234,AY234),"")</f>
        <v>0</v>
      </c>
      <c r="BC234" s="51">
        <f t="shared" si="232"/>
        <v>0</v>
      </c>
      <c r="BD234" s="51">
        <f t="shared" si="232"/>
        <v>0</v>
      </c>
    </row>
    <row r="235" ht="48.0" customHeight="1">
      <c r="A235" s="49" t="s">
        <v>40</v>
      </c>
      <c r="B235" s="49" t="str">
        <f t="array" ref="B235">INDEX('HD cty 2024'!B:B,MATCH('F0, F1, F2, ...'!$C235,'HD cty 2024'!B:B,0))</f>
        <v>#N/A</v>
      </c>
      <c r="C235" s="49">
        <v>292.0</v>
      </c>
      <c r="D235" s="50">
        <v>45460.0</v>
      </c>
      <c r="E235" s="51">
        <v>3.5371076E7</v>
      </c>
      <c r="F235" s="51">
        <v>2829686.0</v>
      </c>
      <c r="G235" s="51">
        <v>3.8200762E7</v>
      </c>
      <c r="H235" s="49" t="s">
        <v>414</v>
      </c>
      <c r="I235" s="52" t="s">
        <v>3248</v>
      </c>
      <c r="J235" s="50">
        <v>45806.0</v>
      </c>
      <c r="K235" s="51">
        <v>5431702.0</v>
      </c>
      <c r="L235" s="51">
        <v>434536.0</v>
      </c>
      <c r="M235" s="51">
        <v>5866238.0</v>
      </c>
      <c r="N235" s="49"/>
      <c r="O235" s="52"/>
      <c r="P235" s="50"/>
      <c r="Q235" s="51"/>
      <c r="R235" s="51"/>
      <c r="S235" s="51"/>
      <c r="T235" s="49"/>
      <c r="U235" s="52"/>
      <c r="V235" s="50"/>
      <c r="W235" s="51"/>
      <c r="X235" s="51"/>
      <c r="Y235" s="51"/>
      <c r="Z235" s="51">
        <v>4.0802778E7</v>
      </c>
      <c r="AA235" s="51">
        <v>3264222.0</v>
      </c>
      <c r="AB235" s="51">
        <v>4.4067E7</v>
      </c>
      <c r="AC235" s="47"/>
      <c r="AD235" s="47" t="s">
        <v>3249</v>
      </c>
      <c r="AE235" s="48"/>
      <c r="AF235" s="50"/>
      <c r="AG235" s="51">
        <v>-5431702.0</v>
      </c>
      <c r="AH235" s="51">
        <v>-434536.0</v>
      </c>
      <c r="AI235" s="51">
        <v>-5866238.0</v>
      </c>
      <c r="AJ235" s="47" t="s">
        <v>3250</v>
      </c>
      <c r="AK235" s="48"/>
      <c r="AL235" s="50"/>
      <c r="AM235" s="51">
        <v>-3.5371076E7</v>
      </c>
      <c r="AN235" s="51">
        <v>-2829686.0</v>
      </c>
      <c r="AO235" s="51">
        <v>-3.8200762E7</v>
      </c>
      <c r="AP235" s="47"/>
      <c r="AQ235" s="48"/>
      <c r="AR235" s="50"/>
      <c r="AS235" s="51"/>
      <c r="AT235" s="51"/>
      <c r="AU235" s="51"/>
      <c r="AV235" s="47"/>
      <c r="AW235" s="48"/>
      <c r="AX235" s="50"/>
      <c r="AY235" s="51"/>
      <c r="AZ235" s="51"/>
      <c r="BA235" s="51"/>
      <c r="BB235" s="51">
        <f t="shared" ref="BB235:BD235" si="233">IF(AND(ISNUMBER(Z235),COUNT(AG235,AM235,AS235,AY235)=2),Z235+SUM(AG235,AM235,AS235,AY235),"")</f>
        <v>0</v>
      </c>
      <c r="BC235" s="51">
        <f t="shared" si="233"/>
        <v>0</v>
      </c>
      <c r="BD235" s="51">
        <f t="shared" si="233"/>
        <v>0</v>
      </c>
    </row>
    <row r="236" ht="48.0" customHeight="1">
      <c r="A236" s="49" t="s">
        <v>40</v>
      </c>
      <c r="B236" s="49" t="str">
        <f t="array" ref="B236">INDEX('HD cty 2024'!B:B,MATCH('F0, F1, F2, ...'!$C236,'HD cty 2024'!B:B,0))</f>
        <v>#N/A</v>
      </c>
      <c r="C236" s="49">
        <v>293.0</v>
      </c>
      <c r="D236" s="50">
        <v>45460.0</v>
      </c>
      <c r="E236" s="51">
        <v>4.5100566E7</v>
      </c>
      <c r="F236" s="51">
        <v>3608045.0</v>
      </c>
      <c r="G236" s="51">
        <v>4.8708611E7</v>
      </c>
      <c r="H236" s="49" t="s">
        <v>414</v>
      </c>
      <c r="I236" s="52" t="s">
        <v>3251</v>
      </c>
      <c r="J236" s="50">
        <v>45806.0</v>
      </c>
      <c r="K236" s="51">
        <v>5857767.0</v>
      </c>
      <c r="L236" s="51">
        <v>468621.0</v>
      </c>
      <c r="M236" s="51">
        <v>6326388.0</v>
      </c>
      <c r="N236" s="49"/>
      <c r="O236" s="52"/>
      <c r="P236" s="50"/>
      <c r="Q236" s="51"/>
      <c r="R236" s="51"/>
      <c r="S236" s="51"/>
      <c r="T236" s="49"/>
      <c r="U236" s="52"/>
      <c r="V236" s="50"/>
      <c r="W236" s="51"/>
      <c r="X236" s="51"/>
      <c r="Y236" s="51"/>
      <c r="Z236" s="51">
        <v>5.0958333E7</v>
      </c>
      <c r="AA236" s="51">
        <v>4076666.0</v>
      </c>
      <c r="AB236" s="51">
        <v>5.5034999E7</v>
      </c>
      <c r="AC236" s="47"/>
      <c r="AD236" s="47" t="s">
        <v>3252</v>
      </c>
      <c r="AE236" s="48"/>
      <c r="AF236" s="50"/>
      <c r="AG236" s="51">
        <v>-5857767.0</v>
      </c>
      <c r="AH236" s="51">
        <v>-468621.0</v>
      </c>
      <c r="AI236" s="51">
        <v>-6326388.0</v>
      </c>
      <c r="AJ236" s="47" t="s">
        <v>3253</v>
      </c>
      <c r="AK236" s="48"/>
      <c r="AL236" s="50"/>
      <c r="AM236" s="51">
        <v>-4.5100566E7</v>
      </c>
      <c r="AN236" s="51">
        <v>-3608045.0</v>
      </c>
      <c r="AO236" s="51">
        <v>-4.8708611E7</v>
      </c>
      <c r="AP236" s="47"/>
      <c r="AQ236" s="48"/>
      <c r="AR236" s="50"/>
      <c r="AS236" s="51"/>
      <c r="AT236" s="51"/>
      <c r="AU236" s="51"/>
      <c r="AV236" s="47"/>
      <c r="AW236" s="48"/>
      <c r="AX236" s="50"/>
      <c r="AY236" s="51"/>
      <c r="AZ236" s="51"/>
      <c r="BA236" s="51"/>
      <c r="BB236" s="51">
        <f t="shared" ref="BB236:BD236" si="234">IF(AND(ISNUMBER(Z236),COUNT(AG236,AM236,AS236,AY236)=2),Z236+SUM(AG236,AM236,AS236,AY236),"")</f>
        <v>0</v>
      </c>
      <c r="BC236" s="51">
        <f t="shared" si="234"/>
        <v>0</v>
      </c>
      <c r="BD236" s="51">
        <f t="shared" si="234"/>
        <v>0</v>
      </c>
    </row>
    <row r="237" ht="48.0" customHeight="1">
      <c r="A237" s="49" t="s">
        <v>40</v>
      </c>
      <c r="B237" s="49" t="str">
        <f t="array" ref="B237">INDEX('HD cty 2024'!B:B,MATCH('F0, F1, F2, ...'!$C237,'HD cty 2024'!B:B,0))</f>
        <v>#N/A</v>
      </c>
      <c r="C237" s="49">
        <v>294.0</v>
      </c>
      <c r="D237" s="50">
        <v>45460.0</v>
      </c>
      <c r="E237" s="51">
        <v>2194090.0</v>
      </c>
      <c r="F237" s="51">
        <v>175527.0</v>
      </c>
      <c r="G237" s="51">
        <v>2369617.0</v>
      </c>
      <c r="H237" s="49" t="s">
        <v>414</v>
      </c>
      <c r="I237" s="52" t="s">
        <v>3254</v>
      </c>
      <c r="J237" s="50">
        <v>45807.0</v>
      </c>
      <c r="K237" s="51">
        <v>-23299.0</v>
      </c>
      <c r="L237" s="51">
        <v>-1864.0</v>
      </c>
      <c r="M237" s="51">
        <v>-25163.0</v>
      </c>
      <c r="N237" s="49"/>
      <c r="O237" s="52"/>
      <c r="P237" s="50"/>
      <c r="Q237" s="51"/>
      <c r="R237" s="51"/>
      <c r="S237" s="51"/>
      <c r="T237" s="49"/>
      <c r="U237" s="52"/>
      <c r="V237" s="50"/>
      <c r="W237" s="51"/>
      <c r="X237" s="51"/>
      <c r="Y237" s="51"/>
      <c r="Z237" s="51">
        <v>2170791.0</v>
      </c>
      <c r="AA237" s="51">
        <v>173663.0</v>
      </c>
      <c r="AB237" s="51">
        <v>2344454.0</v>
      </c>
      <c r="AC237" s="47"/>
      <c r="AD237" s="47" t="s">
        <v>3255</v>
      </c>
      <c r="AE237" s="48"/>
      <c r="AF237" s="50"/>
      <c r="AG237" s="51">
        <v>23299.0</v>
      </c>
      <c r="AH237" s="51">
        <v>1864.0</v>
      </c>
      <c r="AI237" s="51">
        <v>25163.0</v>
      </c>
      <c r="AJ237" s="47" t="s">
        <v>3256</v>
      </c>
      <c r="AK237" s="48"/>
      <c r="AL237" s="50"/>
      <c r="AM237" s="51">
        <v>-2194090.0</v>
      </c>
      <c r="AN237" s="51">
        <v>-175527.0</v>
      </c>
      <c r="AO237" s="51">
        <v>-2369617.0</v>
      </c>
      <c r="AP237" s="47"/>
      <c r="AQ237" s="48"/>
      <c r="AR237" s="50"/>
      <c r="AS237" s="51"/>
      <c r="AT237" s="51"/>
      <c r="AU237" s="51"/>
      <c r="AV237" s="47"/>
      <c r="AW237" s="48"/>
      <c r="AX237" s="50"/>
      <c r="AY237" s="51"/>
      <c r="AZ237" s="51"/>
      <c r="BA237" s="51"/>
      <c r="BB237" s="51">
        <f t="shared" ref="BB237:BD237" si="235">IF(AND(ISNUMBER(Z237),COUNT(AG237,AM237,AS237,AY237)=2),Z237+SUM(AG237,AM237,AS237,AY237),"")</f>
        <v>0</v>
      </c>
      <c r="BC237" s="51">
        <f t="shared" si="235"/>
        <v>0</v>
      </c>
      <c r="BD237" s="51">
        <f t="shared" si="235"/>
        <v>0</v>
      </c>
    </row>
    <row r="238" ht="48.0" customHeight="1">
      <c r="A238" s="49" t="s">
        <v>40</v>
      </c>
      <c r="B238" s="49" t="str">
        <f t="array" ref="B238">INDEX('HD cty 2024'!B:B,MATCH('F0, F1, F2, ...'!$C238,'HD cty 2024'!B:B,0))</f>
        <v>#N/A</v>
      </c>
      <c r="C238" s="49">
        <v>295.0</v>
      </c>
      <c r="D238" s="50">
        <v>45461.0</v>
      </c>
      <c r="E238" s="51">
        <v>2.3325304E7</v>
      </c>
      <c r="F238" s="51">
        <v>1866024.0</v>
      </c>
      <c r="G238" s="51">
        <v>2.5191328E7</v>
      </c>
      <c r="H238" s="49" t="s">
        <v>414</v>
      </c>
      <c r="I238" s="52" t="s">
        <v>3257</v>
      </c>
      <c r="J238" s="50">
        <v>45806.0</v>
      </c>
      <c r="K238" s="51">
        <v>-2896600.0</v>
      </c>
      <c r="L238" s="51">
        <v>-231728.0</v>
      </c>
      <c r="M238" s="51">
        <v>-3128328.0</v>
      </c>
      <c r="N238" s="49"/>
      <c r="O238" s="52"/>
      <c r="P238" s="50"/>
      <c r="Q238" s="51"/>
      <c r="R238" s="51"/>
      <c r="S238" s="51"/>
      <c r="T238" s="49"/>
      <c r="U238" s="52"/>
      <c r="V238" s="50"/>
      <c r="W238" s="51"/>
      <c r="X238" s="51"/>
      <c r="Y238" s="51"/>
      <c r="Z238" s="51">
        <v>2.0428704E7</v>
      </c>
      <c r="AA238" s="51">
        <v>1634296.0</v>
      </c>
      <c r="AB238" s="51">
        <v>2.2063E7</v>
      </c>
      <c r="AC238" s="47"/>
      <c r="AD238" s="47" t="s">
        <v>3258</v>
      </c>
      <c r="AE238" s="48"/>
      <c r="AF238" s="50"/>
      <c r="AG238" s="51">
        <v>2896600.0</v>
      </c>
      <c r="AH238" s="51">
        <v>231728.0</v>
      </c>
      <c r="AI238" s="51">
        <v>3128328.0</v>
      </c>
      <c r="AJ238" s="47" t="s">
        <v>3259</v>
      </c>
      <c r="AK238" s="48"/>
      <c r="AL238" s="50"/>
      <c r="AM238" s="51">
        <v>-2.3325304E7</v>
      </c>
      <c r="AN238" s="51">
        <v>-1866024.0</v>
      </c>
      <c r="AO238" s="51">
        <v>-2.5191328E7</v>
      </c>
      <c r="AP238" s="47"/>
      <c r="AQ238" s="48"/>
      <c r="AR238" s="50"/>
      <c r="AS238" s="51"/>
      <c r="AT238" s="51"/>
      <c r="AU238" s="51"/>
      <c r="AV238" s="47"/>
      <c r="AW238" s="48"/>
      <c r="AX238" s="50"/>
      <c r="AY238" s="51"/>
      <c r="AZ238" s="51"/>
      <c r="BA238" s="51"/>
      <c r="BB238" s="51">
        <f t="shared" ref="BB238:BD238" si="236">IF(AND(ISNUMBER(Z238),COUNT(AG238,AM238,AS238,AY238)=2),Z238+SUM(AG238,AM238,AS238,AY238),"")</f>
        <v>0</v>
      </c>
      <c r="BC238" s="51">
        <f t="shared" si="236"/>
        <v>0</v>
      </c>
      <c r="BD238" s="51">
        <f t="shared" si="236"/>
        <v>0</v>
      </c>
    </row>
    <row r="239" ht="48.0" customHeight="1">
      <c r="A239" s="49" t="s">
        <v>40</v>
      </c>
      <c r="B239" s="49" t="str">
        <f t="array" ref="B239">INDEX('HD cty 2024'!B:B,MATCH('F0, F1, F2, ...'!$C239,'HD cty 2024'!B:B,0))</f>
        <v>#N/A</v>
      </c>
      <c r="C239" s="49">
        <v>296.0</v>
      </c>
      <c r="D239" s="50">
        <v>45461.0</v>
      </c>
      <c r="E239" s="51">
        <v>7.632431E7</v>
      </c>
      <c r="F239" s="51">
        <v>6105945.0</v>
      </c>
      <c r="G239" s="51">
        <v>8.2430255E7</v>
      </c>
      <c r="H239" s="49" t="s">
        <v>414</v>
      </c>
      <c r="I239" s="52" t="s">
        <v>3260</v>
      </c>
      <c r="J239" s="50">
        <v>45806.0</v>
      </c>
      <c r="K239" s="51">
        <v>6966431.0</v>
      </c>
      <c r="L239" s="51">
        <v>557314.0</v>
      </c>
      <c r="M239" s="51">
        <v>7523745.0</v>
      </c>
      <c r="N239" s="49"/>
      <c r="O239" s="52"/>
      <c r="P239" s="50"/>
      <c r="Q239" s="51"/>
      <c r="R239" s="51"/>
      <c r="S239" s="51"/>
      <c r="T239" s="49"/>
      <c r="U239" s="52"/>
      <c r="V239" s="50"/>
      <c r="W239" s="51"/>
      <c r="X239" s="51"/>
      <c r="Y239" s="51"/>
      <c r="Z239" s="51">
        <v>8.3290741E7</v>
      </c>
      <c r="AA239" s="51">
        <v>6663259.0</v>
      </c>
      <c r="AB239" s="51">
        <v>8.9954E7</v>
      </c>
      <c r="AC239" s="47"/>
      <c r="AD239" s="47" t="s">
        <v>3261</v>
      </c>
      <c r="AE239" s="48"/>
      <c r="AF239" s="50"/>
      <c r="AG239" s="51">
        <v>-6966431.0</v>
      </c>
      <c r="AH239" s="51">
        <v>-557314.0</v>
      </c>
      <c r="AI239" s="51">
        <v>-7523745.0</v>
      </c>
      <c r="AJ239" s="47" t="s">
        <v>3262</v>
      </c>
      <c r="AK239" s="48"/>
      <c r="AL239" s="50"/>
      <c r="AM239" s="51">
        <v>-7.632431E7</v>
      </c>
      <c r="AN239" s="51">
        <v>-6105945.0</v>
      </c>
      <c r="AO239" s="51">
        <v>-8.2430255E7</v>
      </c>
      <c r="AP239" s="47"/>
      <c r="AQ239" s="48"/>
      <c r="AR239" s="50"/>
      <c r="AS239" s="51"/>
      <c r="AT239" s="51"/>
      <c r="AU239" s="51"/>
      <c r="AV239" s="47"/>
      <c r="AW239" s="48"/>
      <c r="AX239" s="50"/>
      <c r="AY239" s="51"/>
      <c r="AZ239" s="51"/>
      <c r="BA239" s="51"/>
      <c r="BB239" s="51">
        <f t="shared" ref="BB239:BD239" si="237">IF(AND(ISNUMBER(Z239),COUNT(AG239,AM239,AS239,AY239)=2),Z239+SUM(AG239,AM239,AS239,AY239),"")</f>
        <v>0</v>
      </c>
      <c r="BC239" s="51">
        <f t="shared" si="237"/>
        <v>0</v>
      </c>
      <c r="BD239" s="51">
        <f t="shared" si="237"/>
        <v>0</v>
      </c>
    </row>
    <row r="240" ht="48.0" customHeight="1">
      <c r="A240" s="49" t="s">
        <v>40</v>
      </c>
      <c r="B240" s="49" t="str">
        <f t="array" ref="B240">INDEX('HD cty 2024'!B:B,MATCH('F0, F1, F2, ...'!$C240,'HD cty 2024'!B:B,0))</f>
        <v>#N/A</v>
      </c>
      <c r="C240" s="49">
        <v>297.0</v>
      </c>
      <c r="D240" s="50">
        <v>45461.0</v>
      </c>
      <c r="E240" s="51">
        <v>1.22837952E8</v>
      </c>
      <c r="F240" s="51">
        <v>9827036.0</v>
      </c>
      <c r="G240" s="51">
        <v>1.32664988E8</v>
      </c>
      <c r="H240" s="49" t="s">
        <v>414</v>
      </c>
      <c r="I240" s="52" t="s">
        <v>3263</v>
      </c>
      <c r="J240" s="50">
        <v>45806.0</v>
      </c>
      <c r="K240" s="51">
        <v>2.815927E7</v>
      </c>
      <c r="L240" s="51">
        <v>2252742.0</v>
      </c>
      <c r="M240" s="51">
        <v>3.0412012E7</v>
      </c>
      <c r="N240" s="49"/>
      <c r="O240" s="52"/>
      <c r="P240" s="50"/>
      <c r="Q240" s="51"/>
      <c r="R240" s="51"/>
      <c r="S240" s="51"/>
      <c r="T240" s="49"/>
      <c r="U240" s="52"/>
      <c r="V240" s="50"/>
      <c r="W240" s="51"/>
      <c r="X240" s="51"/>
      <c r="Y240" s="51"/>
      <c r="Z240" s="51">
        <v>1.50997222E8</v>
      </c>
      <c r="AA240" s="51">
        <v>1.2079778E7</v>
      </c>
      <c r="AB240" s="51">
        <v>1.63077E8</v>
      </c>
      <c r="AC240" s="47"/>
      <c r="AD240" s="47" t="s">
        <v>3264</v>
      </c>
      <c r="AE240" s="48"/>
      <c r="AF240" s="50"/>
      <c r="AG240" s="51">
        <v>-2.815927E7</v>
      </c>
      <c r="AH240" s="51">
        <v>-2252742.0</v>
      </c>
      <c r="AI240" s="51">
        <v>-3.0412012E7</v>
      </c>
      <c r="AJ240" s="47" t="s">
        <v>3265</v>
      </c>
      <c r="AK240" s="48"/>
      <c r="AL240" s="50"/>
      <c r="AM240" s="51">
        <v>-1.22837952E8</v>
      </c>
      <c r="AN240" s="51">
        <v>-9827036.0</v>
      </c>
      <c r="AO240" s="51">
        <v>-1.32664988E8</v>
      </c>
      <c r="AP240" s="47"/>
      <c r="AQ240" s="48"/>
      <c r="AR240" s="50"/>
      <c r="AS240" s="51"/>
      <c r="AT240" s="51"/>
      <c r="AU240" s="51"/>
      <c r="AV240" s="47"/>
      <c r="AW240" s="48"/>
      <c r="AX240" s="50"/>
      <c r="AY240" s="51"/>
      <c r="AZ240" s="51"/>
      <c r="BA240" s="51"/>
      <c r="BB240" s="51">
        <f t="shared" ref="BB240:BD240" si="238">IF(AND(ISNUMBER(Z240),COUNT(AG240,AM240,AS240,AY240)=2),Z240+SUM(AG240,AM240,AS240,AY240),"")</f>
        <v>0</v>
      </c>
      <c r="BC240" s="51">
        <f t="shared" si="238"/>
        <v>0</v>
      </c>
      <c r="BD240" s="51">
        <f t="shared" si="238"/>
        <v>0</v>
      </c>
    </row>
    <row r="241" ht="48.0" customHeight="1">
      <c r="A241" s="49" t="s">
        <v>40</v>
      </c>
      <c r="B241" s="49" t="str">
        <f t="array" ref="B241">INDEX('HD cty 2024'!B:B,MATCH('F0, F1, F2, ...'!$C241,'HD cty 2024'!B:B,0))</f>
        <v>#N/A</v>
      </c>
      <c r="C241" s="49">
        <v>298.0</v>
      </c>
      <c r="D241" s="50">
        <v>45462.0</v>
      </c>
      <c r="E241" s="51">
        <v>1.7169787E8</v>
      </c>
      <c r="F241" s="51">
        <v>1.373583E7</v>
      </c>
      <c r="G241" s="51">
        <v>1.854337E8</v>
      </c>
      <c r="H241" s="49" t="s">
        <v>414</v>
      </c>
      <c r="I241" s="52" t="s">
        <v>3266</v>
      </c>
      <c r="J241" s="50">
        <v>45806.0</v>
      </c>
      <c r="K241" s="51">
        <v>9633611.0</v>
      </c>
      <c r="L241" s="51">
        <v>770689.0</v>
      </c>
      <c r="M241" s="51">
        <v>1.04043E7</v>
      </c>
      <c r="N241" s="49"/>
      <c r="O241" s="52"/>
      <c r="P241" s="50"/>
      <c r="Q241" s="51"/>
      <c r="R241" s="51"/>
      <c r="S241" s="51"/>
      <c r="T241" s="49"/>
      <c r="U241" s="52"/>
      <c r="V241" s="50"/>
      <c r="W241" s="51"/>
      <c r="X241" s="51"/>
      <c r="Y241" s="51"/>
      <c r="Z241" s="51">
        <v>1.81331481E8</v>
      </c>
      <c r="AA241" s="51">
        <v>1.4506519E7</v>
      </c>
      <c r="AB241" s="51">
        <v>1.95838E8</v>
      </c>
      <c r="AC241" s="47"/>
      <c r="AD241" s="47" t="s">
        <v>3267</v>
      </c>
      <c r="AE241" s="48"/>
      <c r="AF241" s="50"/>
      <c r="AG241" s="51">
        <v>-9633611.0</v>
      </c>
      <c r="AH241" s="51">
        <v>-770689.0</v>
      </c>
      <c r="AI241" s="51">
        <v>-1.04043E7</v>
      </c>
      <c r="AJ241" s="47" t="s">
        <v>3268</v>
      </c>
      <c r="AK241" s="48"/>
      <c r="AL241" s="50"/>
      <c r="AM241" s="51">
        <v>-1.7169787E8</v>
      </c>
      <c r="AN241" s="51">
        <v>-1.373583E7</v>
      </c>
      <c r="AO241" s="51">
        <v>-1.854337E8</v>
      </c>
      <c r="AP241" s="47"/>
      <c r="AQ241" s="48"/>
      <c r="AR241" s="50"/>
      <c r="AS241" s="51"/>
      <c r="AT241" s="51"/>
      <c r="AU241" s="51"/>
      <c r="AV241" s="47"/>
      <c r="AW241" s="48"/>
      <c r="AX241" s="50"/>
      <c r="AY241" s="51"/>
      <c r="AZ241" s="51"/>
      <c r="BA241" s="51"/>
      <c r="BB241" s="51">
        <f t="shared" ref="BB241:BD241" si="239">IF(AND(ISNUMBER(Z241),COUNT(AG241,AM241,AS241,AY241)=2),Z241+SUM(AG241,AM241,AS241,AY241),"")</f>
        <v>0</v>
      </c>
      <c r="BC241" s="51">
        <f t="shared" si="239"/>
        <v>0</v>
      </c>
      <c r="BD241" s="51">
        <f t="shared" si="239"/>
        <v>0</v>
      </c>
    </row>
    <row r="242" ht="48.0" customHeight="1">
      <c r="A242" s="49" t="s">
        <v>40</v>
      </c>
      <c r="B242" s="49" t="str">
        <f t="array" ref="B242">INDEX('HD cty 2024'!B:B,MATCH('F0, F1, F2, ...'!$C242,'HD cty 2024'!B:B,0))</f>
        <v>#N/A</v>
      </c>
      <c r="C242" s="49">
        <v>299.0</v>
      </c>
      <c r="D242" s="50">
        <v>45463.0</v>
      </c>
      <c r="E242" s="51">
        <v>1.72414381E8</v>
      </c>
      <c r="F242" s="51">
        <v>1.379315E7</v>
      </c>
      <c r="G242" s="51">
        <v>1.86207531E8</v>
      </c>
      <c r="H242" s="49" t="s">
        <v>414</v>
      </c>
      <c r="I242" s="52" t="s">
        <v>3269</v>
      </c>
      <c r="J242" s="50">
        <v>45806.0</v>
      </c>
      <c r="K242" s="51">
        <v>1.1563397E7</v>
      </c>
      <c r="L242" s="51">
        <v>925072.0</v>
      </c>
      <c r="M242" s="51">
        <v>1.2488469E7</v>
      </c>
      <c r="N242" s="49"/>
      <c r="O242" s="52"/>
      <c r="P242" s="50"/>
      <c r="Q242" s="51"/>
      <c r="R242" s="51"/>
      <c r="S242" s="51"/>
      <c r="T242" s="49"/>
      <c r="U242" s="52"/>
      <c r="V242" s="50"/>
      <c r="W242" s="51"/>
      <c r="X242" s="51"/>
      <c r="Y242" s="51"/>
      <c r="Z242" s="51">
        <v>1.83977778E8</v>
      </c>
      <c r="AA242" s="51">
        <v>1.4718222E7</v>
      </c>
      <c r="AB242" s="51">
        <v>1.98696E8</v>
      </c>
      <c r="AC242" s="47"/>
      <c r="AD242" s="47" t="s">
        <v>3270</v>
      </c>
      <c r="AE242" s="48"/>
      <c r="AF242" s="50"/>
      <c r="AG242" s="51">
        <v>-1.1563397E7</v>
      </c>
      <c r="AH242" s="51">
        <v>-925072.0</v>
      </c>
      <c r="AI242" s="51">
        <v>-1.2488469E7</v>
      </c>
      <c r="AJ242" s="47" t="s">
        <v>3271</v>
      </c>
      <c r="AK242" s="48"/>
      <c r="AL242" s="50"/>
      <c r="AM242" s="51">
        <v>-1.72414381E8</v>
      </c>
      <c r="AN242" s="51">
        <v>-1.379315E7</v>
      </c>
      <c r="AO242" s="51">
        <v>-1.86207531E8</v>
      </c>
      <c r="AP242" s="47"/>
      <c r="AQ242" s="48"/>
      <c r="AR242" s="50"/>
      <c r="AS242" s="51"/>
      <c r="AT242" s="51"/>
      <c r="AU242" s="51"/>
      <c r="AV242" s="47"/>
      <c r="AW242" s="48"/>
      <c r="AX242" s="50"/>
      <c r="AY242" s="51"/>
      <c r="AZ242" s="51"/>
      <c r="BA242" s="51"/>
      <c r="BB242" s="51">
        <f t="shared" ref="BB242:BD242" si="240">IF(AND(ISNUMBER(Z242),COUNT(AG242,AM242,AS242,AY242)=2),Z242+SUM(AG242,AM242,AS242,AY242),"")</f>
        <v>0</v>
      </c>
      <c r="BC242" s="51">
        <f t="shared" si="240"/>
        <v>0</v>
      </c>
      <c r="BD242" s="51">
        <f t="shared" si="240"/>
        <v>0</v>
      </c>
    </row>
    <row r="243" ht="48.0" customHeight="1">
      <c r="A243" s="49" t="s">
        <v>40</v>
      </c>
      <c r="B243" s="49" t="str">
        <f t="array" ref="B243">INDEX('HD cty 2024'!B:B,MATCH('F0, F1, F2, ...'!$C243,'HD cty 2024'!B:B,0))</f>
        <v>#N/A</v>
      </c>
      <c r="C243" s="49">
        <v>300.0</v>
      </c>
      <c r="D243" s="50">
        <v>45463.0</v>
      </c>
      <c r="E243" s="51">
        <v>6.545488E7</v>
      </c>
      <c r="F243" s="51">
        <v>5236390.0</v>
      </c>
      <c r="G243" s="51">
        <v>7.069127E7</v>
      </c>
      <c r="H243" s="49" t="s">
        <v>414</v>
      </c>
      <c r="I243" s="52" t="s">
        <v>3272</v>
      </c>
      <c r="J243" s="50">
        <v>45806.0</v>
      </c>
      <c r="K243" s="51">
        <v>4172730.0</v>
      </c>
      <c r="L243" s="51">
        <v>333818.0</v>
      </c>
      <c r="M243" s="51">
        <v>4506548.0</v>
      </c>
      <c r="N243" s="49"/>
      <c r="O243" s="52"/>
      <c r="P243" s="50"/>
      <c r="Q243" s="51"/>
      <c r="R243" s="51"/>
      <c r="S243" s="51"/>
      <c r="T243" s="49"/>
      <c r="U243" s="52"/>
      <c r="V243" s="50"/>
      <c r="W243" s="51"/>
      <c r="X243" s="51"/>
      <c r="Y243" s="51"/>
      <c r="Z243" s="51">
        <v>6.962761E7</v>
      </c>
      <c r="AA243" s="51">
        <v>5570208.0</v>
      </c>
      <c r="AB243" s="51">
        <v>7.5197818E7</v>
      </c>
      <c r="AC243" s="47"/>
      <c r="AD243" s="47" t="s">
        <v>3273</v>
      </c>
      <c r="AE243" s="48"/>
      <c r="AF243" s="50"/>
      <c r="AG243" s="51">
        <v>-4172730.0</v>
      </c>
      <c r="AH243" s="51">
        <v>-333818.0</v>
      </c>
      <c r="AI243" s="51">
        <v>-4506548.0</v>
      </c>
      <c r="AJ243" s="47" t="s">
        <v>3274</v>
      </c>
      <c r="AK243" s="48"/>
      <c r="AL243" s="50"/>
      <c r="AM243" s="51">
        <v>-6.545488E7</v>
      </c>
      <c r="AN243" s="51">
        <v>-5236390.0</v>
      </c>
      <c r="AO243" s="51">
        <v>-7.069127E7</v>
      </c>
      <c r="AP243" s="47"/>
      <c r="AQ243" s="48"/>
      <c r="AR243" s="50"/>
      <c r="AS243" s="51"/>
      <c r="AT243" s="51"/>
      <c r="AU243" s="51"/>
      <c r="AV243" s="47"/>
      <c r="AW243" s="48"/>
      <c r="AX243" s="50"/>
      <c r="AY243" s="51"/>
      <c r="AZ243" s="51"/>
      <c r="BA243" s="51"/>
      <c r="BB243" s="51">
        <f t="shared" ref="BB243:BD243" si="241">IF(AND(ISNUMBER(Z243),COUNT(AG243,AM243,AS243,AY243)=2),Z243+SUM(AG243,AM243,AS243,AY243),"")</f>
        <v>0</v>
      </c>
      <c r="BC243" s="51">
        <f t="shared" si="241"/>
        <v>0</v>
      </c>
      <c r="BD243" s="51">
        <f t="shared" si="241"/>
        <v>0</v>
      </c>
    </row>
    <row r="244" ht="48.0" customHeight="1">
      <c r="A244" s="49" t="s">
        <v>40</v>
      </c>
      <c r="B244" s="49" t="str">
        <f t="array" ref="B244">INDEX('HD cty 2024'!B:B,MATCH('F0, F1, F2, ...'!$C244,'HD cty 2024'!B:B,0))</f>
        <v>#N/A</v>
      </c>
      <c r="C244" s="49">
        <v>301.0</v>
      </c>
      <c r="D244" s="50">
        <v>45463.0</v>
      </c>
      <c r="E244" s="51">
        <v>6.9833763E7</v>
      </c>
      <c r="F244" s="51">
        <v>5586701.0</v>
      </c>
      <c r="G244" s="51">
        <v>7.5420464E7</v>
      </c>
      <c r="H244" s="49" t="s">
        <v>414</v>
      </c>
      <c r="I244" s="52" t="s">
        <v>3275</v>
      </c>
      <c r="J244" s="50">
        <v>45806.0</v>
      </c>
      <c r="K244" s="51">
        <v>2341237.0</v>
      </c>
      <c r="L244" s="51">
        <v>187299.0</v>
      </c>
      <c r="M244" s="51">
        <v>2528536.0</v>
      </c>
      <c r="N244" s="49"/>
      <c r="O244" s="52"/>
      <c r="P244" s="50"/>
      <c r="Q244" s="51"/>
      <c r="R244" s="51"/>
      <c r="S244" s="51"/>
      <c r="T244" s="49"/>
      <c r="U244" s="52"/>
      <c r="V244" s="50"/>
      <c r="W244" s="51"/>
      <c r="X244" s="51"/>
      <c r="Y244" s="51"/>
      <c r="Z244" s="51">
        <v>7.2175E7</v>
      </c>
      <c r="AA244" s="51">
        <v>5774000.0</v>
      </c>
      <c r="AB244" s="51">
        <v>7.7949E7</v>
      </c>
      <c r="AC244" s="47"/>
      <c r="AD244" s="47" t="s">
        <v>3276</v>
      </c>
      <c r="AE244" s="48"/>
      <c r="AF244" s="50"/>
      <c r="AG244" s="51">
        <v>-2341237.0</v>
      </c>
      <c r="AH244" s="51">
        <v>-187299.0</v>
      </c>
      <c r="AI244" s="51">
        <v>-2528536.0</v>
      </c>
      <c r="AJ244" s="47" t="s">
        <v>3277</v>
      </c>
      <c r="AK244" s="48"/>
      <c r="AL244" s="50"/>
      <c r="AM244" s="51">
        <v>-6.9833763E7</v>
      </c>
      <c r="AN244" s="51">
        <v>-5586701.0</v>
      </c>
      <c r="AO244" s="51">
        <v>-7.5420464E7</v>
      </c>
      <c r="AP244" s="47"/>
      <c r="AQ244" s="48"/>
      <c r="AR244" s="50"/>
      <c r="AS244" s="51"/>
      <c r="AT244" s="51"/>
      <c r="AU244" s="51"/>
      <c r="AV244" s="47"/>
      <c r="AW244" s="48"/>
      <c r="AX244" s="50"/>
      <c r="AY244" s="51"/>
      <c r="AZ244" s="51"/>
      <c r="BA244" s="51"/>
      <c r="BB244" s="51">
        <f t="shared" ref="BB244:BD244" si="242">IF(AND(ISNUMBER(Z244),COUNT(AG244,AM244,AS244,AY244)=2),Z244+SUM(AG244,AM244,AS244,AY244),"")</f>
        <v>0</v>
      </c>
      <c r="BC244" s="51">
        <f t="shared" si="242"/>
        <v>0</v>
      </c>
      <c r="BD244" s="51">
        <f t="shared" si="242"/>
        <v>0</v>
      </c>
    </row>
    <row r="245" ht="48.0" customHeight="1">
      <c r="A245" s="49" t="s">
        <v>40</v>
      </c>
      <c r="B245" s="49" t="str">
        <f t="array" ref="B245">INDEX('HD cty 2024'!B:B,MATCH('F0, F1, F2, ...'!$C245,'HD cty 2024'!B:B,0))</f>
        <v>#N/A</v>
      </c>
      <c r="C245" s="49">
        <v>302.0</v>
      </c>
      <c r="D245" s="50">
        <v>45463.0</v>
      </c>
      <c r="E245" s="51">
        <v>5.6742501E7</v>
      </c>
      <c r="F245" s="51">
        <v>4539400.0</v>
      </c>
      <c r="G245" s="51">
        <v>6.1281901E7</v>
      </c>
      <c r="H245" s="49" t="s">
        <v>414</v>
      </c>
      <c r="I245" s="52" t="s">
        <v>3278</v>
      </c>
      <c r="J245" s="50">
        <v>45806.0</v>
      </c>
      <c r="K245" s="51">
        <v>3373240.0</v>
      </c>
      <c r="L245" s="51">
        <v>269859.0</v>
      </c>
      <c r="M245" s="51">
        <v>3643099.0</v>
      </c>
      <c r="N245" s="49"/>
      <c r="O245" s="52"/>
      <c r="P245" s="50"/>
      <c r="Q245" s="51"/>
      <c r="R245" s="51"/>
      <c r="S245" s="51"/>
      <c r="T245" s="49"/>
      <c r="U245" s="52"/>
      <c r="V245" s="50"/>
      <c r="W245" s="51"/>
      <c r="X245" s="51"/>
      <c r="Y245" s="51"/>
      <c r="Z245" s="51">
        <v>6.0115741E7</v>
      </c>
      <c r="AA245" s="51">
        <v>4809259.0</v>
      </c>
      <c r="AB245" s="51">
        <v>6.4925E7</v>
      </c>
      <c r="AC245" s="47"/>
      <c r="AD245" s="47" t="s">
        <v>3279</v>
      </c>
      <c r="AE245" s="48"/>
      <c r="AF245" s="50"/>
      <c r="AG245" s="51">
        <v>-3373240.0</v>
      </c>
      <c r="AH245" s="51">
        <v>-269859.0</v>
      </c>
      <c r="AI245" s="51">
        <v>-3643099.0</v>
      </c>
      <c r="AJ245" s="47" t="s">
        <v>3280</v>
      </c>
      <c r="AK245" s="48"/>
      <c r="AL245" s="50"/>
      <c r="AM245" s="51">
        <v>-5.6742501E7</v>
      </c>
      <c r="AN245" s="51">
        <v>-4539400.0</v>
      </c>
      <c r="AO245" s="51">
        <v>-6.1281901E7</v>
      </c>
      <c r="AP245" s="47"/>
      <c r="AQ245" s="48"/>
      <c r="AR245" s="50"/>
      <c r="AS245" s="51"/>
      <c r="AT245" s="51"/>
      <c r="AU245" s="51"/>
      <c r="AV245" s="47"/>
      <c r="AW245" s="48"/>
      <c r="AX245" s="50"/>
      <c r="AY245" s="51"/>
      <c r="AZ245" s="51"/>
      <c r="BA245" s="51"/>
      <c r="BB245" s="51">
        <f t="shared" ref="BB245:BD245" si="243">IF(AND(ISNUMBER(Z245),COUNT(AG245,AM245,AS245,AY245)=2),Z245+SUM(AG245,AM245,AS245,AY245),"")</f>
        <v>0</v>
      </c>
      <c r="BC245" s="51">
        <f t="shared" si="243"/>
        <v>0</v>
      </c>
      <c r="BD245" s="51">
        <f t="shared" si="243"/>
        <v>0</v>
      </c>
    </row>
    <row r="246" ht="48.0" customHeight="1">
      <c r="A246" s="49" t="s">
        <v>40</v>
      </c>
      <c r="B246" s="49" t="str">
        <f t="array" ref="B246">INDEX('HD cty 2024'!B:B,MATCH('F0, F1, F2, ...'!$C246,'HD cty 2024'!B:B,0))</f>
        <v>#N/A</v>
      </c>
      <c r="C246" s="49">
        <v>303.0</v>
      </c>
      <c r="D246" s="50">
        <v>45463.0</v>
      </c>
      <c r="E246" s="51">
        <v>9.491438E7</v>
      </c>
      <c r="F246" s="51">
        <v>7593150.0</v>
      </c>
      <c r="G246" s="51">
        <v>1.0250753E8</v>
      </c>
      <c r="H246" s="49" t="s">
        <v>414</v>
      </c>
      <c r="I246" s="52" t="s">
        <v>3281</v>
      </c>
      <c r="J246" s="50">
        <v>45806.0</v>
      </c>
      <c r="K246" s="51">
        <v>5369694.0</v>
      </c>
      <c r="L246" s="51">
        <v>429576.0</v>
      </c>
      <c r="M246" s="51">
        <v>5799270.0</v>
      </c>
      <c r="N246" s="49"/>
      <c r="O246" s="52"/>
      <c r="P246" s="50"/>
      <c r="Q246" s="51"/>
      <c r="R246" s="51"/>
      <c r="S246" s="51"/>
      <c r="T246" s="49"/>
      <c r="U246" s="52"/>
      <c r="V246" s="50"/>
      <c r="W246" s="51"/>
      <c r="X246" s="51"/>
      <c r="Y246" s="51"/>
      <c r="Z246" s="51">
        <v>1.00284074E8</v>
      </c>
      <c r="AA246" s="51">
        <v>8022726.0</v>
      </c>
      <c r="AB246" s="51">
        <v>1.083068E8</v>
      </c>
      <c r="AC246" s="47"/>
      <c r="AD246" s="47" t="s">
        <v>3282</v>
      </c>
      <c r="AE246" s="48"/>
      <c r="AF246" s="50"/>
      <c r="AG246" s="51">
        <v>-5369694.0</v>
      </c>
      <c r="AH246" s="51">
        <v>-429576.0</v>
      </c>
      <c r="AI246" s="51">
        <v>-5799270.0</v>
      </c>
      <c r="AJ246" s="47" t="s">
        <v>3283</v>
      </c>
      <c r="AK246" s="48"/>
      <c r="AL246" s="50"/>
      <c r="AM246" s="51">
        <v>-9.491438E7</v>
      </c>
      <c r="AN246" s="51">
        <v>-7593150.0</v>
      </c>
      <c r="AO246" s="51">
        <v>-1.0250753E8</v>
      </c>
      <c r="AP246" s="47"/>
      <c r="AQ246" s="48"/>
      <c r="AR246" s="50"/>
      <c r="AS246" s="51"/>
      <c r="AT246" s="51"/>
      <c r="AU246" s="51"/>
      <c r="AV246" s="47"/>
      <c r="AW246" s="48"/>
      <c r="AX246" s="50"/>
      <c r="AY246" s="51"/>
      <c r="AZ246" s="51"/>
      <c r="BA246" s="51"/>
      <c r="BB246" s="51">
        <f t="shared" ref="BB246:BD246" si="244">IF(AND(ISNUMBER(Z246),COUNT(AG246,AM246,AS246,AY246)=2),Z246+SUM(AG246,AM246,AS246,AY246),"")</f>
        <v>0</v>
      </c>
      <c r="BC246" s="51">
        <f t="shared" si="244"/>
        <v>0</v>
      </c>
      <c r="BD246" s="51">
        <f t="shared" si="244"/>
        <v>0</v>
      </c>
    </row>
    <row r="247" ht="48.0" customHeight="1">
      <c r="A247" s="49" t="s">
        <v>40</v>
      </c>
      <c r="B247" s="49" t="str">
        <f t="array" ref="B247">INDEX('HD cty 2024'!B:B,MATCH('F0, F1, F2, ...'!$C247,'HD cty 2024'!B:B,0))</f>
        <v>#N/A</v>
      </c>
      <c r="C247" s="49">
        <v>304.0</v>
      </c>
      <c r="D247" s="50">
        <v>45463.0</v>
      </c>
      <c r="E247" s="51">
        <v>9.7061278E7</v>
      </c>
      <c r="F247" s="51">
        <v>7764902.0</v>
      </c>
      <c r="G247" s="51">
        <v>1.0482618E8</v>
      </c>
      <c r="H247" s="49" t="s">
        <v>414</v>
      </c>
      <c r="I247" s="52" t="s">
        <v>3284</v>
      </c>
      <c r="J247" s="50">
        <v>45806.0</v>
      </c>
      <c r="K247" s="51">
        <v>6720834.0</v>
      </c>
      <c r="L247" s="51">
        <v>537667.0</v>
      </c>
      <c r="M247" s="51">
        <v>7258501.0</v>
      </c>
      <c r="N247" s="49"/>
      <c r="O247" s="52"/>
      <c r="P247" s="50"/>
      <c r="Q247" s="51"/>
      <c r="R247" s="51"/>
      <c r="S247" s="51"/>
      <c r="T247" s="49"/>
      <c r="U247" s="52"/>
      <c r="V247" s="50"/>
      <c r="W247" s="51"/>
      <c r="X247" s="51"/>
      <c r="Y247" s="51"/>
      <c r="Z247" s="51">
        <v>1.03782112E8</v>
      </c>
      <c r="AA247" s="51">
        <v>8302569.0</v>
      </c>
      <c r="AB247" s="51">
        <v>1.12084681E8</v>
      </c>
      <c r="AC247" s="47"/>
      <c r="AD247" s="47" t="s">
        <v>3285</v>
      </c>
      <c r="AE247" s="48"/>
      <c r="AF247" s="50"/>
      <c r="AG247" s="51">
        <v>-6720834.0</v>
      </c>
      <c r="AH247" s="51">
        <v>-537667.0</v>
      </c>
      <c r="AI247" s="51">
        <v>-7258501.0</v>
      </c>
      <c r="AJ247" s="47" t="s">
        <v>3286</v>
      </c>
      <c r="AK247" s="48"/>
      <c r="AL247" s="50"/>
      <c r="AM247" s="51">
        <v>-9.7061278E7</v>
      </c>
      <c r="AN247" s="51">
        <v>-7764902.0</v>
      </c>
      <c r="AO247" s="51">
        <v>-1.0482618E8</v>
      </c>
      <c r="AP247" s="47"/>
      <c r="AQ247" s="48"/>
      <c r="AR247" s="50"/>
      <c r="AS247" s="51"/>
      <c r="AT247" s="51"/>
      <c r="AU247" s="51"/>
      <c r="AV247" s="47"/>
      <c r="AW247" s="48"/>
      <c r="AX247" s="50"/>
      <c r="AY247" s="51"/>
      <c r="AZ247" s="51"/>
      <c r="BA247" s="51"/>
      <c r="BB247" s="51">
        <f t="shared" ref="BB247:BD247" si="245">IF(AND(ISNUMBER(Z247),COUNT(AG247,AM247,AS247,AY247)=2),Z247+SUM(AG247,AM247,AS247,AY247),"")</f>
        <v>0</v>
      </c>
      <c r="BC247" s="51">
        <f t="shared" si="245"/>
        <v>0</v>
      </c>
      <c r="BD247" s="51">
        <f t="shared" si="245"/>
        <v>0</v>
      </c>
    </row>
    <row r="248" ht="48.0" customHeight="1">
      <c r="A248" s="49" t="s">
        <v>40</v>
      </c>
      <c r="B248" s="49" t="str">
        <f t="array" ref="B248">INDEX('HD cty 2024'!B:B,MATCH('F0, F1, F2, ...'!$C248,'HD cty 2024'!B:B,0))</f>
        <v>#N/A</v>
      </c>
      <c r="C248" s="49">
        <v>305.0</v>
      </c>
      <c r="D248" s="50">
        <v>45463.0</v>
      </c>
      <c r="E248" s="51">
        <v>8.9764004E7</v>
      </c>
      <c r="F248" s="51">
        <v>7181120.0</v>
      </c>
      <c r="G248" s="51">
        <v>9.6945124E7</v>
      </c>
      <c r="H248" s="49" t="s">
        <v>414</v>
      </c>
      <c r="I248" s="52" t="s">
        <v>3287</v>
      </c>
      <c r="J248" s="50">
        <v>45806.0</v>
      </c>
      <c r="K248" s="51">
        <v>4593311.0</v>
      </c>
      <c r="L248" s="51">
        <v>367465.0</v>
      </c>
      <c r="M248" s="51">
        <v>4960776.0</v>
      </c>
      <c r="N248" s="49"/>
      <c r="O248" s="52"/>
      <c r="P248" s="50"/>
      <c r="Q248" s="51"/>
      <c r="R248" s="51"/>
      <c r="S248" s="51"/>
      <c r="T248" s="49"/>
      <c r="U248" s="52"/>
      <c r="V248" s="50"/>
      <c r="W248" s="51"/>
      <c r="X248" s="51"/>
      <c r="Y248" s="51"/>
      <c r="Z248" s="51">
        <v>9.4357315E7</v>
      </c>
      <c r="AA248" s="51">
        <v>7548585.0</v>
      </c>
      <c r="AB248" s="51">
        <v>1.019059E8</v>
      </c>
      <c r="AC248" s="47"/>
      <c r="AD248" s="47" t="s">
        <v>3288</v>
      </c>
      <c r="AE248" s="48"/>
      <c r="AF248" s="50"/>
      <c r="AG248" s="51">
        <v>-4593311.0</v>
      </c>
      <c r="AH248" s="51">
        <v>-367465.0</v>
      </c>
      <c r="AI248" s="51">
        <v>-4960776.0</v>
      </c>
      <c r="AJ248" s="47" t="s">
        <v>3289</v>
      </c>
      <c r="AK248" s="48"/>
      <c r="AL248" s="50"/>
      <c r="AM248" s="51">
        <v>-8.9764004E7</v>
      </c>
      <c r="AN248" s="51">
        <v>-7181120.0</v>
      </c>
      <c r="AO248" s="51">
        <v>-9.6945124E7</v>
      </c>
      <c r="AP248" s="47"/>
      <c r="AQ248" s="48"/>
      <c r="AR248" s="50"/>
      <c r="AS248" s="51"/>
      <c r="AT248" s="51"/>
      <c r="AU248" s="51"/>
      <c r="AV248" s="47"/>
      <c r="AW248" s="48"/>
      <c r="AX248" s="50"/>
      <c r="AY248" s="51"/>
      <c r="AZ248" s="51"/>
      <c r="BA248" s="51"/>
      <c r="BB248" s="51">
        <f t="shared" ref="BB248:BD248" si="246">IF(AND(ISNUMBER(Z248),COUNT(AG248,AM248,AS248,AY248)=2),Z248+SUM(AG248,AM248,AS248,AY248),"")</f>
        <v>0</v>
      </c>
      <c r="BC248" s="51">
        <f t="shared" si="246"/>
        <v>0</v>
      </c>
      <c r="BD248" s="51">
        <f t="shared" si="246"/>
        <v>0</v>
      </c>
    </row>
    <row r="249" ht="48.0" customHeight="1">
      <c r="A249" s="49" t="s">
        <v>40</v>
      </c>
      <c r="B249" s="49" t="str">
        <f t="array" ref="B249">INDEX('HD cty 2024'!B:B,MATCH('F0, F1, F2, ...'!$C249,'HD cty 2024'!B:B,0))</f>
        <v>#N/A</v>
      </c>
      <c r="C249" s="49">
        <v>306.0</v>
      </c>
      <c r="D249" s="50">
        <v>45463.0</v>
      </c>
      <c r="E249" s="51">
        <v>8.1415735E7</v>
      </c>
      <c r="F249" s="51">
        <v>6513259.0</v>
      </c>
      <c r="G249" s="51">
        <v>8.7928994E7</v>
      </c>
      <c r="H249" s="49" t="s">
        <v>414</v>
      </c>
      <c r="I249" s="52" t="s">
        <v>3290</v>
      </c>
      <c r="J249" s="50">
        <v>45806.0</v>
      </c>
      <c r="K249" s="51">
        <v>4575469.0</v>
      </c>
      <c r="L249" s="51">
        <v>366038.0</v>
      </c>
      <c r="M249" s="51">
        <v>4941507.0</v>
      </c>
      <c r="N249" s="49"/>
      <c r="O249" s="52"/>
      <c r="P249" s="50"/>
      <c r="Q249" s="51"/>
      <c r="R249" s="51"/>
      <c r="S249" s="51"/>
      <c r="T249" s="49"/>
      <c r="U249" s="52"/>
      <c r="V249" s="50"/>
      <c r="W249" s="51"/>
      <c r="X249" s="51"/>
      <c r="Y249" s="51"/>
      <c r="Z249" s="51">
        <v>8.5991204E7</v>
      </c>
      <c r="AA249" s="51">
        <v>6879297.0</v>
      </c>
      <c r="AB249" s="51">
        <v>9.2870501E7</v>
      </c>
      <c r="AC249" s="47"/>
      <c r="AD249" s="47" t="s">
        <v>3291</v>
      </c>
      <c r="AE249" s="48"/>
      <c r="AF249" s="50"/>
      <c r="AG249" s="51">
        <v>-4575469.0</v>
      </c>
      <c r="AH249" s="51">
        <v>-366038.0</v>
      </c>
      <c r="AI249" s="51">
        <v>-4941507.0</v>
      </c>
      <c r="AJ249" s="47" t="s">
        <v>3292</v>
      </c>
      <c r="AK249" s="48"/>
      <c r="AL249" s="50"/>
      <c r="AM249" s="51">
        <v>-8.1415735E7</v>
      </c>
      <c r="AN249" s="51">
        <v>-6513259.0</v>
      </c>
      <c r="AO249" s="51">
        <v>-8.7928994E7</v>
      </c>
      <c r="AP249" s="47"/>
      <c r="AQ249" s="48"/>
      <c r="AR249" s="50"/>
      <c r="AS249" s="51"/>
      <c r="AT249" s="51"/>
      <c r="AU249" s="51"/>
      <c r="AV249" s="47"/>
      <c r="AW249" s="48"/>
      <c r="AX249" s="50"/>
      <c r="AY249" s="51"/>
      <c r="AZ249" s="51"/>
      <c r="BA249" s="51"/>
      <c r="BB249" s="51">
        <f t="shared" ref="BB249:BD249" si="247">IF(AND(ISNUMBER(Z249),COUNT(AG249,AM249,AS249,AY249)=2),Z249+SUM(AG249,AM249,AS249,AY249),"")</f>
        <v>0</v>
      </c>
      <c r="BC249" s="51">
        <f t="shared" si="247"/>
        <v>0</v>
      </c>
      <c r="BD249" s="51">
        <f t="shared" si="247"/>
        <v>0</v>
      </c>
    </row>
    <row r="250" ht="48.0" customHeight="1">
      <c r="A250" s="49" t="s">
        <v>40</v>
      </c>
      <c r="B250" s="49" t="str">
        <f t="array" ref="B250">INDEX('HD cty 2024'!B:B,MATCH('F0, F1, F2, ...'!$C250,'HD cty 2024'!B:B,0))</f>
        <v>#N/A</v>
      </c>
      <c r="C250" s="49">
        <v>307.0</v>
      </c>
      <c r="D250" s="50">
        <v>45463.0</v>
      </c>
      <c r="E250" s="51">
        <v>1.29390553E8</v>
      </c>
      <c r="F250" s="51">
        <v>1.0351244E7</v>
      </c>
      <c r="G250" s="51">
        <v>1.39741797E8</v>
      </c>
      <c r="H250" s="49" t="s">
        <v>414</v>
      </c>
      <c r="I250" s="52" t="s">
        <v>3293</v>
      </c>
      <c r="J250" s="50">
        <v>45806.0</v>
      </c>
      <c r="K250" s="51">
        <v>4929817.0</v>
      </c>
      <c r="L250" s="51">
        <v>394385.0</v>
      </c>
      <c r="M250" s="51">
        <v>5324202.0</v>
      </c>
      <c r="N250" s="49"/>
      <c r="O250" s="52"/>
      <c r="P250" s="50"/>
      <c r="Q250" s="51"/>
      <c r="R250" s="51"/>
      <c r="S250" s="51"/>
      <c r="T250" s="49"/>
      <c r="U250" s="52"/>
      <c r="V250" s="50"/>
      <c r="W250" s="51"/>
      <c r="X250" s="51"/>
      <c r="Y250" s="51"/>
      <c r="Z250" s="51">
        <v>1.3432037E8</v>
      </c>
      <c r="AA250" s="51">
        <v>1.0745629E7</v>
      </c>
      <c r="AB250" s="51">
        <v>1.45065999E8</v>
      </c>
      <c r="AC250" s="47"/>
      <c r="AD250" s="47" t="s">
        <v>3294</v>
      </c>
      <c r="AE250" s="48"/>
      <c r="AF250" s="50"/>
      <c r="AG250" s="51">
        <v>-4929817.0</v>
      </c>
      <c r="AH250" s="51">
        <v>-394385.0</v>
      </c>
      <c r="AI250" s="51">
        <v>-5324202.0</v>
      </c>
      <c r="AJ250" s="47" t="s">
        <v>3295</v>
      </c>
      <c r="AK250" s="48"/>
      <c r="AL250" s="50"/>
      <c r="AM250" s="51">
        <v>-1.29390553E8</v>
      </c>
      <c r="AN250" s="51">
        <v>-1.0351244E7</v>
      </c>
      <c r="AO250" s="51">
        <v>-1.39741797E8</v>
      </c>
      <c r="AP250" s="47"/>
      <c r="AQ250" s="48"/>
      <c r="AR250" s="50"/>
      <c r="AS250" s="51"/>
      <c r="AT250" s="51"/>
      <c r="AU250" s="51"/>
      <c r="AV250" s="47"/>
      <c r="AW250" s="48"/>
      <c r="AX250" s="50"/>
      <c r="AY250" s="51"/>
      <c r="AZ250" s="51"/>
      <c r="BA250" s="51"/>
      <c r="BB250" s="51">
        <f t="shared" ref="BB250:BD250" si="248">IF(AND(ISNUMBER(Z250),COUNT(AG250,AM250,AS250,AY250)=2),Z250+SUM(AG250,AM250,AS250,AY250),"")</f>
        <v>0</v>
      </c>
      <c r="BC250" s="51">
        <f t="shared" si="248"/>
        <v>0</v>
      </c>
      <c r="BD250" s="51">
        <f t="shared" si="248"/>
        <v>0</v>
      </c>
    </row>
    <row r="251" ht="48.0" customHeight="1">
      <c r="A251" s="49" t="s">
        <v>40</v>
      </c>
      <c r="B251" s="49" t="str">
        <f t="array" ref="B251">INDEX('HD cty 2024'!B:B,MATCH('F0, F1, F2, ...'!$C251,'HD cty 2024'!B:B,0))</f>
        <v>#N/A</v>
      </c>
      <c r="C251" s="49">
        <v>308.0</v>
      </c>
      <c r="D251" s="50">
        <v>45463.0</v>
      </c>
      <c r="E251" s="51">
        <v>5.3164675E7</v>
      </c>
      <c r="F251" s="51">
        <v>4253174.0</v>
      </c>
      <c r="G251" s="51">
        <v>5.7417849E7</v>
      </c>
      <c r="H251" s="49" t="s">
        <v>414</v>
      </c>
      <c r="I251" s="52" t="s">
        <v>3296</v>
      </c>
      <c r="J251" s="50">
        <v>45806.0</v>
      </c>
      <c r="K251" s="51">
        <v>5433473.0</v>
      </c>
      <c r="L251" s="51">
        <v>434678.0</v>
      </c>
      <c r="M251" s="51">
        <v>5868151.0</v>
      </c>
      <c r="N251" s="49"/>
      <c r="O251" s="52"/>
      <c r="P251" s="50"/>
      <c r="Q251" s="51"/>
      <c r="R251" s="51"/>
      <c r="S251" s="51"/>
      <c r="T251" s="49"/>
      <c r="U251" s="52"/>
      <c r="V251" s="50"/>
      <c r="W251" s="51"/>
      <c r="X251" s="51"/>
      <c r="Y251" s="51"/>
      <c r="Z251" s="51">
        <v>5.8598148E7</v>
      </c>
      <c r="AA251" s="51">
        <v>4687852.0</v>
      </c>
      <c r="AB251" s="51">
        <v>6.3286E7</v>
      </c>
      <c r="AC251" s="47"/>
      <c r="AD251" s="47" t="s">
        <v>3297</v>
      </c>
      <c r="AE251" s="48"/>
      <c r="AF251" s="50"/>
      <c r="AG251" s="51">
        <v>-5433473.0</v>
      </c>
      <c r="AH251" s="51">
        <v>-434678.0</v>
      </c>
      <c r="AI251" s="51">
        <v>-5868151.0</v>
      </c>
      <c r="AJ251" s="47" t="s">
        <v>3298</v>
      </c>
      <c r="AK251" s="48"/>
      <c r="AL251" s="50"/>
      <c r="AM251" s="51">
        <v>-5.3164675E7</v>
      </c>
      <c r="AN251" s="51">
        <v>-4253174.0</v>
      </c>
      <c r="AO251" s="51">
        <v>-5.7417849E7</v>
      </c>
      <c r="AP251" s="47"/>
      <c r="AQ251" s="48"/>
      <c r="AR251" s="50"/>
      <c r="AS251" s="51"/>
      <c r="AT251" s="51"/>
      <c r="AU251" s="51"/>
      <c r="AV251" s="47"/>
      <c r="AW251" s="48"/>
      <c r="AX251" s="50"/>
      <c r="AY251" s="51"/>
      <c r="AZ251" s="51"/>
      <c r="BA251" s="51"/>
      <c r="BB251" s="51">
        <f t="shared" ref="BB251:BD251" si="249">IF(AND(ISNUMBER(Z251),COUNT(AG251,AM251,AS251,AY251)=2),Z251+SUM(AG251,AM251,AS251,AY251),"")</f>
        <v>0</v>
      </c>
      <c r="BC251" s="51">
        <f t="shared" si="249"/>
        <v>0</v>
      </c>
      <c r="BD251" s="51">
        <f t="shared" si="249"/>
        <v>0</v>
      </c>
    </row>
    <row r="252" ht="48.0" customHeight="1">
      <c r="A252" s="49" t="s">
        <v>40</v>
      </c>
      <c r="B252" s="49" t="str">
        <f t="array" ref="B252">INDEX('HD cty 2024'!B:B,MATCH('F0, F1, F2, ...'!$C252,'HD cty 2024'!B:B,0))</f>
        <v>#N/A</v>
      </c>
      <c r="C252" s="49">
        <v>309.0</v>
      </c>
      <c r="D252" s="50">
        <v>45463.0</v>
      </c>
      <c r="E252" s="51">
        <v>4.1167501E7</v>
      </c>
      <c r="F252" s="51">
        <v>3293400.0</v>
      </c>
      <c r="G252" s="51">
        <v>4.4460901E7</v>
      </c>
      <c r="H252" s="49" t="s">
        <v>414</v>
      </c>
      <c r="I252" s="52" t="s">
        <v>3299</v>
      </c>
      <c r="J252" s="50">
        <v>45806.0</v>
      </c>
      <c r="K252" s="51">
        <v>2326018.0</v>
      </c>
      <c r="L252" s="51">
        <v>186081.0</v>
      </c>
      <c r="M252" s="51">
        <v>2512099.0</v>
      </c>
      <c r="N252" s="49"/>
      <c r="O252" s="52"/>
      <c r="P252" s="50"/>
      <c r="Q252" s="51"/>
      <c r="R252" s="51"/>
      <c r="S252" s="51"/>
      <c r="T252" s="49"/>
      <c r="U252" s="52"/>
      <c r="V252" s="50"/>
      <c r="W252" s="51"/>
      <c r="X252" s="51"/>
      <c r="Y252" s="51"/>
      <c r="Z252" s="51">
        <v>4.3493519E7</v>
      </c>
      <c r="AA252" s="51">
        <v>3479481.0</v>
      </c>
      <c r="AB252" s="51">
        <v>4.6973E7</v>
      </c>
      <c r="AC252" s="47"/>
      <c r="AD252" s="47" t="s">
        <v>3300</v>
      </c>
      <c r="AE252" s="48"/>
      <c r="AF252" s="50"/>
      <c r="AG252" s="51">
        <v>-2326018.0</v>
      </c>
      <c r="AH252" s="51">
        <v>-186081.0</v>
      </c>
      <c r="AI252" s="51">
        <v>-2512099.0</v>
      </c>
      <c r="AJ252" s="47" t="s">
        <v>3301</v>
      </c>
      <c r="AK252" s="48"/>
      <c r="AL252" s="50"/>
      <c r="AM252" s="51">
        <v>-4.1167501E7</v>
      </c>
      <c r="AN252" s="51">
        <v>-3293400.0</v>
      </c>
      <c r="AO252" s="51">
        <v>-4.4460901E7</v>
      </c>
      <c r="AP252" s="47"/>
      <c r="AQ252" s="48"/>
      <c r="AR252" s="50"/>
      <c r="AS252" s="51"/>
      <c r="AT252" s="51"/>
      <c r="AU252" s="51"/>
      <c r="AV252" s="47"/>
      <c r="AW252" s="48"/>
      <c r="AX252" s="50"/>
      <c r="AY252" s="51"/>
      <c r="AZ252" s="51"/>
      <c r="BA252" s="51"/>
      <c r="BB252" s="51">
        <f t="shared" ref="BB252:BD252" si="250">IF(AND(ISNUMBER(Z252),COUNT(AG252,AM252,AS252,AY252)=2),Z252+SUM(AG252,AM252,AS252,AY252),"")</f>
        <v>0</v>
      </c>
      <c r="BC252" s="51">
        <f t="shared" si="250"/>
        <v>0</v>
      </c>
      <c r="BD252" s="51">
        <f t="shared" si="250"/>
        <v>0</v>
      </c>
    </row>
    <row r="253" ht="48.0" customHeight="1">
      <c r="A253" s="49" t="s">
        <v>40</v>
      </c>
      <c r="B253" s="49" t="str">
        <f t="array" ref="B253">INDEX('HD cty 2024'!B:B,MATCH('F0, F1, F2, ...'!$C253,'HD cty 2024'!B:B,0))</f>
        <v>#N/A</v>
      </c>
      <c r="C253" s="49">
        <v>310.0</v>
      </c>
      <c r="D253" s="50">
        <v>45463.0</v>
      </c>
      <c r="E253" s="51">
        <v>6.3596759E7</v>
      </c>
      <c r="F253" s="51">
        <v>5087741.0</v>
      </c>
      <c r="G253" s="51">
        <v>6.86845E7</v>
      </c>
      <c r="H253" s="49" t="s">
        <v>414</v>
      </c>
      <c r="I253" s="52" t="s">
        <v>3302</v>
      </c>
      <c r="J253" s="50">
        <v>45806.0</v>
      </c>
      <c r="K253" s="51">
        <v>2072685.0</v>
      </c>
      <c r="L253" s="51">
        <v>165815.0</v>
      </c>
      <c r="M253" s="51">
        <v>2238500.0</v>
      </c>
      <c r="N253" s="49"/>
      <c r="O253" s="52"/>
      <c r="P253" s="50"/>
      <c r="Q253" s="51"/>
      <c r="R253" s="51"/>
      <c r="S253" s="51"/>
      <c r="T253" s="49"/>
      <c r="U253" s="52"/>
      <c r="V253" s="50"/>
      <c r="W253" s="51"/>
      <c r="X253" s="51"/>
      <c r="Y253" s="51"/>
      <c r="Z253" s="51">
        <v>6.5669444E7</v>
      </c>
      <c r="AA253" s="51">
        <v>5253556.0</v>
      </c>
      <c r="AB253" s="51">
        <v>7.0923E7</v>
      </c>
      <c r="AC253" s="47"/>
      <c r="AD253" s="47" t="s">
        <v>3303</v>
      </c>
      <c r="AE253" s="48"/>
      <c r="AF253" s="50"/>
      <c r="AG253" s="51">
        <v>-2072685.0</v>
      </c>
      <c r="AH253" s="51">
        <v>-165815.0</v>
      </c>
      <c r="AI253" s="51">
        <v>-2238500.0</v>
      </c>
      <c r="AJ253" s="47" t="s">
        <v>3304</v>
      </c>
      <c r="AK253" s="48"/>
      <c r="AL253" s="50"/>
      <c r="AM253" s="51">
        <v>-6.3596759E7</v>
      </c>
      <c r="AN253" s="51">
        <v>-5087741.0</v>
      </c>
      <c r="AO253" s="51">
        <v>-6.86845E7</v>
      </c>
      <c r="AP253" s="47"/>
      <c r="AQ253" s="48"/>
      <c r="AR253" s="50"/>
      <c r="AS253" s="51"/>
      <c r="AT253" s="51"/>
      <c r="AU253" s="51"/>
      <c r="AV253" s="47"/>
      <c r="AW253" s="48"/>
      <c r="AX253" s="50"/>
      <c r="AY253" s="51"/>
      <c r="AZ253" s="51"/>
      <c r="BA253" s="51"/>
      <c r="BB253" s="51">
        <f t="shared" ref="BB253:BD253" si="251">IF(AND(ISNUMBER(Z253),COUNT(AG253,AM253,AS253,AY253)=2),Z253+SUM(AG253,AM253,AS253,AY253),"")</f>
        <v>0</v>
      </c>
      <c r="BC253" s="51">
        <f t="shared" si="251"/>
        <v>0</v>
      </c>
      <c r="BD253" s="51">
        <f t="shared" si="251"/>
        <v>0</v>
      </c>
    </row>
    <row r="254" ht="48.0" customHeight="1">
      <c r="A254" s="49" t="s">
        <v>40</v>
      </c>
      <c r="B254" s="49" t="str">
        <f t="array" ref="B254">INDEX('HD cty 2024'!B:B,MATCH('F0, F1, F2, ...'!$C254,'HD cty 2024'!B:B,0))</f>
        <v>#N/A</v>
      </c>
      <c r="C254" s="49">
        <v>312.0</v>
      </c>
      <c r="D254" s="50">
        <v>45464.0</v>
      </c>
      <c r="E254" s="51">
        <v>8.8485657E7</v>
      </c>
      <c r="F254" s="51">
        <v>7078853.0</v>
      </c>
      <c r="G254" s="51">
        <v>9.556451E7</v>
      </c>
      <c r="H254" s="49" t="s">
        <v>414</v>
      </c>
      <c r="I254" s="52" t="s">
        <v>3305</v>
      </c>
      <c r="J254" s="50">
        <v>45806.0</v>
      </c>
      <c r="K254" s="51">
        <v>8608970.0</v>
      </c>
      <c r="L254" s="51">
        <v>688718.0</v>
      </c>
      <c r="M254" s="51">
        <v>9297688.0</v>
      </c>
      <c r="N254" s="49"/>
      <c r="O254" s="52"/>
      <c r="P254" s="50"/>
      <c r="Q254" s="51"/>
      <c r="R254" s="51"/>
      <c r="S254" s="51"/>
      <c r="T254" s="49"/>
      <c r="U254" s="52"/>
      <c r="V254" s="50"/>
      <c r="W254" s="51"/>
      <c r="X254" s="51"/>
      <c r="Y254" s="51"/>
      <c r="Z254" s="51">
        <v>9.7094627E7</v>
      </c>
      <c r="AA254" s="51">
        <v>7767571.0</v>
      </c>
      <c r="AB254" s="51">
        <v>1.04862198E8</v>
      </c>
      <c r="AC254" s="47"/>
      <c r="AD254" s="47" t="s">
        <v>3306</v>
      </c>
      <c r="AE254" s="48"/>
      <c r="AF254" s="50"/>
      <c r="AG254" s="51">
        <v>-8608970.0</v>
      </c>
      <c r="AH254" s="51">
        <v>-688718.0</v>
      </c>
      <c r="AI254" s="51">
        <v>-9297688.0</v>
      </c>
      <c r="AJ254" s="47" t="s">
        <v>3307</v>
      </c>
      <c r="AK254" s="48"/>
      <c r="AL254" s="50"/>
      <c r="AM254" s="51">
        <v>-8.8485657E7</v>
      </c>
      <c r="AN254" s="51">
        <v>-7078853.0</v>
      </c>
      <c r="AO254" s="51">
        <v>-9.556451E7</v>
      </c>
      <c r="AP254" s="47"/>
      <c r="AQ254" s="48"/>
      <c r="AR254" s="50"/>
      <c r="AS254" s="51"/>
      <c r="AT254" s="51"/>
      <c r="AU254" s="51"/>
      <c r="AV254" s="47"/>
      <c r="AW254" s="48"/>
      <c r="AX254" s="50"/>
      <c r="AY254" s="51"/>
      <c r="AZ254" s="51"/>
      <c r="BA254" s="51"/>
      <c r="BB254" s="51">
        <f t="shared" ref="BB254:BD254" si="252">IF(AND(ISNUMBER(Z254),COUNT(AG254,AM254,AS254,AY254)=2),Z254+SUM(AG254,AM254,AS254,AY254),"")</f>
        <v>0</v>
      </c>
      <c r="BC254" s="51">
        <f t="shared" si="252"/>
        <v>0</v>
      </c>
      <c r="BD254" s="51">
        <f t="shared" si="252"/>
        <v>0</v>
      </c>
    </row>
    <row r="255" ht="48.0" customHeight="1">
      <c r="A255" s="49" t="s">
        <v>40</v>
      </c>
      <c r="B255" s="49" t="str">
        <f t="array" ref="B255">INDEX('HD cty 2024'!B:B,MATCH('F0, F1, F2, ...'!$C255,'HD cty 2024'!B:B,0))</f>
        <v>#N/A</v>
      </c>
      <c r="C255" s="49">
        <v>313.0</v>
      </c>
      <c r="D255" s="50">
        <v>45464.0</v>
      </c>
      <c r="E255" s="51">
        <v>1.1106959E8</v>
      </c>
      <c r="F255" s="51">
        <v>8885567.0</v>
      </c>
      <c r="G255" s="51">
        <v>1.19955157E8</v>
      </c>
      <c r="H255" s="49" t="s">
        <v>414</v>
      </c>
      <c r="I255" s="52" t="s">
        <v>3308</v>
      </c>
      <c r="J255" s="50">
        <v>45806.0</v>
      </c>
      <c r="K255" s="51">
        <v>1.0388743E7</v>
      </c>
      <c r="L255" s="51">
        <v>831099.0</v>
      </c>
      <c r="M255" s="51">
        <v>1.1219842E7</v>
      </c>
      <c r="N255" s="49"/>
      <c r="O255" s="52"/>
      <c r="P255" s="50"/>
      <c r="Q255" s="51"/>
      <c r="R255" s="51"/>
      <c r="S255" s="51"/>
      <c r="T255" s="49"/>
      <c r="U255" s="52"/>
      <c r="V255" s="50"/>
      <c r="W255" s="51"/>
      <c r="X255" s="51"/>
      <c r="Y255" s="51"/>
      <c r="Z255" s="51">
        <v>1.21458333E8</v>
      </c>
      <c r="AA255" s="51">
        <v>9716666.0</v>
      </c>
      <c r="AB255" s="51">
        <v>1.31174999E8</v>
      </c>
      <c r="AC255" s="47"/>
      <c r="AD255" s="47" t="s">
        <v>3309</v>
      </c>
      <c r="AE255" s="48"/>
      <c r="AF255" s="50"/>
      <c r="AG255" s="51">
        <v>-1.0388743E7</v>
      </c>
      <c r="AH255" s="51">
        <v>-831099.0</v>
      </c>
      <c r="AI255" s="51">
        <v>-1.1219842E7</v>
      </c>
      <c r="AJ255" s="47" t="s">
        <v>3310</v>
      </c>
      <c r="AK255" s="48"/>
      <c r="AL255" s="50"/>
      <c r="AM255" s="51">
        <v>-1.1106959E8</v>
      </c>
      <c r="AN255" s="51">
        <v>-8885567.0</v>
      </c>
      <c r="AO255" s="51">
        <v>-1.19955157E8</v>
      </c>
      <c r="AP255" s="47"/>
      <c r="AQ255" s="48"/>
      <c r="AR255" s="50"/>
      <c r="AS255" s="51"/>
      <c r="AT255" s="51"/>
      <c r="AU255" s="51"/>
      <c r="AV255" s="47"/>
      <c r="AW255" s="48"/>
      <c r="AX255" s="50"/>
      <c r="AY255" s="51"/>
      <c r="AZ255" s="51"/>
      <c r="BA255" s="51"/>
      <c r="BB255" s="51">
        <f t="shared" ref="BB255:BD255" si="253">IF(AND(ISNUMBER(Z255),COUNT(AG255,AM255,AS255,AY255)=2),Z255+SUM(AG255,AM255,AS255,AY255),"")</f>
        <v>0</v>
      </c>
      <c r="BC255" s="51">
        <f t="shared" si="253"/>
        <v>0</v>
      </c>
      <c r="BD255" s="51">
        <f t="shared" si="253"/>
        <v>0</v>
      </c>
    </row>
    <row r="256" ht="48.0" customHeight="1">
      <c r="A256" s="49" t="s">
        <v>40</v>
      </c>
      <c r="B256" s="49" t="str">
        <f t="array" ref="B256">INDEX('HD cty 2024'!B:B,MATCH('F0, F1, F2, ...'!$C256,'HD cty 2024'!B:B,0))</f>
        <v>#N/A</v>
      </c>
      <c r="C256" s="49">
        <v>314.0</v>
      </c>
      <c r="D256" s="50">
        <v>45464.0</v>
      </c>
      <c r="E256" s="51">
        <v>6.5416529E7</v>
      </c>
      <c r="F256" s="51">
        <v>5233322.0</v>
      </c>
      <c r="G256" s="51">
        <v>7.0649851E7</v>
      </c>
      <c r="H256" s="49" t="s">
        <v>414</v>
      </c>
      <c r="I256" s="52" t="s">
        <v>3311</v>
      </c>
      <c r="J256" s="50">
        <v>45806.0</v>
      </c>
      <c r="K256" s="51">
        <v>4868656.0</v>
      </c>
      <c r="L256" s="51">
        <v>389492.0</v>
      </c>
      <c r="M256" s="51">
        <v>5258148.0</v>
      </c>
      <c r="N256" s="49"/>
      <c r="O256" s="52"/>
      <c r="P256" s="50"/>
      <c r="Q256" s="51"/>
      <c r="R256" s="51"/>
      <c r="S256" s="51"/>
      <c r="T256" s="49"/>
      <c r="U256" s="52"/>
      <c r="V256" s="50"/>
      <c r="W256" s="51"/>
      <c r="X256" s="51"/>
      <c r="Y256" s="51"/>
      <c r="Z256" s="51">
        <v>7.0285185E7</v>
      </c>
      <c r="AA256" s="51">
        <v>5622814.0</v>
      </c>
      <c r="AB256" s="51">
        <v>7.5907999E7</v>
      </c>
      <c r="AC256" s="47"/>
      <c r="AD256" s="47" t="s">
        <v>3312</v>
      </c>
      <c r="AE256" s="48"/>
      <c r="AF256" s="50"/>
      <c r="AG256" s="51">
        <v>-4868656.0</v>
      </c>
      <c r="AH256" s="51">
        <v>-389492.0</v>
      </c>
      <c r="AI256" s="51">
        <v>-5258148.0</v>
      </c>
      <c r="AJ256" s="47" t="s">
        <v>3313</v>
      </c>
      <c r="AK256" s="48"/>
      <c r="AL256" s="50"/>
      <c r="AM256" s="51">
        <v>-6.5416529E7</v>
      </c>
      <c r="AN256" s="51">
        <v>-5233322.0</v>
      </c>
      <c r="AO256" s="51">
        <v>-7.0649851E7</v>
      </c>
      <c r="AP256" s="47"/>
      <c r="AQ256" s="48"/>
      <c r="AR256" s="50"/>
      <c r="AS256" s="51"/>
      <c r="AT256" s="51"/>
      <c r="AU256" s="51"/>
      <c r="AV256" s="47"/>
      <c r="AW256" s="48"/>
      <c r="AX256" s="50"/>
      <c r="AY256" s="51"/>
      <c r="AZ256" s="51"/>
      <c r="BA256" s="51"/>
      <c r="BB256" s="51">
        <f t="shared" ref="BB256:BD256" si="254">IF(AND(ISNUMBER(Z256),COUNT(AG256,AM256,AS256,AY256)=2),Z256+SUM(AG256,AM256,AS256,AY256),"")</f>
        <v>0</v>
      </c>
      <c r="BC256" s="51">
        <f t="shared" si="254"/>
        <v>0</v>
      </c>
      <c r="BD256" s="51">
        <f t="shared" si="254"/>
        <v>0</v>
      </c>
    </row>
    <row r="257" ht="48.0" customHeight="1">
      <c r="A257" s="49" t="s">
        <v>40</v>
      </c>
      <c r="B257" s="49" t="str">
        <f t="array" ref="B257">INDEX('HD cty 2024'!B:B,MATCH('F0, F1, F2, ...'!$C257,'HD cty 2024'!B:B,0))</f>
        <v>#N/A</v>
      </c>
      <c r="C257" s="49">
        <v>315.0</v>
      </c>
      <c r="D257" s="50">
        <v>45464.0</v>
      </c>
      <c r="E257" s="51">
        <v>3.1593887E7</v>
      </c>
      <c r="F257" s="51">
        <v>2527511.0</v>
      </c>
      <c r="G257" s="51">
        <v>3.4121398E7</v>
      </c>
      <c r="H257" s="49" t="s">
        <v>414</v>
      </c>
      <c r="I257" s="52" t="s">
        <v>3314</v>
      </c>
      <c r="J257" s="50">
        <v>45806.0</v>
      </c>
      <c r="K257" s="51">
        <v>1833891.0</v>
      </c>
      <c r="L257" s="51">
        <v>146711.0</v>
      </c>
      <c r="M257" s="51">
        <v>1980602.0</v>
      </c>
      <c r="N257" s="49"/>
      <c r="O257" s="52"/>
      <c r="P257" s="50"/>
      <c r="Q257" s="51"/>
      <c r="R257" s="51"/>
      <c r="S257" s="51"/>
      <c r="T257" s="49"/>
      <c r="U257" s="52"/>
      <c r="V257" s="50"/>
      <c r="W257" s="51"/>
      <c r="X257" s="51"/>
      <c r="Y257" s="51"/>
      <c r="Z257" s="51">
        <v>3.3427778E7</v>
      </c>
      <c r="AA257" s="51">
        <v>2674222.0</v>
      </c>
      <c r="AB257" s="51">
        <v>3.6102E7</v>
      </c>
      <c r="AC257" s="47"/>
      <c r="AD257" s="47" t="s">
        <v>3315</v>
      </c>
      <c r="AE257" s="48"/>
      <c r="AF257" s="50"/>
      <c r="AG257" s="51">
        <v>-1833891.0</v>
      </c>
      <c r="AH257" s="51">
        <v>-146711.0</v>
      </c>
      <c r="AI257" s="51">
        <v>-1980602.0</v>
      </c>
      <c r="AJ257" s="47" t="s">
        <v>3316</v>
      </c>
      <c r="AK257" s="48"/>
      <c r="AL257" s="50"/>
      <c r="AM257" s="51">
        <v>-3.1593887E7</v>
      </c>
      <c r="AN257" s="51">
        <v>-2527511.0</v>
      </c>
      <c r="AO257" s="51">
        <v>-3.4121398E7</v>
      </c>
      <c r="AP257" s="47"/>
      <c r="AQ257" s="48"/>
      <c r="AR257" s="50"/>
      <c r="AS257" s="51"/>
      <c r="AT257" s="51"/>
      <c r="AU257" s="51"/>
      <c r="AV257" s="47"/>
      <c r="AW257" s="48"/>
      <c r="AX257" s="50"/>
      <c r="AY257" s="51"/>
      <c r="AZ257" s="51"/>
      <c r="BA257" s="51"/>
      <c r="BB257" s="51">
        <f t="shared" ref="BB257:BD257" si="255">IF(AND(ISNUMBER(Z257),COUNT(AG257,AM257,AS257,AY257)=2),Z257+SUM(AG257,AM257,AS257,AY257),"")</f>
        <v>0</v>
      </c>
      <c r="BC257" s="51">
        <f t="shared" si="255"/>
        <v>0</v>
      </c>
      <c r="BD257" s="51">
        <f t="shared" si="255"/>
        <v>0</v>
      </c>
    </row>
    <row r="258" ht="48.0" customHeight="1">
      <c r="A258" s="49" t="s">
        <v>40</v>
      </c>
      <c r="B258" s="49" t="str">
        <f t="array" ref="B258">INDEX('HD cty 2024'!B:B,MATCH('F0, F1, F2, ...'!$C258,'HD cty 2024'!B:B,0))</f>
        <v>#N/A</v>
      </c>
      <c r="C258" s="49">
        <v>316.0</v>
      </c>
      <c r="D258" s="50">
        <v>45464.0</v>
      </c>
      <c r="E258" s="51">
        <v>7.0335477E7</v>
      </c>
      <c r="F258" s="51">
        <v>5626838.0</v>
      </c>
      <c r="G258" s="51">
        <v>7.5962315E7</v>
      </c>
      <c r="H258" s="49" t="s">
        <v>414</v>
      </c>
      <c r="I258" s="52" t="s">
        <v>3317</v>
      </c>
      <c r="J258" s="50">
        <v>45806.0</v>
      </c>
      <c r="K258" s="51">
        <v>6816375.0</v>
      </c>
      <c r="L258" s="51">
        <v>545310.0</v>
      </c>
      <c r="M258" s="51">
        <v>7361685.0</v>
      </c>
      <c r="N258" s="49"/>
      <c r="O258" s="52"/>
      <c r="P258" s="50"/>
      <c r="Q258" s="51"/>
      <c r="R258" s="51"/>
      <c r="S258" s="51"/>
      <c r="T258" s="49"/>
      <c r="U258" s="52"/>
      <c r="V258" s="50"/>
      <c r="W258" s="51"/>
      <c r="X258" s="51"/>
      <c r="Y258" s="51"/>
      <c r="Z258" s="51">
        <v>7.7151852E7</v>
      </c>
      <c r="AA258" s="51">
        <v>6172148.0</v>
      </c>
      <c r="AB258" s="51">
        <v>8.3324E7</v>
      </c>
      <c r="AC258" s="47"/>
      <c r="AD258" s="47" t="s">
        <v>3318</v>
      </c>
      <c r="AE258" s="48"/>
      <c r="AF258" s="50"/>
      <c r="AG258" s="51">
        <v>-6816375.0</v>
      </c>
      <c r="AH258" s="51">
        <v>-545310.0</v>
      </c>
      <c r="AI258" s="51">
        <v>-7361685.0</v>
      </c>
      <c r="AJ258" s="47" t="s">
        <v>3319</v>
      </c>
      <c r="AK258" s="48"/>
      <c r="AL258" s="50"/>
      <c r="AM258" s="51">
        <v>-7.0335477E7</v>
      </c>
      <c r="AN258" s="51">
        <v>-5626838.0</v>
      </c>
      <c r="AO258" s="51">
        <v>-7.5962315E7</v>
      </c>
      <c r="AP258" s="47"/>
      <c r="AQ258" s="48"/>
      <c r="AR258" s="50"/>
      <c r="AS258" s="51"/>
      <c r="AT258" s="51"/>
      <c r="AU258" s="51"/>
      <c r="AV258" s="47"/>
      <c r="AW258" s="48"/>
      <c r="AX258" s="50"/>
      <c r="AY258" s="51"/>
      <c r="AZ258" s="51"/>
      <c r="BA258" s="51"/>
      <c r="BB258" s="51">
        <f t="shared" ref="BB258:BD258" si="256">IF(AND(ISNUMBER(Z258),COUNT(AG258,AM258,AS258,AY258)=2),Z258+SUM(AG258,AM258,AS258,AY258),"")</f>
        <v>0</v>
      </c>
      <c r="BC258" s="51">
        <f t="shared" si="256"/>
        <v>0</v>
      </c>
      <c r="BD258" s="51">
        <f t="shared" si="256"/>
        <v>0</v>
      </c>
    </row>
    <row r="259" ht="48.0" customHeight="1">
      <c r="A259" s="49" t="s">
        <v>40</v>
      </c>
      <c r="B259" s="49" t="str">
        <f t="array" ref="B259">INDEX('HD cty 2024'!B:B,MATCH('F0, F1, F2, ...'!$C259,'HD cty 2024'!B:B,0))</f>
        <v>#N/A</v>
      </c>
      <c r="C259" s="49">
        <v>317.0</v>
      </c>
      <c r="D259" s="50">
        <v>45465.0</v>
      </c>
      <c r="E259" s="51">
        <v>9.0594902E7</v>
      </c>
      <c r="F259" s="51">
        <v>7247592.0</v>
      </c>
      <c r="G259" s="51">
        <v>9.7842494E7</v>
      </c>
      <c r="H259" s="49" t="s">
        <v>414</v>
      </c>
      <c r="I259" s="52" t="s">
        <v>3320</v>
      </c>
      <c r="J259" s="50">
        <v>45806.0</v>
      </c>
      <c r="K259" s="51">
        <v>8464620.0</v>
      </c>
      <c r="L259" s="51">
        <v>677170.0</v>
      </c>
      <c r="M259" s="51">
        <v>9141790.0</v>
      </c>
      <c r="N259" s="49"/>
      <c r="O259" s="52"/>
      <c r="P259" s="50"/>
      <c r="Q259" s="51"/>
      <c r="R259" s="51"/>
      <c r="S259" s="51"/>
      <c r="T259" s="49"/>
      <c r="U259" s="52"/>
      <c r="V259" s="50"/>
      <c r="W259" s="51"/>
      <c r="X259" s="51"/>
      <c r="Y259" s="51"/>
      <c r="Z259" s="51">
        <v>9.9059522E7</v>
      </c>
      <c r="AA259" s="51">
        <v>7924762.0</v>
      </c>
      <c r="AB259" s="51">
        <v>1.06984284E8</v>
      </c>
      <c r="AC259" s="47"/>
      <c r="AD259" s="47" t="s">
        <v>3321</v>
      </c>
      <c r="AE259" s="48"/>
      <c r="AF259" s="50"/>
      <c r="AG259" s="51">
        <v>-8464620.0</v>
      </c>
      <c r="AH259" s="51">
        <v>-677170.0</v>
      </c>
      <c r="AI259" s="51">
        <v>-9141790.0</v>
      </c>
      <c r="AJ259" s="47" t="s">
        <v>3322</v>
      </c>
      <c r="AK259" s="48"/>
      <c r="AL259" s="50"/>
      <c r="AM259" s="51">
        <v>-9.0594902E7</v>
      </c>
      <c r="AN259" s="51">
        <v>-7247592.0</v>
      </c>
      <c r="AO259" s="51">
        <v>-9.7842494E7</v>
      </c>
      <c r="AP259" s="47"/>
      <c r="AQ259" s="48"/>
      <c r="AR259" s="50"/>
      <c r="AS259" s="51"/>
      <c r="AT259" s="51"/>
      <c r="AU259" s="51"/>
      <c r="AV259" s="47"/>
      <c r="AW259" s="48"/>
      <c r="AX259" s="50"/>
      <c r="AY259" s="51"/>
      <c r="AZ259" s="51"/>
      <c r="BA259" s="51"/>
      <c r="BB259" s="51">
        <f t="shared" ref="BB259:BD259" si="257">IF(AND(ISNUMBER(Z259),COUNT(AG259,AM259,AS259,AY259)=2),Z259+SUM(AG259,AM259,AS259,AY259),"")</f>
        <v>0</v>
      </c>
      <c r="BC259" s="51">
        <f t="shared" si="257"/>
        <v>0</v>
      </c>
      <c r="BD259" s="51">
        <f t="shared" si="257"/>
        <v>0</v>
      </c>
    </row>
    <row r="260" ht="48.0" customHeight="1">
      <c r="A260" s="49" t="s">
        <v>40</v>
      </c>
      <c r="B260" s="49" t="str">
        <f t="array" ref="B260">INDEX('HD cty 2024'!B:B,MATCH('F0, F1, F2, ...'!$C260,'HD cty 2024'!B:B,0))</f>
        <v>#N/A</v>
      </c>
      <c r="C260" s="49">
        <v>318.0</v>
      </c>
      <c r="D260" s="50">
        <v>45465.0</v>
      </c>
      <c r="E260" s="51">
        <v>7.2580968E7</v>
      </c>
      <c r="F260" s="51">
        <v>5806477.0</v>
      </c>
      <c r="G260" s="51">
        <v>7.8387445E7</v>
      </c>
      <c r="H260" s="49" t="s">
        <v>414</v>
      </c>
      <c r="I260" s="52" t="s">
        <v>3323</v>
      </c>
      <c r="J260" s="50">
        <v>45806.0</v>
      </c>
      <c r="K260" s="51">
        <v>1.0848662E7</v>
      </c>
      <c r="L260" s="51">
        <v>867893.0</v>
      </c>
      <c r="M260" s="51">
        <v>1.1716555E7</v>
      </c>
      <c r="N260" s="49"/>
      <c r="O260" s="52"/>
      <c r="P260" s="50"/>
      <c r="Q260" s="51"/>
      <c r="R260" s="51"/>
      <c r="S260" s="51"/>
      <c r="T260" s="49"/>
      <c r="U260" s="52"/>
      <c r="V260" s="50"/>
      <c r="W260" s="51"/>
      <c r="X260" s="51"/>
      <c r="Y260" s="51"/>
      <c r="Z260" s="51">
        <v>8.342963E7</v>
      </c>
      <c r="AA260" s="51">
        <v>6674370.0</v>
      </c>
      <c r="AB260" s="51">
        <v>9.0104E7</v>
      </c>
      <c r="AC260" s="47"/>
      <c r="AD260" s="47" t="s">
        <v>3324</v>
      </c>
      <c r="AE260" s="48"/>
      <c r="AF260" s="50"/>
      <c r="AG260" s="51">
        <v>-1.0848662E7</v>
      </c>
      <c r="AH260" s="51">
        <v>-867893.0</v>
      </c>
      <c r="AI260" s="51">
        <v>-1.1716555E7</v>
      </c>
      <c r="AJ260" s="47" t="s">
        <v>3325</v>
      </c>
      <c r="AK260" s="48"/>
      <c r="AL260" s="50"/>
      <c r="AM260" s="51">
        <v>-7.2580968E7</v>
      </c>
      <c r="AN260" s="51">
        <v>-5806477.0</v>
      </c>
      <c r="AO260" s="51">
        <v>-7.8387445E7</v>
      </c>
      <c r="AP260" s="47"/>
      <c r="AQ260" s="48"/>
      <c r="AR260" s="50"/>
      <c r="AS260" s="51"/>
      <c r="AT260" s="51"/>
      <c r="AU260" s="51"/>
      <c r="AV260" s="47"/>
      <c r="AW260" s="48"/>
      <c r="AX260" s="50"/>
      <c r="AY260" s="51"/>
      <c r="AZ260" s="51"/>
      <c r="BA260" s="51"/>
      <c r="BB260" s="51">
        <f t="shared" ref="BB260:BD260" si="258">IF(AND(ISNUMBER(Z260),COUNT(AG260,AM260,AS260,AY260)=2),Z260+SUM(AG260,AM260,AS260,AY260),"")</f>
        <v>0</v>
      </c>
      <c r="BC260" s="51">
        <f t="shared" si="258"/>
        <v>0</v>
      </c>
      <c r="BD260" s="51">
        <f t="shared" si="258"/>
        <v>0</v>
      </c>
    </row>
    <row r="261" ht="48.0" customHeight="1">
      <c r="A261" s="49" t="s">
        <v>40</v>
      </c>
      <c r="B261" s="49" t="str">
        <f t="array" ref="B261">INDEX('HD cty 2024'!B:B,MATCH('F0, F1, F2, ...'!$C261,'HD cty 2024'!B:B,0))</f>
        <v>#N/A</v>
      </c>
      <c r="C261" s="49">
        <v>319.0</v>
      </c>
      <c r="D261" s="50">
        <v>45465.0</v>
      </c>
      <c r="E261" s="51">
        <v>3.2334406E7</v>
      </c>
      <c r="F261" s="51">
        <v>2586752.0</v>
      </c>
      <c r="G261" s="51">
        <v>3.4921158E7</v>
      </c>
      <c r="H261" s="49" t="s">
        <v>414</v>
      </c>
      <c r="I261" s="52" t="s">
        <v>3326</v>
      </c>
      <c r="J261" s="50">
        <v>45806.0</v>
      </c>
      <c r="K261" s="51">
        <v>1932261.0</v>
      </c>
      <c r="L261" s="51">
        <v>154581.0</v>
      </c>
      <c r="M261" s="51">
        <v>2086842.0</v>
      </c>
      <c r="N261" s="49"/>
      <c r="O261" s="52"/>
      <c r="P261" s="50"/>
      <c r="Q261" s="51"/>
      <c r="R261" s="51"/>
      <c r="S261" s="51"/>
      <c r="T261" s="49"/>
      <c r="U261" s="52"/>
      <c r="V261" s="50"/>
      <c r="W261" s="51"/>
      <c r="X261" s="51"/>
      <c r="Y261" s="51"/>
      <c r="Z261" s="51">
        <v>3.4266667E7</v>
      </c>
      <c r="AA261" s="51">
        <v>2741333.0</v>
      </c>
      <c r="AB261" s="51">
        <v>3.7008E7</v>
      </c>
      <c r="AC261" s="47"/>
      <c r="AD261" s="47" t="s">
        <v>3327</v>
      </c>
      <c r="AE261" s="48"/>
      <c r="AF261" s="50"/>
      <c r="AG261" s="51">
        <v>-1932261.0</v>
      </c>
      <c r="AH261" s="51">
        <v>-154581.0</v>
      </c>
      <c r="AI261" s="51">
        <v>-2086842.0</v>
      </c>
      <c r="AJ261" s="47" t="s">
        <v>3328</v>
      </c>
      <c r="AK261" s="48"/>
      <c r="AL261" s="50"/>
      <c r="AM261" s="51">
        <v>-3.2334406E7</v>
      </c>
      <c r="AN261" s="51">
        <v>-2586752.0</v>
      </c>
      <c r="AO261" s="51">
        <v>-3.4921158E7</v>
      </c>
      <c r="AP261" s="47"/>
      <c r="AQ261" s="48"/>
      <c r="AR261" s="50"/>
      <c r="AS261" s="51"/>
      <c r="AT261" s="51"/>
      <c r="AU261" s="51"/>
      <c r="AV261" s="47"/>
      <c r="AW261" s="48"/>
      <c r="AX261" s="50"/>
      <c r="AY261" s="51"/>
      <c r="AZ261" s="51"/>
      <c r="BA261" s="51"/>
      <c r="BB261" s="51">
        <f t="shared" ref="BB261:BD261" si="259">IF(AND(ISNUMBER(Z261),COUNT(AG261,AM261,AS261,AY261)=2),Z261+SUM(AG261,AM261,AS261,AY261),"")</f>
        <v>0</v>
      </c>
      <c r="BC261" s="51">
        <f t="shared" si="259"/>
        <v>0</v>
      </c>
      <c r="BD261" s="51">
        <f t="shared" si="259"/>
        <v>0</v>
      </c>
    </row>
    <row r="262" ht="48.0" customHeight="1">
      <c r="A262" s="49" t="s">
        <v>40</v>
      </c>
      <c r="B262" s="49" t="str">
        <f t="array" ref="B262">INDEX('HD cty 2024'!B:B,MATCH('F0, F1, F2, ...'!$C262,'HD cty 2024'!B:B,0))</f>
        <v>#N/A</v>
      </c>
      <c r="C262" s="49">
        <v>320.0</v>
      </c>
      <c r="D262" s="50">
        <v>45468.0</v>
      </c>
      <c r="E262" s="51">
        <v>8.3908025E7</v>
      </c>
      <c r="F262" s="51">
        <v>6712642.0</v>
      </c>
      <c r="G262" s="51">
        <v>9.0620667E7</v>
      </c>
      <c r="H262" s="49" t="s">
        <v>414</v>
      </c>
      <c r="I262" s="52" t="s">
        <v>3329</v>
      </c>
      <c r="J262" s="50">
        <v>45806.0</v>
      </c>
      <c r="K262" s="51">
        <v>1.6078086E7</v>
      </c>
      <c r="L262" s="51">
        <v>1286247.0</v>
      </c>
      <c r="M262" s="51">
        <v>1.7364333E7</v>
      </c>
      <c r="N262" s="49"/>
      <c r="O262" s="52"/>
      <c r="P262" s="50"/>
      <c r="Q262" s="51"/>
      <c r="R262" s="51"/>
      <c r="S262" s="51"/>
      <c r="T262" s="49"/>
      <c r="U262" s="52"/>
      <c r="V262" s="50"/>
      <c r="W262" s="51"/>
      <c r="X262" s="51"/>
      <c r="Y262" s="51"/>
      <c r="Z262" s="51">
        <v>9.9986111E7</v>
      </c>
      <c r="AA262" s="51">
        <v>7998889.0</v>
      </c>
      <c r="AB262" s="51">
        <v>1.07985E8</v>
      </c>
      <c r="AC262" s="47"/>
      <c r="AD262" s="47" t="s">
        <v>3330</v>
      </c>
      <c r="AE262" s="48"/>
      <c r="AF262" s="50"/>
      <c r="AG262" s="51">
        <v>-1.6078086E7</v>
      </c>
      <c r="AH262" s="51">
        <v>-1286247.0</v>
      </c>
      <c r="AI262" s="51">
        <v>-1.7364333E7</v>
      </c>
      <c r="AJ262" s="47" t="s">
        <v>3331</v>
      </c>
      <c r="AK262" s="48"/>
      <c r="AL262" s="50"/>
      <c r="AM262" s="51">
        <v>-8.3908025E7</v>
      </c>
      <c r="AN262" s="51">
        <v>-6712642.0</v>
      </c>
      <c r="AO262" s="51">
        <v>-9.0620667E7</v>
      </c>
      <c r="AP262" s="47"/>
      <c r="AQ262" s="48"/>
      <c r="AR262" s="50"/>
      <c r="AS262" s="51"/>
      <c r="AT262" s="51"/>
      <c r="AU262" s="51"/>
      <c r="AV262" s="47"/>
      <c r="AW262" s="48"/>
      <c r="AX262" s="50"/>
      <c r="AY262" s="51"/>
      <c r="AZ262" s="51"/>
      <c r="BA262" s="51"/>
      <c r="BB262" s="51">
        <f t="shared" ref="BB262:BD262" si="260">IF(AND(ISNUMBER(Z262),COUNT(AG262,AM262,AS262,AY262)=2),Z262+SUM(AG262,AM262,AS262,AY262),"")</f>
        <v>0</v>
      </c>
      <c r="BC262" s="51">
        <f t="shared" si="260"/>
        <v>0</v>
      </c>
      <c r="BD262" s="51">
        <f t="shared" si="260"/>
        <v>0</v>
      </c>
    </row>
    <row r="263" ht="48.0" customHeight="1">
      <c r="A263" s="49" t="s">
        <v>40</v>
      </c>
      <c r="B263" s="49" t="str">
        <f t="array" ref="B263">INDEX('HD cty 2024'!B:B,MATCH('F0, F1, F2, ...'!$C263,'HD cty 2024'!B:B,0))</f>
        <v>#N/A</v>
      </c>
      <c r="C263" s="49">
        <v>321.0</v>
      </c>
      <c r="D263" s="50">
        <v>45468.0</v>
      </c>
      <c r="E263" s="51">
        <v>1.26818529E8</v>
      </c>
      <c r="F263" s="51">
        <v>1.0145482E7</v>
      </c>
      <c r="G263" s="51">
        <v>1.36964011E8</v>
      </c>
      <c r="H263" s="49" t="s">
        <v>414</v>
      </c>
      <c r="I263" s="52" t="s">
        <v>3332</v>
      </c>
      <c r="J263" s="50">
        <v>45806.0</v>
      </c>
      <c r="K263" s="51">
        <v>1.9259249E7</v>
      </c>
      <c r="L263" s="51">
        <v>1540740.0</v>
      </c>
      <c r="M263" s="51">
        <v>2.0799989E7</v>
      </c>
      <c r="N263" s="49"/>
      <c r="O263" s="52"/>
      <c r="P263" s="50"/>
      <c r="Q263" s="51"/>
      <c r="R263" s="51"/>
      <c r="S263" s="51"/>
      <c r="T263" s="49"/>
      <c r="U263" s="52"/>
      <c r="V263" s="50"/>
      <c r="W263" s="51"/>
      <c r="X263" s="51"/>
      <c r="Y263" s="51"/>
      <c r="Z263" s="51">
        <v>1.46077778E8</v>
      </c>
      <c r="AA263" s="51">
        <v>1.1686222E7</v>
      </c>
      <c r="AB263" s="51">
        <v>1.57764E8</v>
      </c>
      <c r="AC263" s="47"/>
      <c r="AD263" s="47" t="s">
        <v>3333</v>
      </c>
      <c r="AE263" s="48"/>
      <c r="AF263" s="50"/>
      <c r="AG263" s="51">
        <v>-1.9259249E7</v>
      </c>
      <c r="AH263" s="51">
        <v>-1540740.0</v>
      </c>
      <c r="AI263" s="51">
        <v>-2.0799989E7</v>
      </c>
      <c r="AJ263" s="47" t="s">
        <v>3334</v>
      </c>
      <c r="AK263" s="48"/>
      <c r="AL263" s="50"/>
      <c r="AM263" s="51">
        <v>-1.26818529E8</v>
      </c>
      <c r="AN263" s="51">
        <v>-1.0145482E7</v>
      </c>
      <c r="AO263" s="51">
        <v>-1.36964011E8</v>
      </c>
      <c r="AP263" s="47"/>
      <c r="AQ263" s="48"/>
      <c r="AR263" s="50"/>
      <c r="AS263" s="51"/>
      <c r="AT263" s="51"/>
      <c r="AU263" s="51"/>
      <c r="AV263" s="47"/>
      <c r="AW263" s="48"/>
      <c r="AX263" s="50"/>
      <c r="AY263" s="51"/>
      <c r="AZ263" s="51"/>
      <c r="BA263" s="51"/>
      <c r="BB263" s="51">
        <f t="shared" ref="BB263:BD263" si="261">IF(AND(ISNUMBER(Z263),COUNT(AG263,AM263,AS263,AY263)=2),Z263+SUM(AG263,AM263,AS263,AY263),"")</f>
        <v>0</v>
      </c>
      <c r="BC263" s="51">
        <f t="shared" si="261"/>
        <v>0</v>
      </c>
      <c r="BD263" s="51">
        <f t="shared" si="261"/>
        <v>0</v>
      </c>
    </row>
    <row r="264" ht="48.0" customHeight="1">
      <c r="A264" s="49" t="s">
        <v>40</v>
      </c>
      <c r="B264" s="49" t="str">
        <f t="array" ref="B264">INDEX('HD cty 2024'!B:B,MATCH('F0, F1, F2, ...'!$C264,'HD cty 2024'!B:B,0))</f>
        <v>#N/A</v>
      </c>
      <c r="C264" s="49">
        <v>322.0</v>
      </c>
      <c r="D264" s="50">
        <v>45468.0</v>
      </c>
      <c r="E264" s="51">
        <v>1.68377384E8</v>
      </c>
      <c r="F264" s="51">
        <v>1.3470191E7</v>
      </c>
      <c r="G264" s="51">
        <v>1.81847575E8</v>
      </c>
      <c r="H264" s="49" t="s">
        <v>414</v>
      </c>
      <c r="I264" s="52" t="s">
        <v>3335</v>
      </c>
      <c r="J264" s="50">
        <v>45806.0</v>
      </c>
      <c r="K264" s="51">
        <v>2.754206E7</v>
      </c>
      <c r="L264" s="51">
        <v>2203365.0</v>
      </c>
      <c r="M264" s="51">
        <v>2.9745425E7</v>
      </c>
      <c r="N264" s="49"/>
      <c r="O264" s="52"/>
      <c r="P264" s="50"/>
      <c r="Q264" s="51"/>
      <c r="R264" s="51"/>
      <c r="S264" s="51"/>
      <c r="T264" s="49"/>
      <c r="U264" s="52"/>
      <c r="V264" s="50"/>
      <c r="W264" s="51"/>
      <c r="X264" s="51"/>
      <c r="Y264" s="51"/>
      <c r="Z264" s="51">
        <v>1.95919444E8</v>
      </c>
      <c r="AA264" s="51">
        <v>1.5673556E7</v>
      </c>
      <c r="AB264" s="51">
        <v>2.11593E8</v>
      </c>
      <c r="AC264" s="47"/>
      <c r="AD264" s="47" t="s">
        <v>3336</v>
      </c>
      <c r="AE264" s="48"/>
      <c r="AF264" s="50"/>
      <c r="AG264" s="51">
        <v>-2.754206E7</v>
      </c>
      <c r="AH264" s="51">
        <v>-2203365.0</v>
      </c>
      <c r="AI264" s="51">
        <v>-2.9745425E7</v>
      </c>
      <c r="AJ264" s="47" t="s">
        <v>3337</v>
      </c>
      <c r="AK264" s="48"/>
      <c r="AL264" s="50"/>
      <c r="AM264" s="51">
        <v>-1.68377384E8</v>
      </c>
      <c r="AN264" s="51">
        <v>-1.3470191E7</v>
      </c>
      <c r="AO264" s="51">
        <v>-1.81847575E8</v>
      </c>
      <c r="AP264" s="47"/>
      <c r="AQ264" s="48"/>
      <c r="AR264" s="50"/>
      <c r="AS264" s="51"/>
      <c r="AT264" s="51"/>
      <c r="AU264" s="51"/>
      <c r="AV264" s="47"/>
      <c r="AW264" s="48"/>
      <c r="AX264" s="50"/>
      <c r="AY264" s="51"/>
      <c r="AZ264" s="51"/>
      <c r="BA264" s="51"/>
      <c r="BB264" s="51">
        <f t="shared" ref="BB264:BD264" si="262">IF(AND(ISNUMBER(Z264),COUNT(AG264,AM264,AS264,AY264)=2),Z264+SUM(AG264,AM264,AS264,AY264),"")</f>
        <v>0</v>
      </c>
      <c r="BC264" s="51">
        <f t="shared" si="262"/>
        <v>0</v>
      </c>
      <c r="BD264" s="51">
        <f t="shared" si="262"/>
        <v>0</v>
      </c>
    </row>
    <row r="265" ht="48.0" customHeight="1">
      <c r="A265" s="49" t="s">
        <v>40</v>
      </c>
      <c r="B265" s="49" t="str">
        <f t="array" ref="B265">INDEX('HD cty 2024'!B:B,MATCH('F0, F1, F2, ...'!$C265,'HD cty 2024'!B:B,0))</f>
        <v>#N/A</v>
      </c>
      <c r="C265" s="49">
        <v>323.0</v>
      </c>
      <c r="D265" s="50">
        <v>45468.0</v>
      </c>
      <c r="E265" s="51">
        <v>1.19775595E8</v>
      </c>
      <c r="F265" s="51">
        <v>9582048.0</v>
      </c>
      <c r="G265" s="51">
        <v>1.29357643E8</v>
      </c>
      <c r="H265" s="49" t="s">
        <v>414</v>
      </c>
      <c r="I265" s="52" t="s">
        <v>3338</v>
      </c>
      <c r="J265" s="50">
        <v>45806.0</v>
      </c>
      <c r="K265" s="51">
        <v>1.7593849E7</v>
      </c>
      <c r="L265" s="51">
        <v>1407508.0</v>
      </c>
      <c r="M265" s="51">
        <v>1.9001357E7</v>
      </c>
      <c r="N265" s="49"/>
      <c r="O265" s="52"/>
      <c r="P265" s="50"/>
      <c r="Q265" s="51"/>
      <c r="R265" s="51"/>
      <c r="S265" s="51"/>
      <c r="T265" s="49"/>
      <c r="U265" s="52"/>
      <c r="V265" s="50"/>
      <c r="W265" s="51"/>
      <c r="X265" s="51"/>
      <c r="Y265" s="51"/>
      <c r="Z265" s="51">
        <v>1.37369444E8</v>
      </c>
      <c r="AA265" s="51">
        <v>1.0989556E7</v>
      </c>
      <c r="AB265" s="51">
        <v>1.48359E8</v>
      </c>
      <c r="AC265" s="47"/>
      <c r="AD265" s="47" t="s">
        <v>3339</v>
      </c>
      <c r="AE265" s="48"/>
      <c r="AF265" s="50"/>
      <c r="AG265" s="51">
        <v>-1.7593849E7</v>
      </c>
      <c r="AH265" s="51">
        <v>-1407508.0</v>
      </c>
      <c r="AI265" s="51">
        <v>-1.9001357E7</v>
      </c>
      <c r="AJ265" s="47" t="s">
        <v>3340</v>
      </c>
      <c r="AK265" s="48"/>
      <c r="AL265" s="50"/>
      <c r="AM265" s="51">
        <v>-1.19775595E8</v>
      </c>
      <c r="AN265" s="51">
        <v>-9582048.0</v>
      </c>
      <c r="AO265" s="51">
        <v>-1.29357643E8</v>
      </c>
      <c r="AP265" s="47"/>
      <c r="AQ265" s="48"/>
      <c r="AR265" s="50"/>
      <c r="AS265" s="51"/>
      <c r="AT265" s="51"/>
      <c r="AU265" s="51"/>
      <c r="AV265" s="47"/>
      <c r="AW265" s="48"/>
      <c r="AX265" s="50"/>
      <c r="AY265" s="51"/>
      <c r="AZ265" s="51"/>
      <c r="BA265" s="51"/>
      <c r="BB265" s="51">
        <f t="shared" ref="BB265:BD265" si="263">IF(AND(ISNUMBER(Z265),COUNT(AG265,AM265,AS265,AY265)=2),Z265+SUM(AG265,AM265,AS265,AY265),"")</f>
        <v>0</v>
      </c>
      <c r="BC265" s="51">
        <f t="shared" si="263"/>
        <v>0</v>
      </c>
      <c r="BD265" s="51">
        <f t="shared" si="263"/>
        <v>0</v>
      </c>
    </row>
    <row r="266" ht="48.0" customHeight="1">
      <c r="A266" s="49" t="s">
        <v>40</v>
      </c>
      <c r="B266" s="49" t="str">
        <f t="array" ref="B266">INDEX('HD cty 2024'!B:B,MATCH('F0, F1, F2, ...'!$C266,'HD cty 2024'!B:B,0))</f>
        <v>#N/A</v>
      </c>
      <c r="C266" s="49">
        <v>324.0</v>
      </c>
      <c r="D266" s="50">
        <v>45468.0</v>
      </c>
      <c r="E266" s="51">
        <v>1.58521352E8</v>
      </c>
      <c r="F266" s="51">
        <v>1.2681708E7</v>
      </c>
      <c r="G266" s="51">
        <v>1.7120306E8</v>
      </c>
      <c r="H266" s="49" t="s">
        <v>414</v>
      </c>
      <c r="I266" s="52" t="s">
        <v>3341</v>
      </c>
      <c r="J266" s="50">
        <v>45806.0</v>
      </c>
      <c r="K266" s="51">
        <v>2.6146241E7</v>
      </c>
      <c r="L266" s="51">
        <v>2091699.0</v>
      </c>
      <c r="M266" s="51">
        <v>2.823794E7</v>
      </c>
      <c r="N266" s="49"/>
      <c r="O266" s="52"/>
      <c r="P266" s="50"/>
      <c r="Q266" s="51"/>
      <c r="R266" s="51"/>
      <c r="S266" s="51"/>
      <c r="T266" s="49"/>
      <c r="U266" s="52"/>
      <c r="V266" s="50"/>
      <c r="W266" s="51"/>
      <c r="X266" s="51"/>
      <c r="Y266" s="51"/>
      <c r="Z266" s="51">
        <v>1.84667593E8</v>
      </c>
      <c r="AA266" s="51">
        <v>1.4773407E7</v>
      </c>
      <c r="AB266" s="51">
        <v>1.99441E8</v>
      </c>
      <c r="AC266" s="47"/>
      <c r="AD266" s="47" t="s">
        <v>3342</v>
      </c>
      <c r="AE266" s="48"/>
      <c r="AF266" s="50"/>
      <c r="AG266" s="51">
        <v>-2.6146241E7</v>
      </c>
      <c r="AH266" s="51">
        <v>-2091699.0</v>
      </c>
      <c r="AI266" s="51">
        <v>-2.823794E7</v>
      </c>
      <c r="AJ266" s="47" t="s">
        <v>3343</v>
      </c>
      <c r="AK266" s="48"/>
      <c r="AL266" s="50"/>
      <c r="AM266" s="51">
        <v>-1.58521352E8</v>
      </c>
      <c r="AN266" s="51">
        <v>-1.2681708E7</v>
      </c>
      <c r="AO266" s="51">
        <v>-1.7120306E8</v>
      </c>
      <c r="AP266" s="47"/>
      <c r="AQ266" s="48"/>
      <c r="AR266" s="50"/>
      <c r="AS266" s="51"/>
      <c r="AT266" s="51"/>
      <c r="AU266" s="51"/>
      <c r="AV266" s="47"/>
      <c r="AW266" s="48"/>
      <c r="AX266" s="50"/>
      <c r="AY266" s="51"/>
      <c r="AZ266" s="51"/>
      <c r="BA266" s="51"/>
      <c r="BB266" s="51">
        <f t="shared" ref="BB266:BD266" si="264">IF(AND(ISNUMBER(Z266),COUNT(AG266,AM266,AS266,AY266)=2),Z266+SUM(AG266,AM266,AS266,AY266),"")</f>
        <v>0</v>
      </c>
      <c r="BC266" s="51">
        <f t="shared" si="264"/>
        <v>0</v>
      </c>
      <c r="BD266" s="51">
        <f t="shared" si="264"/>
        <v>0</v>
      </c>
    </row>
    <row r="267" ht="48.0" customHeight="1">
      <c r="A267" s="49" t="s">
        <v>40</v>
      </c>
      <c r="B267" s="49" t="str">
        <f t="array" ref="B267">INDEX('HD cty 2024'!B:B,MATCH('F0, F1, F2, ...'!$C267,'HD cty 2024'!B:B,0))</f>
        <v>#N/A</v>
      </c>
      <c r="C267" s="49">
        <v>325.0</v>
      </c>
      <c r="D267" s="50">
        <v>45468.0</v>
      </c>
      <c r="E267" s="51">
        <v>1.58847833E8</v>
      </c>
      <c r="F267" s="51">
        <v>1.2707827E7</v>
      </c>
      <c r="G267" s="51">
        <v>1.7155566E8</v>
      </c>
      <c r="H267" s="49" t="s">
        <v>414</v>
      </c>
      <c r="I267" s="52" t="s">
        <v>3344</v>
      </c>
      <c r="J267" s="50">
        <v>45806.0</v>
      </c>
      <c r="K267" s="51">
        <v>2.3801154E7</v>
      </c>
      <c r="L267" s="51">
        <v>1904092.0</v>
      </c>
      <c r="M267" s="51">
        <v>2.5705246E7</v>
      </c>
      <c r="N267" s="49"/>
      <c r="O267" s="52"/>
      <c r="P267" s="50"/>
      <c r="Q267" s="51"/>
      <c r="R267" s="51"/>
      <c r="S267" s="51"/>
      <c r="T267" s="49"/>
      <c r="U267" s="52"/>
      <c r="V267" s="50"/>
      <c r="W267" s="51"/>
      <c r="X267" s="51"/>
      <c r="Y267" s="51"/>
      <c r="Z267" s="51">
        <v>1.82648987E8</v>
      </c>
      <c r="AA267" s="51">
        <v>1.4611919E7</v>
      </c>
      <c r="AB267" s="51">
        <v>1.97260906E8</v>
      </c>
      <c r="AC267" s="47"/>
      <c r="AD267" s="47" t="s">
        <v>3345</v>
      </c>
      <c r="AE267" s="48"/>
      <c r="AF267" s="50"/>
      <c r="AG267" s="51">
        <v>-2.3801154E7</v>
      </c>
      <c r="AH267" s="51">
        <v>-1904092.0</v>
      </c>
      <c r="AI267" s="51">
        <v>-2.5705246E7</v>
      </c>
      <c r="AJ267" s="47" t="s">
        <v>3346</v>
      </c>
      <c r="AK267" s="48"/>
      <c r="AL267" s="50"/>
      <c r="AM267" s="51">
        <v>-1.58847833E8</v>
      </c>
      <c r="AN267" s="51">
        <v>-1.2707827E7</v>
      </c>
      <c r="AO267" s="51">
        <v>-1.7155566E8</v>
      </c>
      <c r="AP267" s="47"/>
      <c r="AQ267" s="48"/>
      <c r="AR267" s="50"/>
      <c r="AS267" s="51"/>
      <c r="AT267" s="51"/>
      <c r="AU267" s="51"/>
      <c r="AV267" s="47"/>
      <c r="AW267" s="48"/>
      <c r="AX267" s="50"/>
      <c r="AY267" s="51"/>
      <c r="AZ267" s="51"/>
      <c r="BA267" s="51"/>
      <c r="BB267" s="51">
        <f t="shared" ref="BB267:BD267" si="265">IF(AND(ISNUMBER(Z267),COUNT(AG267,AM267,AS267,AY267)=2),Z267+SUM(AG267,AM267,AS267,AY267),"")</f>
        <v>0</v>
      </c>
      <c r="BC267" s="51">
        <f t="shared" si="265"/>
        <v>0</v>
      </c>
      <c r="BD267" s="51">
        <f t="shared" si="265"/>
        <v>0</v>
      </c>
    </row>
    <row r="268" ht="48.0" customHeight="1">
      <c r="A268" s="49" t="s">
        <v>40</v>
      </c>
      <c r="B268" s="49" t="str">
        <f t="array" ref="B268">INDEX('HD cty 2024'!B:B,MATCH('F0, F1, F2, ...'!$C268,'HD cty 2024'!B:B,0))</f>
        <v>#N/A</v>
      </c>
      <c r="C268" s="49">
        <v>326.0</v>
      </c>
      <c r="D268" s="50">
        <v>45468.0</v>
      </c>
      <c r="E268" s="51">
        <v>1.14820902E8</v>
      </c>
      <c r="F268" s="51">
        <v>9185672.0</v>
      </c>
      <c r="G268" s="51">
        <v>1.24006574E8</v>
      </c>
      <c r="H268" s="49" t="s">
        <v>414</v>
      </c>
      <c r="I268" s="52" t="s">
        <v>3347</v>
      </c>
      <c r="J268" s="50">
        <v>45806.0</v>
      </c>
      <c r="K268" s="51">
        <v>1.6893913E7</v>
      </c>
      <c r="L268" s="51">
        <v>1351513.0</v>
      </c>
      <c r="M268" s="51">
        <v>1.8245426E7</v>
      </c>
      <c r="N268" s="49"/>
      <c r="O268" s="52"/>
      <c r="P268" s="50"/>
      <c r="Q268" s="51"/>
      <c r="R268" s="51"/>
      <c r="S268" s="51"/>
      <c r="T268" s="49"/>
      <c r="U268" s="52"/>
      <c r="V268" s="50"/>
      <c r="W268" s="51"/>
      <c r="X268" s="51"/>
      <c r="Y268" s="51"/>
      <c r="Z268" s="51">
        <v>1.31714815E8</v>
      </c>
      <c r="AA268" s="51">
        <v>1.0537185E7</v>
      </c>
      <c r="AB268" s="51">
        <v>1.42252E8</v>
      </c>
      <c r="AC268" s="47"/>
      <c r="AD268" s="47" t="s">
        <v>3348</v>
      </c>
      <c r="AE268" s="48"/>
      <c r="AF268" s="50"/>
      <c r="AG268" s="51">
        <v>-1.6893913E7</v>
      </c>
      <c r="AH268" s="51">
        <v>-1351513.0</v>
      </c>
      <c r="AI268" s="51">
        <v>-1.8245426E7</v>
      </c>
      <c r="AJ268" s="47" t="s">
        <v>3349</v>
      </c>
      <c r="AK268" s="48"/>
      <c r="AL268" s="50"/>
      <c r="AM268" s="51">
        <v>-1.14820902E8</v>
      </c>
      <c r="AN268" s="51">
        <v>-9185672.0</v>
      </c>
      <c r="AO268" s="51">
        <v>-1.24006574E8</v>
      </c>
      <c r="AP268" s="47"/>
      <c r="AQ268" s="48"/>
      <c r="AR268" s="50"/>
      <c r="AS268" s="51"/>
      <c r="AT268" s="51"/>
      <c r="AU268" s="51"/>
      <c r="AV268" s="47"/>
      <c r="AW268" s="48"/>
      <c r="AX268" s="50"/>
      <c r="AY268" s="51"/>
      <c r="AZ268" s="51"/>
      <c r="BA268" s="51"/>
      <c r="BB268" s="51">
        <f t="shared" ref="BB268:BD268" si="266">IF(AND(ISNUMBER(Z268),COUNT(AG268,AM268,AS268,AY268)=2),Z268+SUM(AG268,AM268,AS268,AY268),"")</f>
        <v>0</v>
      </c>
      <c r="BC268" s="51">
        <f t="shared" si="266"/>
        <v>0</v>
      </c>
      <c r="BD268" s="51">
        <f t="shared" si="266"/>
        <v>0</v>
      </c>
    </row>
    <row r="269" ht="48.0" customHeight="1">
      <c r="A269" s="49" t="s">
        <v>40</v>
      </c>
      <c r="B269" s="49" t="str">
        <f t="array" ref="B269">INDEX('HD cty 2024'!B:B,MATCH('F0, F1, F2, ...'!$C269,'HD cty 2024'!B:B,0))</f>
        <v>#N/A</v>
      </c>
      <c r="C269" s="49">
        <v>327.0</v>
      </c>
      <c r="D269" s="50">
        <v>45468.0</v>
      </c>
      <c r="E269" s="51">
        <v>3.3245009E7</v>
      </c>
      <c r="F269" s="51">
        <v>2659601.0</v>
      </c>
      <c r="G269" s="51">
        <v>3.590461E7</v>
      </c>
      <c r="H269" s="49" t="s">
        <v>414</v>
      </c>
      <c r="I269" s="52" t="s">
        <v>3350</v>
      </c>
      <c r="J269" s="50">
        <v>45806.0</v>
      </c>
      <c r="K269" s="51">
        <v>3712398.0</v>
      </c>
      <c r="L269" s="51">
        <v>296992.0</v>
      </c>
      <c r="M269" s="51">
        <v>4009390.0</v>
      </c>
      <c r="N269" s="49"/>
      <c r="O269" s="52"/>
      <c r="P269" s="50"/>
      <c r="Q269" s="51"/>
      <c r="R269" s="51"/>
      <c r="S269" s="51"/>
      <c r="T269" s="49"/>
      <c r="U269" s="52"/>
      <c r="V269" s="50"/>
      <c r="W269" s="51"/>
      <c r="X269" s="51"/>
      <c r="Y269" s="51"/>
      <c r="Z269" s="51">
        <v>3.6957407E7</v>
      </c>
      <c r="AA269" s="51">
        <v>2956593.0</v>
      </c>
      <c r="AB269" s="51">
        <v>3.9914E7</v>
      </c>
      <c r="AC269" s="47"/>
      <c r="AD269" s="47" t="s">
        <v>3351</v>
      </c>
      <c r="AE269" s="48"/>
      <c r="AF269" s="50"/>
      <c r="AG269" s="51">
        <v>-3712398.0</v>
      </c>
      <c r="AH269" s="51">
        <v>-296992.0</v>
      </c>
      <c r="AI269" s="51">
        <v>-4009390.0</v>
      </c>
      <c r="AJ269" s="47" t="s">
        <v>3352</v>
      </c>
      <c r="AK269" s="48"/>
      <c r="AL269" s="50"/>
      <c r="AM269" s="51">
        <v>-3.3245009E7</v>
      </c>
      <c r="AN269" s="51">
        <v>-2659601.0</v>
      </c>
      <c r="AO269" s="51">
        <v>-3.590461E7</v>
      </c>
      <c r="AP269" s="47"/>
      <c r="AQ269" s="48"/>
      <c r="AR269" s="50"/>
      <c r="AS269" s="51"/>
      <c r="AT269" s="51"/>
      <c r="AU269" s="51"/>
      <c r="AV269" s="47"/>
      <c r="AW269" s="48"/>
      <c r="AX269" s="50"/>
      <c r="AY269" s="51"/>
      <c r="AZ269" s="51"/>
      <c r="BA269" s="51"/>
      <c r="BB269" s="51">
        <f t="shared" ref="BB269:BD269" si="267">IF(AND(ISNUMBER(Z269),COUNT(AG269,AM269,AS269,AY269)=2),Z269+SUM(AG269,AM269,AS269,AY269),"")</f>
        <v>0</v>
      </c>
      <c r="BC269" s="51">
        <f t="shared" si="267"/>
        <v>0</v>
      </c>
      <c r="BD269" s="51">
        <f t="shared" si="267"/>
        <v>0</v>
      </c>
    </row>
    <row r="270" ht="48.0" customHeight="1">
      <c r="A270" s="49" t="s">
        <v>40</v>
      </c>
      <c r="B270" s="49" t="str">
        <f t="array" ref="B270">INDEX('HD cty 2024'!B:B,MATCH('F0, F1, F2, ...'!$C270,'HD cty 2024'!B:B,0))</f>
        <v>#N/A</v>
      </c>
      <c r="C270" s="49">
        <v>328.0</v>
      </c>
      <c r="D270" s="50">
        <v>45468.0</v>
      </c>
      <c r="E270" s="51">
        <v>8.4389531E7</v>
      </c>
      <c r="F270" s="51">
        <v>6751162.0</v>
      </c>
      <c r="G270" s="51">
        <v>9.1140693E7</v>
      </c>
      <c r="H270" s="49" t="s">
        <v>414</v>
      </c>
      <c r="I270" s="52" t="s">
        <v>3353</v>
      </c>
      <c r="J270" s="50">
        <v>45808.0</v>
      </c>
      <c r="K270" s="51">
        <v>8350840.0</v>
      </c>
      <c r="L270" s="51">
        <v>668067.0</v>
      </c>
      <c r="M270" s="51">
        <v>9018907.0</v>
      </c>
      <c r="N270" s="49"/>
      <c r="O270" s="52"/>
      <c r="P270" s="50"/>
      <c r="Q270" s="51"/>
      <c r="R270" s="51"/>
      <c r="S270" s="51"/>
      <c r="T270" s="49"/>
      <c r="U270" s="52"/>
      <c r="V270" s="50"/>
      <c r="W270" s="51"/>
      <c r="X270" s="51"/>
      <c r="Y270" s="51"/>
      <c r="Z270" s="51">
        <v>9.2740371E7</v>
      </c>
      <c r="AA270" s="51">
        <v>7419229.0</v>
      </c>
      <c r="AB270" s="51">
        <v>1.001596E8</v>
      </c>
      <c r="AC270" s="47"/>
      <c r="AD270" s="47" t="s">
        <v>3354</v>
      </c>
      <c r="AE270" s="48"/>
      <c r="AF270" s="50"/>
      <c r="AG270" s="51">
        <v>-8350840.0</v>
      </c>
      <c r="AH270" s="51">
        <v>-668067.0</v>
      </c>
      <c r="AI270" s="51">
        <v>-9018907.0</v>
      </c>
      <c r="AJ270" s="47" t="s">
        <v>3355</v>
      </c>
      <c r="AK270" s="48"/>
      <c r="AL270" s="50"/>
      <c r="AM270" s="51">
        <v>-8.4389531E7</v>
      </c>
      <c r="AN270" s="51">
        <v>-6751162.0</v>
      </c>
      <c r="AO270" s="51">
        <v>-9.1140693E7</v>
      </c>
      <c r="AP270" s="47"/>
      <c r="AQ270" s="48"/>
      <c r="AR270" s="50"/>
      <c r="AS270" s="51"/>
      <c r="AT270" s="51"/>
      <c r="AU270" s="51"/>
      <c r="AV270" s="47"/>
      <c r="AW270" s="48"/>
      <c r="AX270" s="50"/>
      <c r="AY270" s="51"/>
      <c r="AZ270" s="51"/>
      <c r="BA270" s="51"/>
      <c r="BB270" s="51">
        <f t="shared" ref="BB270:BD270" si="268">IF(AND(ISNUMBER(Z270),COUNT(AG270,AM270,AS270,AY270)=2),Z270+SUM(AG270,AM270,AS270,AY270),"")</f>
        <v>0</v>
      </c>
      <c r="BC270" s="51">
        <f t="shared" si="268"/>
        <v>0</v>
      </c>
      <c r="BD270" s="51">
        <f t="shared" si="268"/>
        <v>0</v>
      </c>
    </row>
    <row r="271" ht="48.0" customHeight="1">
      <c r="A271" s="49" t="s">
        <v>40</v>
      </c>
      <c r="B271" s="49" t="str">
        <f t="array" ref="B271">INDEX('HD cty 2024'!B:B,MATCH('F0, F1, F2, ...'!$C271,'HD cty 2024'!B:B,0))</f>
        <v>#N/A</v>
      </c>
      <c r="C271" s="49">
        <v>330.0</v>
      </c>
      <c r="D271" s="50">
        <v>45472.0</v>
      </c>
      <c r="E271" s="51">
        <v>3.7472751E7</v>
      </c>
      <c r="F271" s="51">
        <v>2997820.0</v>
      </c>
      <c r="G271" s="51">
        <v>4.0470571E7</v>
      </c>
      <c r="H271" s="49" t="s">
        <v>414</v>
      </c>
      <c r="I271" s="52" t="s">
        <v>3356</v>
      </c>
      <c r="J271" s="50">
        <v>45806.0</v>
      </c>
      <c r="K271" s="51">
        <v>5267064.0</v>
      </c>
      <c r="L271" s="51">
        <v>421365.0</v>
      </c>
      <c r="M271" s="51">
        <v>5688429.0</v>
      </c>
      <c r="N271" s="49"/>
      <c r="O271" s="52"/>
      <c r="P271" s="50"/>
      <c r="Q271" s="51"/>
      <c r="R271" s="51"/>
      <c r="S271" s="51"/>
      <c r="T271" s="49"/>
      <c r="U271" s="52"/>
      <c r="V271" s="50"/>
      <c r="W271" s="51"/>
      <c r="X271" s="51"/>
      <c r="Y271" s="51"/>
      <c r="Z271" s="51">
        <v>4.2739815E7</v>
      </c>
      <c r="AA271" s="51">
        <v>3419185.0</v>
      </c>
      <c r="AB271" s="51">
        <v>4.6159E7</v>
      </c>
      <c r="AC271" s="47"/>
      <c r="AD271" s="47" t="s">
        <v>3357</v>
      </c>
      <c r="AE271" s="48"/>
      <c r="AF271" s="50"/>
      <c r="AG271" s="51">
        <v>-5267064.0</v>
      </c>
      <c r="AH271" s="51">
        <v>-421365.0</v>
      </c>
      <c r="AI271" s="51">
        <v>-5688429.0</v>
      </c>
      <c r="AJ271" s="47" t="s">
        <v>3358</v>
      </c>
      <c r="AK271" s="48"/>
      <c r="AL271" s="50"/>
      <c r="AM271" s="51">
        <v>-3.7472751E7</v>
      </c>
      <c r="AN271" s="51">
        <v>-2997820.0</v>
      </c>
      <c r="AO271" s="51">
        <v>-4.0470571E7</v>
      </c>
      <c r="AP271" s="47"/>
      <c r="AQ271" s="48"/>
      <c r="AR271" s="50"/>
      <c r="AS271" s="51"/>
      <c r="AT271" s="51"/>
      <c r="AU271" s="51"/>
      <c r="AV271" s="47"/>
      <c r="AW271" s="48"/>
      <c r="AX271" s="50"/>
      <c r="AY271" s="51"/>
      <c r="AZ271" s="51"/>
      <c r="BA271" s="51"/>
      <c r="BB271" s="51">
        <f t="shared" ref="BB271:BD271" si="269">IF(AND(ISNUMBER(Z271),COUNT(AG271,AM271,AS271,AY271)=2),Z271+SUM(AG271,AM271,AS271,AY271),"")</f>
        <v>0</v>
      </c>
      <c r="BC271" s="51">
        <f t="shared" si="269"/>
        <v>0</v>
      </c>
      <c r="BD271" s="51">
        <f t="shared" si="269"/>
        <v>0</v>
      </c>
    </row>
    <row r="272" ht="48.0" customHeight="1">
      <c r="A272" s="49" t="s">
        <v>40</v>
      </c>
      <c r="B272" s="49" t="str">
        <f t="array" ref="B272">INDEX('HD cty 2024'!B:B,MATCH('F0, F1, F2, ...'!$C272,'HD cty 2024'!B:B,0))</f>
        <v>#N/A</v>
      </c>
      <c r="C272" s="49">
        <v>331.0</v>
      </c>
      <c r="D272" s="50">
        <v>45472.0</v>
      </c>
      <c r="E272" s="51">
        <v>1.1343854E8</v>
      </c>
      <c r="F272" s="51">
        <v>9075083.0</v>
      </c>
      <c r="G272" s="51">
        <v>1.22513623E8</v>
      </c>
      <c r="H272" s="49" t="s">
        <v>414</v>
      </c>
      <c r="I272" s="52" t="s">
        <v>3359</v>
      </c>
      <c r="J272" s="50">
        <v>45806.0</v>
      </c>
      <c r="K272" s="51">
        <v>1.6794763E7</v>
      </c>
      <c r="L272" s="51">
        <v>1343581.0</v>
      </c>
      <c r="M272" s="51">
        <v>1.8138344E7</v>
      </c>
      <c r="N272" s="49"/>
      <c r="O272" s="52"/>
      <c r="P272" s="50"/>
      <c r="Q272" s="51"/>
      <c r="R272" s="51"/>
      <c r="S272" s="51"/>
      <c r="T272" s="49"/>
      <c r="U272" s="52"/>
      <c r="V272" s="50"/>
      <c r="W272" s="51"/>
      <c r="X272" s="51"/>
      <c r="Y272" s="51"/>
      <c r="Z272" s="51">
        <v>1.30233303E8</v>
      </c>
      <c r="AA272" s="51">
        <v>1.0418664E7</v>
      </c>
      <c r="AB272" s="51">
        <v>1.40651967E8</v>
      </c>
      <c r="AC272" s="47"/>
      <c r="AD272" s="47" t="s">
        <v>3360</v>
      </c>
      <c r="AE272" s="48"/>
      <c r="AF272" s="50"/>
      <c r="AG272" s="51">
        <v>-1.6794763E7</v>
      </c>
      <c r="AH272" s="51">
        <v>-1343581.0</v>
      </c>
      <c r="AI272" s="51">
        <v>-1.8138344E7</v>
      </c>
      <c r="AJ272" s="47" t="s">
        <v>3361</v>
      </c>
      <c r="AK272" s="48"/>
      <c r="AL272" s="50"/>
      <c r="AM272" s="51">
        <v>-1.1343854E8</v>
      </c>
      <c r="AN272" s="51">
        <v>-9075083.0</v>
      </c>
      <c r="AO272" s="51">
        <v>-1.22513623E8</v>
      </c>
      <c r="AP272" s="47"/>
      <c r="AQ272" s="48"/>
      <c r="AR272" s="50"/>
      <c r="AS272" s="51"/>
      <c r="AT272" s="51"/>
      <c r="AU272" s="51"/>
      <c r="AV272" s="47"/>
      <c r="AW272" s="48"/>
      <c r="AX272" s="50"/>
      <c r="AY272" s="51"/>
      <c r="AZ272" s="51"/>
      <c r="BA272" s="51"/>
      <c r="BB272" s="51">
        <f t="shared" ref="BB272:BD272" si="270">IF(AND(ISNUMBER(Z272),COUNT(AG272,AM272,AS272,AY272)=2),Z272+SUM(AG272,AM272,AS272,AY272),"")</f>
        <v>0</v>
      </c>
      <c r="BC272" s="51">
        <f t="shared" si="270"/>
        <v>0</v>
      </c>
      <c r="BD272" s="51">
        <f t="shared" si="270"/>
        <v>0</v>
      </c>
    </row>
    <row r="273" ht="48.0" customHeight="1">
      <c r="A273" s="49" t="s">
        <v>40</v>
      </c>
      <c r="B273" s="49" t="str">
        <f t="array" ref="B273">INDEX('HD cty 2024'!B:B,MATCH('F0, F1, F2, ...'!$C273,'HD cty 2024'!B:B,0))</f>
        <v>#N/A</v>
      </c>
      <c r="C273" s="49">
        <v>332.0</v>
      </c>
      <c r="D273" s="50">
        <v>45472.0</v>
      </c>
      <c r="E273" s="51">
        <v>7.9978301E7</v>
      </c>
      <c r="F273" s="51">
        <v>6398264.0</v>
      </c>
      <c r="G273" s="51">
        <v>8.6376565E7</v>
      </c>
      <c r="H273" s="49" t="s">
        <v>414</v>
      </c>
      <c r="I273" s="52" t="s">
        <v>3362</v>
      </c>
      <c r="J273" s="50">
        <v>45806.0</v>
      </c>
      <c r="K273" s="51">
        <v>1.2725403E7</v>
      </c>
      <c r="L273" s="51">
        <v>1018032.0</v>
      </c>
      <c r="M273" s="51">
        <v>1.3743435E7</v>
      </c>
      <c r="N273" s="49"/>
      <c r="O273" s="52"/>
      <c r="P273" s="50"/>
      <c r="Q273" s="51"/>
      <c r="R273" s="51"/>
      <c r="S273" s="51"/>
      <c r="T273" s="49"/>
      <c r="U273" s="52"/>
      <c r="V273" s="50"/>
      <c r="W273" s="51"/>
      <c r="X273" s="51"/>
      <c r="Y273" s="51"/>
      <c r="Z273" s="51">
        <v>9.2703704E7</v>
      </c>
      <c r="AA273" s="51">
        <v>7416296.0</v>
      </c>
      <c r="AB273" s="51">
        <v>1.0012E8</v>
      </c>
      <c r="AC273" s="47"/>
      <c r="AD273" s="47" t="s">
        <v>3363</v>
      </c>
      <c r="AE273" s="48"/>
      <c r="AF273" s="50"/>
      <c r="AG273" s="51">
        <v>-1.2725403E7</v>
      </c>
      <c r="AH273" s="51">
        <v>-1018032.0</v>
      </c>
      <c r="AI273" s="51">
        <v>-1.3743435E7</v>
      </c>
      <c r="AJ273" s="47" t="s">
        <v>3364</v>
      </c>
      <c r="AK273" s="48"/>
      <c r="AL273" s="50"/>
      <c r="AM273" s="51">
        <v>-7.9978301E7</v>
      </c>
      <c r="AN273" s="51">
        <v>-6398264.0</v>
      </c>
      <c r="AO273" s="51">
        <v>-8.6376565E7</v>
      </c>
      <c r="AP273" s="47"/>
      <c r="AQ273" s="48"/>
      <c r="AR273" s="50"/>
      <c r="AS273" s="51"/>
      <c r="AT273" s="51"/>
      <c r="AU273" s="51"/>
      <c r="AV273" s="47"/>
      <c r="AW273" s="48"/>
      <c r="AX273" s="50"/>
      <c r="AY273" s="51"/>
      <c r="AZ273" s="51"/>
      <c r="BA273" s="51"/>
      <c r="BB273" s="51">
        <f t="shared" ref="BB273:BD273" si="271">IF(AND(ISNUMBER(Z273),COUNT(AG273,AM273,AS273,AY273)=2),Z273+SUM(AG273,AM273,AS273,AY273),"")</f>
        <v>0</v>
      </c>
      <c r="BC273" s="51">
        <f t="shared" si="271"/>
        <v>0</v>
      </c>
      <c r="BD273" s="51">
        <f t="shared" si="271"/>
        <v>0</v>
      </c>
    </row>
    <row r="274" ht="48.0" customHeight="1">
      <c r="A274" s="49" t="s">
        <v>40</v>
      </c>
      <c r="B274" s="49" t="str">
        <f t="array" ref="B274">INDEX('HD cty 2024'!B:B,MATCH('F0, F1, F2, ...'!$C274,'HD cty 2024'!B:B,0))</f>
        <v>#N/A</v>
      </c>
      <c r="C274" s="49">
        <v>333.0</v>
      </c>
      <c r="D274" s="50">
        <v>45472.0</v>
      </c>
      <c r="E274" s="51">
        <v>6.0028813E7</v>
      </c>
      <c r="F274" s="51">
        <v>4802305.0</v>
      </c>
      <c r="G274" s="51">
        <v>6.4831118E7</v>
      </c>
      <c r="H274" s="49" t="s">
        <v>414</v>
      </c>
      <c r="I274" s="52" t="s">
        <v>3365</v>
      </c>
      <c r="J274" s="50">
        <v>45806.0</v>
      </c>
      <c r="K274" s="51">
        <v>6148039.0</v>
      </c>
      <c r="L274" s="51">
        <v>491843.0</v>
      </c>
      <c r="M274" s="51">
        <v>6639882.0</v>
      </c>
      <c r="N274" s="49"/>
      <c r="O274" s="52"/>
      <c r="P274" s="50"/>
      <c r="Q274" s="51"/>
      <c r="R274" s="51"/>
      <c r="S274" s="51"/>
      <c r="T274" s="49"/>
      <c r="U274" s="52"/>
      <c r="V274" s="50"/>
      <c r="W274" s="51"/>
      <c r="X274" s="51"/>
      <c r="Y274" s="51"/>
      <c r="Z274" s="51">
        <v>6.6176852E7</v>
      </c>
      <c r="AA274" s="51">
        <v>5294148.0</v>
      </c>
      <c r="AB274" s="51">
        <v>7.1471E7</v>
      </c>
      <c r="AC274" s="47"/>
      <c r="AD274" s="47" t="s">
        <v>3366</v>
      </c>
      <c r="AE274" s="48"/>
      <c r="AF274" s="50"/>
      <c r="AG274" s="51">
        <v>-6148039.0</v>
      </c>
      <c r="AH274" s="51">
        <v>-491843.0</v>
      </c>
      <c r="AI274" s="51">
        <v>-6639882.0</v>
      </c>
      <c r="AJ274" s="47" t="s">
        <v>3367</v>
      </c>
      <c r="AK274" s="48"/>
      <c r="AL274" s="50"/>
      <c r="AM274" s="51">
        <v>-6.0028813E7</v>
      </c>
      <c r="AN274" s="51">
        <v>-4802305.0</v>
      </c>
      <c r="AO274" s="51">
        <v>-6.4831118E7</v>
      </c>
      <c r="AP274" s="47"/>
      <c r="AQ274" s="48"/>
      <c r="AR274" s="50"/>
      <c r="AS274" s="51"/>
      <c r="AT274" s="51"/>
      <c r="AU274" s="51"/>
      <c r="AV274" s="47"/>
      <c r="AW274" s="48"/>
      <c r="AX274" s="50"/>
      <c r="AY274" s="51"/>
      <c r="AZ274" s="51"/>
      <c r="BA274" s="51"/>
      <c r="BB274" s="51">
        <f t="shared" ref="BB274:BD274" si="272">IF(AND(ISNUMBER(Z274),COUNT(AG274,AM274,AS274,AY274)=2),Z274+SUM(AG274,AM274,AS274,AY274),"")</f>
        <v>0</v>
      </c>
      <c r="BC274" s="51">
        <f t="shared" si="272"/>
        <v>0</v>
      </c>
      <c r="BD274" s="51">
        <f t="shared" si="272"/>
        <v>0</v>
      </c>
    </row>
    <row r="275" ht="48.0" customHeight="1">
      <c r="A275" s="49" t="s">
        <v>40</v>
      </c>
      <c r="B275" s="49" t="str">
        <f t="array" ref="B275">INDEX('HD cty 2024'!B:B,MATCH('F0, F1, F2, ...'!$C275,'HD cty 2024'!B:B,0))</f>
        <v>#N/A</v>
      </c>
      <c r="C275" s="49">
        <v>334.0</v>
      </c>
      <c r="D275" s="50">
        <v>45473.0</v>
      </c>
      <c r="E275" s="51">
        <v>4.7327782E7</v>
      </c>
      <c r="F275" s="51">
        <v>3786223.0</v>
      </c>
      <c r="G275" s="51">
        <v>5.1114005E7</v>
      </c>
      <c r="H275" s="49" t="s">
        <v>414</v>
      </c>
      <c r="I275" s="52" t="s">
        <v>3368</v>
      </c>
      <c r="J275" s="50">
        <v>45806.0</v>
      </c>
      <c r="K275" s="51">
        <v>5509073.0</v>
      </c>
      <c r="L275" s="51">
        <v>440726.0</v>
      </c>
      <c r="M275" s="51">
        <v>5949799.0</v>
      </c>
      <c r="N275" s="49"/>
      <c r="O275" s="52"/>
      <c r="P275" s="50"/>
      <c r="Q275" s="51"/>
      <c r="R275" s="51"/>
      <c r="S275" s="51"/>
      <c r="T275" s="49"/>
      <c r="U275" s="52"/>
      <c r="V275" s="50"/>
      <c r="W275" s="51"/>
      <c r="X275" s="51"/>
      <c r="Y275" s="51"/>
      <c r="Z275" s="51">
        <v>5.2836855E7</v>
      </c>
      <c r="AA275" s="51">
        <v>4226949.0</v>
      </c>
      <c r="AB275" s="51">
        <v>5.7063804E7</v>
      </c>
      <c r="AC275" s="47"/>
      <c r="AD275" s="47" t="s">
        <v>3369</v>
      </c>
      <c r="AE275" s="48"/>
      <c r="AF275" s="50"/>
      <c r="AG275" s="51">
        <v>-5509073.0</v>
      </c>
      <c r="AH275" s="51">
        <v>-440726.0</v>
      </c>
      <c r="AI275" s="51">
        <v>-5949799.0</v>
      </c>
      <c r="AJ275" s="47" t="s">
        <v>3370</v>
      </c>
      <c r="AK275" s="48"/>
      <c r="AL275" s="50"/>
      <c r="AM275" s="51">
        <v>-4.7327782E7</v>
      </c>
      <c r="AN275" s="51">
        <v>-3786223.0</v>
      </c>
      <c r="AO275" s="51">
        <v>-5.1114005E7</v>
      </c>
      <c r="AP275" s="47"/>
      <c r="AQ275" s="48"/>
      <c r="AR275" s="50"/>
      <c r="AS275" s="51"/>
      <c r="AT275" s="51"/>
      <c r="AU275" s="51"/>
      <c r="AV275" s="47"/>
      <c r="AW275" s="48"/>
      <c r="AX275" s="50"/>
      <c r="AY275" s="51"/>
      <c r="AZ275" s="51"/>
      <c r="BA275" s="51"/>
      <c r="BB275" s="51">
        <f t="shared" ref="BB275:BD275" si="273">IF(AND(ISNUMBER(Z275),COUNT(AG275,AM275,AS275,AY275)=2),Z275+SUM(AG275,AM275,AS275,AY275),"")</f>
        <v>0</v>
      </c>
      <c r="BC275" s="51">
        <f t="shared" si="273"/>
        <v>0</v>
      </c>
      <c r="BD275" s="51">
        <f t="shared" si="273"/>
        <v>0</v>
      </c>
    </row>
    <row r="276" ht="48.0" customHeight="1">
      <c r="A276" s="49" t="s">
        <v>40</v>
      </c>
      <c r="B276" s="49" t="str">
        <f t="array" ref="B276">INDEX('HD cty 2024'!B:B,MATCH('F0, F1, F2, ...'!$C276,'HD cty 2024'!B:B,0))</f>
        <v>#N/A</v>
      </c>
      <c r="C276" s="49">
        <v>335.0</v>
      </c>
      <c r="D276" s="50">
        <v>45473.0</v>
      </c>
      <c r="E276" s="51">
        <v>1.3970353E7</v>
      </c>
      <c r="F276" s="51">
        <v>1117628.0</v>
      </c>
      <c r="G276" s="51">
        <v>1.5087981E7</v>
      </c>
      <c r="H276" s="49" t="s">
        <v>414</v>
      </c>
      <c r="I276" s="52" t="s">
        <v>3371</v>
      </c>
      <c r="J276" s="50">
        <v>45806.0</v>
      </c>
      <c r="K276" s="51">
        <v>1447240.0</v>
      </c>
      <c r="L276" s="51">
        <v>115779.0</v>
      </c>
      <c r="M276" s="51">
        <v>1563019.0</v>
      </c>
      <c r="N276" s="49"/>
      <c r="O276" s="52"/>
      <c r="P276" s="50"/>
      <c r="Q276" s="51"/>
      <c r="R276" s="51"/>
      <c r="S276" s="51"/>
      <c r="T276" s="49"/>
      <c r="U276" s="52"/>
      <c r="V276" s="50"/>
      <c r="W276" s="51"/>
      <c r="X276" s="51"/>
      <c r="Y276" s="51"/>
      <c r="Z276" s="51">
        <v>1.5417593E7</v>
      </c>
      <c r="AA276" s="51">
        <v>1233407.0</v>
      </c>
      <c r="AB276" s="51">
        <v>1.6651E7</v>
      </c>
      <c r="AC276" s="47"/>
      <c r="AD276" s="47" t="s">
        <v>3372</v>
      </c>
      <c r="AE276" s="48"/>
      <c r="AF276" s="50"/>
      <c r="AG276" s="51">
        <v>-1447240.0</v>
      </c>
      <c r="AH276" s="51">
        <v>-115779.0</v>
      </c>
      <c r="AI276" s="51">
        <v>-1563019.0</v>
      </c>
      <c r="AJ276" s="47" t="s">
        <v>3373</v>
      </c>
      <c r="AK276" s="48"/>
      <c r="AL276" s="50"/>
      <c r="AM276" s="51">
        <v>-1.3970353E7</v>
      </c>
      <c r="AN276" s="51">
        <v>-1117628.0</v>
      </c>
      <c r="AO276" s="51">
        <v>-1.5087981E7</v>
      </c>
      <c r="AP276" s="47"/>
      <c r="AQ276" s="48"/>
      <c r="AR276" s="50"/>
      <c r="AS276" s="51"/>
      <c r="AT276" s="51"/>
      <c r="AU276" s="51"/>
      <c r="AV276" s="47"/>
      <c r="AW276" s="48"/>
      <c r="AX276" s="50"/>
      <c r="AY276" s="51"/>
      <c r="AZ276" s="51"/>
      <c r="BA276" s="51"/>
      <c r="BB276" s="51">
        <f t="shared" ref="BB276:BD276" si="274">IF(AND(ISNUMBER(Z276),COUNT(AG276,AM276,AS276,AY276)=2),Z276+SUM(AG276,AM276,AS276,AY276),"")</f>
        <v>0</v>
      </c>
      <c r="BC276" s="51">
        <f t="shared" si="274"/>
        <v>0</v>
      </c>
      <c r="BD276" s="51">
        <f t="shared" si="274"/>
        <v>0</v>
      </c>
    </row>
    <row r="277" ht="48.0" customHeight="1">
      <c r="A277" s="49" t="s">
        <v>40</v>
      </c>
      <c r="B277" s="49" t="str">
        <f t="array" ref="B277">INDEX('HD cty 2024'!B:B,MATCH('F0, F1, F2, ...'!$C277,'HD cty 2024'!B:B,0))</f>
        <v>#N/A</v>
      </c>
      <c r="C277" s="49">
        <v>336.0</v>
      </c>
      <c r="D277" s="50">
        <v>45473.0</v>
      </c>
      <c r="E277" s="51">
        <v>8.5879361E7</v>
      </c>
      <c r="F277" s="51">
        <v>6870349.0</v>
      </c>
      <c r="G277" s="51">
        <v>9.274971E7</v>
      </c>
      <c r="H277" s="49" t="s">
        <v>414</v>
      </c>
      <c r="I277" s="52" t="s">
        <v>3374</v>
      </c>
      <c r="J277" s="50">
        <v>45806.0</v>
      </c>
      <c r="K277" s="51">
        <v>1.123638E7</v>
      </c>
      <c r="L277" s="51">
        <v>898910.0</v>
      </c>
      <c r="M277" s="51">
        <v>1.213529E7</v>
      </c>
      <c r="N277" s="49"/>
      <c r="O277" s="52"/>
      <c r="P277" s="50"/>
      <c r="Q277" s="51"/>
      <c r="R277" s="51"/>
      <c r="S277" s="51"/>
      <c r="T277" s="49"/>
      <c r="U277" s="52"/>
      <c r="V277" s="50"/>
      <c r="W277" s="51"/>
      <c r="X277" s="51"/>
      <c r="Y277" s="51"/>
      <c r="Z277" s="51">
        <v>9.7115741E7</v>
      </c>
      <c r="AA277" s="51">
        <v>7769259.0</v>
      </c>
      <c r="AB277" s="51">
        <v>1.04885E8</v>
      </c>
      <c r="AC277" s="47"/>
      <c r="AD277" s="47" t="s">
        <v>3375</v>
      </c>
      <c r="AE277" s="48"/>
      <c r="AF277" s="50"/>
      <c r="AG277" s="51">
        <v>-1.123638E7</v>
      </c>
      <c r="AH277" s="51">
        <v>-898910.0</v>
      </c>
      <c r="AI277" s="51">
        <v>-1.213529E7</v>
      </c>
      <c r="AJ277" s="47" t="s">
        <v>3376</v>
      </c>
      <c r="AK277" s="48"/>
      <c r="AL277" s="50"/>
      <c r="AM277" s="51">
        <v>-8.5879361E7</v>
      </c>
      <c r="AN277" s="51">
        <v>-6870349.0</v>
      </c>
      <c r="AO277" s="51">
        <v>-9.274971E7</v>
      </c>
      <c r="AP277" s="47"/>
      <c r="AQ277" s="48"/>
      <c r="AR277" s="50"/>
      <c r="AS277" s="51"/>
      <c r="AT277" s="51"/>
      <c r="AU277" s="51"/>
      <c r="AV277" s="47"/>
      <c r="AW277" s="48"/>
      <c r="AX277" s="50"/>
      <c r="AY277" s="51"/>
      <c r="AZ277" s="51"/>
      <c r="BA277" s="51"/>
      <c r="BB277" s="51">
        <f t="shared" ref="BB277:BD277" si="275">IF(AND(ISNUMBER(Z277),COUNT(AG277,AM277,AS277,AY277)=2),Z277+SUM(AG277,AM277,AS277,AY277),"")</f>
        <v>0</v>
      </c>
      <c r="BC277" s="51">
        <f t="shared" si="275"/>
        <v>0</v>
      </c>
      <c r="BD277" s="51">
        <f t="shared" si="275"/>
        <v>0</v>
      </c>
    </row>
    <row r="278" ht="48.0" customHeight="1">
      <c r="A278" s="49" t="s">
        <v>40</v>
      </c>
      <c r="B278" s="49" t="str">
        <f t="array" ref="B278">INDEX('HD cty 2024'!B:B,MATCH('F0, F1, F2, ...'!$C278,'HD cty 2024'!B:B,0))</f>
        <v>#N/A</v>
      </c>
      <c r="C278" s="49">
        <v>337.0</v>
      </c>
      <c r="D278" s="50">
        <v>45473.0</v>
      </c>
      <c r="E278" s="51">
        <v>1643565.0</v>
      </c>
      <c r="F278" s="51">
        <v>131485.0</v>
      </c>
      <c r="G278" s="51">
        <v>1775050.0</v>
      </c>
      <c r="H278" s="49" t="s">
        <v>414</v>
      </c>
      <c r="I278" s="52" t="s">
        <v>3377</v>
      </c>
      <c r="J278" s="50">
        <v>45807.0</v>
      </c>
      <c r="K278" s="51">
        <v>-96250.0</v>
      </c>
      <c r="L278" s="51">
        <v>-7700.0</v>
      </c>
      <c r="M278" s="51">
        <v>-103950.0</v>
      </c>
      <c r="N278" s="49"/>
      <c r="O278" s="52"/>
      <c r="P278" s="50"/>
      <c r="Q278" s="51"/>
      <c r="R278" s="51"/>
      <c r="S278" s="51"/>
      <c r="T278" s="49"/>
      <c r="U278" s="52"/>
      <c r="V278" s="50"/>
      <c r="W278" s="51"/>
      <c r="X278" s="51"/>
      <c r="Y278" s="51"/>
      <c r="Z278" s="51">
        <v>1547315.0</v>
      </c>
      <c r="AA278" s="51">
        <v>123785.0</v>
      </c>
      <c r="AB278" s="51">
        <v>1671100.0</v>
      </c>
      <c r="AC278" s="47"/>
      <c r="AD278" s="47" t="s">
        <v>3378</v>
      </c>
      <c r="AE278" s="48"/>
      <c r="AF278" s="50"/>
      <c r="AG278" s="51">
        <v>96250.0</v>
      </c>
      <c r="AH278" s="51">
        <v>7700.0</v>
      </c>
      <c r="AI278" s="51">
        <v>103950.0</v>
      </c>
      <c r="AJ278" s="47" t="s">
        <v>3379</v>
      </c>
      <c r="AK278" s="48"/>
      <c r="AL278" s="50"/>
      <c r="AM278" s="51">
        <v>-1643565.0</v>
      </c>
      <c r="AN278" s="51">
        <v>-131485.0</v>
      </c>
      <c r="AO278" s="51">
        <v>-1775050.0</v>
      </c>
      <c r="AP278" s="47"/>
      <c r="AQ278" s="48"/>
      <c r="AR278" s="50"/>
      <c r="AS278" s="51"/>
      <c r="AT278" s="51"/>
      <c r="AU278" s="51"/>
      <c r="AV278" s="47"/>
      <c r="AW278" s="48"/>
      <c r="AX278" s="50"/>
      <c r="AY278" s="51"/>
      <c r="AZ278" s="51"/>
      <c r="BA278" s="51"/>
      <c r="BB278" s="51">
        <f t="shared" ref="BB278:BD278" si="276">IF(AND(ISNUMBER(Z278),COUNT(AG278,AM278,AS278,AY278)=2),Z278+SUM(AG278,AM278,AS278,AY278),"")</f>
        <v>0</v>
      </c>
      <c r="BC278" s="51">
        <f t="shared" si="276"/>
        <v>0</v>
      </c>
      <c r="BD278" s="51">
        <f t="shared" si="276"/>
        <v>0</v>
      </c>
    </row>
    <row r="279" ht="48.0" customHeight="1">
      <c r="A279" s="49" t="s">
        <v>40</v>
      </c>
      <c r="B279" s="49" t="str">
        <f t="array" ref="B279">INDEX('HD cty 2024'!B:B,MATCH('F0, F1, F2, ...'!$C279,'HD cty 2024'!B:B,0))</f>
        <v>#N/A</v>
      </c>
      <c r="C279" s="49">
        <v>338.0</v>
      </c>
      <c r="D279" s="50">
        <v>45475.0</v>
      </c>
      <c r="E279" s="51">
        <v>9.3017477E7</v>
      </c>
      <c r="F279" s="51">
        <v>7441398.0</v>
      </c>
      <c r="G279" s="51">
        <v>1.00458875E8</v>
      </c>
      <c r="H279" s="49" t="s">
        <v>414</v>
      </c>
      <c r="I279" s="52" t="s">
        <v>3380</v>
      </c>
      <c r="J279" s="50">
        <v>45806.0</v>
      </c>
      <c r="K279" s="51">
        <v>9541782.0</v>
      </c>
      <c r="L279" s="51">
        <v>763343.0</v>
      </c>
      <c r="M279" s="51">
        <v>1.0305125E7</v>
      </c>
      <c r="N279" s="49"/>
      <c r="O279" s="52"/>
      <c r="P279" s="50"/>
      <c r="Q279" s="51"/>
      <c r="R279" s="51"/>
      <c r="S279" s="51"/>
      <c r="T279" s="49"/>
      <c r="U279" s="52"/>
      <c r="V279" s="50"/>
      <c r="W279" s="51"/>
      <c r="X279" s="51"/>
      <c r="Y279" s="51"/>
      <c r="Z279" s="51">
        <v>1.02559259E8</v>
      </c>
      <c r="AA279" s="51">
        <v>8204741.0</v>
      </c>
      <c r="AB279" s="51">
        <v>1.10764E8</v>
      </c>
      <c r="AC279" s="47"/>
      <c r="AD279" s="47" t="s">
        <v>3381</v>
      </c>
      <c r="AE279" s="48"/>
      <c r="AF279" s="50"/>
      <c r="AG279" s="51">
        <v>-9541782.0</v>
      </c>
      <c r="AH279" s="51">
        <v>-763343.0</v>
      </c>
      <c r="AI279" s="51">
        <v>-1.0305125E7</v>
      </c>
      <c r="AJ279" s="47" t="s">
        <v>3382</v>
      </c>
      <c r="AK279" s="48"/>
      <c r="AL279" s="50"/>
      <c r="AM279" s="51">
        <v>-9.3017477E7</v>
      </c>
      <c r="AN279" s="51">
        <v>-7441398.0</v>
      </c>
      <c r="AO279" s="51">
        <v>-1.00458875E8</v>
      </c>
      <c r="AP279" s="47"/>
      <c r="AQ279" s="48"/>
      <c r="AR279" s="50"/>
      <c r="AS279" s="51"/>
      <c r="AT279" s="51"/>
      <c r="AU279" s="51"/>
      <c r="AV279" s="47"/>
      <c r="AW279" s="48"/>
      <c r="AX279" s="50"/>
      <c r="AY279" s="51"/>
      <c r="AZ279" s="51"/>
      <c r="BA279" s="51"/>
      <c r="BB279" s="51">
        <f t="shared" ref="BB279:BD279" si="277">IF(AND(ISNUMBER(Z279),COUNT(AG279,AM279,AS279,AY279)=2),Z279+SUM(AG279,AM279,AS279,AY279),"")</f>
        <v>0</v>
      </c>
      <c r="BC279" s="51">
        <f t="shared" si="277"/>
        <v>0</v>
      </c>
      <c r="BD279" s="51">
        <f t="shared" si="277"/>
        <v>0</v>
      </c>
    </row>
    <row r="280" ht="48.0" customHeight="1">
      <c r="A280" s="49" t="s">
        <v>40</v>
      </c>
      <c r="B280" s="49" t="str">
        <f t="array" ref="B280">INDEX('HD cty 2024'!B:B,MATCH('F0, F1, F2, ...'!$C280,'HD cty 2024'!B:B,0))</f>
        <v>#N/A</v>
      </c>
      <c r="C280" s="49">
        <v>339.0</v>
      </c>
      <c r="D280" s="50">
        <v>45475.0</v>
      </c>
      <c r="E280" s="51">
        <v>6.9047797E7</v>
      </c>
      <c r="F280" s="51">
        <v>5523824.0</v>
      </c>
      <c r="G280" s="51">
        <v>7.4571621E7</v>
      </c>
      <c r="H280" s="49" t="s">
        <v>414</v>
      </c>
      <c r="I280" s="52" t="s">
        <v>3383</v>
      </c>
      <c r="J280" s="50">
        <v>45806.0</v>
      </c>
      <c r="K280" s="51">
        <v>7100351.0</v>
      </c>
      <c r="L280" s="51">
        <v>568028.0</v>
      </c>
      <c r="M280" s="51">
        <v>7668379.0</v>
      </c>
      <c r="N280" s="49"/>
      <c r="O280" s="52"/>
      <c r="P280" s="50"/>
      <c r="Q280" s="51"/>
      <c r="R280" s="51"/>
      <c r="S280" s="51"/>
      <c r="T280" s="49"/>
      <c r="U280" s="52"/>
      <c r="V280" s="50"/>
      <c r="W280" s="51"/>
      <c r="X280" s="51"/>
      <c r="Y280" s="51"/>
      <c r="Z280" s="51">
        <v>7.6148148E7</v>
      </c>
      <c r="AA280" s="51">
        <v>6091852.0</v>
      </c>
      <c r="AB280" s="51">
        <v>8.224E7</v>
      </c>
      <c r="AC280" s="47"/>
      <c r="AD280" s="47" t="s">
        <v>3384</v>
      </c>
      <c r="AE280" s="48"/>
      <c r="AF280" s="50"/>
      <c r="AG280" s="51">
        <v>-7100351.0</v>
      </c>
      <c r="AH280" s="51">
        <v>-568028.0</v>
      </c>
      <c r="AI280" s="51">
        <v>-7668379.0</v>
      </c>
      <c r="AJ280" s="47" t="s">
        <v>3385</v>
      </c>
      <c r="AK280" s="48"/>
      <c r="AL280" s="50"/>
      <c r="AM280" s="51">
        <v>-6.9047797E7</v>
      </c>
      <c r="AN280" s="51">
        <v>-5523824.0</v>
      </c>
      <c r="AO280" s="51">
        <v>-7.4571621E7</v>
      </c>
      <c r="AP280" s="47"/>
      <c r="AQ280" s="48"/>
      <c r="AR280" s="50"/>
      <c r="AS280" s="51"/>
      <c r="AT280" s="51"/>
      <c r="AU280" s="51"/>
      <c r="AV280" s="47"/>
      <c r="AW280" s="48"/>
      <c r="AX280" s="50"/>
      <c r="AY280" s="51"/>
      <c r="AZ280" s="51"/>
      <c r="BA280" s="51"/>
      <c r="BB280" s="51">
        <f t="shared" ref="BB280:BD280" si="278">IF(AND(ISNUMBER(Z280),COUNT(AG280,AM280,AS280,AY280)=2),Z280+SUM(AG280,AM280,AS280,AY280),"")</f>
        <v>0</v>
      </c>
      <c r="BC280" s="51">
        <f t="shared" si="278"/>
        <v>0</v>
      </c>
      <c r="BD280" s="51">
        <f t="shared" si="278"/>
        <v>0</v>
      </c>
    </row>
    <row r="281" ht="48.0" customHeight="1">
      <c r="A281" s="49" t="s">
        <v>40</v>
      </c>
      <c r="B281" s="49" t="str">
        <f t="array" ref="B281">INDEX('HD cty 2024'!B:B,MATCH('F0, F1, F2, ...'!$C281,'HD cty 2024'!B:B,0))</f>
        <v>#N/A</v>
      </c>
      <c r="C281" s="49">
        <v>340.0</v>
      </c>
      <c r="D281" s="50">
        <v>45476.0</v>
      </c>
      <c r="E281" s="51">
        <v>8.2120693E7</v>
      </c>
      <c r="F281" s="51">
        <v>6569655.0</v>
      </c>
      <c r="G281" s="51">
        <v>8.8690348E7</v>
      </c>
      <c r="H281" s="49" t="s">
        <v>414</v>
      </c>
      <c r="I281" s="52" t="s">
        <v>3386</v>
      </c>
      <c r="J281" s="50">
        <v>45806.0</v>
      </c>
      <c r="K281" s="51">
        <v>1.5568196E7</v>
      </c>
      <c r="L281" s="51">
        <v>1245456.0</v>
      </c>
      <c r="M281" s="51">
        <v>1.6813652E7</v>
      </c>
      <c r="N281" s="49"/>
      <c r="O281" s="52"/>
      <c r="P281" s="50"/>
      <c r="Q281" s="51"/>
      <c r="R281" s="51"/>
      <c r="S281" s="51"/>
      <c r="T281" s="49"/>
      <c r="U281" s="52"/>
      <c r="V281" s="50"/>
      <c r="W281" s="51"/>
      <c r="X281" s="51"/>
      <c r="Y281" s="51"/>
      <c r="Z281" s="51">
        <v>9.7688889E7</v>
      </c>
      <c r="AA281" s="51">
        <v>7815111.0</v>
      </c>
      <c r="AB281" s="51">
        <v>1.05504E8</v>
      </c>
      <c r="AC281" s="47"/>
      <c r="AD281" s="47" t="s">
        <v>3387</v>
      </c>
      <c r="AE281" s="48"/>
      <c r="AF281" s="50"/>
      <c r="AG281" s="51">
        <v>-1.5568196E7</v>
      </c>
      <c r="AH281" s="51">
        <v>-1245456.0</v>
      </c>
      <c r="AI281" s="51">
        <v>-1.6813652E7</v>
      </c>
      <c r="AJ281" s="47" t="s">
        <v>3388</v>
      </c>
      <c r="AK281" s="48"/>
      <c r="AL281" s="50"/>
      <c r="AM281" s="51">
        <v>-8.2120693E7</v>
      </c>
      <c r="AN281" s="51">
        <v>-6569655.0</v>
      </c>
      <c r="AO281" s="51">
        <v>-8.8690348E7</v>
      </c>
      <c r="AP281" s="47"/>
      <c r="AQ281" s="48"/>
      <c r="AR281" s="50"/>
      <c r="AS281" s="51"/>
      <c r="AT281" s="51"/>
      <c r="AU281" s="51"/>
      <c r="AV281" s="47"/>
      <c r="AW281" s="48"/>
      <c r="AX281" s="50"/>
      <c r="AY281" s="51"/>
      <c r="AZ281" s="51"/>
      <c r="BA281" s="51"/>
      <c r="BB281" s="51">
        <f t="shared" ref="BB281:BD281" si="279">IF(AND(ISNUMBER(Z281),COUNT(AG281,AM281,AS281,AY281)=2),Z281+SUM(AG281,AM281,AS281,AY281),"")</f>
        <v>0</v>
      </c>
      <c r="BC281" s="51">
        <f t="shared" si="279"/>
        <v>0</v>
      </c>
      <c r="BD281" s="51">
        <f t="shared" si="279"/>
        <v>0</v>
      </c>
    </row>
    <row r="282" ht="48.0" customHeight="1">
      <c r="A282" s="49" t="s">
        <v>40</v>
      </c>
      <c r="B282" s="49" t="str">
        <f t="array" ref="B282">INDEX('HD cty 2024'!B:B,MATCH('F0, F1, F2, ...'!$C282,'HD cty 2024'!B:B,0))</f>
        <v>#N/A</v>
      </c>
      <c r="C282" s="49">
        <v>341.0</v>
      </c>
      <c r="D282" s="50">
        <v>45476.0</v>
      </c>
      <c r="E282" s="51">
        <v>1413889.0</v>
      </c>
      <c r="F282" s="51">
        <v>113111.0</v>
      </c>
      <c r="G282" s="51">
        <v>1527000.0</v>
      </c>
      <c r="H282" s="49" t="s">
        <v>414</v>
      </c>
      <c r="I282" s="52" t="s">
        <v>3389</v>
      </c>
      <c r="J282" s="50">
        <v>45807.0</v>
      </c>
      <c r="K282" s="51">
        <v>38889.0</v>
      </c>
      <c r="L282" s="51">
        <v>3111.0</v>
      </c>
      <c r="M282" s="51">
        <v>42000.0</v>
      </c>
      <c r="N282" s="49"/>
      <c r="O282" s="52"/>
      <c r="P282" s="50"/>
      <c r="Q282" s="51"/>
      <c r="R282" s="51"/>
      <c r="S282" s="51"/>
      <c r="T282" s="49"/>
      <c r="U282" s="52"/>
      <c r="V282" s="50"/>
      <c r="W282" s="51"/>
      <c r="X282" s="51"/>
      <c r="Y282" s="51"/>
      <c r="Z282" s="51">
        <v>1452778.0</v>
      </c>
      <c r="AA282" s="51">
        <v>116222.0</v>
      </c>
      <c r="AB282" s="51">
        <v>1569000.0</v>
      </c>
      <c r="AC282" s="47"/>
      <c r="AD282" s="47" t="s">
        <v>3390</v>
      </c>
      <c r="AE282" s="48"/>
      <c r="AF282" s="50"/>
      <c r="AG282" s="51">
        <v>-38889.0</v>
      </c>
      <c r="AH282" s="51">
        <v>-3111.0</v>
      </c>
      <c r="AI282" s="51">
        <v>-42000.0</v>
      </c>
      <c r="AJ282" s="47" t="s">
        <v>3391</v>
      </c>
      <c r="AK282" s="48"/>
      <c r="AL282" s="50"/>
      <c r="AM282" s="51">
        <v>-1413889.0</v>
      </c>
      <c r="AN282" s="51">
        <v>-113111.0</v>
      </c>
      <c r="AO282" s="51">
        <v>-1527000.0</v>
      </c>
      <c r="AP282" s="47"/>
      <c r="AQ282" s="48"/>
      <c r="AR282" s="50"/>
      <c r="AS282" s="51"/>
      <c r="AT282" s="51"/>
      <c r="AU282" s="51"/>
      <c r="AV282" s="47"/>
      <c r="AW282" s="48"/>
      <c r="AX282" s="50"/>
      <c r="AY282" s="51"/>
      <c r="AZ282" s="51"/>
      <c r="BA282" s="51"/>
      <c r="BB282" s="51">
        <f t="shared" ref="BB282:BD282" si="280">IF(AND(ISNUMBER(Z282),COUNT(AG282,AM282,AS282,AY282)=2),Z282+SUM(AG282,AM282,AS282,AY282),"")</f>
        <v>0</v>
      </c>
      <c r="BC282" s="51">
        <f t="shared" si="280"/>
        <v>0</v>
      </c>
      <c r="BD282" s="51">
        <f t="shared" si="280"/>
        <v>0</v>
      </c>
    </row>
    <row r="283" ht="48.0" customHeight="1">
      <c r="A283" s="49" t="s">
        <v>40</v>
      </c>
      <c r="B283" s="49" t="str">
        <f t="array" ref="B283">INDEX('HD cty 2024'!B:B,MATCH('F0, F1, F2, ...'!$C283,'HD cty 2024'!B:B,0))</f>
        <v>#N/A</v>
      </c>
      <c r="C283" s="49">
        <v>343.0</v>
      </c>
      <c r="D283" s="50">
        <v>45476.0</v>
      </c>
      <c r="E283" s="51">
        <v>1161247.0</v>
      </c>
      <c r="F283" s="51">
        <v>92900.0</v>
      </c>
      <c r="G283" s="51">
        <v>1254147.0</v>
      </c>
      <c r="H283" s="49" t="s">
        <v>414</v>
      </c>
      <c r="I283" s="52" t="s">
        <v>3392</v>
      </c>
      <c r="J283" s="50">
        <v>45806.0</v>
      </c>
      <c r="K283" s="51">
        <v>96160.0</v>
      </c>
      <c r="L283" s="51">
        <v>7693.0</v>
      </c>
      <c r="M283" s="51">
        <v>103853.0</v>
      </c>
      <c r="N283" s="49"/>
      <c r="O283" s="52"/>
      <c r="P283" s="50"/>
      <c r="Q283" s="51"/>
      <c r="R283" s="51"/>
      <c r="S283" s="51"/>
      <c r="T283" s="49"/>
      <c r="U283" s="52"/>
      <c r="V283" s="50"/>
      <c r="W283" s="51"/>
      <c r="X283" s="51"/>
      <c r="Y283" s="51"/>
      <c r="Z283" s="51">
        <v>1257407.0</v>
      </c>
      <c r="AA283" s="51">
        <v>100593.0</v>
      </c>
      <c r="AB283" s="51">
        <v>1358000.0</v>
      </c>
      <c r="AC283" s="47"/>
      <c r="AD283" s="47" t="s">
        <v>3393</v>
      </c>
      <c r="AE283" s="48"/>
      <c r="AF283" s="50"/>
      <c r="AG283" s="51">
        <v>-96160.0</v>
      </c>
      <c r="AH283" s="51">
        <v>-7693.0</v>
      </c>
      <c r="AI283" s="51">
        <v>-103853.0</v>
      </c>
      <c r="AJ283" s="47" t="s">
        <v>3394</v>
      </c>
      <c r="AK283" s="48"/>
      <c r="AL283" s="50"/>
      <c r="AM283" s="51">
        <v>-1161247.0</v>
      </c>
      <c r="AN283" s="51">
        <v>-92900.0</v>
      </c>
      <c r="AO283" s="51">
        <v>-1254147.0</v>
      </c>
      <c r="AP283" s="47"/>
      <c r="AQ283" s="48"/>
      <c r="AR283" s="50"/>
      <c r="AS283" s="51"/>
      <c r="AT283" s="51"/>
      <c r="AU283" s="51"/>
      <c r="AV283" s="47"/>
      <c r="AW283" s="48"/>
      <c r="AX283" s="50"/>
      <c r="AY283" s="51"/>
      <c r="AZ283" s="51"/>
      <c r="BA283" s="51"/>
      <c r="BB283" s="51">
        <f t="shared" ref="BB283:BD283" si="281">IF(AND(ISNUMBER(Z283),COUNT(AG283,AM283,AS283,AY283)=2),Z283+SUM(AG283,AM283,AS283,AY283),"")</f>
        <v>0</v>
      </c>
      <c r="BC283" s="51">
        <f t="shared" si="281"/>
        <v>0</v>
      </c>
      <c r="BD283" s="51">
        <f t="shared" si="281"/>
        <v>0</v>
      </c>
    </row>
    <row r="284" ht="48.0" customHeight="1">
      <c r="A284" s="49" t="s">
        <v>40</v>
      </c>
      <c r="B284" s="49" t="str">
        <f t="array" ref="B284">INDEX('HD cty 2024'!B:B,MATCH('F0, F1, F2, ...'!$C284,'HD cty 2024'!B:B,0))</f>
        <v>#N/A</v>
      </c>
      <c r="C284" s="49">
        <v>350.0</v>
      </c>
      <c r="D284" s="50">
        <v>45495.0</v>
      </c>
      <c r="E284" s="51">
        <v>4.7524203E7</v>
      </c>
      <c r="F284" s="51">
        <v>3801936.0</v>
      </c>
      <c r="G284" s="51">
        <v>5.1326139E7</v>
      </c>
      <c r="H284" s="49" t="s">
        <v>414</v>
      </c>
      <c r="I284" s="52" t="s">
        <v>3395</v>
      </c>
      <c r="J284" s="50">
        <v>45806.0</v>
      </c>
      <c r="K284" s="51">
        <v>3574871.0</v>
      </c>
      <c r="L284" s="51">
        <v>285990.0</v>
      </c>
      <c r="M284" s="51">
        <v>3860861.0</v>
      </c>
      <c r="N284" s="49"/>
      <c r="O284" s="52"/>
      <c r="P284" s="50"/>
      <c r="Q284" s="51"/>
      <c r="R284" s="51"/>
      <c r="S284" s="51"/>
      <c r="T284" s="49"/>
      <c r="U284" s="52"/>
      <c r="V284" s="50"/>
      <c r="W284" s="51"/>
      <c r="X284" s="51"/>
      <c r="Y284" s="51"/>
      <c r="Z284" s="51">
        <v>5.1099074E7</v>
      </c>
      <c r="AA284" s="51">
        <v>4087926.0</v>
      </c>
      <c r="AB284" s="51">
        <v>5.5187E7</v>
      </c>
      <c r="AC284" s="47"/>
      <c r="AD284" s="47" t="s">
        <v>3396</v>
      </c>
      <c r="AE284" s="48"/>
      <c r="AF284" s="50"/>
      <c r="AG284" s="51">
        <v>-3574871.0</v>
      </c>
      <c r="AH284" s="51">
        <v>-285990.0</v>
      </c>
      <c r="AI284" s="51">
        <v>-3860861.0</v>
      </c>
      <c r="AJ284" s="47" t="s">
        <v>3397</v>
      </c>
      <c r="AK284" s="48"/>
      <c r="AL284" s="50"/>
      <c r="AM284" s="51">
        <v>-4.7524203E7</v>
      </c>
      <c r="AN284" s="51">
        <v>-3801936.0</v>
      </c>
      <c r="AO284" s="51">
        <v>-5.1326139E7</v>
      </c>
      <c r="AP284" s="47"/>
      <c r="AQ284" s="48"/>
      <c r="AR284" s="50"/>
      <c r="AS284" s="51"/>
      <c r="AT284" s="51"/>
      <c r="AU284" s="51"/>
      <c r="AV284" s="47"/>
      <c r="AW284" s="48"/>
      <c r="AX284" s="50"/>
      <c r="AY284" s="51"/>
      <c r="AZ284" s="51"/>
      <c r="BA284" s="51"/>
      <c r="BB284" s="51">
        <f t="shared" ref="BB284:BD284" si="282">IF(AND(ISNUMBER(Z284),COUNT(AG284,AM284,AS284,AY284)=2),Z284+SUM(AG284,AM284,AS284,AY284),"")</f>
        <v>0</v>
      </c>
      <c r="BC284" s="51">
        <f t="shared" si="282"/>
        <v>0</v>
      </c>
      <c r="BD284" s="51">
        <f t="shared" si="282"/>
        <v>0</v>
      </c>
    </row>
    <row r="285" ht="48.0" customHeight="1">
      <c r="A285" s="49" t="s">
        <v>40</v>
      </c>
      <c r="B285" s="49" t="str">
        <f t="array" ref="B285">INDEX('HD cty 2024'!B:B,MATCH('F0, F1, F2, ...'!$C285,'HD cty 2024'!B:B,0))</f>
        <v>#N/A</v>
      </c>
      <c r="C285" s="49">
        <v>351.0</v>
      </c>
      <c r="D285" s="50">
        <v>45495.0</v>
      </c>
      <c r="E285" s="51">
        <v>5.5885012E7</v>
      </c>
      <c r="F285" s="51">
        <v>4470801.0</v>
      </c>
      <c r="G285" s="51">
        <v>6.0355813E7</v>
      </c>
      <c r="H285" s="49" t="s">
        <v>414</v>
      </c>
      <c r="I285" s="52" t="s">
        <v>3398</v>
      </c>
      <c r="J285" s="50">
        <v>45806.0</v>
      </c>
      <c r="K285" s="51">
        <v>4361284.0</v>
      </c>
      <c r="L285" s="51">
        <v>348903.0</v>
      </c>
      <c r="M285" s="51">
        <v>4710187.0</v>
      </c>
      <c r="N285" s="49"/>
      <c r="O285" s="52"/>
      <c r="P285" s="50"/>
      <c r="Q285" s="51"/>
      <c r="R285" s="51"/>
      <c r="S285" s="51"/>
      <c r="T285" s="49"/>
      <c r="U285" s="52"/>
      <c r="V285" s="50"/>
      <c r="W285" s="51"/>
      <c r="X285" s="51"/>
      <c r="Y285" s="51"/>
      <c r="Z285" s="51">
        <v>6.0246296E7</v>
      </c>
      <c r="AA285" s="51">
        <v>4819704.0</v>
      </c>
      <c r="AB285" s="51">
        <v>6.5066E7</v>
      </c>
      <c r="AC285" s="47"/>
      <c r="AD285" s="47" t="s">
        <v>3399</v>
      </c>
      <c r="AE285" s="48"/>
      <c r="AF285" s="50"/>
      <c r="AG285" s="51">
        <v>-4361284.0</v>
      </c>
      <c r="AH285" s="51">
        <v>-348903.0</v>
      </c>
      <c r="AI285" s="51">
        <v>-4710187.0</v>
      </c>
      <c r="AJ285" s="47" t="s">
        <v>3400</v>
      </c>
      <c r="AK285" s="48"/>
      <c r="AL285" s="50"/>
      <c r="AM285" s="51">
        <v>-5.5885012E7</v>
      </c>
      <c r="AN285" s="51">
        <v>-4470801.0</v>
      </c>
      <c r="AO285" s="51">
        <v>-6.0355813E7</v>
      </c>
      <c r="AP285" s="47"/>
      <c r="AQ285" s="48"/>
      <c r="AR285" s="50"/>
      <c r="AS285" s="51"/>
      <c r="AT285" s="51"/>
      <c r="AU285" s="51"/>
      <c r="AV285" s="47"/>
      <c r="AW285" s="48"/>
      <c r="AX285" s="50"/>
      <c r="AY285" s="51"/>
      <c r="AZ285" s="51"/>
      <c r="BA285" s="51"/>
      <c r="BB285" s="51">
        <f t="shared" ref="BB285:BD285" si="283">IF(AND(ISNUMBER(Z285),COUNT(AG285,AM285,AS285,AY285)=2),Z285+SUM(AG285,AM285,AS285,AY285),"")</f>
        <v>0</v>
      </c>
      <c r="BC285" s="51">
        <f t="shared" si="283"/>
        <v>0</v>
      </c>
      <c r="BD285" s="51">
        <f t="shared" si="283"/>
        <v>0</v>
      </c>
    </row>
    <row r="286" ht="48.0" customHeight="1">
      <c r="A286" s="49" t="s">
        <v>40</v>
      </c>
      <c r="B286" s="49" t="str">
        <f t="array" ref="B286">INDEX('HD cty 2024'!B:B,MATCH('F0, F1, F2, ...'!$C286,'HD cty 2024'!B:B,0))</f>
        <v>#N/A</v>
      </c>
      <c r="C286" s="49">
        <v>352.0</v>
      </c>
      <c r="D286" s="50">
        <v>45495.0</v>
      </c>
      <c r="E286" s="51">
        <v>1.0864362E7</v>
      </c>
      <c r="F286" s="51">
        <v>869149.0</v>
      </c>
      <c r="G286" s="51">
        <v>1.1733511E7</v>
      </c>
      <c r="H286" s="49" t="s">
        <v>414</v>
      </c>
      <c r="I286" s="52" t="s">
        <v>3401</v>
      </c>
      <c r="J286" s="50">
        <v>45807.0</v>
      </c>
      <c r="K286" s="51">
        <v>391440.0</v>
      </c>
      <c r="L286" s="51">
        <v>31315.0</v>
      </c>
      <c r="M286" s="51">
        <v>422755.0</v>
      </c>
      <c r="N286" s="49"/>
      <c r="O286" s="52"/>
      <c r="P286" s="50"/>
      <c r="Q286" s="51"/>
      <c r="R286" s="51"/>
      <c r="S286" s="51"/>
      <c r="T286" s="49"/>
      <c r="U286" s="52"/>
      <c r="V286" s="50"/>
      <c r="W286" s="51"/>
      <c r="X286" s="51"/>
      <c r="Y286" s="51"/>
      <c r="Z286" s="51">
        <v>1.1255802E7</v>
      </c>
      <c r="AA286" s="51">
        <v>900464.0</v>
      </c>
      <c r="AB286" s="51">
        <v>1.2156266E7</v>
      </c>
      <c r="AC286" s="47"/>
      <c r="AD286" s="47" t="s">
        <v>3402</v>
      </c>
      <c r="AE286" s="48"/>
      <c r="AF286" s="50"/>
      <c r="AG286" s="51">
        <v>-391440.0</v>
      </c>
      <c r="AH286" s="51">
        <v>-31315.0</v>
      </c>
      <c r="AI286" s="51">
        <v>-422755.0</v>
      </c>
      <c r="AJ286" s="47" t="s">
        <v>3403</v>
      </c>
      <c r="AK286" s="48"/>
      <c r="AL286" s="50"/>
      <c r="AM286" s="51">
        <v>-1.0864362E7</v>
      </c>
      <c r="AN286" s="51">
        <v>-869149.0</v>
      </c>
      <c r="AO286" s="51">
        <v>-1.1733511E7</v>
      </c>
      <c r="AP286" s="47"/>
      <c r="AQ286" s="48"/>
      <c r="AR286" s="50"/>
      <c r="AS286" s="51"/>
      <c r="AT286" s="51"/>
      <c r="AU286" s="51"/>
      <c r="AV286" s="47"/>
      <c r="AW286" s="48"/>
      <c r="AX286" s="50"/>
      <c r="AY286" s="51"/>
      <c r="AZ286" s="51"/>
      <c r="BA286" s="51"/>
      <c r="BB286" s="51">
        <f t="shared" ref="BB286:BD286" si="284">IF(AND(ISNUMBER(Z286),COUNT(AG286,AM286,AS286,AY286)=2),Z286+SUM(AG286,AM286,AS286,AY286),"")</f>
        <v>0</v>
      </c>
      <c r="BC286" s="51">
        <f t="shared" si="284"/>
        <v>0</v>
      </c>
      <c r="BD286" s="51">
        <f t="shared" si="284"/>
        <v>0</v>
      </c>
    </row>
    <row r="287" ht="48.0" customHeight="1">
      <c r="A287" s="49" t="s">
        <v>40</v>
      </c>
      <c r="B287" s="49" t="str">
        <f t="array" ref="B287">INDEX('HD cty 2024'!B:B,MATCH('F0, F1, F2, ...'!$C287,'HD cty 2024'!B:B,0))</f>
        <v>#N/A</v>
      </c>
      <c r="C287" s="49">
        <v>353.0</v>
      </c>
      <c r="D287" s="50">
        <v>45495.0</v>
      </c>
      <c r="E287" s="51">
        <v>2.26983582E8</v>
      </c>
      <c r="F287" s="51">
        <v>1.8158687E7</v>
      </c>
      <c r="G287" s="51">
        <v>2.45142269E8</v>
      </c>
      <c r="H287" s="49" t="s">
        <v>414</v>
      </c>
      <c r="I287" s="52" t="s">
        <v>3404</v>
      </c>
      <c r="J287" s="50">
        <v>45806.0</v>
      </c>
      <c r="K287" s="51">
        <v>2.5103455E7</v>
      </c>
      <c r="L287" s="51">
        <v>2008276.0</v>
      </c>
      <c r="M287" s="51">
        <v>2.7111731E7</v>
      </c>
      <c r="N287" s="49" t="s">
        <v>414</v>
      </c>
      <c r="O287" s="52" t="s">
        <v>3405</v>
      </c>
      <c r="P287" s="50">
        <v>45808.0</v>
      </c>
      <c r="Q287" s="51">
        <v>-2202777.0</v>
      </c>
      <c r="R287" s="51">
        <v>-176222.0</v>
      </c>
      <c r="S287" s="51">
        <v>-2378999.0</v>
      </c>
      <c r="T287" s="49"/>
      <c r="U287" s="52"/>
      <c r="V287" s="50"/>
      <c r="W287" s="51"/>
      <c r="X287" s="51"/>
      <c r="Y287" s="51"/>
      <c r="Z287" s="51">
        <v>2.4988426E8</v>
      </c>
      <c r="AA287" s="51">
        <v>1.9990741E7</v>
      </c>
      <c r="AB287" s="51">
        <v>2.69875001E8</v>
      </c>
      <c r="AC287" s="47"/>
      <c r="AD287" s="47" t="s">
        <v>3406</v>
      </c>
      <c r="AE287" s="48"/>
      <c r="AF287" s="50"/>
      <c r="AG287" s="51">
        <v>-2.5103455E7</v>
      </c>
      <c r="AH287" s="51">
        <v>-2008276.0</v>
      </c>
      <c r="AI287" s="51">
        <v>-2.7111731E7</v>
      </c>
      <c r="AJ287" s="47" t="s">
        <v>3407</v>
      </c>
      <c r="AK287" s="48"/>
      <c r="AL287" s="50"/>
      <c r="AM287" s="51">
        <v>2202777.0</v>
      </c>
      <c r="AN287" s="51">
        <v>176222.0</v>
      </c>
      <c r="AO287" s="51">
        <v>2378999.0</v>
      </c>
      <c r="AP287" s="47" t="s">
        <v>3408</v>
      </c>
      <c r="AQ287" s="48"/>
      <c r="AR287" s="50"/>
      <c r="AS287" s="51">
        <v>-2.26983582E8</v>
      </c>
      <c r="AT287" s="51">
        <v>-1.8158687E7</v>
      </c>
      <c r="AU287" s="51">
        <v>-2.45142269E8</v>
      </c>
      <c r="AV287" s="47"/>
      <c r="AW287" s="48"/>
      <c r="AX287" s="50"/>
      <c r="AY287" s="51"/>
      <c r="AZ287" s="51"/>
      <c r="BA287" s="51"/>
      <c r="BB287" s="51">
        <f t="shared" ref="BB287:BD287" si="285">IF(AND(ISNUMBER(Z287),COUNT(AG287,AM287,AS287,AY287)=3),Z287+SUM(AG287,AM287,AS287,AY287),"")</f>
        <v>0</v>
      </c>
      <c r="BC287" s="51">
        <f t="shared" si="285"/>
        <v>0</v>
      </c>
      <c r="BD287" s="51">
        <f t="shared" si="285"/>
        <v>0</v>
      </c>
    </row>
    <row r="288" ht="48.0" customHeight="1">
      <c r="A288" s="49" t="s">
        <v>40</v>
      </c>
      <c r="B288" s="49" t="str">
        <f t="array" ref="B288">INDEX('HD cty 2024'!B:B,MATCH('F0, F1, F2, ...'!$C288,'HD cty 2024'!B:B,0))</f>
        <v>#N/A</v>
      </c>
      <c r="C288" s="49">
        <v>354.0</v>
      </c>
      <c r="D288" s="50">
        <v>45496.0</v>
      </c>
      <c r="E288" s="51">
        <v>9.7900331E7</v>
      </c>
      <c r="F288" s="51">
        <v>7832026.0</v>
      </c>
      <c r="G288" s="51">
        <v>1.05732357E8</v>
      </c>
      <c r="H288" s="49" t="s">
        <v>414</v>
      </c>
      <c r="I288" s="52" t="s">
        <v>3409</v>
      </c>
      <c r="J288" s="50">
        <v>45806.0</v>
      </c>
      <c r="K288" s="51">
        <v>9660780.0</v>
      </c>
      <c r="L288" s="51">
        <v>772862.0</v>
      </c>
      <c r="M288" s="51">
        <v>1.0433642E7</v>
      </c>
      <c r="N288" s="49"/>
      <c r="O288" s="52"/>
      <c r="P288" s="50"/>
      <c r="Q288" s="51"/>
      <c r="R288" s="51"/>
      <c r="S288" s="51"/>
      <c r="T288" s="49"/>
      <c r="U288" s="52"/>
      <c r="V288" s="50"/>
      <c r="W288" s="51"/>
      <c r="X288" s="51"/>
      <c r="Y288" s="51"/>
      <c r="Z288" s="51">
        <v>1.07561111E8</v>
      </c>
      <c r="AA288" s="51">
        <v>8604888.0</v>
      </c>
      <c r="AB288" s="51">
        <v>1.16165999E8</v>
      </c>
      <c r="AC288" s="47"/>
      <c r="AD288" s="47" t="s">
        <v>3410</v>
      </c>
      <c r="AE288" s="48"/>
      <c r="AF288" s="50"/>
      <c r="AG288" s="51">
        <v>-9660780.0</v>
      </c>
      <c r="AH288" s="51">
        <v>-772862.0</v>
      </c>
      <c r="AI288" s="51">
        <v>-1.0433642E7</v>
      </c>
      <c r="AJ288" s="47" t="s">
        <v>3411</v>
      </c>
      <c r="AK288" s="48"/>
      <c r="AL288" s="50"/>
      <c r="AM288" s="51">
        <v>-9.7900331E7</v>
      </c>
      <c r="AN288" s="51">
        <v>-7832026.0</v>
      </c>
      <c r="AO288" s="51">
        <v>-1.05732357E8</v>
      </c>
      <c r="AP288" s="47"/>
      <c r="AQ288" s="48"/>
      <c r="AR288" s="50"/>
      <c r="AS288" s="51"/>
      <c r="AT288" s="51"/>
      <c r="AU288" s="51"/>
      <c r="AV288" s="47"/>
      <c r="AW288" s="48"/>
      <c r="AX288" s="50"/>
      <c r="AY288" s="51"/>
      <c r="AZ288" s="51"/>
      <c r="BA288" s="51"/>
      <c r="BB288" s="51">
        <f t="shared" ref="BB288:BD288" si="286">IF(AND(ISNUMBER(Z288),COUNT(AG288,AM288,AS288,AY288)=2),Z288+SUM(AG288,AM288,AS288,AY288),"")</f>
        <v>0</v>
      </c>
      <c r="BC288" s="51">
        <f t="shared" si="286"/>
        <v>0</v>
      </c>
      <c r="BD288" s="51">
        <f t="shared" si="286"/>
        <v>0</v>
      </c>
    </row>
    <row r="289" ht="48.0" customHeight="1">
      <c r="A289" s="49" t="s">
        <v>40</v>
      </c>
      <c r="B289" s="49" t="str">
        <f t="array" ref="B289">INDEX('HD cty 2024'!B:B,MATCH('F0, F1, F2, ...'!$C289,'HD cty 2024'!B:B,0))</f>
        <v>#N/A</v>
      </c>
      <c r="C289" s="49">
        <v>355.0</v>
      </c>
      <c r="D289" s="50">
        <v>45496.0</v>
      </c>
      <c r="E289" s="51">
        <v>4.7774209E7</v>
      </c>
      <c r="F289" s="51">
        <v>3821937.0</v>
      </c>
      <c r="G289" s="51">
        <v>5.1596146E7</v>
      </c>
      <c r="H289" s="49" t="s">
        <v>414</v>
      </c>
      <c r="I289" s="52" t="s">
        <v>3412</v>
      </c>
      <c r="J289" s="50">
        <v>45806.0</v>
      </c>
      <c r="K289" s="51">
        <v>4074865.0</v>
      </c>
      <c r="L289" s="51">
        <v>325989.0</v>
      </c>
      <c r="M289" s="51">
        <v>4400854.0</v>
      </c>
      <c r="N289" s="49"/>
      <c r="O289" s="52"/>
      <c r="P289" s="50"/>
      <c r="Q289" s="51"/>
      <c r="R289" s="51"/>
      <c r="S289" s="51"/>
      <c r="T289" s="49"/>
      <c r="U289" s="52"/>
      <c r="V289" s="50"/>
      <c r="W289" s="51"/>
      <c r="X289" s="51"/>
      <c r="Y289" s="51"/>
      <c r="Z289" s="51">
        <v>5.1849074E7</v>
      </c>
      <c r="AA289" s="51">
        <v>4147926.0</v>
      </c>
      <c r="AB289" s="51">
        <v>5.5997E7</v>
      </c>
      <c r="AC289" s="47"/>
      <c r="AD289" s="47" t="s">
        <v>3413</v>
      </c>
      <c r="AE289" s="48"/>
      <c r="AF289" s="50"/>
      <c r="AG289" s="51">
        <v>-4074865.0</v>
      </c>
      <c r="AH289" s="51">
        <v>-325989.0</v>
      </c>
      <c r="AI289" s="51">
        <v>-4400854.0</v>
      </c>
      <c r="AJ289" s="47" t="s">
        <v>3414</v>
      </c>
      <c r="AK289" s="48"/>
      <c r="AL289" s="50"/>
      <c r="AM289" s="51">
        <v>-4.7774209E7</v>
      </c>
      <c r="AN289" s="51">
        <v>-3821937.0</v>
      </c>
      <c r="AO289" s="51">
        <v>-5.1596146E7</v>
      </c>
      <c r="AP289" s="47"/>
      <c r="AQ289" s="48"/>
      <c r="AR289" s="50"/>
      <c r="AS289" s="51"/>
      <c r="AT289" s="51"/>
      <c r="AU289" s="51"/>
      <c r="AV289" s="47"/>
      <c r="AW289" s="48"/>
      <c r="AX289" s="50"/>
      <c r="AY289" s="51"/>
      <c r="AZ289" s="51"/>
      <c r="BA289" s="51"/>
      <c r="BB289" s="51">
        <f t="shared" ref="BB289:BD289" si="287">IF(AND(ISNUMBER(Z289),COUNT(AG289,AM289,AS289,AY289)=2),Z289+SUM(AG289,AM289,AS289,AY289),"")</f>
        <v>0</v>
      </c>
      <c r="BC289" s="51">
        <f t="shared" si="287"/>
        <v>0</v>
      </c>
      <c r="BD289" s="51">
        <f t="shared" si="287"/>
        <v>0</v>
      </c>
    </row>
    <row r="290" ht="48.0" customHeight="1">
      <c r="A290" s="49" t="s">
        <v>40</v>
      </c>
      <c r="B290" s="49" t="str">
        <f t="array" ref="B290">INDEX('HD cty 2024'!B:B,MATCH('F0, F1, F2, ...'!$C290,'HD cty 2024'!B:B,0))</f>
        <v>#N/A</v>
      </c>
      <c r="C290" s="49">
        <v>356.0</v>
      </c>
      <c r="D290" s="50">
        <v>45496.0</v>
      </c>
      <c r="E290" s="51">
        <v>8.1551307E7</v>
      </c>
      <c r="F290" s="51">
        <v>6524105.0</v>
      </c>
      <c r="G290" s="51">
        <v>8.8075412E7</v>
      </c>
      <c r="H290" s="49" t="s">
        <v>414</v>
      </c>
      <c r="I290" s="52" t="s">
        <v>3415</v>
      </c>
      <c r="J290" s="50">
        <v>45806.0</v>
      </c>
      <c r="K290" s="51">
        <v>2871841.0</v>
      </c>
      <c r="L290" s="51">
        <v>229747.0</v>
      </c>
      <c r="M290" s="51">
        <v>3101588.0</v>
      </c>
      <c r="N290" s="49"/>
      <c r="O290" s="52"/>
      <c r="P290" s="50"/>
      <c r="Q290" s="51"/>
      <c r="R290" s="51"/>
      <c r="S290" s="51"/>
      <c r="T290" s="49"/>
      <c r="U290" s="52"/>
      <c r="V290" s="50"/>
      <c r="W290" s="51"/>
      <c r="X290" s="51"/>
      <c r="Y290" s="51"/>
      <c r="Z290" s="51">
        <v>8.4423148E7</v>
      </c>
      <c r="AA290" s="51">
        <v>6753852.0</v>
      </c>
      <c r="AB290" s="51">
        <v>9.1177E7</v>
      </c>
      <c r="AC290" s="47"/>
      <c r="AD290" s="47" t="s">
        <v>3416</v>
      </c>
      <c r="AE290" s="48"/>
      <c r="AF290" s="50"/>
      <c r="AG290" s="51">
        <v>-2871841.0</v>
      </c>
      <c r="AH290" s="51">
        <v>-229747.0</v>
      </c>
      <c r="AI290" s="51">
        <v>-3101588.0</v>
      </c>
      <c r="AJ290" s="47" t="s">
        <v>3417</v>
      </c>
      <c r="AK290" s="48"/>
      <c r="AL290" s="50"/>
      <c r="AM290" s="51">
        <v>-8.1551307E7</v>
      </c>
      <c r="AN290" s="51">
        <v>-6524105.0</v>
      </c>
      <c r="AO290" s="51">
        <v>-8.8075412E7</v>
      </c>
      <c r="AP290" s="47"/>
      <c r="AQ290" s="48"/>
      <c r="AR290" s="50"/>
      <c r="AS290" s="51"/>
      <c r="AT290" s="51"/>
      <c r="AU290" s="51"/>
      <c r="AV290" s="47"/>
      <c r="AW290" s="48"/>
      <c r="AX290" s="50"/>
      <c r="AY290" s="51"/>
      <c r="AZ290" s="51"/>
      <c r="BA290" s="51"/>
      <c r="BB290" s="51">
        <f t="shared" ref="BB290:BD290" si="288">IF(AND(ISNUMBER(Z290),COUNT(AG290,AM290,AS290,AY290)=2),Z290+SUM(AG290,AM290,AS290,AY290),"")</f>
        <v>0</v>
      </c>
      <c r="BC290" s="51">
        <f t="shared" si="288"/>
        <v>0</v>
      </c>
      <c r="BD290" s="51">
        <f t="shared" si="288"/>
        <v>0</v>
      </c>
    </row>
    <row r="291" ht="48.0" customHeight="1">
      <c r="A291" s="49" t="s">
        <v>40</v>
      </c>
      <c r="B291" s="49" t="str">
        <f t="array" ref="B291">INDEX('HD cty 2024'!B:B,MATCH('F0, F1, F2, ...'!$C291,'HD cty 2024'!B:B,0))</f>
        <v>#N/A</v>
      </c>
      <c r="C291" s="49">
        <v>357.0</v>
      </c>
      <c r="D291" s="50">
        <v>45496.0</v>
      </c>
      <c r="E291" s="51">
        <v>1.09619327E8</v>
      </c>
      <c r="F291" s="51">
        <v>8769546.0</v>
      </c>
      <c r="G291" s="51">
        <v>1.18388873E8</v>
      </c>
      <c r="H291" s="49" t="s">
        <v>414</v>
      </c>
      <c r="I291" s="52" t="s">
        <v>3418</v>
      </c>
      <c r="J291" s="50">
        <v>45806.0</v>
      </c>
      <c r="K291" s="51">
        <v>1.2636253E7</v>
      </c>
      <c r="L291" s="51">
        <v>1010900.0</v>
      </c>
      <c r="M291" s="51">
        <v>1.3647153E7</v>
      </c>
      <c r="N291" s="49"/>
      <c r="O291" s="52"/>
      <c r="P291" s="50"/>
      <c r="Q291" s="51"/>
      <c r="R291" s="51"/>
      <c r="S291" s="51"/>
      <c r="T291" s="49"/>
      <c r="U291" s="52"/>
      <c r="V291" s="50"/>
      <c r="W291" s="51"/>
      <c r="X291" s="51"/>
      <c r="Y291" s="51"/>
      <c r="Z291" s="51">
        <v>1.2225558E8</v>
      </c>
      <c r="AA291" s="51">
        <v>9780446.0</v>
      </c>
      <c r="AB291" s="51">
        <v>1.32036026E8</v>
      </c>
      <c r="AC291" s="47"/>
      <c r="AD291" s="47" t="s">
        <v>3419</v>
      </c>
      <c r="AE291" s="48"/>
      <c r="AF291" s="50"/>
      <c r="AG291" s="51">
        <v>-1.2636253E7</v>
      </c>
      <c r="AH291" s="51">
        <v>-1010900.0</v>
      </c>
      <c r="AI291" s="51">
        <v>-1.3647153E7</v>
      </c>
      <c r="AJ291" s="47" t="s">
        <v>3420</v>
      </c>
      <c r="AK291" s="48"/>
      <c r="AL291" s="50"/>
      <c r="AM291" s="51">
        <v>-1.09619327E8</v>
      </c>
      <c r="AN291" s="51">
        <v>-8769546.0</v>
      </c>
      <c r="AO291" s="51">
        <v>-1.18388873E8</v>
      </c>
      <c r="AP291" s="47"/>
      <c r="AQ291" s="48"/>
      <c r="AR291" s="50"/>
      <c r="AS291" s="51"/>
      <c r="AT291" s="51"/>
      <c r="AU291" s="51"/>
      <c r="AV291" s="47"/>
      <c r="AW291" s="48"/>
      <c r="AX291" s="50"/>
      <c r="AY291" s="51"/>
      <c r="AZ291" s="51"/>
      <c r="BA291" s="51"/>
      <c r="BB291" s="51">
        <f t="shared" ref="BB291:BD291" si="289">IF(AND(ISNUMBER(Z291),COUNT(AG291,AM291,AS291,AY291)=2),Z291+SUM(AG291,AM291,AS291,AY291),"")</f>
        <v>0</v>
      </c>
      <c r="BC291" s="51">
        <f t="shared" si="289"/>
        <v>0</v>
      </c>
      <c r="BD291" s="51">
        <f t="shared" si="289"/>
        <v>0</v>
      </c>
    </row>
    <row r="292" ht="48.0" customHeight="1">
      <c r="A292" s="49" t="s">
        <v>40</v>
      </c>
      <c r="B292" s="49" t="str">
        <f t="array" ref="B292">INDEX('HD cty 2024'!B:B,MATCH('F0, F1, F2, ...'!$C292,'HD cty 2024'!B:B,0))</f>
        <v>#N/A</v>
      </c>
      <c r="C292" s="49">
        <v>358.0</v>
      </c>
      <c r="D292" s="50">
        <v>45496.0</v>
      </c>
      <c r="E292" s="51">
        <v>2749223.0</v>
      </c>
      <c r="F292" s="51">
        <v>219938.0</v>
      </c>
      <c r="G292" s="51">
        <v>2969161.0</v>
      </c>
      <c r="H292" s="49" t="s">
        <v>414</v>
      </c>
      <c r="I292" s="52" t="s">
        <v>3421</v>
      </c>
      <c r="J292" s="50">
        <v>45807.0</v>
      </c>
      <c r="K292" s="51">
        <v>50446.0</v>
      </c>
      <c r="L292" s="51">
        <v>4036.0</v>
      </c>
      <c r="M292" s="51">
        <v>54482.0</v>
      </c>
      <c r="N292" s="49"/>
      <c r="O292" s="52"/>
      <c r="P292" s="50"/>
      <c r="Q292" s="51"/>
      <c r="R292" s="51"/>
      <c r="S292" s="51"/>
      <c r="T292" s="49"/>
      <c r="U292" s="52"/>
      <c r="V292" s="50"/>
      <c r="W292" s="51"/>
      <c r="X292" s="51"/>
      <c r="Y292" s="51"/>
      <c r="Z292" s="51">
        <v>2799669.0</v>
      </c>
      <c r="AA292" s="51">
        <v>223974.0</v>
      </c>
      <c r="AB292" s="51">
        <v>3023643.0</v>
      </c>
      <c r="AC292" s="47"/>
      <c r="AD292" s="47" t="s">
        <v>3422</v>
      </c>
      <c r="AE292" s="48"/>
      <c r="AF292" s="50"/>
      <c r="AG292" s="51">
        <v>-50446.0</v>
      </c>
      <c r="AH292" s="51">
        <v>-4036.0</v>
      </c>
      <c r="AI292" s="51">
        <v>-54482.0</v>
      </c>
      <c r="AJ292" s="47" t="s">
        <v>3423</v>
      </c>
      <c r="AK292" s="48"/>
      <c r="AL292" s="50"/>
      <c r="AM292" s="51">
        <v>-2749223.0</v>
      </c>
      <c r="AN292" s="51">
        <v>-219938.0</v>
      </c>
      <c r="AO292" s="51">
        <v>-2969161.0</v>
      </c>
      <c r="AP292" s="47"/>
      <c r="AQ292" s="48"/>
      <c r="AR292" s="50"/>
      <c r="AS292" s="51"/>
      <c r="AT292" s="51"/>
      <c r="AU292" s="51"/>
      <c r="AV292" s="47"/>
      <c r="AW292" s="48"/>
      <c r="AX292" s="50"/>
      <c r="AY292" s="51"/>
      <c r="AZ292" s="51"/>
      <c r="BA292" s="51"/>
      <c r="BB292" s="51">
        <f t="shared" ref="BB292:BD292" si="290">IF(AND(ISNUMBER(Z292),COUNT(AG292,AM292,AS292,AY292)=2),Z292+SUM(AG292,AM292,AS292,AY292),"")</f>
        <v>0</v>
      </c>
      <c r="BC292" s="51">
        <f t="shared" si="290"/>
        <v>0</v>
      </c>
      <c r="BD292" s="51">
        <f t="shared" si="290"/>
        <v>0</v>
      </c>
    </row>
    <row r="293" ht="48.0" customHeight="1">
      <c r="A293" s="49" t="s">
        <v>40</v>
      </c>
      <c r="B293" s="49" t="str">
        <f t="array" ref="B293">INDEX('HD cty 2024'!B:B,MATCH('F0, F1, F2, ...'!$C293,'HD cty 2024'!B:B,0))</f>
        <v>#N/A</v>
      </c>
      <c r="C293" s="49">
        <v>361.0</v>
      </c>
      <c r="D293" s="50">
        <v>45504.0</v>
      </c>
      <c r="E293" s="51">
        <v>5.1001409E7</v>
      </c>
      <c r="F293" s="51">
        <v>4080113.0</v>
      </c>
      <c r="G293" s="51">
        <v>5.5081522E7</v>
      </c>
      <c r="H293" s="49" t="s">
        <v>414</v>
      </c>
      <c r="I293" s="52" t="s">
        <v>3424</v>
      </c>
      <c r="J293" s="50">
        <v>45806.0</v>
      </c>
      <c r="K293" s="51">
        <v>5505072.0</v>
      </c>
      <c r="L293" s="51">
        <v>440406.0</v>
      </c>
      <c r="M293" s="51">
        <v>5945478.0</v>
      </c>
      <c r="N293" s="49"/>
      <c r="O293" s="52"/>
      <c r="P293" s="50"/>
      <c r="Q293" s="51"/>
      <c r="R293" s="51"/>
      <c r="S293" s="51"/>
      <c r="T293" s="49"/>
      <c r="U293" s="52"/>
      <c r="V293" s="50"/>
      <c r="W293" s="51"/>
      <c r="X293" s="51"/>
      <c r="Y293" s="51"/>
      <c r="Z293" s="51">
        <v>5.6506481E7</v>
      </c>
      <c r="AA293" s="51">
        <v>4520519.0</v>
      </c>
      <c r="AB293" s="51">
        <v>6.1027E7</v>
      </c>
      <c r="AC293" s="47"/>
      <c r="AD293" s="47" t="s">
        <v>3425</v>
      </c>
      <c r="AE293" s="48"/>
      <c r="AF293" s="50"/>
      <c r="AG293" s="51">
        <v>-5505072.0</v>
      </c>
      <c r="AH293" s="51">
        <v>-440406.0</v>
      </c>
      <c r="AI293" s="51">
        <v>-5945478.0</v>
      </c>
      <c r="AJ293" s="47" t="s">
        <v>3426</v>
      </c>
      <c r="AK293" s="48"/>
      <c r="AL293" s="50"/>
      <c r="AM293" s="51">
        <v>-5.1001409E7</v>
      </c>
      <c r="AN293" s="51">
        <v>-4080113.0</v>
      </c>
      <c r="AO293" s="51">
        <v>-5.5081522E7</v>
      </c>
      <c r="AP293" s="47"/>
      <c r="AQ293" s="48"/>
      <c r="AR293" s="50"/>
      <c r="AS293" s="51"/>
      <c r="AT293" s="51"/>
      <c r="AU293" s="51"/>
      <c r="AV293" s="47"/>
      <c r="AW293" s="48"/>
      <c r="AX293" s="50"/>
      <c r="AY293" s="51"/>
      <c r="AZ293" s="51"/>
      <c r="BA293" s="51"/>
      <c r="BB293" s="51">
        <f t="shared" ref="BB293:BD293" si="291">IF(AND(ISNUMBER(Z293),COUNT(AG293,AM293,AS293,AY293)=2),Z293+SUM(AG293,AM293,AS293,AY293),"")</f>
        <v>0</v>
      </c>
      <c r="BC293" s="51">
        <f t="shared" si="291"/>
        <v>0</v>
      </c>
      <c r="BD293" s="51">
        <f t="shared" si="291"/>
        <v>0</v>
      </c>
    </row>
    <row r="294" ht="48.0" customHeight="1">
      <c r="A294" s="49" t="s">
        <v>40</v>
      </c>
      <c r="B294" s="49" t="str">
        <f t="array" ref="B294">INDEX('HD cty 2024'!B:B,MATCH('F0, F1, F2, ...'!$C294,'HD cty 2024'!B:B,0))</f>
        <v>#N/A</v>
      </c>
      <c r="C294" s="49">
        <v>362.0</v>
      </c>
      <c r="D294" s="50">
        <v>45504.0</v>
      </c>
      <c r="E294" s="51">
        <v>1.07927689E8</v>
      </c>
      <c r="F294" s="51">
        <v>8634215.0</v>
      </c>
      <c r="G294" s="51">
        <v>1.16561904E8</v>
      </c>
      <c r="H294" s="49" t="s">
        <v>414</v>
      </c>
      <c r="I294" s="52" t="s">
        <v>3427</v>
      </c>
      <c r="J294" s="50">
        <v>45806.0</v>
      </c>
      <c r="K294" s="51">
        <v>1.1062709E7</v>
      </c>
      <c r="L294" s="51">
        <v>885017.0</v>
      </c>
      <c r="M294" s="51">
        <v>1.1947726E7</v>
      </c>
      <c r="N294" s="49"/>
      <c r="O294" s="52"/>
      <c r="P294" s="50"/>
      <c r="Q294" s="51"/>
      <c r="R294" s="51"/>
      <c r="S294" s="51"/>
      <c r="T294" s="49"/>
      <c r="U294" s="52"/>
      <c r="V294" s="50"/>
      <c r="W294" s="51"/>
      <c r="X294" s="51"/>
      <c r="Y294" s="51"/>
      <c r="Z294" s="51">
        <v>1.18990398E8</v>
      </c>
      <c r="AA294" s="51">
        <v>9519232.0</v>
      </c>
      <c r="AB294" s="51">
        <v>1.2850963E8</v>
      </c>
      <c r="AC294" s="47"/>
      <c r="AD294" s="47" t="s">
        <v>3428</v>
      </c>
      <c r="AE294" s="48"/>
      <c r="AF294" s="50"/>
      <c r="AG294" s="51">
        <v>-1.1062709E7</v>
      </c>
      <c r="AH294" s="51">
        <v>-885017.0</v>
      </c>
      <c r="AI294" s="51">
        <v>-1.1947726E7</v>
      </c>
      <c r="AJ294" s="47" t="s">
        <v>3429</v>
      </c>
      <c r="AK294" s="48"/>
      <c r="AL294" s="50"/>
      <c r="AM294" s="51">
        <v>-1.07927689E8</v>
      </c>
      <c r="AN294" s="51">
        <v>-8634215.0</v>
      </c>
      <c r="AO294" s="51">
        <v>-1.16561904E8</v>
      </c>
      <c r="AP294" s="47"/>
      <c r="AQ294" s="48"/>
      <c r="AR294" s="50"/>
      <c r="AS294" s="51"/>
      <c r="AT294" s="51"/>
      <c r="AU294" s="51"/>
      <c r="AV294" s="47"/>
      <c r="AW294" s="48"/>
      <c r="AX294" s="50"/>
      <c r="AY294" s="51"/>
      <c r="AZ294" s="51"/>
      <c r="BA294" s="51"/>
      <c r="BB294" s="51">
        <f t="shared" ref="BB294:BD294" si="292">IF(AND(ISNUMBER(Z294),COUNT(AG294,AM294,AS294,AY294)=2),Z294+SUM(AG294,AM294,AS294,AY294),"")</f>
        <v>0</v>
      </c>
      <c r="BC294" s="51">
        <f t="shared" si="292"/>
        <v>0</v>
      </c>
      <c r="BD294" s="51">
        <f t="shared" si="292"/>
        <v>0</v>
      </c>
    </row>
    <row r="295" ht="48.0" customHeight="1">
      <c r="A295" s="49" t="s">
        <v>40</v>
      </c>
      <c r="B295" s="49" t="str">
        <f t="array" ref="B295">INDEX('HD cty 2024'!B:B,MATCH('F0, F1, F2, ...'!$C295,'HD cty 2024'!B:B,0))</f>
        <v>#N/A</v>
      </c>
      <c r="C295" s="49">
        <v>363.0</v>
      </c>
      <c r="D295" s="50">
        <v>45504.0</v>
      </c>
      <c r="E295" s="51">
        <v>5.1189689E7</v>
      </c>
      <c r="F295" s="51">
        <v>4095175.0</v>
      </c>
      <c r="G295" s="51">
        <v>5.5284864E7</v>
      </c>
      <c r="H295" s="49" t="s">
        <v>414</v>
      </c>
      <c r="I295" s="52" t="s">
        <v>3430</v>
      </c>
      <c r="J295" s="50">
        <v>45806.0</v>
      </c>
      <c r="K295" s="51">
        <v>4414941.0</v>
      </c>
      <c r="L295" s="51">
        <v>353195.0</v>
      </c>
      <c r="M295" s="51">
        <v>4768136.0</v>
      </c>
      <c r="N295" s="49"/>
      <c r="O295" s="52"/>
      <c r="P295" s="50"/>
      <c r="Q295" s="51"/>
      <c r="R295" s="51"/>
      <c r="S295" s="51"/>
      <c r="T295" s="49"/>
      <c r="U295" s="52"/>
      <c r="V295" s="50"/>
      <c r="W295" s="51"/>
      <c r="X295" s="51"/>
      <c r="Y295" s="51"/>
      <c r="Z295" s="51">
        <v>5.560463E7</v>
      </c>
      <c r="AA295" s="51">
        <v>4448370.0</v>
      </c>
      <c r="AB295" s="51">
        <v>6.0053E7</v>
      </c>
      <c r="AC295" s="47"/>
      <c r="AD295" s="47" t="s">
        <v>3431</v>
      </c>
      <c r="AE295" s="48"/>
      <c r="AF295" s="50"/>
      <c r="AG295" s="51">
        <v>-4414941.0</v>
      </c>
      <c r="AH295" s="51">
        <v>-353195.0</v>
      </c>
      <c r="AI295" s="51">
        <v>-4768136.0</v>
      </c>
      <c r="AJ295" s="47" t="s">
        <v>3432</v>
      </c>
      <c r="AK295" s="48"/>
      <c r="AL295" s="50"/>
      <c r="AM295" s="51">
        <v>-5.1189689E7</v>
      </c>
      <c r="AN295" s="51">
        <v>-4095175.0</v>
      </c>
      <c r="AO295" s="51">
        <v>-5.5284864E7</v>
      </c>
      <c r="AP295" s="47"/>
      <c r="AQ295" s="48"/>
      <c r="AR295" s="50"/>
      <c r="AS295" s="51"/>
      <c r="AT295" s="51"/>
      <c r="AU295" s="51"/>
      <c r="AV295" s="47"/>
      <c r="AW295" s="48"/>
      <c r="AX295" s="50"/>
      <c r="AY295" s="51"/>
      <c r="AZ295" s="51"/>
      <c r="BA295" s="51"/>
      <c r="BB295" s="51">
        <f t="shared" ref="BB295:BD295" si="293">IF(AND(ISNUMBER(Z295),COUNT(AG295,AM295,AS295,AY295)=2),Z295+SUM(AG295,AM295,AS295,AY295),"")</f>
        <v>0</v>
      </c>
      <c r="BC295" s="51">
        <f t="shared" si="293"/>
        <v>0</v>
      </c>
      <c r="BD295" s="51">
        <f t="shared" si="293"/>
        <v>0</v>
      </c>
    </row>
    <row r="296" ht="48.0" customHeight="1">
      <c r="A296" s="49" t="s">
        <v>40</v>
      </c>
      <c r="B296" s="49" t="str">
        <f t="array" ref="B296">INDEX('HD cty 2024'!B:B,MATCH('F0, F1, F2, ...'!$C296,'HD cty 2024'!B:B,0))</f>
        <v>#N/A</v>
      </c>
      <c r="C296" s="49">
        <v>364.0</v>
      </c>
      <c r="D296" s="50">
        <v>45504.0</v>
      </c>
      <c r="E296" s="51">
        <v>7.0818808E7</v>
      </c>
      <c r="F296" s="51">
        <v>5665505.0</v>
      </c>
      <c r="G296" s="51">
        <v>7.6484313E7</v>
      </c>
      <c r="H296" s="49" t="s">
        <v>414</v>
      </c>
      <c r="I296" s="52" t="s">
        <v>3433</v>
      </c>
      <c r="J296" s="50">
        <v>45806.0</v>
      </c>
      <c r="K296" s="51">
        <v>7200636.0</v>
      </c>
      <c r="L296" s="51">
        <v>576051.0</v>
      </c>
      <c r="M296" s="51">
        <v>7776687.0</v>
      </c>
      <c r="N296" s="49"/>
      <c r="O296" s="52"/>
      <c r="P296" s="50"/>
      <c r="Q296" s="51"/>
      <c r="R296" s="51"/>
      <c r="S296" s="51"/>
      <c r="T296" s="49"/>
      <c r="U296" s="52"/>
      <c r="V296" s="50"/>
      <c r="W296" s="51"/>
      <c r="X296" s="51"/>
      <c r="Y296" s="51"/>
      <c r="Z296" s="51">
        <v>7.8019444E7</v>
      </c>
      <c r="AA296" s="51">
        <v>6241556.0</v>
      </c>
      <c r="AB296" s="51">
        <v>8.4261E7</v>
      </c>
      <c r="AC296" s="47"/>
      <c r="AD296" s="47" t="s">
        <v>3434</v>
      </c>
      <c r="AE296" s="48"/>
      <c r="AF296" s="50"/>
      <c r="AG296" s="51">
        <v>-7200636.0</v>
      </c>
      <c r="AH296" s="51">
        <v>-576051.0</v>
      </c>
      <c r="AI296" s="51">
        <v>-7776687.0</v>
      </c>
      <c r="AJ296" s="47" t="s">
        <v>3435</v>
      </c>
      <c r="AK296" s="48"/>
      <c r="AL296" s="50"/>
      <c r="AM296" s="51">
        <v>-7.0818808E7</v>
      </c>
      <c r="AN296" s="51">
        <v>-5665505.0</v>
      </c>
      <c r="AO296" s="51">
        <v>-7.6484313E7</v>
      </c>
      <c r="AP296" s="47"/>
      <c r="AQ296" s="48"/>
      <c r="AR296" s="50"/>
      <c r="AS296" s="51"/>
      <c r="AT296" s="51"/>
      <c r="AU296" s="51"/>
      <c r="AV296" s="47"/>
      <c r="AW296" s="48"/>
      <c r="AX296" s="50"/>
      <c r="AY296" s="51"/>
      <c r="AZ296" s="51"/>
      <c r="BA296" s="51"/>
      <c r="BB296" s="51">
        <f t="shared" ref="BB296:BD296" si="294">IF(AND(ISNUMBER(Z296),COUNT(AG296,AM296,AS296,AY296)=2),Z296+SUM(AG296,AM296,AS296,AY296),"")</f>
        <v>0</v>
      </c>
      <c r="BC296" s="51">
        <f t="shared" si="294"/>
        <v>0</v>
      </c>
      <c r="BD296" s="51">
        <f t="shared" si="294"/>
        <v>0</v>
      </c>
    </row>
    <row r="297" ht="48.0" customHeight="1">
      <c r="A297" s="49" t="s">
        <v>40</v>
      </c>
      <c r="B297" s="49" t="str">
        <f t="array" ref="B297">INDEX('HD cty 2024'!B:B,MATCH('F0, F1, F2, ...'!$C297,'HD cty 2024'!B:B,0))</f>
        <v>#N/A</v>
      </c>
      <c r="C297" s="49">
        <v>365.0</v>
      </c>
      <c r="D297" s="50">
        <v>45504.0</v>
      </c>
      <c r="E297" s="51">
        <v>2.23472656E8</v>
      </c>
      <c r="F297" s="51">
        <v>1.7877812E7</v>
      </c>
      <c r="G297" s="51">
        <v>2.41350468E8</v>
      </c>
      <c r="H297" s="49" t="s">
        <v>414</v>
      </c>
      <c r="I297" s="52" t="s">
        <v>3436</v>
      </c>
      <c r="J297" s="50">
        <v>45806.0</v>
      </c>
      <c r="K297" s="51">
        <v>2.4439381E7</v>
      </c>
      <c r="L297" s="51">
        <v>1955150.0</v>
      </c>
      <c r="M297" s="51">
        <v>2.6394531E7</v>
      </c>
      <c r="N297" s="49"/>
      <c r="O297" s="52"/>
      <c r="P297" s="50"/>
      <c r="Q297" s="51"/>
      <c r="R297" s="51"/>
      <c r="S297" s="51"/>
      <c r="T297" s="49"/>
      <c r="U297" s="52"/>
      <c r="V297" s="50"/>
      <c r="W297" s="51"/>
      <c r="X297" s="51"/>
      <c r="Y297" s="51"/>
      <c r="Z297" s="51">
        <v>2.47912037E8</v>
      </c>
      <c r="AA297" s="51">
        <v>1.9832962E7</v>
      </c>
      <c r="AB297" s="51">
        <v>2.67744999E8</v>
      </c>
      <c r="AC297" s="47"/>
      <c r="AD297" s="47" t="s">
        <v>3437</v>
      </c>
      <c r="AE297" s="48"/>
      <c r="AF297" s="50"/>
      <c r="AG297" s="51">
        <v>-2.4439381E7</v>
      </c>
      <c r="AH297" s="51">
        <v>-1955150.0</v>
      </c>
      <c r="AI297" s="51">
        <v>-2.6394531E7</v>
      </c>
      <c r="AJ297" s="47" t="s">
        <v>3438</v>
      </c>
      <c r="AK297" s="48"/>
      <c r="AL297" s="50"/>
      <c r="AM297" s="51">
        <v>-2.23472656E8</v>
      </c>
      <c r="AN297" s="51">
        <v>-1.7877812E7</v>
      </c>
      <c r="AO297" s="51">
        <v>-2.41350468E8</v>
      </c>
      <c r="AP297" s="47"/>
      <c r="AQ297" s="48"/>
      <c r="AR297" s="50"/>
      <c r="AS297" s="51"/>
      <c r="AT297" s="51"/>
      <c r="AU297" s="51"/>
      <c r="AV297" s="47"/>
      <c r="AW297" s="48"/>
      <c r="AX297" s="50"/>
      <c r="AY297" s="51"/>
      <c r="AZ297" s="51"/>
      <c r="BA297" s="51"/>
      <c r="BB297" s="51">
        <f t="shared" ref="BB297:BD297" si="295">IF(AND(ISNUMBER(Z297),COUNT(AG297,AM297,AS297,AY297)=2),Z297+SUM(AG297,AM297,AS297,AY297),"")</f>
        <v>0</v>
      </c>
      <c r="BC297" s="51">
        <f t="shared" si="295"/>
        <v>0</v>
      </c>
      <c r="BD297" s="51">
        <f t="shared" si="295"/>
        <v>0</v>
      </c>
    </row>
    <row r="298" ht="48.0" customHeight="1">
      <c r="A298" s="49" t="s">
        <v>40</v>
      </c>
      <c r="B298" s="49" t="str">
        <f t="array" ref="B298">INDEX('HD cty 2024'!B:B,MATCH('F0, F1, F2, ...'!$C298,'HD cty 2024'!B:B,0))</f>
        <v>#N/A</v>
      </c>
      <c r="C298" s="49">
        <v>366.0</v>
      </c>
      <c r="D298" s="50">
        <v>45506.0</v>
      </c>
      <c r="E298" s="51">
        <v>1.69474371E8</v>
      </c>
      <c r="F298" s="51">
        <v>1.355795E7</v>
      </c>
      <c r="G298" s="51">
        <v>1.83032321E8</v>
      </c>
      <c r="H298" s="49" t="s">
        <v>414</v>
      </c>
      <c r="I298" s="52" t="s">
        <v>3439</v>
      </c>
      <c r="J298" s="50">
        <v>45806.0</v>
      </c>
      <c r="K298" s="51">
        <v>2.0149703E7</v>
      </c>
      <c r="L298" s="51">
        <v>1611976.0</v>
      </c>
      <c r="M298" s="51">
        <v>2.1761679E7</v>
      </c>
      <c r="N298" s="49"/>
      <c r="O298" s="52"/>
      <c r="P298" s="50"/>
      <c r="Q298" s="51"/>
      <c r="R298" s="51"/>
      <c r="S298" s="51"/>
      <c r="T298" s="49"/>
      <c r="U298" s="52"/>
      <c r="V298" s="50"/>
      <c r="W298" s="51"/>
      <c r="X298" s="51"/>
      <c r="Y298" s="51"/>
      <c r="Z298" s="51">
        <v>1.89624074E8</v>
      </c>
      <c r="AA298" s="51">
        <v>1.5169926E7</v>
      </c>
      <c r="AB298" s="51">
        <v>2.04794E8</v>
      </c>
      <c r="AC298" s="47"/>
      <c r="AD298" s="47" t="s">
        <v>3440</v>
      </c>
      <c r="AE298" s="48"/>
      <c r="AF298" s="50"/>
      <c r="AG298" s="51">
        <v>-2.0149703E7</v>
      </c>
      <c r="AH298" s="51">
        <v>-1611976.0</v>
      </c>
      <c r="AI298" s="51">
        <v>-2.1761679E7</v>
      </c>
      <c r="AJ298" s="47" t="s">
        <v>3441</v>
      </c>
      <c r="AK298" s="48"/>
      <c r="AL298" s="50"/>
      <c r="AM298" s="51">
        <v>-1.69474371E8</v>
      </c>
      <c r="AN298" s="51">
        <v>-1.355795E7</v>
      </c>
      <c r="AO298" s="51">
        <v>-1.83032321E8</v>
      </c>
      <c r="AP298" s="47"/>
      <c r="AQ298" s="48"/>
      <c r="AR298" s="50"/>
      <c r="AS298" s="51"/>
      <c r="AT298" s="51"/>
      <c r="AU298" s="51"/>
      <c r="AV298" s="47"/>
      <c r="AW298" s="48"/>
      <c r="AX298" s="50"/>
      <c r="AY298" s="51"/>
      <c r="AZ298" s="51"/>
      <c r="BA298" s="51"/>
      <c r="BB298" s="51">
        <f t="shared" ref="BB298:BD298" si="296">IF(AND(ISNUMBER(Z298),COUNT(AG298,AM298,AS298,AY298)=2),Z298+SUM(AG298,AM298,AS298,AY298),"")</f>
        <v>0</v>
      </c>
      <c r="BC298" s="51">
        <f t="shared" si="296"/>
        <v>0</v>
      </c>
      <c r="BD298" s="51">
        <f t="shared" si="296"/>
        <v>0</v>
      </c>
    </row>
    <row r="299" ht="48.0" customHeight="1">
      <c r="A299" s="49" t="s">
        <v>40</v>
      </c>
      <c r="B299" s="49" t="str">
        <f t="array" ref="B299">INDEX('HD cty 2024'!B:B,MATCH('F0, F1, F2, ...'!$C299,'HD cty 2024'!B:B,0))</f>
        <v>#N/A</v>
      </c>
      <c r="C299" s="49">
        <v>367.0</v>
      </c>
      <c r="D299" s="50">
        <v>45506.0</v>
      </c>
      <c r="E299" s="51">
        <v>1.06408571E8</v>
      </c>
      <c r="F299" s="51">
        <v>8512686.0</v>
      </c>
      <c r="G299" s="51">
        <v>1.14921257E8</v>
      </c>
      <c r="H299" s="49" t="s">
        <v>414</v>
      </c>
      <c r="I299" s="52" t="s">
        <v>3442</v>
      </c>
      <c r="J299" s="50">
        <v>45806.0</v>
      </c>
      <c r="K299" s="51">
        <v>1.0465503E7</v>
      </c>
      <c r="L299" s="51">
        <v>837240.0</v>
      </c>
      <c r="M299" s="51">
        <v>1.1302743E7</v>
      </c>
      <c r="N299" s="49"/>
      <c r="O299" s="52"/>
      <c r="P299" s="50"/>
      <c r="Q299" s="51"/>
      <c r="R299" s="51"/>
      <c r="S299" s="51"/>
      <c r="T299" s="49"/>
      <c r="U299" s="52"/>
      <c r="V299" s="50"/>
      <c r="W299" s="51"/>
      <c r="X299" s="51"/>
      <c r="Y299" s="51"/>
      <c r="Z299" s="51">
        <v>1.16874074E8</v>
      </c>
      <c r="AA299" s="51">
        <v>9349926.0</v>
      </c>
      <c r="AB299" s="51">
        <v>1.26224E8</v>
      </c>
      <c r="AC299" s="47"/>
      <c r="AD299" s="47" t="s">
        <v>3443</v>
      </c>
      <c r="AE299" s="48"/>
      <c r="AF299" s="50"/>
      <c r="AG299" s="51">
        <v>-1.0465503E7</v>
      </c>
      <c r="AH299" s="51">
        <v>-837240.0</v>
      </c>
      <c r="AI299" s="51">
        <v>-1.1302743E7</v>
      </c>
      <c r="AJ299" s="47" t="s">
        <v>3444</v>
      </c>
      <c r="AK299" s="48"/>
      <c r="AL299" s="50"/>
      <c r="AM299" s="51">
        <v>-1.06408571E8</v>
      </c>
      <c r="AN299" s="51">
        <v>-8512686.0</v>
      </c>
      <c r="AO299" s="51">
        <v>-1.14921257E8</v>
      </c>
      <c r="AP299" s="47"/>
      <c r="AQ299" s="48"/>
      <c r="AR299" s="50"/>
      <c r="AS299" s="51"/>
      <c r="AT299" s="51"/>
      <c r="AU299" s="51"/>
      <c r="AV299" s="47"/>
      <c r="AW299" s="48"/>
      <c r="AX299" s="50"/>
      <c r="AY299" s="51"/>
      <c r="AZ299" s="51"/>
      <c r="BA299" s="51"/>
      <c r="BB299" s="51">
        <f t="shared" ref="BB299:BD299" si="297">IF(AND(ISNUMBER(Z299),COUNT(AG299,AM299,AS299,AY299)=2),Z299+SUM(AG299,AM299,AS299,AY299),"")</f>
        <v>0</v>
      </c>
      <c r="BC299" s="51">
        <f t="shared" si="297"/>
        <v>0</v>
      </c>
      <c r="BD299" s="51">
        <f t="shared" si="297"/>
        <v>0</v>
      </c>
    </row>
    <row r="300" ht="48.0" customHeight="1">
      <c r="A300" s="49" t="s">
        <v>40</v>
      </c>
      <c r="B300" s="49" t="str">
        <f t="array" ref="B300">INDEX('HD cty 2024'!B:B,MATCH('F0, F1, F2, ...'!$C300,'HD cty 2024'!B:B,0))</f>
        <v>#N/A</v>
      </c>
      <c r="C300" s="49">
        <v>368.0</v>
      </c>
      <c r="D300" s="50">
        <v>45506.0</v>
      </c>
      <c r="E300" s="51">
        <v>8.3987478E7</v>
      </c>
      <c r="F300" s="51">
        <v>6718998.0</v>
      </c>
      <c r="G300" s="51">
        <v>9.0706476E7</v>
      </c>
      <c r="H300" s="49" t="s">
        <v>414</v>
      </c>
      <c r="I300" s="52" t="s">
        <v>3445</v>
      </c>
      <c r="J300" s="50">
        <v>45806.0</v>
      </c>
      <c r="K300" s="51">
        <v>7731966.0</v>
      </c>
      <c r="L300" s="51">
        <v>618557.0</v>
      </c>
      <c r="M300" s="51">
        <v>8350523.0</v>
      </c>
      <c r="N300" s="49"/>
      <c r="O300" s="52"/>
      <c r="P300" s="50"/>
      <c r="Q300" s="51"/>
      <c r="R300" s="51"/>
      <c r="S300" s="51"/>
      <c r="T300" s="49"/>
      <c r="U300" s="52"/>
      <c r="V300" s="50"/>
      <c r="W300" s="51"/>
      <c r="X300" s="51"/>
      <c r="Y300" s="51"/>
      <c r="Z300" s="51">
        <v>9.1719444E7</v>
      </c>
      <c r="AA300" s="51">
        <v>7337555.0</v>
      </c>
      <c r="AB300" s="51">
        <v>9.9056999E7</v>
      </c>
      <c r="AC300" s="47"/>
      <c r="AD300" s="47" t="s">
        <v>3446</v>
      </c>
      <c r="AE300" s="48"/>
      <c r="AF300" s="50"/>
      <c r="AG300" s="51">
        <v>-7731966.0</v>
      </c>
      <c r="AH300" s="51">
        <v>-618557.0</v>
      </c>
      <c r="AI300" s="51">
        <v>-8350523.0</v>
      </c>
      <c r="AJ300" s="47" t="s">
        <v>3447</v>
      </c>
      <c r="AK300" s="48"/>
      <c r="AL300" s="50"/>
      <c r="AM300" s="51">
        <v>-8.3987478E7</v>
      </c>
      <c r="AN300" s="51">
        <v>-6718998.0</v>
      </c>
      <c r="AO300" s="51">
        <v>-9.0706476E7</v>
      </c>
      <c r="AP300" s="47"/>
      <c r="AQ300" s="48"/>
      <c r="AR300" s="50"/>
      <c r="AS300" s="51"/>
      <c r="AT300" s="51"/>
      <c r="AU300" s="51"/>
      <c r="AV300" s="47"/>
      <c r="AW300" s="48"/>
      <c r="AX300" s="50"/>
      <c r="AY300" s="51"/>
      <c r="AZ300" s="51"/>
      <c r="BA300" s="51"/>
      <c r="BB300" s="51">
        <f t="shared" ref="BB300:BD300" si="298">IF(AND(ISNUMBER(Z300),COUNT(AG300,AM300,AS300,AY300)=2),Z300+SUM(AG300,AM300,AS300,AY300),"")</f>
        <v>0</v>
      </c>
      <c r="BC300" s="51">
        <f t="shared" si="298"/>
        <v>0</v>
      </c>
      <c r="BD300" s="51">
        <f t="shared" si="298"/>
        <v>0</v>
      </c>
    </row>
    <row r="301" ht="48.0" customHeight="1">
      <c r="A301" s="49" t="s">
        <v>40</v>
      </c>
      <c r="B301" s="49" t="str">
        <f t="array" ref="B301">INDEX('HD cty 2024'!B:B,MATCH('F0, F1, F2, ...'!$C301,'HD cty 2024'!B:B,0))</f>
        <v>#N/A</v>
      </c>
      <c r="C301" s="49">
        <v>369.0</v>
      </c>
      <c r="D301" s="50">
        <v>45506.0</v>
      </c>
      <c r="E301" s="51">
        <v>8.324762E7</v>
      </c>
      <c r="F301" s="51">
        <v>6659810.0</v>
      </c>
      <c r="G301" s="51">
        <v>8.990743E7</v>
      </c>
      <c r="H301" s="49" t="s">
        <v>414</v>
      </c>
      <c r="I301" s="52" t="s">
        <v>3448</v>
      </c>
      <c r="J301" s="50">
        <v>45806.0</v>
      </c>
      <c r="K301" s="51">
        <v>8923676.0</v>
      </c>
      <c r="L301" s="51">
        <v>713894.0</v>
      </c>
      <c r="M301" s="51">
        <v>9637570.0</v>
      </c>
      <c r="N301" s="49"/>
      <c r="O301" s="52"/>
      <c r="P301" s="50"/>
      <c r="Q301" s="51"/>
      <c r="R301" s="51"/>
      <c r="S301" s="51"/>
      <c r="T301" s="49"/>
      <c r="U301" s="52"/>
      <c r="V301" s="50"/>
      <c r="W301" s="51"/>
      <c r="X301" s="51"/>
      <c r="Y301" s="51"/>
      <c r="Z301" s="51">
        <v>9.2171296E7</v>
      </c>
      <c r="AA301" s="51">
        <v>7373704.0</v>
      </c>
      <c r="AB301" s="51">
        <v>9.9545E7</v>
      </c>
      <c r="AC301" s="47"/>
      <c r="AD301" s="47" t="s">
        <v>3449</v>
      </c>
      <c r="AE301" s="48"/>
      <c r="AF301" s="50"/>
      <c r="AG301" s="51">
        <v>-8923676.0</v>
      </c>
      <c r="AH301" s="51">
        <v>-713894.0</v>
      </c>
      <c r="AI301" s="51">
        <v>-9637570.0</v>
      </c>
      <c r="AJ301" s="47" t="s">
        <v>3450</v>
      </c>
      <c r="AK301" s="48"/>
      <c r="AL301" s="50"/>
      <c r="AM301" s="51">
        <v>-8.324762E7</v>
      </c>
      <c r="AN301" s="51">
        <v>-6659810.0</v>
      </c>
      <c r="AO301" s="51">
        <v>-8.990743E7</v>
      </c>
      <c r="AP301" s="47"/>
      <c r="AQ301" s="48"/>
      <c r="AR301" s="50"/>
      <c r="AS301" s="51"/>
      <c r="AT301" s="51"/>
      <c r="AU301" s="51"/>
      <c r="AV301" s="47"/>
      <c r="AW301" s="48"/>
      <c r="AX301" s="50"/>
      <c r="AY301" s="51"/>
      <c r="AZ301" s="51"/>
      <c r="BA301" s="51"/>
      <c r="BB301" s="51">
        <f t="shared" ref="BB301:BD301" si="299">IF(AND(ISNUMBER(Z301),COUNT(AG301,AM301,AS301,AY301)=2),Z301+SUM(AG301,AM301,AS301,AY301),"")</f>
        <v>0</v>
      </c>
      <c r="BC301" s="51">
        <f t="shared" si="299"/>
        <v>0</v>
      </c>
      <c r="BD301" s="51">
        <f t="shared" si="299"/>
        <v>0</v>
      </c>
    </row>
    <row r="302" ht="102.0" customHeight="1">
      <c r="A302" s="49" t="s">
        <v>40</v>
      </c>
      <c r="B302" s="49" t="str">
        <f t="array" ref="B302">INDEX('HD cty 2024'!B:B,MATCH('F0, F1, F2, ...'!$C302,'HD cty 2024'!B:B,0))</f>
        <v>#N/A</v>
      </c>
      <c r="C302" s="49">
        <v>370.0</v>
      </c>
      <c r="D302" s="50">
        <v>45506.0</v>
      </c>
      <c r="E302" s="51">
        <v>2649324.0</v>
      </c>
      <c r="F302" s="51">
        <v>211946.0</v>
      </c>
      <c r="G302" s="51">
        <v>2861270.0</v>
      </c>
      <c r="H302" s="49" t="s">
        <v>414</v>
      </c>
      <c r="I302" s="52" t="s">
        <v>3451</v>
      </c>
      <c r="J302" s="50">
        <v>45806.0</v>
      </c>
      <c r="K302" s="51">
        <v>-2649324.0</v>
      </c>
      <c r="L302" s="51">
        <v>-211946.0</v>
      </c>
      <c r="M302" s="51">
        <v>-2861270.0</v>
      </c>
      <c r="N302" s="49"/>
      <c r="O302" s="52"/>
      <c r="P302" s="50"/>
      <c r="Q302" s="51"/>
      <c r="R302" s="51"/>
      <c r="S302" s="51"/>
      <c r="T302" s="49"/>
      <c r="U302" s="52"/>
      <c r="V302" s="50"/>
      <c r="W302" s="51"/>
      <c r="X302" s="51"/>
      <c r="Y302" s="51"/>
      <c r="Z302" s="51">
        <v>0.0</v>
      </c>
      <c r="AA302" s="51">
        <v>0.0</v>
      </c>
      <c r="AB302" s="51">
        <v>0.0</v>
      </c>
      <c r="AC302" s="47" t="s">
        <v>3452</v>
      </c>
      <c r="AD302" s="47" t="s">
        <v>3453</v>
      </c>
      <c r="AE302" s="48"/>
      <c r="AF302" s="50">
        <v>46304.0</v>
      </c>
      <c r="AG302" s="51">
        <v>2649324.0</v>
      </c>
      <c r="AH302" s="51">
        <v>211946.0</v>
      </c>
      <c r="AI302" s="51">
        <v>2861270.0</v>
      </c>
      <c r="AJ302" s="47" t="s">
        <v>3454</v>
      </c>
      <c r="AK302" s="48"/>
      <c r="AL302" s="50">
        <v>46304.0</v>
      </c>
      <c r="AM302" s="51">
        <v>-2649324.0</v>
      </c>
      <c r="AN302" s="51">
        <v>-211946.0</v>
      </c>
      <c r="AO302" s="51">
        <v>-2861270.0</v>
      </c>
      <c r="AP302" s="47"/>
      <c r="AQ302" s="48"/>
      <c r="AR302" s="50"/>
      <c r="AS302" s="51"/>
      <c r="AT302" s="51"/>
      <c r="AU302" s="51"/>
      <c r="AV302" s="47"/>
      <c r="AW302" s="48"/>
      <c r="AX302" s="50"/>
      <c r="AY302" s="51"/>
      <c r="AZ302" s="51"/>
      <c r="BA302" s="51"/>
      <c r="BB302" s="51">
        <f t="shared" ref="BB302:BD302" si="300">IF(AND(ISNUMBER(Z302),COUNT(AG302,AM302,AS302,AY302)=2),Z302+SUM(AG302,AM302,AS302,AY302),"")</f>
        <v>0</v>
      </c>
      <c r="BC302" s="51">
        <f t="shared" si="300"/>
        <v>0</v>
      </c>
      <c r="BD302" s="51">
        <f t="shared" si="300"/>
        <v>0</v>
      </c>
    </row>
    <row r="303" ht="48.0" customHeight="1">
      <c r="A303" s="49" t="s">
        <v>40</v>
      </c>
      <c r="B303" s="49" t="str">
        <f t="array" ref="B303">INDEX('HD cty 2024'!B:B,MATCH('F0, F1, F2, ...'!$C303,'HD cty 2024'!B:B,0))</f>
        <v>#N/A</v>
      </c>
      <c r="C303" s="49">
        <v>371.0</v>
      </c>
      <c r="D303" s="50">
        <v>45507.0</v>
      </c>
      <c r="E303" s="51">
        <v>414815.0</v>
      </c>
      <c r="F303" s="51">
        <v>33185.0</v>
      </c>
      <c r="G303" s="51">
        <v>448000.0</v>
      </c>
      <c r="H303" s="49" t="s">
        <v>414</v>
      </c>
      <c r="I303" s="52" t="s">
        <v>3455</v>
      </c>
      <c r="J303" s="50">
        <v>45807.0</v>
      </c>
      <c r="K303" s="51">
        <v>38889.0</v>
      </c>
      <c r="L303" s="51">
        <v>3111.0</v>
      </c>
      <c r="M303" s="51">
        <v>42000.0</v>
      </c>
      <c r="N303" s="49"/>
      <c r="O303" s="52"/>
      <c r="P303" s="50"/>
      <c r="Q303" s="51"/>
      <c r="R303" s="51"/>
      <c r="S303" s="51"/>
      <c r="T303" s="49"/>
      <c r="U303" s="52"/>
      <c r="V303" s="50"/>
      <c r="W303" s="51"/>
      <c r="X303" s="51"/>
      <c r="Y303" s="51"/>
      <c r="Z303" s="51">
        <v>453704.0</v>
      </c>
      <c r="AA303" s="51">
        <v>36296.0</v>
      </c>
      <c r="AB303" s="51">
        <v>490000.0</v>
      </c>
      <c r="AC303" s="47"/>
      <c r="AD303" s="47" t="s">
        <v>3456</v>
      </c>
      <c r="AE303" s="48"/>
      <c r="AF303" s="50"/>
      <c r="AG303" s="51">
        <v>-38889.0</v>
      </c>
      <c r="AH303" s="51">
        <v>-3111.0</v>
      </c>
      <c r="AI303" s="51">
        <v>-42000.0</v>
      </c>
      <c r="AJ303" s="47" t="s">
        <v>3457</v>
      </c>
      <c r="AK303" s="48"/>
      <c r="AL303" s="50"/>
      <c r="AM303" s="51">
        <v>-414815.0</v>
      </c>
      <c r="AN303" s="51">
        <v>-33185.0</v>
      </c>
      <c r="AO303" s="51">
        <v>-448000.0</v>
      </c>
      <c r="AP303" s="47"/>
      <c r="AQ303" s="48"/>
      <c r="AR303" s="50"/>
      <c r="AS303" s="51"/>
      <c r="AT303" s="51"/>
      <c r="AU303" s="51"/>
      <c r="AV303" s="47"/>
      <c r="AW303" s="48"/>
      <c r="AX303" s="50"/>
      <c r="AY303" s="51"/>
      <c r="AZ303" s="51"/>
      <c r="BA303" s="51"/>
      <c r="BB303" s="51">
        <f t="shared" ref="BB303:BD303" si="301">IF(AND(ISNUMBER(Z303),COUNT(AG303,AM303,AS303,AY303)=2),Z303+SUM(AG303,AM303,AS303,AY303),"")</f>
        <v>0</v>
      </c>
      <c r="BC303" s="51">
        <f t="shared" si="301"/>
        <v>0</v>
      </c>
      <c r="BD303" s="51">
        <f t="shared" si="301"/>
        <v>0</v>
      </c>
    </row>
    <row r="304" ht="48.0" customHeight="1">
      <c r="A304" s="49" t="s">
        <v>40</v>
      </c>
      <c r="B304" s="49" t="str">
        <f t="array" ref="B304">INDEX('HD cty 2024'!B:B,MATCH('F0, F1, F2, ...'!$C304,'HD cty 2024'!B:B,0))</f>
        <v>#N/A</v>
      </c>
      <c r="C304" s="49">
        <v>372.0</v>
      </c>
      <c r="D304" s="50">
        <v>45507.0</v>
      </c>
      <c r="E304" s="51">
        <v>7.3223062E7</v>
      </c>
      <c r="F304" s="51">
        <v>5857845.0</v>
      </c>
      <c r="G304" s="51">
        <v>7.9080907E7</v>
      </c>
      <c r="H304" s="49" t="s">
        <v>414</v>
      </c>
      <c r="I304" s="52" t="s">
        <v>3458</v>
      </c>
      <c r="J304" s="50">
        <v>45806.0</v>
      </c>
      <c r="K304" s="51">
        <v>8286197.0</v>
      </c>
      <c r="L304" s="51">
        <v>662896.0</v>
      </c>
      <c r="M304" s="51">
        <v>8949093.0</v>
      </c>
      <c r="N304" s="49"/>
      <c r="O304" s="52"/>
      <c r="P304" s="50"/>
      <c r="Q304" s="51"/>
      <c r="R304" s="51"/>
      <c r="S304" s="51"/>
      <c r="T304" s="49"/>
      <c r="U304" s="52"/>
      <c r="V304" s="50"/>
      <c r="W304" s="51"/>
      <c r="X304" s="51"/>
      <c r="Y304" s="51"/>
      <c r="Z304" s="51">
        <v>8.1509259E7</v>
      </c>
      <c r="AA304" s="51">
        <v>6520741.0</v>
      </c>
      <c r="AB304" s="51">
        <v>8.803E7</v>
      </c>
      <c r="AC304" s="47"/>
      <c r="AD304" s="47" t="s">
        <v>3459</v>
      </c>
      <c r="AE304" s="48"/>
      <c r="AF304" s="50"/>
      <c r="AG304" s="51">
        <v>-8286197.0</v>
      </c>
      <c r="AH304" s="51">
        <v>-662896.0</v>
      </c>
      <c r="AI304" s="51">
        <v>-8949093.0</v>
      </c>
      <c r="AJ304" s="47" t="s">
        <v>3460</v>
      </c>
      <c r="AK304" s="48"/>
      <c r="AL304" s="50"/>
      <c r="AM304" s="51">
        <v>-7.3223062E7</v>
      </c>
      <c r="AN304" s="51">
        <v>-5857845.0</v>
      </c>
      <c r="AO304" s="51">
        <v>-7.9080907E7</v>
      </c>
      <c r="AP304" s="47"/>
      <c r="AQ304" s="48"/>
      <c r="AR304" s="50"/>
      <c r="AS304" s="51"/>
      <c r="AT304" s="51"/>
      <c r="AU304" s="51"/>
      <c r="AV304" s="47"/>
      <c r="AW304" s="48"/>
      <c r="AX304" s="50"/>
      <c r="AY304" s="51"/>
      <c r="AZ304" s="51"/>
      <c r="BA304" s="51"/>
      <c r="BB304" s="51">
        <f t="shared" ref="BB304:BD304" si="302">IF(AND(ISNUMBER(Z304),COUNT(AG304,AM304,AS304,AY304)=2),Z304+SUM(AG304,AM304,AS304,AY304),"")</f>
        <v>0</v>
      </c>
      <c r="BC304" s="51">
        <f t="shared" si="302"/>
        <v>0</v>
      </c>
      <c r="BD304" s="51">
        <f t="shared" si="302"/>
        <v>0</v>
      </c>
    </row>
    <row r="305" ht="48.0" customHeight="1">
      <c r="A305" s="49" t="s">
        <v>40</v>
      </c>
      <c r="B305" s="49" t="str">
        <f t="array" ref="B305">INDEX('HD cty 2024'!B:B,MATCH('F0, F1, F2, ...'!$C305,'HD cty 2024'!B:B,0))</f>
        <v>#N/A</v>
      </c>
      <c r="C305" s="49">
        <v>373.0</v>
      </c>
      <c r="D305" s="50">
        <v>45507.0</v>
      </c>
      <c r="E305" s="51">
        <v>9.7087627E7</v>
      </c>
      <c r="F305" s="51">
        <v>7767010.0</v>
      </c>
      <c r="G305" s="51">
        <v>1.04854637E8</v>
      </c>
      <c r="H305" s="49" t="s">
        <v>414</v>
      </c>
      <c r="I305" s="52" t="s">
        <v>3461</v>
      </c>
      <c r="J305" s="50">
        <v>45806.0</v>
      </c>
      <c r="K305" s="51">
        <v>8717003.0</v>
      </c>
      <c r="L305" s="51">
        <v>697360.0</v>
      </c>
      <c r="M305" s="51">
        <v>9414363.0</v>
      </c>
      <c r="N305" s="49"/>
      <c r="O305" s="52"/>
      <c r="P305" s="50"/>
      <c r="Q305" s="51"/>
      <c r="R305" s="51"/>
      <c r="S305" s="51"/>
      <c r="T305" s="49"/>
      <c r="U305" s="52"/>
      <c r="V305" s="50"/>
      <c r="W305" s="51"/>
      <c r="X305" s="51"/>
      <c r="Y305" s="51"/>
      <c r="Z305" s="51">
        <v>1.0580463E8</v>
      </c>
      <c r="AA305" s="51">
        <v>8464370.0</v>
      </c>
      <c r="AB305" s="51">
        <v>1.14269E8</v>
      </c>
      <c r="AC305" s="47"/>
      <c r="AD305" s="47" t="s">
        <v>3462</v>
      </c>
      <c r="AE305" s="48"/>
      <c r="AF305" s="50"/>
      <c r="AG305" s="51">
        <v>-8717003.0</v>
      </c>
      <c r="AH305" s="51">
        <v>-697360.0</v>
      </c>
      <c r="AI305" s="51">
        <v>-9414363.0</v>
      </c>
      <c r="AJ305" s="47" t="s">
        <v>3463</v>
      </c>
      <c r="AK305" s="48"/>
      <c r="AL305" s="50"/>
      <c r="AM305" s="51">
        <v>-9.7087627E7</v>
      </c>
      <c r="AN305" s="51">
        <v>-7767010.0</v>
      </c>
      <c r="AO305" s="51">
        <v>-1.04854637E8</v>
      </c>
      <c r="AP305" s="47"/>
      <c r="AQ305" s="48"/>
      <c r="AR305" s="50"/>
      <c r="AS305" s="51"/>
      <c r="AT305" s="51"/>
      <c r="AU305" s="51"/>
      <c r="AV305" s="47"/>
      <c r="AW305" s="48"/>
      <c r="AX305" s="50"/>
      <c r="AY305" s="51"/>
      <c r="AZ305" s="51"/>
      <c r="BA305" s="51"/>
      <c r="BB305" s="51">
        <f t="shared" ref="BB305:BD305" si="303">IF(AND(ISNUMBER(Z305),COUNT(AG305,AM305,AS305,AY305)=2),Z305+SUM(AG305,AM305,AS305,AY305),"")</f>
        <v>0</v>
      </c>
      <c r="BC305" s="51">
        <f t="shared" si="303"/>
        <v>0</v>
      </c>
      <c r="BD305" s="51">
        <f t="shared" si="303"/>
        <v>0</v>
      </c>
    </row>
    <row r="306" ht="48.0" customHeight="1">
      <c r="A306" s="49" t="s">
        <v>40</v>
      </c>
      <c r="B306" s="49" t="str">
        <f t="array" ref="B306">INDEX('HD cty 2024'!B:B,MATCH('F0, F1, F2, ...'!$C306,'HD cty 2024'!B:B,0))</f>
        <v>#N/A</v>
      </c>
      <c r="C306" s="49">
        <v>374.0</v>
      </c>
      <c r="D306" s="50">
        <v>45507.0</v>
      </c>
      <c r="E306" s="51">
        <v>6.7112016E7</v>
      </c>
      <c r="F306" s="51">
        <v>5368961.0</v>
      </c>
      <c r="G306" s="51">
        <v>7.2480977E7</v>
      </c>
      <c r="H306" s="49" t="s">
        <v>414</v>
      </c>
      <c r="I306" s="52" t="s">
        <v>3464</v>
      </c>
      <c r="J306" s="50">
        <v>45806.0</v>
      </c>
      <c r="K306" s="51">
        <v>6732428.0</v>
      </c>
      <c r="L306" s="51">
        <v>538594.0</v>
      </c>
      <c r="M306" s="51">
        <v>7271022.0</v>
      </c>
      <c r="N306" s="49"/>
      <c r="O306" s="52"/>
      <c r="P306" s="50"/>
      <c r="Q306" s="51"/>
      <c r="R306" s="51"/>
      <c r="S306" s="51"/>
      <c r="T306" s="49"/>
      <c r="U306" s="52"/>
      <c r="V306" s="50"/>
      <c r="W306" s="51"/>
      <c r="X306" s="51"/>
      <c r="Y306" s="51"/>
      <c r="Z306" s="51">
        <v>7.3844444E7</v>
      </c>
      <c r="AA306" s="51">
        <v>5907555.0</v>
      </c>
      <c r="AB306" s="51">
        <v>7.9751999E7</v>
      </c>
      <c r="AC306" s="47"/>
      <c r="AD306" s="47" t="s">
        <v>3465</v>
      </c>
      <c r="AE306" s="48"/>
      <c r="AF306" s="50"/>
      <c r="AG306" s="51">
        <v>-6732428.0</v>
      </c>
      <c r="AH306" s="51">
        <v>-538594.0</v>
      </c>
      <c r="AI306" s="51">
        <v>-7271022.0</v>
      </c>
      <c r="AJ306" s="47" t="s">
        <v>3466</v>
      </c>
      <c r="AK306" s="48"/>
      <c r="AL306" s="50"/>
      <c r="AM306" s="51">
        <v>-6.7112016E7</v>
      </c>
      <c r="AN306" s="51">
        <v>-5368961.0</v>
      </c>
      <c r="AO306" s="51">
        <v>-7.2480977E7</v>
      </c>
      <c r="AP306" s="47"/>
      <c r="AQ306" s="48"/>
      <c r="AR306" s="50"/>
      <c r="AS306" s="51"/>
      <c r="AT306" s="51"/>
      <c r="AU306" s="51"/>
      <c r="AV306" s="47"/>
      <c r="AW306" s="48"/>
      <c r="AX306" s="50"/>
      <c r="AY306" s="51"/>
      <c r="AZ306" s="51"/>
      <c r="BA306" s="51"/>
      <c r="BB306" s="51">
        <f t="shared" ref="BB306:BD306" si="304">IF(AND(ISNUMBER(Z306),COUNT(AG306,AM306,AS306,AY306)=2),Z306+SUM(AG306,AM306,AS306,AY306),"")</f>
        <v>0</v>
      </c>
      <c r="BC306" s="51">
        <f t="shared" si="304"/>
        <v>0</v>
      </c>
      <c r="BD306" s="51">
        <f t="shared" si="304"/>
        <v>0</v>
      </c>
    </row>
    <row r="307" ht="48.0" customHeight="1">
      <c r="A307" s="49" t="s">
        <v>40</v>
      </c>
      <c r="B307" s="49" t="str">
        <f t="array" ref="B307">INDEX('HD cty 2024'!B:B,MATCH('F0, F1, F2, ...'!$C307,'HD cty 2024'!B:B,0))</f>
        <v>#N/A</v>
      </c>
      <c r="C307" s="49">
        <v>375.0</v>
      </c>
      <c r="D307" s="50">
        <v>45511.0</v>
      </c>
      <c r="E307" s="51">
        <v>4.9367444E7</v>
      </c>
      <c r="F307" s="51">
        <v>3949396.0</v>
      </c>
      <c r="G307" s="51">
        <v>5.331684E7</v>
      </c>
      <c r="H307" s="49" t="s">
        <v>414</v>
      </c>
      <c r="I307" s="52" t="s">
        <v>3467</v>
      </c>
      <c r="J307" s="50">
        <v>45806.0</v>
      </c>
      <c r="K307" s="51">
        <v>3024223.0</v>
      </c>
      <c r="L307" s="51">
        <v>241938.0</v>
      </c>
      <c r="M307" s="51">
        <v>3266161.0</v>
      </c>
      <c r="N307" s="49"/>
      <c r="O307" s="52"/>
      <c r="P307" s="50"/>
      <c r="Q307" s="51"/>
      <c r="R307" s="51"/>
      <c r="S307" s="51"/>
      <c r="T307" s="49"/>
      <c r="U307" s="52"/>
      <c r="V307" s="50"/>
      <c r="W307" s="51"/>
      <c r="X307" s="51"/>
      <c r="Y307" s="51"/>
      <c r="Z307" s="51">
        <v>5.2391667E7</v>
      </c>
      <c r="AA307" s="51">
        <v>4191334.0</v>
      </c>
      <c r="AB307" s="51">
        <v>5.6583001E7</v>
      </c>
      <c r="AC307" s="47"/>
      <c r="AD307" s="47" t="s">
        <v>3468</v>
      </c>
      <c r="AE307" s="48"/>
      <c r="AF307" s="50"/>
      <c r="AG307" s="51">
        <v>-3024223.0</v>
      </c>
      <c r="AH307" s="51">
        <v>-241938.0</v>
      </c>
      <c r="AI307" s="51">
        <v>-3266161.0</v>
      </c>
      <c r="AJ307" s="47" t="s">
        <v>3469</v>
      </c>
      <c r="AK307" s="48"/>
      <c r="AL307" s="50"/>
      <c r="AM307" s="51">
        <v>-4.9367444E7</v>
      </c>
      <c r="AN307" s="51">
        <v>-3949396.0</v>
      </c>
      <c r="AO307" s="51">
        <v>-5.331684E7</v>
      </c>
      <c r="AP307" s="47"/>
      <c r="AQ307" s="48"/>
      <c r="AR307" s="50"/>
      <c r="AS307" s="51"/>
      <c r="AT307" s="51"/>
      <c r="AU307" s="51"/>
      <c r="AV307" s="47"/>
      <c r="AW307" s="48"/>
      <c r="AX307" s="50"/>
      <c r="AY307" s="51"/>
      <c r="AZ307" s="51"/>
      <c r="BA307" s="51"/>
      <c r="BB307" s="51">
        <f t="shared" ref="BB307:BD307" si="305">IF(AND(ISNUMBER(Z307),COUNT(AG307,AM307,AS307,AY307)=2),Z307+SUM(AG307,AM307,AS307,AY307),"")</f>
        <v>0</v>
      </c>
      <c r="BC307" s="51">
        <f t="shared" si="305"/>
        <v>0</v>
      </c>
      <c r="BD307" s="51">
        <f t="shared" si="305"/>
        <v>0</v>
      </c>
    </row>
    <row r="308" ht="48.0" customHeight="1">
      <c r="A308" s="49" t="s">
        <v>40</v>
      </c>
      <c r="B308" s="49" t="str">
        <f t="array" ref="B308">INDEX('HD cty 2024'!B:B,MATCH('F0, F1, F2, ...'!$C308,'HD cty 2024'!B:B,0))</f>
        <v>#N/A</v>
      </c>
      <c r="C308" s="49">
        <v>376.0</v>
      </c>
      <c r="D308" s="50">
        <v>45511.0</v>
      </c>
      <c r="E308" s="51">
        <v>1350033.0</v>
      </c>
      <c r="F308" s="51">
        <v>108003.0</v>
      </c>
      <c r="G308" s="51">
        <v>1458036.0</v>
      </c>
      <c r="H308" s="49" t="s">
        <v>414</v>
      </c>
      <c r="I308" s="52" t="s">
        <v>3470</v>
      </c>
      <c r="J308" s="50">
        <v>45807.0</v>
      </c>
      <c r="K308" s="51">
        <v>56513.0</v>
      </c>
      <c r="L308" s="51">
        <v>4521.0</v>
      </c>
      <c r="M308" s="51">
        <v>61034.0</v>
      </c>
      <c r="N308" s="49"/>
      <c r="O308" s="52"/>
      <c r="P308" s="50"/>
      <c r="Q308" s="51"/>
      <c r="R308" s="51"/>
      <c r="S308" s="51"/>
      <c r="T308" s="49"/>
      <c r="U308" s="52"/>
      <c r="V308" s="50"/>
      <c r="W308" s="51"/>
      <c r="X308" s="51"/>
      <c r="Y308" s="51"/>
      <c r="Z308" s="51">
        <v>1406546.0</v>
      </c>
      <c r="AA308" s="51">
        <v>112524.0</v>
      </c>
      <c r="AB308" s="51">
        <v>1519070.0</v>
      </c>
      <c r="AC308" s="47"/>
      <c r="AD308" s="47" t="s">
        <v>3471</v>
      </c>
      <c r="AE308" s="48"/>
      <c r="AF308" s="50"/>
      <c r="AG308" s="51">
        <v>-56513.0</v>
      </c>
      <c r="AH308" s="51">
        <v>-4521.0</v>
      </c>
      <c r="AI308" s="51">
        <v>-61034.0</v>
      </c>
      <c r="AJ308" s="47" t="s">
        <v>3472</v>
      </c>
      <c r="AK308" s="48"/>
      <c r="AL308" s="50"/>
      <c r="AM308" s="51">
        <v>-1350033.0</v>
      </c>
      <c r="AN308" s="51">
        <v>-108003.0</v>
      </c>
      <c r="AO308" s="51">
        <v>-1458036.0</v>
      </c>
      <c r="AP308" s="47"/>
      <c r="AQ308" s="48"/>
      <c r="AR308" s="50"/>
      <c r="AS308" s="51"/>
      <c r="AT308" s="51"/>
      <c r="AU308" s="51"/>
      <c r="AV308" s="47"/>
      <c r="AW308" s="48"/>
      <c r="AX308" s="50"/>
      <c r="AY308" s="51"/>
      <c r="AZ308" s="51"/>
      <c r="BA308" s="51"/>
      <c r="BB308" s="51">
        <f t="shared" ref="BB308:BD308" si="306">IF(AND(ISNUMBER(Z308),COUNT(AG308,AM308,AS308,AY308)=2),Z308+SUM(AG308,AM308,AS308,AY308),"")</f>
        <v>0</v>
      </c>
      <c r="BC308" s="51">
        <f t="shared" si="306"/>
        <v>0</v>
      </c>
      <c r="BD308" s="51">
        <f t="shared" si="306"/>
        <v>0</v>
      </c>
    </row>
    <row r="309" ht="48.0" customHeight="1">
      <c r="A309" s="49" t="s">
        <v>40</v>
      </c>
      <c r="B309" s="49" t="str">
        <f t="array" ref="B309">INDEX('HD cty 2024'!B:B,MATCH('F0, F1, F2, ...'!$C309,'HD cty 2024'!B:B,0))</f>
        <v>#N/A</v>
      </c>
      <c r="C309" s="49">
        <v>377.0</v>
      </c>
      <c r="D309" s="50">
        <v>45511.0</v>
      </c>
      <c r="E309" s="51">
        <v>4.9460645E7</v>
      </c>
      <c r="F309" s="51">
        <v>3956852.0</v>
      </c>
      <c r="G309" s="51">
        <v>5.3417497E7</v>
      </c>
      <c r="H309" s="49" t="s">
        <v>414</v>
      </c>
      <c r="I309" s="52" t="s">
        <v>3473</v>
      </c>
      <c r="J309" s="50">
        <v>45806.0</v>
      </c>
      <c r="K309" s="51">
        <v>1.4060651E7</v>
      </c>
      <c r="L309" s="51">
        <v>1124852.0</v>
      </c>
      <c r="M309" s="51">
        <v>1.5185503E7</v>
      </c>
      <c r="N309" s="49"/>
      <c r="O309" s="52"/>
      <c r="P309" s="50"/>
      <c r="Q309" s="51"/>
      <c r="R309" s="51"/>
      <c r="S309" s="51"/>
      <c r="T309" s="49"/>
      <c r="U309" s="52"/>
      <c r="V309" s="50"/>
      <c r="W309" s="51"/>
      <c r="X309" s="51"/>
      <c r="Y309" s="51"/>
      <c r="Z309" s="51">
        <v>6.3521296E7</v>
      </c>
      <c r="AA309" s="51">
        <v>5081704.0</v>
      </c>
      <c r="AB309" s="51">
        <v>6.8603E7</v>
      </c>
      <c r="AC309" s="47"/>
      <c r="AD309" s="47" t="s">
        <v>3474</v>
      </c>
      <c r="AE309" s="48"/>
      <c r="AF309" s="50"/>
      <c r="AG309" s="51">
        <v>-1.4060651E7</v>
      </c>
      <c r="AH309" s="51">
        <v>-1124852.0</v>
      </c>
      <c r="AI309" s="51">
        <v>-1.5185503E7</v>
      </c>
      <c r="AJ309" s="47" t="s">
        <v>3475</v>
      </c>
      <c r="AK309" s="48"/>
      <c r="AL309" s="50"/>
      <c r="AM309" s="51">
        <v>-4.9460645E7</v>
      </c>
      <c r="AN309" s="51">
        <v>-3956852.0</v>
      </c>
      <c r="AO309" s="51">
        <v>-5.3417497E7</v>
      </c>
      <c r="AP309" s="47"/>
      <c r="AQ309" s="48"/>
      <c r="AR309" s="50"/>
      <c r="AS309" s="51"/>
      <c r="AT309" s="51"/>
      <c r="AU309" s="51"/>
      <c r="AV309" s="47"/>
      <c r="AW309" s="48"/>
      <c r="AX309" s="50"/>
      <c r="AY309" s="51"/>
      <c r="AZ309" s="51"/>
      <c r="BA309" s="51"/>
      <c r="BB309" s="51">
        <f t="shared" ref="BB309:BD309" si="307">IF(AND(ISNUMBER(Z309),COUNT(AG309,AM309,AS309,AY309)=2),Z309+SUM(AG309,AM309,AS309,AY309),"")</f>
        <v>0</v>
      </c>
      <c r="BC309" s="51">
        <f t="shared" si="307"/>
        <v>0</v>
      </c>
      <c r="BD309" s="51">
        <f t="shared" si="307"/>
        <v>0</v>
      </c>
    </row>
    <row r="310" ht="48.0" customHeight="1">
      <c r="A310" s="49" t="s">
        <v>40</v>
      </c>
      <c r="B310" s="49" t="str">
        <f t="array" ref="B310">INDEX('HD cty 2024'!B:B,MATCH('F0, F1, F2, ...'!$C310,'HD cty 2024'!B:B,0))</f>
        <v>#N/A</v>
      </c>
      <c r="C310" s="49">
        <v>381.0</v>
      </c>
      <c r="D310" s="50">
        <v>45517.0</v>
      </c>
      <c r="E310" s="51">
        <v>3.5369287E7</v>
      </c>
      <c r="F310" s="51">
        <v>2829543.0</v>
      </c>
      <c r="G310" s="51">
        <v>3.819883E7</v>
      </c>
      <c r="H310" s="49" t="s">
        <v>414</v>
      </c>
      <c r="I310" s="52" t="s">
        <v>3476</v>
      </c>
      <c r="J310" s="50">
        <v>45806.0</v>
      </c>
      <c r="K310" s="51">
        <v>9538120.0</v>
      </c>
      <c r="L310" s="51">
        <v>763050.0</v>
      </c>
      <c r="M310" s="51">
        <v>1.030117E7</v>
      </c>
      <c r="N310" s="49"/>
      <c r="O310" s="52"/>
      <c r="P310" s="50"/>
      <c r="Q310" s="51"/>
      <c r="R310" s="51"/>
      <c r="S310" s="51"/>
      <c r="T310" s="49"/>
      <c r="U310" s="52"/>
      <c r="V310" s="50"/>
      <c r="W310" s="51"/>
      <c r="X310" s="51"/>
      <c r="Y310" s="51"/>
      <c r="Z310" s="51">
        <v>4.4907407E7</v>
      </c>
      <c r="AA310" s="51">
        <v>3592593.0</v>
      </c>
      <c r="AB310" s="51">
        <v>4.85E7</v>
      </c>
      <c r="AC310" s="47"/>
      <c r="AD310" s="47" t="s">
        <v>3477</v>
      </c>
      <c r="AE310" s="48"/>
      <c r="AF310" s="50"/>
      <c r="AG310" s="51">
        <v>-9538120.0</v>
      </c>
      <c r="AH310" s="51">
        <v>-763050.0</v>
      </c>
      <c r="AI310" s="51">
        <v>-1.030117E7</v>
      </c>
      <c r="AJ310" s="47" t="s">
        <v>3478</v>
      </c>
      <c r="AK310" s="48"/>
      <c r="AL310" s="50"/>
      <c r="AM310" s="51">
        <v>-3.5369287E7</v>
      </c>
      <c r="AN310" s="51">
        <v>-2829543.0</v>
      </c>
      <c r="AO310" s="51">
        <v>-3.819883E7</v>
      </c>
      <c r="AP310" s="47"/>
      <c r="AQ310" s="48"/>
      <c r="AR310" s="50"/>
      <c r="AS310" s="51"/>
      <c r="AT310" s="51"/>
      <c r="AU310" s="51"/>
      <c r="AV310" s="47"/>
      <c r="AW310" s="48"/>
      <c r="AX310" s="50"/>
      <c r="AY310" s="51"/>
      <c r="AZ310" s="51"/>
      <c r="BA310" s="51"/>
      <c r="BB310" s="51">
        <f t="shared" ref="BB310:BD310" si="308">IF(AND(ISNUMBER(Z310),COUNT(AG310,AM310,AS310,AY310)=2),Z310+SUM(AG310,AM310,AS310,AY310),"")</f>
        <v>0</v>
      </c>
      <c r="BC310" s="51">
        <f t="shared" si="308"/>
        <v>0</v>
      </c>
      <c r="BD310" s="51">
        <f t="shared" si="308"/>
        <v>0</v>
      </c>
    </row>
    <row r="311" ht="48.0" customHeight="1">
      <c r="A311" s="49" t="s">
        <v>40</v>
      </c>
      <c r="B311" s="49" t="str">
        <f t="array" ref="B311">INDEX('HD cty 2024'!B:B,MATCH('F0, F1, F2, ...'!$C311,'HD cty 2024'!B:B,0))</f>
        <v>#N/A</v>
      </c>
      <c r="C311" s="49">
        <v>382.0</v>
      </c>
      <c r="D311" s="50">
        <v>45517.0</v>
      </c>
      <c r="E311" s="51">
        <v>5.5700327E7</v>
      </c>
      <c r="F311" s="51">
        <v>4456026.0</v>
      </c>
      <c r="G311" s="51">
        <v>6.0156353E7</v>
      </c>
      <c r="H311" s="49" t="s">
        <v>414</v>
      </c>
      <c r="I311" s="52" t="s">
        <v>3479</v>
      </c>
      <c r="J311" s="50">
        <v>45806.0</v>
      </c>
      <c r="K311" s="51">
        <v>9305136.0</v>
      </c>
      <c r="L311" s="51">
        <v>744411.0</v>
      </c>
      <c r="M311" s="51">
        <v>1.0049547E7</v>
      </c>
      <c r="N311" s="49"/>
      <c r="O311" s="52"/>
      <c r="P311" s="50"/>
      <c r="Q311" s="51"/>
      <c r="R311" s="51"/>
      <c r="S311" s="51"/>
      <c r="T311" s="49"/>
      <c r="U311" s="52"/>
      <c r="V311" s="50"/>
      <c r="W311" s="51"/>
      <c r="X311" s="51"/>
      <c r="Y311" s="51"/>
      <c r="Z311" s="51">
        <v>6.5005463E7</v>
      </c>
      <c r="AA311" s="51">
        <v>5200437.0</v>
      </c>
      <c r="AB311" s="51">
        <v>7.02059E7</v>
      </c>
      <c r="AC311" s="47"/>
      <c r="AD311" s="47" t="s">
        <v>3480</v>
      </c>
      <c r="AE311" s="48"/>
      <c r="AF311" s="50"/>
      <c r="AG311" s="51">
        <v>-9305136.0</v>
      </c>
      <c r="AH311" s="51">
        <v>-744411.0</v>
      </c>
      <c r="AI311" s="51">
        <v>-1.0049547E7</v>
      </c>
      <c r="AJ311" s="47" t="s">
        <v>3481</v>
      </c>
      <c r="AK311" s="48"/>
      <c r="AL311" s="50"/>
      <c r="AM311" s="51">
        <v>-5.5700327E7</v>
      </c>
      <c r="AN311" s="51">
        <v>-4456026.0</v>
      </c>
      <c r="AO311" s="51">
        <v>-6.0156353E7</v>
      </c>
      <c r="AP311" s="47"/>
      <c r="AQ311" s="48"/>
      <c r="AR311" s="50"/>
      <c r="AS311" s="51"/>
      <c r="AT311" s="51"/>
      <c r="AU311" s="51"/>
      <c r="AV311" s="47"/>
      <c r="AW311" s="48"/>
      <c r="AX311" s="50"/>
      <c r="AY311" s="51"/>
      <c r="AZ311" s="51"/>
      <c r="BA311" s="51"/>
      <c r="BB311" s="51">
        <f t="shared" ref="BB311:BD311" si="309">IF(AND(ISNUMBER(Z311),COUNT(AG311,AM311,AS311,AY311)=2),Z311+SUM(AG311,AM311,AS311,AY311),"")</f>
        <v>0</v>
      </c>
      <c r="BC311" s="51">
        <f t="shared" si="309"/>
        <v>0</v>
      </c>
      <c r="BD311" s="51">
        <f t="shared" si="309"/>
        <v>0</v>
      </c>
    </row>
    <row r="312" ht="48.0" customHeight="1">
      <c r="A312" s="49" t="s">
        <v>40</v>
      </c>
      <c r="B312" s="49" t="str">
        <f t="array" ref="B312">INDEX('HD cty 2024'!B:B,MATCH('F0, F1, F2, ...'!$C312,'HD cty 2024'!B:B,0))</f>
        <v>#N/A</v>
      </c>
      <c r="C312" s="49">
        <v>383.0</v>
      </c>
      <c r="D312" s="50">
        <v>45517.0</v>
      </c>
      <c r="E312" s="51">
        <v>1.38476493E8</v>
      </c>
      <c r="F312" s="51">
        <v>1.1078119E7</v>
      </c>
      <c r="G312" s="51">
        <v>1.49554612E8</v>
      </c>
      <c r="H312" s="49" t="s">
        <v>414</v>
      </c>
      <c r="I312" s="52" t="s">
        <v>3482</v>
      </c>
      <c r="J312" s="50">
        <v>45806.0</v>
      </c>
      <c r="K312" s="51">
        <v>2.8540174E7</v>
      </c>
      <c r="L312" s="51">
        <v>2283214.0</v>
      </c>
      <c r="M312" s="51">
        <v>3.0823388E7</v>
      </c>
      <c r="N312" s="49"/>
      <c r="O312" s="52"/>
      <c r="P312" s="50"/>
      <c r="Q312" s="51"/>
      <c r="R312" s="51"/>
      <c r="S312" s="51"/>
      <c r="T312" s="49"/>
      <c r="U312" s="52"/>
      <c r="V312" s="50"/>
      <c r="W312" s="51"/>
      <c r="X312" s="51"/>
      <c r="Y312" s="51"/>
      <c r="Z312" s="51">
        <v>1.67016667E8</v>
      </c>
      <c r="AA312" s="51">
        <v>1.3361333E7</v>
      </c>
      <c r="AB312" s="51">
        <v>1.80378E8</v>
      </c>
      <c r="AC312" s="47"/>
      <c r="AD312" s="47" t="s">
        <v>3483</v>
      </c>
      <c r="AE312" s="48"/>
      <c r="AF312" s="50"/>
      <c r="AG312" s="51">
        <v>-2.8540174E7</v>
      </c>
      <c r="AH312" s="51">
        <v>-2283214.0</v>
      </c>
      <c r="AI312" s="51">
        <v>-3.0823388E7</v>
      </c>
      <c r="AJ312" s="47" t="s">
        <v>3484</v>
      </c>
      <c r="AK312" s="48"/>
      <c r="AL312" s="50"/>
      <c r="AM312" s="51">
        <v>-1.38476493E8</v>
      </c>
      <c r="AN312" s="51">
        <v>-1.1078119E7</v>
      </c>
      <c r="AO312" s="51">
        <v>-1.49554612E8</v>
      </c>
      <c r="AP312" s="47"/>
      <c r="AQ312" s="48"/>
      <c r="AR312" s="50"/>
      <c r="AS312" s="51"/>
      <c r="AT312" s="51"/>
      <c r="AU312" s="51"/>
      <c r="AV312" s="47"/>
      <c r="AW312" s="48"/>
      <c r="AX312" s="50"/>
      <c r="AY312" s="51"/>
      <c r="AZ312" s="51"/>
      <c r="BA312" s="51"/>
      <c r="BB312" s="51">
        <f t="shared" ref="BB312:BD312" si="310">IF(AND(ISNUMBER(Z312),COUNT(AG312,AM312,AS312,AY312)=2),Z312+SUM(AG312,AM312,AS312,AY312),"")</f>
        <v>0</v>
      </c>
      <c r="BC312" s="51">
        <f t="shared" si="310"/>
        <v>0</v>
      </c>
      <c r="BD312" s="51">
        <f t="shared" si="310"/>
        <v>0</v>
      </c>
    </row>
    <row r="313" ht="48.0" customHeight="1">
      <c r="A313" s="49" t="s">
        <v>40</v>
      </c>
      <c r="B313" s="49" t="str">
        <f t="array" ref="B313">INDEX('HD cty 2024'!B:B,MATCH('F0, F1, F2, ...'!$C313,'HD cty 2024'!B:B,0))</f>
        <v>#N/A</v>
      </c>
      <c r="C313" s="49">
        <v>384.0</v>
      </c>
      <c r="D313" s="50">
        <v>45517.0</v>
      </c>
      <c r="E313" s="51">
        <v>1.3212878E7</v>
      </c>
      <c r="F313" s="51">
        <v>1057030.0</v>
      </c>
      <c r="G313" s="51">
        <v>1.4269908E7</v>
      </c>
      <c r="H313" s="49" t="s">
        <v>414</v>
      </c>
      <c r="I313" s="52" t="s">
        <v>3485</v>
      </c>
      <c r="J313" s="50">
        <v>45807.0</v>
      </c>
      <c r="K313" s="51">
        <v>352765.0</v>
      </c>
      <c r="L313" s="51">
        <v>28221.0</v>
      </c>
      <c r="M313" s="51">
        <v>380986.0</v>
      </c>
      <c r="N313" s="49"/>
      <c r="O313" s="52"/>
      <c r="P313" s="50"/>
      <c r="Q313" s="51"/>
      <c r="R313" s="51"/>
      <c r="S313" s="51"/>
      <c r="T313" s="49"/>
      <c r="U313" s="52"/>
      <c r="V313" s="50"/>
      <c r="W313" s="51"/>
      <c r="X313" s="51"/>
      <c r="Y313" s="51"/>
      <c r="Z313" s="51">
        <v>1.3565643E7</v>
      </c>
      <c r="AA313" s="51">
        <v>1085251.0</v>
      </c>
      <c r="AB313" s="51">
        <v>1.4650894E7</v>
      </c>
      <c r="AC313" s="47"/>
      <c r="AD313" s="47" t="s">
        <v>3486</v>
      </c>
      <c r="AE313" s="48"/>
      <c r="AF313" s="50"/>
      <c r="AG313" s="51">
        <v>-352765.0</v>
      </c>
      <c r="AH313" s="51">
        <v>-28221.0</v>
      </c>
      <c r="AI313" s="51">
        <v>-380986.0</v>
      </c>
      <c r="AJ313" s="47" t="s">
        <v>3487</v>
      </c>
      <c r="AK313" s="48"/>
      <c r="AL313" s="50"/>
      <c r="AM313" s="51">
        <v>-1.3212878E7</v>
      </c>
      <c r="AN313" s="51">
        <v>-1057030.0</v>
      </c>
      <c r="AO313" s="51">
        <v>-1.4269908E7</v>
      </c>
      <c r="AP313" s="47"/>
      <c r="AQ313" s="48"/>
      <c r="AR313" s="50"/>
      <c r="AS313" s="51"/>
      <c r="AT313" s="51"/>
      <c r="AU313" s="51"/>
      <c r="AV313" s="47"/>
      <c r="AW313" s="48"/>
      <c r="AX313" s="50"/>
      <c r="AY313" s="51"/>
      <c r="AZ313" s="51"/>
      <c r="BA313" s="51"/>
      <c r="BB313" s="51">
        <f t="shared" ref="BB313:BD313" si="311">IF(AND(ISNUMBER(Z313),COUNT(AG313,AM313,AS313,AY313)=2),Z313+SUM(AG313,AM313,AS313,AY313),"")</f>
        <v>0</v>
      </c>
      <c r="BC313" s="51">
        <f t="shared" si="311"/>
        <v>0</v>
      </c>
      <c r="BD313" s="51">
        <f t="shared" si="311"/>
        <v>0</v>
      </c>
    </row>
    <row r="314" ht="48.0" customHeight="1">
      <c r="A314" s="49" t="s">
        <v>40</v>
      </c>
      <c r="B314" s="49" t="str">
        <f t="array" ref="B314">INDEX('HD cty 2024'!B:B,MATCH('F0, F1, F2, ...'!$C314,'HD cty 2024'!B:B,0))</f>
        <v>#N/A</v>
      </c>
      <c r="C314" s="49">
        <v>385.0</v>
      </c>
      <c r="D314" s="50">
        <v>45517.0</v>
      </c>
      <c r="E314" s="51">
        <v>1.4959798E7</v>
      </c>
      <c r="F314" s="51">
        <v>1196784.0</v>
      </c>
      <c r="G314" s="51">
        <v>1.6156582E7</v>
      </c>
      <c r="H314" s="49" t="s">
        <v>414</v>
      </c>
      <c r="I314" s="52" t="s">
        <v>3488</v>
      </c>
      <c r="J314" s="50">
        <v>45806.0</v>
      </c>
      <c r="K314" s="51">
        <v>3655017.0</v>
      </c>
      <c r="L314" s="51">
        <v>292401.0</v>
      </c>
      <c r="M314" s="51">
        <v>3947418.0</v>
      </c>
      <c r="N314" s="49"/>
      <c r="O314" s="52"/>
      <c r="P314" s="50"/>
      <c r="Q314" s="51"/>
      <c r="R314" s="51"/>
      <c r="S314" s="51"/>
      <c r="T314" s="49"/>
      <c r="U314" s="52"/>
      <c r="V314" s="50"/>
      <c r="W314" s="51"/>
      <c r="X314" s="51"/>
      <c r="Y314" s="51"/>
      <c r="Z314" s="51">
        <v>1.8614815E7</v>
      </c>
      <c r="AA314" s="51">
        <v>1489185.0</v>
      </c>
      <c r="AB314" s="51">
        <v>2.0104E7</v>
      </c>
      <c r="AC314" s="47"/>
      <c r="AD314" s="47" t="s">
        <v>3489</v>
      </c>
      <c r="AE314" s="48"/>
      <c r="AF314" s="50"/>
      <c r="AG314" s="51">
        <v>-3655017.0</v>
      </c>
      <c r="AH314" s="51">
        <v>-292401.0</v>
      </c>
      <c r="AI314" s="51">
        <v>-3947418.0</v>
      </c>
      <c r="AJ314" s="47" t="s">
        <v>3490</v>
      </c>
      <c r="AK314" s="48"/>
      <c r="AL314" s="50"/>
      <c r="AM314" s="51">
        <v>-1.4959798E7</v>
      </c>
      <c r="AN314" s="51">
        <v>-1196784.0</v>
      </c>
      <c r="AO314" s="51">
        <v>-1.6156582E7</v>
      </c>
      <c r="AP314" s="47"/>
      <c r="AQ314" s="48"/>
      <c r="AR314" s="50"/>
      <c r="AS314" s="51"/>
      <c r="AT314" s="51"/>
      <c r="AU314" s="51"/>
      <c r="AV314" s="47"/>
      <c r="AW314" s="48"/>
      <c r="AX314" s="50"/>
      <c r="AY314" s="51"/>
      <c r="AZ314" s="51"/>
      <c r="BA314" s="51"/>
      <c r="BB314" s="51">
        <f t="shared" ref="BB314:BD314" si="312">IF(AND(ISNUMBER(Z314),COUNT(AG314,AM314,AS314,AY314)=2),Z314+SUM(AG314,AM314,AS314,AY314),"")</f>
        <v>0</v>
      </c>
      <c r="BC314" s="51">
        <f t="shared" si="312"/>
        <v>0</v>
      </c>
      <c r="BD314" s="51">
        <f t="shared" si="312"/>
        <v>0</v>
      </c>
    </row>
    <row r="315" ht="48.0" customHeight="1">
      <c r="A315" s="49" t="s">
        <v>40</v>
      </c>
      <c r="B315" s="49" t="str">
        <f t="array" ref="B315">INDEX('HD cty 2024'!B:B,MATCH('F0, F1, F2, ...'!$C315,'HD cty 2024'!B:B,0))</f>
        <v>#N/A</v>
      </c>
      <c r="C315" s="49">
        <v>388.0</v>
      </c>
      <c r="D315" s="50">
        <v>45524.0</v>
      </c>
      <c r="E315" s="51">
        <v>5.9607838E7</v>
      </c>
      <c r="F315" s="51">
        <v>4768627.0</v>
      </c>
      <c r="G315" s="51">
        <v>6.4376465E7</v>
      </c>
      <c r="H315" s="49" t="s">
        <v>414</v>
      </c>
      <c r="I315" s="52" t="s">
        <v>3491</v>
      </c>
      <c r="J315" s="50">
        <v>45806.0</v>
      </c>
      <c r="K315" s="51">
        <v>2907903.0</v>
      </c>
      <c r="L315" s="51">
        <v>232632.0</v>
      </c>
      <c r="M315" s="51">
        <v>3140535.0</v>
      </c>
      <c r="N315" s="49"/>
      <c r="O315" s="52"/>
      <c r="P315" s="50"/>
      <c r="Q315" s="51"/>
      <c r="R315" s="51"/>
      <c r="S315" s="51"/>
      <c r="T315" s="49"/>
      <c r="U315" s="52"/>
      <c r="V315" s="50"/>
      <c r="W315" s="51"/>
      <c r="X315" s="51"/>
      <c r="Y315" s="51"/>
      <c r="Z315" s="51">
        <v>6.2515741E7</v>
      </c>
      <c r="AA315" s="51">
        <v>5001259.0</v>
      </c>
      <c r="AB315" s="51">
        <v>6.7517E7</v>
      </c>
      <c r="AC315" s="47"/>
      <c r="AD315" s="47" t="s">
        <v>3492</v>
      </c>
      <c r="AE315" s="48"/>
      <c r="AF315" s="50"/>
      <c r="AG315" s="51">
        <v>-2907903.0</v>
      </c>
      <c r="AH315" s="51">
        <v>-232632.0</v>
      </c>
      <c r="AI315" s="51">
        <v>-3140535.0</v>
      </c>
      <c r="AJ315" s="47" t="s">
        <v>3493</v>
      </c>
      <c r="AK315" s="48"/>
      <c r="AL315" s="50"/>
      <c r="AM315" s="51">
        <v>-5.9607838E7</v>
      </c>
      <c r="AN315" s="51">
        <v>-4768627.0</v>
      </c>
      <c r="AO315" s="51">
        <v>-6.4376465E7</v>
      </c>
      <c r="AP315" s="47"/>
      <c r="AQ315" s="48"/>
      <c r="AR315" s="50"/>
      <c r="AS315" s="51"/>
      <c r="AT315" s="51"/>
      <c r="AU315" s="51"/>
      <c r="AV315" s="47"/>
      <c r="AW315" s="48"/>
      <c r="AX315" s="50"/>
      <c r="AY315" s="51"/>
      <c r="AZ315" s="51"/>
      <c r="BA315" s="51"/>
      <c r="BB315" s="51">
        <f t="shared" ref="BB315:BD315" si="313">IF(AND(ISNUMBER(Z315),COUNT(AG315,AM315,AS315,AY315)=2),Z315+SUM(AG315,AM315,AS315,AY315),"")</f>
        <v>0</v>
      </c>
      <c r="BC315" s="51">
        <f t="shared" si="313"/>
        <v>0</v>
      </c>
      <c r="BD315" s="51">
        <f t="shared" si="313"/>
        <v>0</v>
      </c>
    </row>
    <row r="316" ht="48.0" customHeight="1">
      <c r="A316" s="49" t="s">
        <v>40</v>
      </c>
      <c r="B316" s="49" t="str">
        <f t="array" ref="B316">INDEX('HD cty 2024'!B:B,MATCH('F0, F1, F2, ...'!$C316,'HD cty 2024'!B:B,0))</f>
        <v>#N/A</v>
      </c>
      <c r="C316" s="49">
        <v>389.0</v>
      </c>
      <c r="D316" s="50">
        <v>45524.0</v>
      </c>
      <c r="E316" s="51">
        <v>1.7868313E8</v>
      </c>
      <c r="F316" s="51">
        <v>1.429465E7</v>
      </c>
      <c r="G316" s="51">
        <v>1.9297778E8</v>
      </c>
      <c r="H316" s="49" t="s">
        <v>414</v>
      </c>
      <c r="I316" s="52" t="s">
        <v>3494</v>
      </c>
      <c r="J316" s="50">
        <v>45806.0</v>
      </c>
      <c r="K316" s="51">
        <v>4.0577055E7</v>
      </c>
      <c r="L316" s="51">
        <v>3246164.0</v>
      </c>
      <c r="M316" s="51">
        <v>4.3823219E7</v>
      </c>
      <c r="N316" s="49"/>
      <c r="O316" s="52"/>
      <c r="P316" s="50"/>
      <c r="Q316" s="51"/>
      <c r="R316" s="51"/>
      <c r="S316" s="51"/>
      <c r="T316" s="49"/>
      <c r="U316" s="52"/>
      <c r="V316" s="50"/>
      <c r="W316" s="51"/>
      <c r="X316" s="51"/>
      <c r="Y316" s="51"/>
      <c r="Z316" s="51">
        <v>2.19260185E8</v>
      </c>
      <c r="AA316" s="51">
        <v>1.7540814E7</v>
      </c>
      <c r="AB316" s="51">
        <v>2.36800999E8</v>
      </c>
      <c r="AC316" s="47"/>
      <c r="AD316" s="47" t="s">
        <v>3495</v>
      </c>
      <c r="AE316" s="48"/>
      <c r="AF316" s="50"/>
      <c r="AG316" s="51">
        <v>-4.0577055E7</v>
      </c>
      <c r="AH316" s="51">
        <v>-3246164.0</v>
      </c>
      <c r="AI316" s="51">
        <v>-4.3823219E7</v>
      </c>
      <c r="AJ316" s="47" t="s">
        <v>3496</v>
      </c>
      <c r="AK316" s="48"/>
      <c r="AL316" s="50"/>
      <c r="AM316" s="51">
        <v>-1.7868313E8</v>
      </c>
      <c r="AN316" s="51">
        <v>-1.429465E7</v>
      </c>
      <c r="AO316" s="51">
        <v>-1.9297778E8</v>
      </c>
      <c r="AP316" s="47"/>
      <c r="AQ316" s="48"/>
      <c r="AR316" s="50"/>
      <c r="AS316" s="51"/>
      <c r="AT316" s="51"/>
      <c r="AU316" s="51"/>
      <c r="AV316" s="47"/>
      <c r="AW316" s="48"/>
      <c r="AX316" s="50"/>
      <c r="AY316" s="51"/>
      <c r="AZ316" s="51"/>
      <c r="BA316" s="51"/>
      <c r="BB316" s="51">
        <f t="shared" ref="BB316:BD316" si="314">IF(AND(ISNUMBER(Z316),COUNT(AG316,AM316,AS316,AY316)=2),Z316+SUM(AG316,AM316,AS316,AY316),"")</f>
        <v>0</v>
      </c>
      <c r="BC316" s="51">
        <f t="shared" si="314"/>
        <v>0</v>
      </c>
      <c r="BD316" s="51">
        <f t="shared" si="314"/>
        <v>0</v>
      </c>
    </row>
    <row r="317" ht="48.0" customHeight="1">
      <c r="A317" s="49" t="s">
        <v>40</v>
      </c>
      <c r="B317" s="49" t="str">
        <f t="array" ref="B317">INDEX('HD cty 2024'!B:B,MATCH('F0, F1, F2, ...'!$C317,'HD cty 2024'!B:B,0))</f>
        <v>#N/A</v>
      </c>
      <c r="C317" s="49">
        <v>390.0</v>
      </c>
      <c r="D317" s="50">
        <v>45524.0</v>
      </c>
      <c r="E317" s="51">
        <v>1.39712101E8</v>
      </c>
      <c r="F317" s="51">
        <v>1.1176968E7</v>
      </c>
      <c r="G317" s="51">
        <v>1.50889069E8</v>
      </c>
      <c r="H317" s="49" t="s">
        <v>414</v>
      </c>
      <c r="I317" s="52" t="s">
        <v>3497</v>
      </c>
      <c r="J317" s="50">
        <v>45806.0</v>
      </c>
      <c r="K317" s="51">
        <v>2.5068455E7</v>
      </c>
      <c r="L317" s="51">
        <v>2005476.0</v>
      </c>
      <c r="M317" s="51">
        <v>2.7073931E7</v>
      </c>
      <c r="N317" s="49"/>
      <c r="O317" s="52"/>
      <c r="P317" s="50"/>
      <c r="Q317" s="51"/>
      <c r="R317" s="51"/>
      <c r="S317" s="51"/>
      <c r="T317" s="49"/>
      <c r="U317" s="52"/>
      <c r="V317" s="50"/>
      <c r="W317" s="51"/>
      <c r="X317" s="51"/>
      <c r="Y317" s="51"/>
      <c r="Z317" s="51">
        <v>1.64780556E8</v>
      </c>
      <c r="AA317" s="51">
        <v>1.3182444E7</v>
      </c>
      <c r="AB317" s="51">
        <v>1.77963E8</v>
      </c>
      <c r="AC317" s="47"/>
      <c r="AD317" s="47" t="s">
        <v>3498</v>
      </c>
      <c r="AE317" s="48"/>
      <c r="AF317" s="50"/>
      <c r="AG317" s="51">
        <v>-2.5068455E7</v>
      </c>
      <c r="AH317" s="51">
        <v>-2005476.0</v>
      </c>
      <c r="AI317" s="51">
        <v>-2.7073931E7</v>
      </c>
      <c r="AJ317" s="47" t="s">
        <v>3499</v>
      </c>
      <c r="AK317" s="48"/>
      <c r="AL317" s="50"/>
      <c r="AM317" s="51">
        <v>-1.39712101E8</v>
      </c>
      <c r="AN317" s="51">
        <v>-1.1176968E7</v>
      </c>
      <c r="AO317" s="51">
        <v>-1.50889069E8</v>
      </c>
      <c r="AP317" s="47"/>
      <c r="AQ317" s="48"/>
      <c r="AR317" s="50"/>
      <c r="AS317" s="51"/>
      <c r="AT317" s="51"/>
      <c r="AU317" s="51"/>
      <c r="AV317" s="47"/>
      <c r="AW317" s="48"/>
      <c r="AX317" s="50"/>
      <c r="AY317" s="51"/>
      <c r="AZ317" s="51"/>
      <c r="BA317" s="51"/>
      <c r="BB317" s="51">
        <f t="shared" ref="BB317:BD317" si="315">IF(AND(ISNUMBER(Z317),COUNT(AG317,AM317,AS317,AY317)=2),Z317+SUM(AG317,AM317,AS317,AY317),"")</f>
        <v>0</v>
      </c>
      <c r="BC317" s="51">
        <f t="shared" si="315"/>
        <v>0</v>
      </c>
      <c r="BD317" s="51">
        <f t="shared" si="315"/>
        <v>0</v>
      </c>
    </row>
    <row r="318" ht="48.0" customHeight="1">
      <c r="A318" s="49" t="s">
        <v>40</v>
      </c>
      <c r="B318" s="49" t="str">
        <f t="array" ref="B318">INDEX('HD cty 2024'!B:B,MATCH('F0, F1, F2, ...'!$C318,'HD cty 2024'!B:B,0))</f>
        <v>#N/A</v>
      </c>
      <c r="C318" s="49">
        <v>391.0</v>
      </c>
      <c r="D318" s="50">
        <v>45524.0</v>
      </c>
      <c r="E318" s="51">
        <v>6448502.0</v>
      </c>
      <c r="F318" s="51">
        <v>515880.0</v>
      </c>
      <c r="G318" s="51">
        <v>6964382.0</v>
      </c>
      <c r="H318" s="49" t="s">
        <v>414</v>
      </c>
      <c r="I318" s="52" t="s">
        <v>3500</v>
      </c>
      <c r="J318" s="50">
        <v>45807.0</v>
      </c>
      <c r="K318" s="51">
        <v>265085.0</v>
      </c>
      <c r="L318" s="51">
        <v>21207.0</v>
      </c>
      <c r="M318" s="51">
        <v>286292.0</v>
      </c>
      <c r="N318" s="49"/>
      <c r="O318" s="52"/>
      <c r="P318" s="50"/>
      <c r="Q318" s="51"/>
      <c r="R318" s="51"/>
      <c r="S318" s="51"/>
      <c r="T318" s="49"/>
      <c r="U318" s="52"/>
      <c r="V318" s="50"/>
      <c r="W318" s="51"/>
      <c r="X318" s="51"/>
      <c r="Y318" s="51"/>
      <c r="Z318" s="51">
        <v>6713587.0</v>
      </c>
      <c r="AA318" s="51">
        <v>537087.0</v>
      </c>
      <c r="AB318" s="51">
        <v>7250674.0</v>
      </c>
      <c r="AC318" s="47"/>
      <c r="AD318" s="47" t="s">
        <v>3501</v>
      </c>
      <c r="AE318" s="48"/>
      <c r="AF318" s="50"/>
      <c r="AG318" s="51">
        <v>-265085.0</v>
      </c>
      <c r="AH318" s="51">
        <v>-21207.0</v>
      </c>
      <c r="AI318" s="51">
        <v>-286292.0</v>
      </c>
      <c r="AJ318" s="47" t="s">
        <v>3502</v>
      </c>
      <c r="AK318" s="48"/>
      <c r="AL318" s="50"/>
      <c r="AM318" s="51">
        <v>-6448502.0</v>
      </c>
      <c r="AN318" s="51">
        <v>-515880.0</v>
      </c>
      <c r="AO318" s="51">
        <v>-6964382.0</v>
      </c>
      <c r="AP318" s="47"/>
      <c r="AQ318" s="48"/>
      <c r="AR318" s="50"/>
      <c r="AS318" s="51"/>
      <c r="AT318" s="51"/>
      <c r="AU318" s="51"/>
      <c r="AV318" s="47"/>
      <c r="AW318" s="48"/>
      <c r="AX318" s="50"/>
      <c r="AY318" s="51"/>
      <c r="AZ318" s="51"/>
      <c r="BA318" s="51"/>
      <c r="BB318" s="51">
        <f t="shared" ref="BB318:BD318" si="316">IF(AND(ISNUMBER(Z318),COUNT(AG318,AM318,AS318,AY318)=2),Z318+SUM(AG318,AM318,AS318,AY318),"")</f>
        <v>0</v>
      </c>
      <c r="BC318" s="51">
        <f t="shared" si="316"/>
        <v>0</v>
      </c>
      <c r="BD318" s="51">
        <f t="shared" si="316"/>
        <v>0</v>
      </c>
    </row>
    <row r="319" ht="48.0" customHeight="1">
      <c r="A319" s="49" t="s">
        <v>40</v>
      </c>
      <c r="B319" s="49" t="str">
        <f t="array" ref="B319">INDEX('HD cty 2024'!B:B,MATCH('F0, F1, F2, ...'!$C319,'HD cty 2024'!B:B,0))</f>
        <v>#N/A</v>
      </c>
      <c r="C319" s="49">
        <v>396.0</v>
      </c>
      <c r="D319" s="50">
        <v>45527.0</v>
      </c>
      <c r="E319" s="51">
        <v>1.76625461E8</v>
      </c>
      <c r="F319" s="51">
        <v>1.4130037E7</v>
      </c>
      <c r="G319" s="51">
        <v>1.90755498E8</v>
      </c>
      <c r="H319" s="49" t="s">
        <v>414</v>
      </c>
      <c r="I319" s="52" t="s">
        <v>3503</v>
      </c>
      <c r="J319" s="50">
        <v>45806.0</v>
      </c>
      <c r="K319" s="51">
        <v>1.1302317E7</v>
      </c>
      <c r="L319" s="51">
        <v>904185.0</v>
      </c>
      <c r="M319" s="51">
        <v>1.2206502E7</v>
      </c>
      <c r="N319" s="49"/>
      <c r="O319" s="52"/>
      <c r="P319" s="50"/>
      <c r="Q319" s="51"/>
      <c r="R319" s="51"/>
      <c r="S319" s="51"/>
      <c r="T319" s="49"/>
      <c r="U319" s="52"/>
      <c r="V319" s="50"/>
      <c r="W319" s="51"/>
      <c r="X319" s="51"/>
      <c r="Y319" s="51"/>
      <c r="Z319" s="51">
        <v>1.87927778E8</v>
      </c>
      <c r="AA319" s="51">
        <v>1.5034222E7</v>
      </c>
      <c r="AB319" s="51">
        <v>2.02962E8</v>
      </c>
      <c r="AC319" s="47"/>
      <c r="AD319" s="47" t="s">
        <v>3504</v>
      </c>
      <c r="AE319" s="48"/>
      <c r="AF319" s="50"/>
      <c r="AG319" s="51">
        <v>-1.1302317E7</v>
      </c>
      <c r="AH319" s="51">
        <v>-904185.0</v>
      </c>
      <c r="AI319" s="51">
        <v>-1.2206502E7</v>
      </c>
      <c r="AJ319" s="47" t="s">
        <v>3505</v>
      </c>
      <c r="AK319" s="48"/>
      <c r="AL319" s="50"/>
      <c r="AM319" s="51">
        <v>-1.76625461E8</v>
      </c>
      <c r="AN319" s="51">
        <v>-1.4130037E7</v>
      </c>
      <c r="AO319" s="51">
        <v>-1.90755498E8</v>
      </c>
      <c r="AP319" s="47"/>
      <c r="AQ319" s="48"/>
      <c r="AR319" s="50"/>
      <c r="AS319" s="51"/>
      <c r="AT319" s="51"/>
      <c r="AU319" s="51"/>
      <c r="AV319" s="47"/>
      <c r="AW319" s="48"/>
      <c r="AX319" s="50"/>
      <c r="AY319" s="51"/>
      <c r="AZ319" s="51"/>
      <c r="BA319" s="51"/>
      <c r="BB319" s="51">
        <f t="shared" ref="BB319:BD319" si="317">IF(AND(ISNUMBER(Z319),COUNT(AG319,AM319,AS319,AY319)=2),Z319+SUM(AG319,AM319,AS319,AY319),"")</f>
        <v>0</v>
      </c>
      <c r="BC319" s="51">
        <f t="shared" si="317"/>
        <v>0</v>
      </c>
      <c r="BD319" s="51">
        <f t="shared" si="317"/>
        <v>0</v>
      </c>
    </row>
    <row r="320" ht="48.0" customHeight="1">
      <c r="A320" s="49" t="s">
        <v>40</v>
      </c>
      <c r="B320" s="49" t="str">
        <f t="array" ref="B320">INDEX('HD cty 2024'!B:B,MATCH('F0, F1, F2, ...'!$C320,'HD cty 2024'!B:B,0))</f>
        <v>#N/A</v>
      </c>
      <c r="C320" s="49">
        <v>397.0</v>
      </c>
      <c r="D320" s="50">
        <v>45527.0</v>
      </c>
      <c r="E320" s="51">
        <v>1.2527223E7</v>
      </c>
      <c r="F320" s="51">
        <v>1002178.0</v>
      </c>
      <c r="G320" s="51">
        <v>1.3529401E7</v>
      </c>
      <c r="H320" s="49" t="s">
        <v>414</v>
      </c>
      <c r="I320" s="52" t="s">
        <v>3506</v>
      </c>
      <c r="J320" s="50">
        <v>45806.0</v>
      </c>
      <c r="K320" s="51">
        <v>926481.0</v>
      </c>
      <c r="L320" s="51">
        <v>74118.0</v>
      </c>
      <c r="M320" s="51">
        <v>1000599.0</v>
      </c>
      <c r="N320" s="49"/>
      <c r="O320" s="52"/>
      <c r="P320" s="50"/>
      <c r="Q320" s="51"/>
      <c r="R320" s="51"/>
      <c r="S320" s="51"/>
      <c r="T320" s="49"/>
      <c r="U320" s="52"/>
      <c r="V320" s="50"/>
      <c r="W320" s="51"/>
      <c r="X320" s="51"/>
      <c r="Y320" s="51"/>
      <c r="Z320" s="51">
        <v>1.3453704E7</v>
      </c>
      <c r="AA320" s="51">
        <v>1076296.0</v>
      </c>
      <c r="AB320" s="51">
        <v>1.453E7</v>
      </c>
      <c r="AC320" s="47"/>
      <c r="AD320" s="47" t="s">
        <v>3507</v>
      </c>
      <c r="AE320" s="48"/>
      <c r="AF320" s="50"/>
      <c r="AG320" s="51">
        <v>-926481.0</v>
      </c>
      <c r="AH320" s="51">
        <v>-74118.0</v>
      </c>
      <c r="AI320" s="51">
        <v>-1000599.0</v>
      </c>
      <c r="AJ320" s="47" t="s">
        <v>3508</v>
      </c>
      <c r="AK320" s="48"/>
      <c r="AL320" s="50"/>
      <c r="AM320" s="51">
        <v>-1.2527223E7</v>
      </c>
      <c r="AN320" s="51">
        <v>-1002178.0</v>
      </c>
      <c r="AO320" s="51">
        <v>-1.3529401E7</v>
      </c>
      <c r="AP320" s="47"/>
      <c r="AQ320" s="48"/>
      <c r="AR320" s="50"/>
      <c r="AS320" s="51"/>
      <c r="AT320" s="51"/>
      <c r="AU320" s="51"/>
      <c r="AV320" s="47"/>
      <c r="AW320" s="48"/>
      <c r="AX320" s="50"/>
      <c r="AY320" s="51"/>
      <c r="AZ320" s="51"/>
      <c r="BA320" s="51"/>
      <c r="BB320" s="51">
        <f t="shared" ref="BB320:BD320" si="318">IF(AND(ISNUMBER(Z320),COUNT(AG320,AM320,AS320,AY320)=2),Z320+SUM(AG320,AM320,AS320,AY320),"")</f>
        <v>0</v>
      </c>
      <c r="BC320" s="51">
        <f t="shared" si="318"/>
        <v>0</v>
      </c>
      <c r="BD320" s="51">
        <f t="shared" si="318"/>
        <v>0</v>
      </c>
    </row>
    <row r="321" ht="48.0" customHeight="1">
      <c r="A321" s="49" t="s">
        <v>40</v>
      </c>
      <c r="B321" s="49" t="str">
        <f t="array" ref="B321">INDEX('HD cty 2024'!B:B,MATCH('F0, F1, F2, ...'!$C321,'HD cty 2024'!B:B,0))</f>
        <v>#N/A</v>
      </c>
      <c r="C321" s="49">
        <v>398.0</v>
      </c>
      <c r="D321" s="50">
        <v>45527.0</v>
      </c>
      <c r="E321" s="51">
        <v>7.6489547E7</v>
      </c>
      <c r="F321" s="51">
        <v>6119164.0</v>
      </c>
      <c r="G321" s="51">
        <v>8.2608711E7</v>
      </c>
      <c r="H321" s="49" t="s">
        <v>414</v>
      </c>
      <c r="I321" s="52" t="s">
        <v>3509</v>
      </c>
      <c r="J321" s="50">
        <v>45806.0</v>
      </c>
      <c r="K321" s="51">
        <v>4225268.0</v>
      </c>
      <c r="L321" s="51">
        <v>338021.0</v>
      </c>
      <c r="M321" s="51">
        <v>4563289.0</v>
      </c>
      <c r="N321" s="49"/>
      <c r="O321" s="52"/>
      <c r="P321" s="50"/>
      <c r="Q321" s="51"/>
      <c r="R321" s="51"/>
      <c r="S321" s="51"/>
      <c r="T321" s="49"/>
      <c r="U321" s="52"/>
      <c r="V321" s="50"/>
      <c r="W321" s="51"/>
      <c r="X321" s="51"/>
      <c r="Y321" s="51"/>
      <c r="Z321" s="51">
        <v>8.0714815E7</v>
      </c>
      <c r="AA321" s="51">
        <v>6457185.0</v>
      </c>
      <c r="AB321" s="51">
        <v>8.7172E7</v>
      </c>
      <c r="AC321" s="47"/>
      <c r="AD321" s="47" t="s">
        <v>3510</v>
      </c>
      <c r="AE321" s="48"/>
      <c r="AF321" s="50"/>
      <c r="AG321" s="51">
        <v>-4225268.0</v>
      </c>
      <c r="AH321" s="51">
        <v>-338021.0</v>
      </c>
      <c r="AI321" s="51">
        <v>-4563289.0</v>
      </c>
      <c r="AJ321" s="47" t="s">
        <v>3511</v>
      </c>
      <c r="AK321" s="48"/>
      <c r="AL321" s="50"/>
      <c r="AM321" s="51">
        <v>-7.6489547E7</v>
      </c>
      <c r="AN321" s="51">
        <v>-6119164.0</v>
      </c>
      <c r="AO321" s="51">
        <v>-8.2608711E7</v>
      </c>
      <c r="AP321" s="47"/>
      <c r="AQ321" s="48"/>
      <c r="AR321" s="50"/>
      <c r="AS321" s="51"/>
      <c r="AT321" s="51"/>
      <c r="AU321" s="51"/>
      <c r="AV321" s="47"/>
      <c r="AW321" s="48"/>
      <c r="AX321" s="50"/>
      <c r="AY321" s="51"/>
      <c r="AZ321" s="51"/>
      <c r="BA321" s="51"/>
      <c r="BB321" s="51">
        <f t="shared" ref="BB321:BD321" si="319">IF(AND(ISNUMBER(Z321),COUNT(AG321,AM321,AS321,AY321)=2),Z321+SUM(AG321,AM321,AS321,AY321),"")</f>
        <v>0</v>
      </c>
      <c r="BC321" s="51">
        <f t="shared" si="319"/>
        <v>0</v>
      </c>
      <c r="BD321" s="51">
        <f t="shared" si="319"/>
        <v>0</v>
      </c>
    </row>
    <row r="322" ht="48.0" customHeight="1">
      <c r="A322" s="49" t="s">
        <v>40</v>
      </c>
      <c r="B322" s="49" t="str">
        <f t="array" ref="B322">INDEX('HD cty 2024'!B:B,MATCH('F0, F1, F2, ...'!$C322,'HD cty 2024'!B:B,0))</f>
        <v>#N/A</v>
      </c>
      <c r="C322" s="49">
        <v>399.0</v>
      </c>
      <c r="D322" s="50">
        <v>45527.0</v>
      </c>
      <c r="E322" s="51">
        <v>5.3976979E7</v>
      </c>
      <c r="F322" s="51">
        <v>4318158.0</v>
      </c>
      <c r="G322" s="51">
        <v>5.8295137E7</v>
      </c>
      <c r="H322" s="49" t="s">
        <v>414</v>
      </c>
      <c r="I322" s="52" t="s">
        <v>3512</v>
      </c>
      <c r="J322" s="50">
        <v>45806.0</v>
      </c>
      <c r="K322" s="51">
        <v>6085984.0</v>
      </c>
      <c r="L322" s="51">
        <v>486879.0</v>
      </c>
      <c r="M322" s="51">
        <v>6572863.0</v>
      </c>
      <c r="N322" s="49"/>
      <c r="O322" s="52"/>
      <c r="P322" s="50"/>
      <c r="Q322" s="51"/>
      <c r="R322" s="51"/>
      <c r="S322" s="51"/>
      <c r="T322" s="49"/>
      <c r="U322" s="52"/>
      <c r="V322" s="50"/>
      <c r="W322" s="51"/>
      <c r="X322" s="51"/>
      <c r="Y322" s="51"/>
      <c r="Z322" s="51">
        <v>6.0062963E7</v>
      </c>
      <c r="AA322" s="51">
        <v>4805037.0</v>
      </c>
      <c r="AB322" s="51">
        <v>6.4868E7</v>
      </c>
      <c r="AC322" s="47"/>
      <c r="AD322" s="47" t="s">
        <v>3513</v>
      </c>
      <c r="AE322" s="48"/>
      <c r="AF322" s="50"/>
      <c r="AG322" s="51">
        <v>-6085984.0</v>
      </c>
      <c r="AH322" s="51">
        <v>-486879.0</v>
      </c>
      <c r="AI322" s="51">
        <v>-6572863.0</v>
      </c>
      <c r="AJ322" s="47" t="s">
        <v>3514</v>
      </c>
      <c r="AK322" s="48"/>
      <c r="AL322" s="50"/>
      <c r="AM322" s="51">
        <v>-5.3976979E7</v>
      </c>
      <c r="AN322" s="51">
        <v>-4318158.0</v>
      </c>
      <c r="AO322" s="51">
        <v>-5.8295137E7</v>
      </c>
      <c r="AP322" s="47"/>
      <c r="AQ322" s="48"/>
      <c r="AR322" s="50"/>
      <c r="AS322" s="51"/>
      <c r="AT322" s="51"/>
      <c r="AU322" s="51"/>
      <c r="AV322" s="47"/>
      <c r="AW322" s="48"/>
      <c r="AX322" s="50"/>
      <c r="AY322" s="51"/>
      <c r="AZ322" s="51"/>
      <c r="BA322" s="51"/>
      <c r="BB322" s="51">
        <f t="shared" ref="BB322:BD322" si="320">IF(AND(ISNUMBER(Z322),COUNT(AG322,AM322,AS322,AY322)=2),Z322+SUM(AG322,AM322,AS322,AY322),"")</f>
        <v>0</v>
      </c>
      <c r="BC322" s="51">
        <f t="shared" si="320"/>
        <v>0</v>
      </c>
      <c r="BD322" s="51">
        <f t="shared" si="320"/>
        <v>0</v>
      </c>
    </row>
    <row r="323" ht="48.0" customHeight="1">
      <c r="A323" s="49" t="s">
        <v>40</v>
      </c>
      <c r="B323" s="49" t="str">
        <f t="array" ref="B323">INDEX('HD cty 2024'!B:B,MATCH('F0, F1, F2, ...'!$C323,'HD cty 2024'!B:B,0))</f>
        <v>#N/A</v>
      </c>
      <c r="C323" s="49">
        <v>400.0</v>
      </c>
      <c r="D323" s="50">
        <v>45527.0</v>
      </c>
      <c r="E323" s="51">
        <v>9.1021106E7</v>
      </c>
      <c r="F323" s="51">
        <v>7281688.0</v>
      </c>
      <c r="G323" s="51">
        <v>9.8302794E7</v>
      </c>
      <c r="H323" s="49" t="s">
        <v>414</v>
      </c>
      <c r="I323" s="52" t="s">
        <v>3515</v>
      </c>
      <c r="J323" s="50">
        <v>45806.0</v>
      </c>
      <c r="K323" s="51">
        <v>1.0903181E7</v>
      </c>
      <c r="L323" s="51">
        <v>872254.0</v>
      </c>
      <c r="M323" s="51">
        <v>1.1775435E7</v>
      </c>
      <c r="N323" s="49"/>
      <c r="O323" s="52"/>
      <c r="P323" s="50"/>
      <c r="Q323" s="51"/>
      <c r="R323" s="51"/>
      <c r="S323" s="51"/>
      <c r="T323" s="49"/>
      <c r="U323" s="52"/>
      <c r="V323" s="50"/>
      <c r="W323" s="51"/>
      <c r="X323" s="51"/>
      <c r="Y323" s="51"/>
      <c r="Z323" s="51">
        <v>1.01924287E8</v>
      </c>
      <c r="AA323" s="51">
        <v>8153942.0</v>
      </c>
      <c r="AB323" s="51">
        <v>1.10078229E8</v>
      </c>
      <c r="AC323" s="47"/>
      <c r="AD323" s="47" t="s">
        <v>3516</v>
      </c>
      <c r="AE323" s="48"/>
      <c r="AF323" s="50"/>
      <c r="AG323" s="51">
        <v>-1.0903181E7</v>
      </c>
      <c r="AH323" s="51">
        <v>-872254.0</v>
      </c>
      <c r="AI323" s="51">
        <v>-1.1775435E7</v>
      </c>
      <c r="AJ323" s="47" t="s">
        <v>3517</v>
      </c>
      <c r="AK323" s="48"/>
      <c r="AL323" s="50"/>
      <c r="AM323" s="51">
        <v>-9.1021106E7</v>
      </c>
      <c r="AN323" s="51">
        <v>-7281688.0</v>
      </c>
      <c r="AO323" s="51">
        <v>-9.8302794E7</v>
      </c>
      <c r="AP323" s="47"/>
      <c r="AQ323" s="48"/>
      <c r="AR323" s="50"/>
      <c r="AS323" s="51"/>
      <c r="AT323" s="51"/>
      <c r="AU323" s="51"/>
      <c r="AV323" s="47"/>
      <c r="AW323" s="48"/>
      <c r="AX323" s="50"/>
      <c r="AY323" s="51"/>
      <c r="AZ323" s="51"/>
      <c r="BA323" s="51"/>
      <c r="BB323" s="51">
        <f t="shared" ref="BB323:BD323" si="321">IF(AND(ISNUMBER(Z323),COUNT(AG323,AM323,AS323,AY323)=2),Z323+SUM(AG323,AM323,AS323,AY323),"")</f>
        <v>0</v>
      </c>
      <c r="BC323" s="51">
        <f t="shared" si="321"/>
        <v>0</v>
      </c>
      <c r="BD323" s="51">
        <f t="shared" si="321"/>
        <v>0</v>
      </c>
    </row>
    <row r="324" ht="48.0" customHeight="1">
      <c r="A324" s="49" t="s">
        <v>40</v>
      </c>
      <c r="B324" s="49" t="str">
        <f t="array" ref="B324">INDEX('HD cty 2024'!B:B,MATCH('F0, F1, F2, ...'!$C324,'HD cty 2024'!B:B,0))</f>
        <v>#N/A</v>
      </c>
      <c r="C324" s="49">
        <v>401.0</v>
      </c>
      <c r="D324" s="50">
        <v>45527.0</v>
      </c>
      <c r="E324" s="51">
        <v>7.3870618E7</v>
      </c>
      <c r="F324" s="51">
        <v>5909649.0</v>
      </c>
      <c r="G324" s="51">
        <v>7.9780267E7</v>
      </c>
      <c r="H324" s="49" t="s">
        <v>414</v>
      </c>
      <c r="I324" s="52" t="s">
        <v>3518</v>
      </c>
      <c r="J324" s="50">
        <v>45806.0</v>
      </c>
      <c r="K324" s="51">
        <v>8661789.0</v>
      </c>
      <c r="L324" s="51">
        <v>692943.0</v>
      </c>
      <c r="M324" s="51">
        <v>9354732.0</v>
      </c>
      <c r="N324" s="49"/>
      <c r="O324" s="52"/>
      <c r="P324" s="50"/>
      <c r="Q324" s="51"/>
      <c r="R324" s="51"/>
      <c r="S324" s="51"/>
      <c r="T324" s="49"/>
      <c r="U324" s="52"/>
      <c r="V324" s="50"/>
      <c r="W324" s="51"/>
      <c r="X324" s="51"/>
      <c r="Y324" s="51"/>
      <c r="Z324" s="51">
        <v>8.2532407E7</v>
      </c>
      <c r="AA324" s="51">
        <v>6602592.0</v>
      </c>
      <c r="AB324" s="51">
        <v>8.9134999E7</v>
      </c>
      <c r="AC324" s="47"/>
      <c r="AD324" s="47" t="s">
        <v>3519</v>
      </c>
      <c r="AE324" s="48"/>
      <c r="AF324" s="50"/>
      <c r="AG324" s="51">
        <v>-8661789.0</v>
      </c>
      <c r="AH324" s="51">
        <v>-692943.0</v>
      </c>
      <c r="AI324" s="51">
        <v>-9354732.0</v>
      </c>
      <c r="AJ324" s="47" t="s">
        <v>3520</v>
      </c>
      <c r="AK324" s="48"/>
      <c r="AL324" s="50"/>
      <c r="AM324" s="51">
        <v>-7.3870618E7</v>
      </c>
      <c r="AN324" s="51">
        <v>-5909649.0</v>
      </c>
      <c r="AO324" s="51">
        <v>-7.9780267E7</v>
      </c>
      <c r="AP324" s="47"/>
      <c r="AQ324" s="48"/>
      <c r="AR324" s="50"/>
      <c r="AS324" s="51"/>
      <c r="AT324" s="51"/>
      <c r="AU324" s="51"/>
      <c r="AV324" s="47"/>
      <c r="AW324" s="48"/>
      <c r="AX324" s="50"/>
      <c r="AY324" s="51"/>
      <c r="AZ324" s="51"/>
      <c r="BA324" s="51"/>
      <c r="BB324" s="51">
        <f t="shared" ref="BB324:BD324" si="322">IF(AND(ISNUMBER(Z324),COUNT(AG324,AM324,AS324,AY324)=2),Z324+SUM(AG324,AM324,AS324,AY324),"")</f>
        <v>0</v>
      </c>
      <c r="BC324" s="51">
        <f t="shared" si="322"/>
        <v>0</v>
      </c>
      <c r="BD324" s="51">
        <f t="shared" si="322"/>
        <v>0</v>
      </c>
    </row>
    <row r="325" ht="48.0" customHeight="1">
      <c r="A325" s="49" t="s">
        <v>40</v>
      </c>
      <c r="B325" s="49" t="str">
        <f t="array" ref="B325">INDEX('HD cty 2024'!B:B,MATCH('F0, F1, F2, ...'!$C325,'HD cty 2024'!B:B,0))</f>
        <v>#N/A</v>
      </c>
      <c r="C325" s="49">
        <v>402.0</v>
      </c>
      <c r="D325" s="50">
        <v>45527.0</v>
      </c>
      <c r="E325" s="51">
        <v>9.465892E7</v>
      </c>
      <c r="F325" s="51">
        <v>7572714.0</v>
      </c>
      <c r="G325" s="51">
        <v>1.02231634E8</v>
      </c>
      <c r="H325" s="49" t="s">
        <v>414</v>
      </c>
      <c r="I325" s="52" t="s">
        <v>3521</v>
      </c>
      <c r="J325" s="50">
        <v>45806.0</v>
      </c>
      <c r="K325" s="51">
        <v>1.094108E7</v>
      </c>
      <c r="L325" s="51">
        <v>875286.0</v>
      </c>
      <c r="M325" s="51">
        <v>1.1816366E7</v>
      </c>
      <c r="N325" s="49"/>
      <c r="O325" s="52"/>
      <c r="P325" s="50"/>
      <c r="Q325" s="51"/>
      <c r="R325" s="51"/>
      <c r="S325" s="51"/>
      <c r="T325" s="49"/>
      <c r="U325" s="52"/>
      <c r="V325" s="50"/>
      <c r="W325" s="51"/>
      <c r="X325" s="51"/>
      <c r="Y325" s="51"/>
      <c r="Z325" s="51">
        <v>1.056E8</v>
      </c>
      <c r="AA325" s="51">
        <v>8448000.0</v>
      </c>
      <c r="AB325" s="51">
        <v>1.14048E8</v>
      </c>
      <c r="AC325" s="47"/>
      <c r="AD325" s="47" t="s">
        <v>3522</v>
      </c>
      <c r="AE325" s="48"/>
      <c r="AF325" s="50"/>
      <c r="AG325" s="51">
        <v>-1.094108E7</v>
      </c>
      <c r="AH325" s="51">
        <v>-875286.0</v>
      </c>
      <c r="AI325" s="51">
        <v>-1.1816366E7</v>
      </c>
      <c r="AJ325" s="47" t="s">
        <v>3523</v>
      </c>
      <c r="AK325" s="48"/>
      <c r="AL325" s="50"/>
      <c r="AM325" s="51">
        <v>-9.465892E7</v>
      </c>
      <c r="AN325" s="51">
        <v>-7572714.0</v>
      </c>
      <c r="AO325" s="51">
        <v>-1.02231634E8</v>
      </c>
      <c r="AP325" s="47"/>
      <c r="AQ325" s="48"/>
      <c r="AR325" s="50"/>
      <c r="AS325" s="51"/>
      <c r="AT325" s="51"/>
      <c r="AU325" s="51"/>
      <c r="AV325" s="47"/>
      <c r="AW325" s="48"/>
      <c r="AX325" s="50"/>
      <c r="AY325" s="51"/>
      <c r="AZ325" s="51"/>
      <c r="BA325" s="51"/>
      <c r="BB325" s="51">
        <f t="shared" ref="BB325:BD325" si="323">IF(AND(ISNUMBER(Z325),COUNT(AG325,AM325,AS325,AY325)=2),Z325+SUM(AG325,AM325,AS325,AY325),"")</f>
        <v>0</v>
      </c>
      <c r="BC325" s="51">
        <f t="shared" si="323"/>
        <v>0</v>
      </c>
      <c r="BD325" s="51">
        <f t="shared" si="323"/>
        <v>0</v>
      </c>
    </row>
    <row r="326" ht="48.0" customHeight="1">
      <c r="A326" s="49" t="s">
        <v>40</v>
      </c>
      <c r="B326" s="49" t="str">
        <f t="array" ref="B326">INDEX('HD cty 2024'!B:B,MATCH('F0, F1, F2, ...'!$C326,'HD cty 2024'!B:B,0))</f>
        <v>#N/A</v>
      </c>
      <c r="C326" s="49">
        <v>403.0</v>
      </c>
      <c r="D326" s="50">
        <v>45527.0</v>
      </c>
      <c r="E326" s="51">
        <v>1.37076965E8</v>
      </c>
      <c r="F326" s="51">
        <v>1.0966157E7</v>
      </c>
      <c r="G326" s="51">
        <v>1.48043122E8</v>
      </c>
      <c r="H326" s="49" t="s">
        <v>414</v>
      </c>
      <c r="I326" s="52" t="s">
        <v>3524</v>
      </c>
      <c r="J326" s="50">
        <v>45806.0</v>
      </c>
      <c r="K326" s="51">
        <v>1.3951739E7</v>
      </c>
      <c r="L326" s="51">
        <v>1116139.0</v>
      </c>
      <c r="M326" s="51">
        <v>1.5067878E7</v>
      </c>
      <c r="N326" s="49"/>
      <c r="O326" s="52"/>
      <c r="P326" s="50"/>
      <c r="Q326" s="51"/>
      <c r="R326" s="51"/>
      <c r="S326" s="51"/>
      <c r="T326" s="49"/>
      <c r="U326" s="52"/>
      <c r="V326" s="50"/>
      <c r="W326" s="51"/>
      <c r="X326" s="51"/>
      <c r="Y326" s="51"/>
      <c r="Z326" s="51">
        <v>1.51028704E8</v>
      </c>
      <c r="AA326" s="51">
        <v>1.2082296E7</v>
      </c>
      <c r="AB326" s="51">
        <v>1.63111E8</v>
      </c>
      <c r="AC326" s="47"/>
      <c r="AD326" s="47" t="s">
        <v>3525</v>
      </c>
      <c r="AE326" s="48"/>
      <c r="AF326" s="50"/>
      <c r="AG326" s="51">
        <v>-1.3951739E7</v>
      </c>
      <c r="AH326" s="51">
        <v>-1116139.0</v>
      </c>
      <c r="AI326" s="51">
        <v>-1.5067878E7</v>
      </c>
      <c r="AJ326" s="47" t="s">
        <v>3526</v>
      </c>
      <c r="AK326" s="48"/>
      <c r="AL326" s="50"/>
      <c r="AM326" s="51">
        <v>-1.37076965E8</v>
      </c>
      <c r="AN326" s="51">
        <v>-1.0966157E7</v>
      </c>
      <c r="AO326" s="51">
        <v>-1.48043122E8</v>
      </c>
      <c r="AP326" s="47"/>
      <c r="AQ326" s="48"/>
      <c r="AR326" s="50"/>
      <c r="AS326" s="51"/>
      <c r="AT326" s="51"/>
      <c r="AU326" s="51"/>
      <c r="AV326" s="47"/>
      <c r="AW326" s="48"/>
      <c r="AX326" s="50"/>
      <c r="AY326" s="51"/>
      <c r="AZ326" s="51"/>
      <c r="BA326" s="51"/>
      <c r="BB326" s="51">
        <f t="shared" ref="BB326:BD326" si="324">IF(AND(ISNUMBER(Z326),COUNT(AG326,AM326,AS326,AY326)=2),Z326+SUM(AG326,AM326,AS326,AY326),"")</f>
        <v>0</v>
      </c>
      <c r="BC326" s="51">
        <f t="shared" si="324"/>
        <v>0</v>
      </c>
      <c r="BD326" s="51">
        <f t="shared" si="324"/>
        <v>0</v>
      </c>
    </row>
    <row r="327" ht="48.0" customHeight="1">
      <c r="A327" s="49" t="s">
        <v>40</v>
      </c>
      <c r="B327" s="49" t="str">
        <f t="array" ref="B327">INDEX('HD cty 2024'!B:B,MATCH('F0, F1, F2, ...'!$C327,'HD cty 2024'!B:B,0))</f>
        <v>#N/A</v>
      </c>
      <c r="C327" s="49">
        <v>404.0</v>
      </c>
      <c r="D327" s="50">
        <v>45528.0</v>
      </c>
      <c r="E327" s="51">
        <v>8.1077144E7</v>
      </c>
      <c r="F327" s="51">
        <v>6486172.0</v>
      </c>
      <c r="G327" s="51">
        <v>8.7563316E7</v>
      </c>
      <c r="H327" s="49" t="s">
        <v>414</v>
      </c>
      <c r="I327" s="52" t="s">
        <v>3527</v>
      </c>
      <c r="J327" s="50">
        <v>45806.0</v>
      </c>
      <c r="K327" s="51">
        <v>8919239.0</v>
      </c>
      <c r="L327" s="51">
        <v>713539.0</v>
      </c>
      <c r="M327" s="51">
        <v>9632778.0</v>
      </c>
      <c r="N327" s="49"/>
      <c r="O327" s="52"/>
      <c r="P327" s="50"/>
      <c r="Q327" s="51"/>
      <c r="R327" s="51"/>
      <c r="S327" s="51"/>
      <c r="T327" s="49"/>
      <c r="U327" s="52"/>
      <c r="V327" s="50"/>
      <c r="W327" s="51"/>
      <c r="X327" s="51"/>
      <c r="Y327" s="51"/>
      <c r="Z327" s="51">
        <v>8.9996383E7</v>
      </c>
      <c r="AA327" s="51">
        <v>7199711.0</v>
      </c>
      <c r="AB327" s="51">
        <v>9.7196094E7</v>
      </c>
      <c r="AC327" s="47"/>
      <c r="AD327" s="47" t="s">
        <v>3528</v>
      </c>
      <c r="AE327" s="48"/>
      <c r="AF327" s="50"/>
      <c r="AG327" s="51">
        <v>-8919239.0</v>
      </c>
      <c r="AH327" s="51">
        <v>-713539.0</v>
      </c>
      <c r="AI327" s="51">
        <v>-9632778.0</v>
      </c>
      <c r="AJ327" s="47" t="s">
        <v>3529</v>
      </c>
      <c r="AK327" s="48"/>
      <c r="AL327" s="50"/>
      <c r="AM327" s="51">
        <v>-8.1077144E7</v>
      </c>
      <c r="AN327" s="51">
        <v>-6486172.0</v>
      </c>
      <c r="AO327" s="51">
        <v>-8.7563316E7</v>
      </c>
      <c r="AP327" s="47"/>
      <c r="AQ327" s="48"/>
      <c r="AR327" s="50"/>
      <c r="AS327" s="51"/>
      <c r="AT327" s="51"/>
      <c r="AU327" s="51"/>
      <c r="AV327" s="47"/>
      <c r="AW327" s="48"/>
      <c r="AX327" s="50"/>
      <c r="AY327" s="51"/>
      <c r="AZ327" s="51"/>
      <c r="BA327" s="51"/>
      <c r="BB327" s="51">
        <f t="shared" ref="BB327:BD327" si="325">IF(AND(ISNUMBER(Z327),COUNT(AG327,AM327,AS327,AY327)=2),Z327+SUM(AG327,AM327,AS327,AY327),"")</f>
        <v>0</v>
      </c>
      <c r="BC327" s="51">
        <f t="shared" si="325"/>
        <v>0</v>
      </c>
      <c r="BD327" s="51">
        <f t="shared" si="325"/>
        <v>0</v>
      </c>
    </row>
    <row r="328" ht="48.0" customHeight="1">
      <c r="A328" s="49" t="s">
        <v>40</v>
      </c>
      <c r="B328" s="49" t="str">
        <f t="array" ref="B328">INDEX('HD cty 2024'!B:B,MATCH('F0, F1, F2, ...'!$C328,'HD cty 2024'!B:B,0))</f>
        <v>#N/A</v>
      </c>
      <c r="C328" s="49">
        <v>405.0</v>
      </c>
      <c r="D328" s="50">
        <v>45528.0</v>
      </c>
      <c r="E328" s="51">
        <v>1.55676856E8</v>
      </c>
      <c r="F328" s="51">
        <v>1.2454148E7</v>
      </c>
      <c r="G328" s="51">
        <v>1.68131004E8</v>
      </c>
      <c r="H328" s="49" t="s">
        <v>414</v>
      </c>
      <c r="I328" s="52" t="s">
        <v>3530</v>
      </c>
      <c r="J328" s="50">
        <v>45806.0</v>
      </c>
      <c r="K328" s="51">
        <v>1.3385181E7</v>
      </c>
      <c r="L328" s="51">
        <v>1070814.0</v>
      </c>
      <c r="M328" s="51">
        <v>1.4455995E7</v>
      </c>
      <c r="N328" s="49"/>
      <c r="O328" s="52"/>
      <c r="P328" s="50"/>
      <c r="Q328" s="51"/>
      <c r="R328" s="51"/>
      <c r="S328" s="51"/>
      <c r="T328" s="49"/>
      <c r="U328" s="52"/>
      <c r="V328" s="50"/>
      <c r="W328" s="51"/>
      <c r="X328" s="51"/>
      <c r="Y328" s="51"/>
      <c r="Z328" s="51">
        <v>1.69062037E8</v>
      </c>
      <c r="AA328" s="51">
        <v>1.3524962E7</v>
      </c>
      <c r="AB328" s="51">
        <v>1.82586999E8</v>
      </c>
      <c r="AC328" s="47"/>
      <c r="AD328" s="47" t="s">
        <v>3531</v>
      </c>
      <c r="AE328" s="48"/>
      <c r="AF328" s="50"/>
      <c r="AG328" s="51">
        <v>-1.3385181E7</v>
      </c>
      <c r="AH328" s="51">
        <v>-1070814.0</v>
      </c>
      <c r="AI328" s="51">
        <v>-1.4455995E7</v>
      </c>
      <c r="AJ328" s="47" t="s">
        <v>3532</v>
      </c>
      <c r="AK328" s="48"/>
      <c r="AL328" s="50"/>
      <c r="AM328" s="51">
        <v>-1.55676856E8</v>
      </c>
      <c r="AN328" s="51">
        <v>-1.2454148E7</v>
      </c>
      <c r="AO328" s="51">
        <v>-1.68131004E8</v>
      </c>
      <c r="AP328" s="47"/>
      <c r="AQ328" s="48"/>
      <c r="AR328" s="50"/>
      <c r="AS328" s="51"/>
      <c r="AT328" s="51"/>
      <c r="AU328" s="51"/>
      <c r="AV328" s="47"/>
      <c r="AW328" s="48"/>
      <c r="AX328" s="50"/>
      <c r="AY328" s="51"/>
      <c r="AZ328" s="51"/>
      <c r="BA328" s="51"/>
      <c r="BB328" s="51">
        <f t="shared" ref="BB328:BD328" si="326">IF(AND(ISNUMBER(Z328),COUNT(AG328,AM328,AS328,AY328)=2),Z328+SUM(AG328,AM328,AS328,AY328),"")</f>
        <v>0</v>
      </c>
      <c r="BC328" s="51">
        <f t="shared" si="326"/>
        <v>0</v>
      </c>
      <c r="BD328" s="51">
        <f t="shared" si="326"/>
        <v>0</v>
      </c>
    </row>
    <row r="329" ht="48.0" customHeight="1">
      <c r="A329" s="49" t="s">
        <v>40</v>
      </c>
      <c r="B329" s="49" t="str">
        <f t="array" ref="B329">INDEX('HD cty 2024'!B:B,MATCH('F0, F1, F2, ...'!$C329,'HD cty 2024'!B:B,0))</f>
        <v>#N/A</v>
      </c>
      <c r="C329" s="49">
        <v>406.0</v>
      </c>
      <c r="D329" s="50">
        <v>45528.0</v>
      </c>
      <c r="E329" s="51">
        <v>9.2622862E7</v>
      </c>
      <c r="F329" s="51">
        <v>7409829.0</v>
      </c>
      <c r="G329" s="51">
        <v>1.00032691E8</v>
      </c>
      <c r="H329" s="49" t="s">
        <v>414</v>
      </c>
      <c r="I329" s="52" t="s">
        <v>3533</v>
      </c>
      <c r="J329" s="50">
        <v>45806.0</v>
      </c>
      <c r="K329" s="51">
        <v>1.4494731E7</v>
      </c>
      <c r="L329" s="51">
        <v>1159578.0</v>
      </c>
      <c r="M329" s="51">
        <v>1.5654309E7</v>
      </c>
      <c r="N329" s="49"/>
      <c r="O329" s="52"/>
      <c r="P329" s="50"/>
      <c r="Q329" s="51"/>
      <c r="R329" s="51"/>
      <c r="S329" s="51"/>
      <c r="T329" s="49"/>
      <c r="U329" s="52"/>
      <c r="V329" s="50"/>
      <c r="W329" s="51"/>
      <c r="X329" s="51"/>
      <c r="Y329" s="51"/>
      <c r="Z329" s="51">
        <v>1.07117593E8</v>
      </c>
      <c r="AA329" s="51">
        <v>8569407.0</v>
      </c>
      <c r="AB329" s="51">
        <v>1.15687E8</v>
      </c>
      <c r="AC329" s="47"/>
      <c r="AD329" s="47" t="s">
        <v>3534</v>
      </c>
      <c r="AE329" s="48"/>
      <c r="AF329" s="50"/>
      <c r="AG329" s="51">
        <v>-1.4494731E7</v>
      </c>
      <c r="AH329" s="51">
        <v>-1159578.0</v>
      </c>
      <c r="AI329" s="51">
        <v>-1.5654309E7</v>
      </c>
      <c r="AJ329" s="47" t="s">
        <v>3535</v>
      </c>
      <c r="AK329" s="48"/>
      <c r="AL329" s="50"/>
      <c r="AM329" s="51">
        <v>-9.2622862E7</v>
      </c>
      <c r="AN329" s="51">
        <v>-7409829.0</v>
      </c>
      <c r="AO329" s="51">
        <v>-1.00032691E8</v>
      </c>
      <c r="AP329" s="47"/>
      <c r="AQ329" s="48"/>
      <c r="AR329" s="50"/>
      <c r="AS329" s="51"/>
      <c r="AT329" s="51"/>
      <c r="AU329" s="51"/>
      <c r="AV329" s="47"/>
      <c r="AW329" s="48"/>
      <c r="AX329" s="50"/>
      <c r="AY329" s="51"/>
      <c r="AZ329" s="51"/>
      <c r="BA329" s="51"/>
      <c r="BB329" s="51">
        <f t="shared" ref="BB329:BD329" si="327">IF(AND(ISNUMBER(Z329),COUNT(AG329,AM329,AS329,AY329)=2),Z329+SUM(AG329,AM329,AS329,AY329),"")</f>
        <v>0</v>
      </c>
      <c r="BC329" s="51">
        <f t="shared" si="327"/>
        <v>0</v>
      </c>
      <c r="BD329" s="51">
        <f t="shared" si="327"/>
        <v>0</v>
      </c>
    </row>
    <row r="330" ht="48.0" customHeight="1">
      <c r="A330" s="49" t="s">
        <v>40</v>
      </c>
      <c r="B330" s="49" t="str">
        <f t="array" ref="B330">INDEX('HD cty 2024'!B:B,MATCH('F0, F1, F2, ...'!$C330,'HD cty 2024'!B:B,0))</f>
        <v>#N/A</v>
      </c>
      <c r="C330" s="49">
        <v>407.0</v>
      </c>
      <c r="D330" s="50">
        <v>45528.0</v>
      </c>
      <c r="E330" s="51">
        <v>1.37407278E8</v>
      </c>
      <c r="F330" s="51">
        <v>1.0992582E7</v>
      </c>
      <c r="G330" s="51">
        <v>1.4839986E8</v>
      </c>
      <c r="H330" s="49" t="s">
        <v>414</v>
      </c>
      <c r="I330" s="52" t="s">
        <v>3536</v>
      </c>
      <c r="J330" s="50">
        <v>45807.0</v>
      </c>
      <c r="K330" s="51">
        <v>1.4447352E7</v>
      </c>
      <c r="L330" s="51">
        <v>1155788.0</v>
      </c>
      <c r="M330" s="51">
        <v>1.560314E7</v>
      </c>
      <c r="N330" s="49"/>
      <c r="O330" s="52"/>
      <c r="P330" s="50"/>
      <c r="Q330" s="51"/>
      <c r="R330" s="51"/>
      <c r="S330" s="51"/>
      <c r="T330" s="49"/>
      <c r="U330" s="52"/>
      <c r="V330" s="50"/>
      <c r="W330" s="51"/>
      <c r="X330" s="51"/>
      <c r="Y330" s="51"/>
      <c r="Z330" s="51">
        <v>1.5185463E8</v>
      </c>
      <c r="AA330" s="51">
        <v>1.214837E7</v>
      </c>
      <c r="AB330" s="51">
        <v>1.64003E8</v>
      </c>
      <c r="AC330" s="47"/>
      <c r="AD330" s="47" t="s">
        <v>3537</v>
      </c>
      <c r="AE330" s="48"/>
      <c r="AF330" s="50"/>
      <c r="AG330" s="51">
        <v>-1.4447352E7</v>
      </c>
      <c r="AH330" s="51">
        <v>-1155788.0</v>
      </c>
      <c r="AI330" s="51">
        <v>-1.560314E7</v>
      </c>
      <c r="AJ330" s="47" t="s">
        <v>3538</v>
      </c>
      <c r="AK330" s="48"/>
      <c r="AL330" s="50"/>
      <c r="AM330" s="51">
        <v>-1.37407278E8</v>
      </c>
      <c r="AN330" s="51">
        <v>-1.0992582E7</v>
      </c>
      <c r="AO330" s="51">
        <v>-1.4839986E8</v>
      </c>
      <c r="AP330" s="47"/>
      <c r="AQ330" s="48"/>
      <c r="AR330" s="50"/>
      <c r="AS330" s="51"/>
      <c r="AT330" s="51"/>
      <c r="AU330" s="51"/>
      <c r="AV330" s="47"/>
      <c r="AW330" s="48"/>
      <c r="AX330" s="50"/>
      <c r="AY330" s="51"/>
      <c r="AZ330" s="51"/>
      <c r="BA330" s="51"/>
      <c r="BB330" s="51">
        <f t="shared" ref="BB330:BD330" si="328">IF(AND(ISNUMBER(Z330),COUNT(AG330,AM330,AS330,AY330)=2),Z330+SUM(AG330,AM330,AS330,AY330),"")</f>
        <v>0</v>
      </c>
      <c r="BC330" s="51">
        <f t="shared" si="328"/>
        <v>0</v>
      </c>
      <c r="BD330" s="51">
        <f t="shared" si="328"/>
        <v>0</v>
      </c>
    </row>
    <row r="331" ht="48.0" customHeight="1">
      <c r="A331" s="49" t="s">
        <v>40</v>
      </c>
      <c r="B331" s="49" t="str">
        <f t="array" ref="B331">INDEX('HD cty 2024'!B:B,MATCH('F0, F1, F2, ...'!$C331,'HD cty 2024'!B:B,0))</f>
        <v>#N/A</v>
      </c>
      <c r="C331" s="49">
        <v>408.0</v>
      </c>
      <c r="D331" s="50">
        <v>45528.0</v>
      </c>
      <c r="E331" s="51">
        <v>2.02200528E8</v>
      </c>
      <c r="F331" s="51">
        <v>1.6176042E7</v>
      </c>
      <c r="G331" s="51">
        <v>2.1837657E8</v>
      </c>
      <c r="H331" s="49" t="s">
        <v>414</v>
      </c>
      <c r="I331" s="52" t="s">
        <v>3539</v>
      </c>
      <c r="J331" s="50">
        <v>45807.0</v>
      </c>
      <c r="K331" s="51">
        <v>2.8816139E7</v>
      </c>
      <c r="L331" s="51">
        <v>2305291.0</v>
      </c>
      <c r="M331" s="51">
        <v>3.112143E7</v>
      </c>
      <c r="N331" s="49"/>
      <c r="O331" s="52"/>
      <c r="P331" s="50"/>
      <c r="Q331" s="51"/>
      <c r="R331" s="51"/>
      <c r="S331" s="51"/>
      <c r="T331" s="49"/>
      <c r="U331" s="52"/>
      <c r="V331" s="50"/>
      <c r="W331" s="51"/>
      <c r="X331" s="51"/>
      <c r="Y331" s="51"/>
      <c r="Z331" s="51">
        <v>2.31016667E8</v>
      </c>
      <c r="AA331" s="51">
        <v>1.8481333E7</v>
      </c>
      <c r="AB331" s="51">
        <v>2.49498E8</v>
      </c>
      <c r="AC331" s="47"/>
      <c r="AD331" s="47" t="s">
        <v>3540</v>
      </c>
      <c r="AE331" s="48"/>
      <c r="AF331" s="50"/>
      <c r="AG331" s="51">
        <v>-2.8816139E7</v>
      </c>
      <c r="AH331" s="51">
        <v>-2305291.0</v>
      </c>
      <c r="AI331" s="51">
        <v>-3.112143E7</v>
      </c>
      <c r="AJ331" s="47" t="s">
        <v>3541</v>
      </c>
      <c r="AK331" s="48"/>
      <c r="AL331" s="50"/>
      <c r="AM331" s="51">
        <v>-2.02200528E8</v>
      </c>
      <c r="AN331" s="51">
        <v>-1.6176042E7</v>
      </c>
      <c r="AO331" s="51">
        <v>-2.1837657E8</v>
      </c>
      <c r="AP331" s="47"/>
      <c r="AQ331" s="48"/>
      <c r="AR331" s="50"/>
      <c r="AS331" s="51"/>
      <c r="AT331" s="51"/>
      <c r="AU331" s="51"/>
      <c r="AV331" s="47"/>
      <c r="AW331" s="48"/>
      <c r="AX331" s="50"/>
      <c r="AY331" s="51"/>
      <c r="AZ331" s="51"/>
      <c r="BA331" s="51"/>
      <c r="BB331" s="51">
        <f t="shared" ref="BB331:BD331" si="329">IF(AND(ISNUMBER(Z331),COUNT(AG331,AM331,AS331,AY331)=2),Z331+SUM(AG331,AM331,AS331,AY331),"")</f>
        <v>0</v>
      </c>
      <c r="BC331" s="51">
        <f t="shared" si="329"/>
        <v>0</v>
      </c>
      <c r="BD331" s="51">
        <f t="shared" si="329"/>
        <v>0</v>
      </c>
    </row>
    <row r="332" ht="48.0" customHeight="1">
      <c r="A332" s="49" t="s">
        <v>40</v>
      </c>
      <c r="B332" s="49" t="str">
        <f t="array" ref="B332">INDEX('HD cty 2024'!B:B,MATCH('F0, F1, F2, ...'!$C332,'HD cty 2024'!B:B,0))</f>
        <v>#N/A</v>
      </c>
      <c r="C332" s="49">
        <v>409.0</v>
      </c>
      <c r="D332" s="50">
        <v>45528.0</v>
      </c>
      <c r="E332" s="51">
        <v>9.5107457E7</v>
      </c>
      <c r="F332" s="51">
        <v>7608597.0</v>
      </c>
      <c r="G332" s="51">
        <v>1.02716054E8</v>
      </c>
      <c r="H332" s="49" t="s">
        <v>414</v>
      </c>
      <c r="I332" s="52" t="s">
        <v>3542</v>
      </c>
      <c r="J332" s="50">
        <v>45807.0</v>
      </c>
      <c r="K332" s="51">
        <v>1.3106432E7</v>
      </c>
      <c r="L332" s="51">
        <v>1048515.0</v>
      </c>
      <c r="M332" s="51">
        <v>1.4154947E7</v>
      </c>
      <c r="N332" s="49"/>
      <c r="O332" s="52"/>
      <c r="P332" s="50"/>
      <c r="Q332" s="51"/>
      <c r="R332" s="51"/>
      <c r="S332" s="51"/>
      <c r="T332" s="49"/>
      <c r="U332" s="52"/>
      <c r="V332" s="50"/>
      <c r="W332" s="51"/>
      <c r="X332" s="51"/>
      <c r="Y332" s="51"/>
      <c r="Z332" s="51">
        <v>1.08213889E8</v>
      </c>
      <c r="AA332" s="51">
        <v>8657112.0</v>
      </c>
      <c r="AB332" s="51">
        <v>1.16871001E8</v>
      </c>
      <c r="AC332" s="47"/>
      <c r="AD332" s="47" t="s">
        <v>3543</v>
      </c>
      <c r="AE332" s="48"/>
      <c r="AF332" s="50"/>
      <c r="AG332" s="51">
        <v>-1.3106432E7</v>
      </c>
      <c r="AH332" s="51">
        <v>-1048515.0</v>
      </c>
      <c r="AI332" s="51">
        <v>-1.4154947E7</v>
      </c>
      <c r="AJ332" s="47" t="s">
        <v>3544</v>
      </c>
      <c r="AK332" s="48"/>
      <c r="AL332" s="50"/>
      <c r="AM332" s="51">
        <v>-9.5107457E7</v>
      </c>
      <c r="AN332" s="51">
        <v>-7608597.0</v>
      </c>
      <c r="AO332" s="51">
        <v>-1.02716054E8</v>
      </c>
      <c r="AP332" s="47"/>
      <c r="AQ332" s="48"/>
      <c r="AR332" s="50"/>
      <c r="AS332" s="51"/>
      <c r="AT332" s="51"/>
      <c r="AU332" s="51"/>
      <c r="AV332" s="47"/>
      <c r="AW332" s="48"/>
      <c r="AX332" s="50"/>
      <c r="AY332" s="51"/>
      <c r="AZ332" s="51"/>
      <c r="BA332" s="51"/>
      <c r="BB332" s="51">
        <f t="shared" ref="BB332:BD332" si="330">IF(AND(ISNUMBER(Z332),COUNT(AG332,AM332,AS332,AY332)=2),Z332+SUM(AG332,AM332,AS332,AY332),"")</f>
        <v>0</v>
      </c>
      <c r="BC332" s="51">
        <f t="shared" si="330"/>
        <v>0</v>
      </c>
      <c r="BD332" s="51">
        <f t="shared" si="330"/>
        <v>0</v>
      </c>
    </row>
    <row r="333" ht="48.0" customHeight="1">
      <c r="A333" s="49" t="s">
        <v>40</v>
      </c>
      <c r="B333" s="49" t="str">
        <f t="array" ref="B333">INDEX('HD cty 2024'!B:B,MATCH('F0, F1, F2, ...'!$C333,'HD cty 2024'!B:B,0))</f>
        <v>#N/A</v>
      </c>
      <c r="C333" s="49">
        <v>410.0</v>
      </c>
      <c r="D333" s="50">
        <v>45530.0</v>
      </c>
      <c r="E333" s="51">
        <v>1.11927198E8</v>
      </c>
      <c r="F333" s="51">
        <v>8954176.0</v>
      </c>
      <c r="G333" s="51">
        <v>1.20881374E8</v>
      </c>
      <c r="H333" s="49" t="s">
        <v>414</v>
      </c>
      <c r="I333" s="52" t="s">
        <v>3545</v>
      </c>
      <c r="J333" s="50">
        <v>45807.0</v>
      </c>
      <c r="K333" s="51">
        <v>1.5809839E7</v>
      </c>
      <c r="L333" s="51">
        <v>1264787.0</v>
      </c>
      <c r="M333" s="51">
        <v>1.7074626E7</v>
      </c>
      <c r="N333" s="49"/>
      <c r="O333" s="52"/>
      <c r="P333" s="50"/>
      <c r="Q333" s="51"/>
      <c r="R333" s="51"/>
      <c r="S333" s="51"/>
      <c r="T333" s="49"/>
      <c r="U333" s="52"/>
      <c r="V333" s="50"/>
      <c r="W333" s="51"/>
      <c r="X333" s="51"/>
      <c r="Y333" s="51"/>
      <c r="Z333" s="51">
        <v>1.27737037E8</v>
      </c>
      <c r="AA333" s="51">
        <v>1.0218963E7</v>
      </c>
      <c r="AB333" s="51">
        <v>1.37956E8</v>
      </c>
      <c r="AC333" s="47"/>
      <c r="AD333" s="47" t="s">
        <v>3546</v>
      </c>
      <c r="AE333" s="48"/>
      <c r="AF333" s="50"/>
      <c r="AG333" s="51">
        <v>-1.5809839E7</v>
      </c>
      <c r="AH333" s="51">
        <v>-1264787.0</v>
      </c>
      <c r="AI333" s="51">
        <v>-1.7074626E7</v>
      </c>
      <c r="AJ333" s="47" t="s">
        <v>3547</v>
      </c>
      <c r="AK333" s="48"/>
      <c r="AL333" s="50"/>
      <c r="AM333" s="51">
        <v>-1.11927198E8</v>
      </c>
      <c r="AN333" s="51">
        <v>-8954176.0</v>
      </c>
      <c r="AO333" s="51">
        <v>-1.20881374E8</v>
      </c>
      <c r="AP333" s="47"/>
      <c r="AQ333" s="48"/>
      <c r="AR333" s="50"/>
      <c r="AS333" s="51"/>
      <c r="AT333" s="51"/>
      <c r="AU333" s="51"/>
      <c r="AV333" s="47"/>
      <c r="AW333" s="48"/>
      <c r="AX333" s="50"/>
      <c r="AY333" s="51"/>
      <c r="AZ333" s="51"/>
      <c r="BA333" s="51"/>
      <c r="BB333" s="51">
        <f t="shared" ref="BB333:BD333" si="331">IF(AND(ISNUMBER(Z333),COUNT(AG333,AM333,AS333,AY333)=2),Z333+SUM(AG333,AM333,AS333,AY333),"")</f>
        <v>0</v>
      </c>
      <c r="BC333" s="51">
        <f t="shared" si="331"/>
        <v>0</v>
      </c>
      <c r="BD333" s="51">
        <f t="shared" si="331"/>
        <v>0</v>
      </c>
    </row>
    <row r="334" ht="48.0" customHeight="1">
      <c r="A334" s="49" t="s">
        <v>40</v>
      </c>
      <c r="B334" s="49" t="str">
        <f t="array" ref="B334">INDEX('HD cty 2024'!B:B,MATCH('F0, F1, F2, ...'!$C334,'HD cty 2024'!B:B,0))</f>
        <v>#N/A</v>
      </c>
      <c r="C334" s="49">
        <v>411.0</v>
      </c>
      <c r="D334" s="50">
        <v>45530.0</v>
      </c>
      <c r="E334" s="51">
        <v>1.10895177E8</v>
      </c>
      <c r="F334" s="51">
        <v>8871614.0</v>
      </c>
      <c r="G334" s="51">
        <v>1.19766791E8</v>
      </c>
      <c r="H334" s="49" t="s">
        <v>414</v>
      </c>
      <c r="I334" s="52" t="s">
        <v>3548</v>
      </c>
      <c r="J334" s="50">
        <v>45807.0</v>
      </c>
      <c r="K334" s="51">
        <v>1.2473342E7</v>
      </c>
      <c r="L334" s="51">
        <v>997867.0</v>
      </c>
      <c r="M334" s="51">
        <v>1.3471209E7</v>
      </c>
      <c r="N334" s="49"/>
      <c r="O334" s="52"/>
      <c r="P334" s="50"/>
      <c r="Q334" s="51"/>
      <c r="R334" s="51"/>
      <c r="S334" s="51"/>
      <c r="T334" s="49"/>
      <c r="U334" s="52"/>
      <c r="V334" s="50"/>
      <c r="W334" s="51"/>
      <c r="X334" s="51"/>
      <c r="Y334" s="51"/>
      <c r="Z334" s="51">
        <v>1.23368519E8</v>
      </c>
      <c r="AA334" s="51">
        <v>9869481.0</v>
      </c>
      <c r="AB334" s="51">
        <v>1.33238E8</v>
      </c>
      <c r="AC334" s="47"/>
      <c r="AD334" s="47" t="s">
        <v>3549</v>
      </c>
      <c r="AE334" s="48"/>
      <c r="AF334" s="50"/>
      <c r="AG334" s="51">
        <v>-1.2473342E7</v>
      </c>
      <c r="AH334" s="51">
        <v>-997867.0</v>
      </c>
      <c r="AI334" s="51">
        <v>-1.3471209E7</v>
      </c>
      <c r="AJ334" s="47" t="s">
        <v>3550</v>
      </c>
      <c r="AK334" s="48"/>
      <c r="AL334" s="50"/>
      <c r="AM334" s="51">
        <v>-1.10895177E8</v>
      </c>
      <c r="AN334" s="51">
        <v>-8871614.0</v>
      </c>
      <c r="AO334" s="51">
        <v>-1.19766791E8</v>
      </c>
      <c r="AP334" s="47"/>
      <c r="AQ334" s="48"/>
      <c r="AR334" s="50"/>
      <c r="AS334" s="51"/>
      <c r="AT334" s="51"/>
      <c r="AU334" s="51"/>
      <c r="AV334" s="47"/>
      <c r="AW334" s="48"/>
      <c r="AX334" s="50"/>
      <c r="AY334" s="51"/>
      <c r="AZ334" s="51"/>
      <c r="BA334" s="51"/>
      <c r="BB334" s="51">
        <f t="shared" ref="BB334:BD334" si="332">IF(AND(ISNUMBER(Z334),COUNT(AG334,AM334,AS334,AY334)=2),Z334+SUM(AG334,AM334,AS334,AY334),"")</f>
        <v>0</v>
      </c>
      <c r="BC334" s="51">
        <f t="shared" si="332"/>
        <v>0</v>
      </c>
      <c r="BD334" s="51">
        <f t="shared" si="332"/>
        <v>0</v>
      </c>
    </row>
    <row r="335" ht="48.0" customHeight="1">
      <c r="A335" s="49" t="s">
        <v>40</v>
      </c>
      <c r="B335" s="49" t="str">
        <f t="array" ref="B335">INDEX('HD cty 2024'!B:B,MATCH('F0, F1, F2, ...'!$C335,'HD cty 2024'!B:B,0))</f>
        <v>#N/A</v>
      </c>
      <c r="C335" s="49">
        <v>412.0</v>
      </c>
      <c r="D335" s="50">
        <v>45530.0</v>
      </c>
      <c r="E335" s="51">
        <v>1.5354881E8</v>
      </c>
      <c r="F335" s="51">
        <v>1.2283905E7</v>
      </c>
      <c r="G335" s="51">
        <v>1.65832715E8</v>
      </c>
      <c r="H335" s="49" t="s">
        <v>414</v>
      </c>
      <c r="I335" s="52" t="s">
        <v>3551</v>
      </c>
      <c r="J335" s="50">
        <v>45807.0</v>
      </c>
      <c r="K335" s="51">
        <v>8266838.0</v>
      </c>
      <c r="L335" s="51">
        <v>661347.0</v>
      </c>
      <c r="M335" s="51">
        <v>8928185.0</v>
      </c>
      <c r="N335" s="49"/>
      <c r="O335" s="52"/>
      <c r="P335" s="50"/>
      <c r="Q335" s="51"/>
      <c r="R335" s="51"/>
      <c r="S335" s="51"/>
      <c r="T335" s="49"/>
      <c r="U335" s="52"/>
      <c r="V335" s="50"/>
      <c r="W335" s="51"/>
      <c r="X335" s="51"/>
      <c r="Y335" s="51"/>
      <c r="Z335" s="51">
        <v>1.61815648E8</v>
      </c>
      <c r="AA335" s="51">
        <v>1.2945252E7</v>
      </c>
      <c r="AB335" s="51">
        <v>1.747609E8</v>
      </c>
      <c r="AC335" s="47"/>
      <c r="AD335" s="47" t="s">
        <v>3552</v>
      </c>
      <c r="AE335" s="48"/>
      <c r="AF335" s="50"/>
      <c r="AG335" s="51">
        <v>-8266838.0</v>
      </c>
      <c r="AH335" s="51">
        <v>-661347.0</v>
      </c>
      <c r="AI335" s="51">
        <v>-8928185.0</v>
      </c>
      <c r="AJ335" s="47" t="s">
        <v>3553</v>
      </c>
      <c r="AK335" s="48"/>
      <c r="AL335" s="50"/>
      <c r="AM335" s="51">
        <v>-1.5354881E8</v>
      </c>
      <c r="AN335" s="51">
        <v>-1.2283905E7</v>
      </c>
      <c r="AO335" s="51">
        <v>-1.65832715E8</v>
      </c>
      <c r="AP335" s="47"/>
      <c r="AQ335" s="48"/>
      <c r="AR335" s="50"/>
      <c r="AS335" s="51"/>
      <c r="AT335" s="51"/>
      <c r="AU335" s="51"/>
      <c r="AV335" s="47"/>
      <c r="AW335" s="48"/>
      <c r="AX335" s="50"/>
      <c r="AY335" s="51"/>
      <c r="AZ335" s="51"/>
      <c r="BA335" s="51"/>
      <c r="BB335" s="51">
        <f t="shared" ref="BB335:BD335" si="333">IF(AND(ISNUMBER(Z335),COUNT(AG335,AM335,AS335,AY335)=2),Z335+SUM(AG335,AM335,AS335,AY335),"")</f>
        <v>0</v>
      </c>
      <c r="BC335" s="51">
        <f t="shared" si="333"/>
        <v>0</v>
      </c>
      <c r="BD335" s="51">
        <f t="shared" si="333"/>
        <v>0</v>
      </c>
    </row>
    <row r="336" ht="48.0" customHeight="1">
      <c r="A336" s="49" t="s">
        <v>40</v>
      </c>
      <c r="B336" s="49" t="str">
        <f t="array" ref="B336">INDEX('HD cty 2024'!B:B,MATCH('F0, F1, F2, ...'!$C336,'HD cty 2024'!B:B,0))</f>
        <v>#N/A</v>
      </c>
      <c r="C336" s="49">
        <v>413.0</v>
      </c>
      <c r="D336" s="50">
        <v>45530.0</v>
      </c>
      <c r="E336" s="51">
        <v>1.29694898E8</v>
      </c>
      <c r="F336" s="51">
        <v>1.0375592E7</v>
      </c>
      <c r="G336" s="51">
        <v>1.4007049E8</v>
      </c>
      <c r="H336" s="49" t="s">
        <v>414</v>
      </c>
      <c r="I336" s="52" t="s">
        <v>3554</v>
      </c>
      <c r="J336" s="50">
        <v>45807.0</v>
      </c>
      <c r="K336" s="51">
        <v>1.2696398E7</v>
      </c>
      <c r="L336" s="51">
        <v>1015712.0</v>
      </c>
      <c r="M336" s="51">
        <v>1.371211E7</v>
      </c>
      <c r="N336" s="49"/>
      <c r="O336" s="52"/>
      <c r="P336" s="50"/>
      <c r="Q336" s="51"/>
      <c r="R336" s="51"/>
      <c r="S336" s="51"/>
      <c r="T336" s="49"/>
      <c r="U336" s="52"/>
      <c r="V336" s="50"/>
      <c r="W336" s="51"/>
      <c r="X336" s="51"/>
      <c r="Y336" s="51"/>
      <c r="Z336" s="51">
        <v>1.42391296E8</v>
      </c>
      <c r="AA336" s="51">
        <v>1.1391304E7</v>
      </c>
      <c r="AB336" s="51">
        <v>1.537826E8</v>
      </c>
      <c r="AC336" s="47"/>
      <c r="AD336" s="47" t="s">
        <v>3555</v>
      </c>
      <c r="AE336" s="48"/>
      <c r="AF336" s="50"/>
      <c r="AG336" s="51">
        <v>-1.2696398E7</v>
      </c>
      <c r="AH336" s="51">
        <v>-1015712.0</v>
      </c>
      <c r="AI336" s="51">
        <v>-1.371211E7</v>
      </c>
      <c r="AJ336" s="47" t="s">
        <v>3556</v>
      </c>
      <c r="AK336" s="48"/>
      <c r="AL336" s="50"/>
      <c r="AM336" s="51">
        <v>-1.29694898E8</v>
      </c>
      <c r="AN336" s="51">
        <v>-1.0375592E7</v>
      </c>
      <c r="AO336" s="51">
        <v>-1.4007049E8</v>
      </c>
      <c r="AP336" s="47"/>
      <c r="AQ336" s="48"/>
      <c r="AR336" s="50"/>
      <c r="AS336" s="51"/>
      <c r="AT336" s="51"/>
      <c r="AU336" s="51"/>
      <c r="AV336" s="47"/>
      <c r="AW336" s="48"/>
      <c r="AX336" s="50"/>
      <c r="AY336" s="51"/>
      <c r="AZ336" s="51"/>
      <c r="BA336" s="51"/>
      <c r="BB336" s="51">
        <f t="shared" ref="BB336:BD336" si="334">IF(AND(ISNUMBER(Z336),COUNT(AG336,AM336,AS336,AY336)=2),Z336+SUM(AG336,AM336,AS336,AY336),"")</f>
        <v>0</v>
      </c>
      <c r="BC336" s="51">
        <f t="shared" si="334"/>
        <v>0</v>
      </c>
      <c r="BD336" s="51">
        <f t="shared" si="334"/>
        <v>0</v>
      </c>
    </row>
    <row r="337" ht="48.0" customHeight="1">
      <c r="A337" s="49" t="s">
        <v>40</v>
      </c>
      <c r="B337" s="49" t="str">
        <f t="array" ref="B337">INDEX('HD cty 2024'!B:B,MATCH('F0, F1, F2, ...'!$C337,'HD cty 2024'!B:B,0))</f>
        <v>#N/A</v>
      </c>
      <c r="C337" s="49">
        <v>414.0</v>
      </c>
      <c r="D337" s="50">
        <v>45530.0</v>
      </c>
      <c r="E337" s="51">
        <v>1.43368643E8</v>
      </c>
      <c r="F337" s="51">
        <v>1.1469491E7</v>
      </c>
      <c r="G337" s="51">
        <v>1.54838134E8</v>
      </c>
      <c r="H337" s="49" t="s">
        <v>414</v>
      </c>
      <c r="I337" s="52" t="s">
        <v>3557</v>
      </c>
      <c r="J337" s="50">
        <v>45807.0</v>
      </c>
      <c r="K337" s="51">
        <v>1.4920246E7</v>
      </c>
      <c r="L337" s="51">
        <v>1193620.0</v>
      </c>
      <c r="M337" s="51">
        <v>1.6113866E7</v>
      </c>
      <c r="N337" s="49"/>
      <c r="O337" s="52"/>
      <c r="P337" s="50"/>
      <c r="Q337" s="51"/>
      <c r="R337" s="51"/>
      <c r="S337" s="51"/>
      <c r="T337" s="49"/>
      <c r="U337" s="52"/>
      <c r="V337" s="50"/>
      <c r="W337" s="51"/>
      <c r="X337" s="51"/>
      <c r="Y337" s="51"/>
      <c r="Z337" s="51">
        <v>1.58288889E8</v>
      </c>
      <c r="AA337" s="51">
        <v>1.2663111E7</v>
      </c>
      <c r="AB337" s="51">
        <v>1.70952E8</v>
      </c>
      <c r="AC337" s="47"/>
      <c r="AD337" s="47" t="s">
        <v>3558</v>
      </c>
      <c r="AE337" s="48"/>
      <c r="AF337" s="50"/>
      <c r="AG337" s="51">
        <v>-1.4920246E7</v>
      </c>
      <c r="AH337" s="51">
        <v>-1193620.0</v>
      </c>
      <c r="AI337" s="51">
        <v>-1.6113866E7</v>
      </c>
      <c r="AJ337" s="47" t="s">
        <v>3559</v>
      </c>
      <c r="AK337" s="48"/>
      <c r="AL337" s="50"/>
      <c r="AM337" s="51">
        <v>-1.43368643E8</v>
      </c>
      <c r="AN337" s="51">
        <v>-1.1469491E7</v>
      </c>
      <c r="AO337" s="51">
        <v>-1.54838134E8</v>
      </c>
      <c r="AP337" s="47"/>
      <c r="AQ337" s="48"/>
      <c r="AR337" s="50"/>
      <c r="AS337" s="51"/>
      <c r="AT337" s="51"/>
      <c r="AU337" s="51"/>
      <c r="AV337" s="47"/>
      <c r="AW337" s="48"/>
      <c r="AX337" s="50"/>
      <c r="AY337" s="51"/>
      <c r="AZ337" s="51"/>
      <c r="BA337" s="51"/>
      <c r="BB337" s="51">
        <f t="shared" ref="BB337:BD337" si="335">IF(AND(ISNUMBER(Z337),COUNT(AG337,AM337,AS337,AY337)=2),Z337+SUM(AG337,AM337,AS337,AY337),"")</f>
        <v>0</v>
      </c>
      <c r="BC337" s="51">
        <f t="shared" si="335"/>
        <v>0</v>
      </c>
      <c r="BD337" s="51">
        <f t="shared" si="335"/>
        <v>0</v>
      </c>
    </row>
    <row r="338" ht="48.0" customHeight="1">
      <c r="A338" s="49" t="s">
        <v>40</v>
      </c>
      <c r="B338" s="49" t="str">
        <f t="array" ref="B338">INDEX('HD cty 2024'!B:B,MATCH('F0, F1, F2, ...'!$C338,'HD cty 2024'!B:B,0))</f>
        <v>#N/A</v>
      </c>
      <c r="C338" s="49">
        <v>415.0</v>
      </c>
      <c r="D338" s="50">
        <v>45531.0</v>
      </c>
      <c r="E338" s="51">
        <v>1.90602207E8</v>
      </c>
      <c r="F338" s="51">
        <v>1.5248177E7</v>
      </c>
      <c r="G338" s="51">
        <v>2.05850384E8</v>
      </c>
      <c r="H338" s="49" t="s">
        <v>414</v>
      </c>
      <c r="I338" s="52" t="s">
        <v>3560</v>
      </c>
      <c r="J338" s="50">
        <v>45807.0</v>
      </c>
      <c r="K338" s="51">
        <v>1.8774645E7</v>
      </c>
      <c r="L338" s="51">
        <v>1501972.0</v>
      </c>
      <c r="M338" s="51">
        <v>2.0276617E7</v>
      </c>
      <c r="N338" s="49"/>
      <c r="O338" s="52"/>
      <c r="P338" s="50"/>
      <c r="Q338" s="51"/>
      <c r="R338" s="51"/>
      <c r="S338" s="51"/>
      <c r="T338" s="49"/>
      <c r="U338" s="52"/>
      <c r="V338" s="50"/>
      <c r="W338" s="51"/>
      <c r="X338" s="51"/>
      <c r="Y338" s="51"/>
      <c r="Z338" s="51">
        <v>2.09376852E8</v>
      </c>
      <c r="AA338" s="51">
        <v>1.6750149E7</v>
      </c>
      <c r="AB338" s="51">
        <v>2.26127001E8</v>
      </c>
      <c r="AC338" s="47"/>
      <c r="AD338" s="47" t="s">
        <v>3561</v>
      </c>
      <c r="AE338" s="48"/>
      <c r="AF338" s="50"/>
      <c r="AG338" s="51">
        <v>-1.8774645E7</v>
      </c>
      <c r="AH338" s="51">
        <v>-1501972.0</v>
      </c>
      <c r="AI338" s="51">
        <v>-2.0276617E7</v>
      </c>
      <c r="AJ338" s="47" t="s">
        <v>3562</v>
      </c>
      <c r="AK338" s="48"/>
      <c r="AL338" s="50"/>
      <c r="AM338" s="51">
        <v>-1.90602207E8</v>
      </c>
      <c r="AN338" s="51">
        <v>-1.5248177E7</v>
      </c>
      <c r="AO338" s="51">
        <v>-2.05850384E8</v>
      </c>
      <c r="AP338" s="47"/>
      <c r="AQ338" s="48"/>
      <c r="AR338" s="50"/>
      <c r="AS338" s="51"/>
      <c r="AT338" s="51"/>
      <c r="AU338" s="51"/>
      <c r="AV338" s="47"/>
      <c r="AW338" s="48"/>
      <c r="AX338" s="50"/>
      <c r="AY338" s="51"/>
      <c r="AZ338" s="51"/>
      <c r="BA338" s="51"/>
      <c r="BB338" s="51">
        <f t="shared" ref="BB338:BD338" si="336">IF(AND(ISNUMBER(Z338),COUNT(AG338,AM338,AS338,AY338)=2),Z338+SUM(AG338,AM338,AS338,AY338),"")</f>
        <v>0</v>
      </c>
      <c r="BC338" s="51">
        <f t="shared" si="336"/>
        <v>0</v>
      </c>
      <c r="BD338" s="51">
        <f t="shared" si="336"/>
        <v>0</v>
      </c>
    </row>
    <row r="339" ht="48.0" customHeight="1">
      <c r="A339" s="49" t="s">
        <v>40</v>
      </c>
      <c r="B339" s="49" t="str">
        <f t="array" ref="B339">INDEX('HD cty 2024'!B:B,MATCH('F0, F1, F2, ...'!$C339,'HD cty 2024'!B:B,0))</f>
        <v>#N/A</v>
      </c>
      <c r="C339" s="49">
        <v>416.0</v>
      </c>
      <c r="D339" s="50">
        <v>45531.0</v>
      </c>
      <c r="E339" s="51">
        <v>1.75255362E8</v>
      </c>
      <c r="F339" s="51">
        <v>1.4020429E7</v>
      </c>
      <c r="G339" s="51">
        <v>1.89275791E8</v>
      </c>
      <c r="H339" s="49" t="s">
        <v>414</v>
      </c>
      <c r="I339" s="52" t="s">
        <v>3563</v>
      </c>
      <c r="J339" s="50">
        <v>45807.0</v>
      </c>
      <c r="K339" s="51">
        <v>1.467149E7</v>
      </c>
      <c r="L339" s="51">
        <v>1173719.0</v>
      </c>
      <c r="M339" s="51">
        <v>1.5845209E7</v>
      </c>
      <c r="N339" s="49"/>
      <c r="O339" s="52"/>
      <c r="P339" s="50"/>
      <c r="Q339" s="51"/>
      <c r="R339" s="51"/>
      <c r="S339" s="51"/>
      <c r="T339" s="49"/>
      <c r="U339" s="52"/>
      <c r="V339" s="50"/>
      <c r="W339" s="51"/>
      <c r="X339" s="51"/>
      <c r="Y339" s="51"/>
      <c r="Z339" s="51">
        <v>1.89926852E8</v>
      </c>
      <c r="AA339" s="51">
        <v>1.5194148E7</v>
      </c>
      <c r="AB339" s="51">
        <v>2.05121E8</v>
      </c>
      <c r="AC339" s="47"/>
      <c r="AD339" s="47" t="s">
        <v>3564</v>
      </c>
      <c r="AE339" s="48"/>
      <c r="AF339" s="50"/>
      <c r="AG339" s="51">
        <v>-1.467149E7</v>
      </c>
      <c r="AH339" s="51">
        <v>-1173719.0</v>
      </c>
      <c r="AI339" s="51">
        <v>-1.5845209E7</v>
      </c>
      <c r="AJ339" s="47" t="s">
        <v>3565</v>
      </c>
      <c r="AK339" s="48"/>
      <c r="AL339" s="50"/>
      <c r="AM339" s="51">
        <v>-1.75255362E8</v>
      </c>
      <c r="AN339" s="51">
        <v>-1.4020429E7</v>
      </c>
      <c r="AO339" s="51">
        <v>-1.89275791E8</v>
      </c>
      <c r="AP339" s="47"/>
      <c r="AQ339" s="48"/>
      <c r="AR339" s="50"/>
      <c r="AS339" s="51"/>
      <c r="AT339" s="51"/>
      <c r="AU339" s="51"/>
      <c r="AV339" s="47"/>
      <c r="AW339" s="48"/>
      <c r="AX339" s="50"/>
      <c r="AY339" s="51"/>
      <c r="AZ339" s="51"/>
      <c r="BA339" s="51"/>
      <c r="BB339" s="51">
        <f t="shared" ref="BB339:BD339" si="337">IF(AND(ISNUMBER(Z339),COUNT(AG339,AM339,AS339,AY339)=2),Z339+SUM(AG339,AM339,AS339,AY339),"")</f>
        <v>0</v>
      </c>
      <c r="BC339" s="51">
        <f t="shared" si="337"/>
        <v>0</v>
      </c>
      <c r="BD339" s="51">
        <f t="shared" si="337"/>
        <v>0</v>
      </c>
    </row>
    <row r="340" ht="48.0" customHeight="1">
      <c r="A340" s="49" t="s">
        <v>40</v>
      </c>
      <c r="B340" s="49" t="str">
        <f t="array" ref="B340">INDEX('HD cty 2024'!B:B,MATCH('F0, F1, F2, ...'!$C340,'HD cty 2024'!B:B,0))</f>
        <v>#N/A</v>
      </c>
      <c r="C340" s="49">
        <v>417.0</v>
      </c>
      <c r="D340" s="50">
        <v>45531.0</v>
      </c>
      <c r="E340" s="51">
        <v>1.10057856E8</v>
      </c>
      <c r="F340" s="51">
        <v>8804628.0</v>
      </c>
      <c r="G340" s="51">
        <v>1.18862484E8</v>
      </c>
      <c r="H340" s="49" t="s">
        <v>414</v>
      </c>
      <c r="I340" s="52" t="s">
        <v>3566</v>
      </c>
      <c r="J340" s="50">
        <v>45807.0</v>
      </c>
      <c r="K340" s="51">
        <v>9772700.0</v>
      </c>
      <c r="L340" s="51">
        <v>781816.0</v>
      </c>
      <c r="M340" s="51">
        <v>1.0554516E7</v>
      </c>
      <c r="N340" s="49"/>
      <c r="O340" s="52"/>
      <c r="P340" s="50"/>
      <c r="Q340" s="51"/>
      <c r="R340" s="51"/>
      <c r="S340" s="51"/>
      <c r="T340" s="49"/>
      <c r="U340" s="52"/>
      <c r="V340" s="50"/>
      <c r="W340" s="51"/>
      <c r="X340" s="51"/>
      <c r="Y340" s="51"/>
      <c r="Z340" s="51">
        <v>1.19830556E8</v>
      </c>
      <c r="AA340" s="51">
        <v>9586444.0</v>
      </c>
      <c r="AB340" s="51">
        <v>1.29417E8</v>
      </c>
      <c r="AC340" s="47"/>
      <c r="AD340" s="47" t="s">
        <v>3567</v>
      </c>
      <c r="AE340" s="48"/>
      <c r="AF340" s="50"/>
      <c r="AG340" s="51">
        <v>-9772700.0</v>
      </c>
      <c r="AH340" s="51">
        <v>-781816.0</v>
      </c>
      <c r="AI340" s="51">
        <v>-1.0554516E7</v>
      </c>
      <c r="AJ340" s="47" t="s">
        <v>3568</v>
      </c>
      <c r="AK340" s="48"/>
      <c r="AL340" s="50"/>
      <c r="AM340" s="51">
        <v>-1.10057856E8</v>
      </c>
      <c r="AN340" s="51">
        <v>-8804628.0</v>
      </c>
      <c r="AO340" s="51">
        <v>-1.18862484E8</v>
      </c>
      <c r="AP340" s="47"/>
      <c r="AQ340" s="48"/>
      <c r="AR340" s="50"/>
      <c r="AS340" s="51"/>
      <c r="AT340" s="51"/>
      <c r="AU340" s="51"/>
      <c r="AV340" s="47"/>
      <c r="AW340" s="48"/>
      <c r="AX340" s="50"/>
      <c r="AY340" s="51"/>
      <c r="AZ340" s="51"/>
      <c r="BA340" s="51"/>
      <c r="BB340" s="51">
        <f t="shared" ref="BB340:BD340" si="338">IF(AND(ISNUMBER(Z340),COUNT(AG340,AM340,AS340,AY340)=2),Z340+SUM(AG340,AM340,AS340,AY340),"")</f>
        <v>0</v>
      </c>
      <c r="BC340" s="51">
        <f t="shared" si="338"/>
        <v>0</v>
      </c>
      <c r="BD340" s="51">
        <f t="shared" si="338"/>
        <v>0</v>
      </c>
    </row>
    <row r="341" ht="48.0" customHeight="1">
      <c r="A341" s="49" t="s">
        <v>40</v>
      </c>
      <c r="B341" s="49" t="str">
        <f t="array" ref="B341">INDEX('HD cty 2024'!B:B,MATCH('F0, F1, F2, ...'!$C341,'HD cty 2024'!B:B,0))</f>
        <v>#N/A</v>
      </c>
      <c r="C341" s="49">
        <v>418.0</v>
      </c>
      <c r="D341" s="50">
        <v>45531.0</v>
      </c>
      <c r="E341" s="51">
        <v>7.1669351E7</v>
      </c>
      <c r="F341" s="51">
        <v>5733548.0</v>
      </c>
      <c r="G341" s="51">
        <v>7.7402899E7</v>
      </c>
      <c r="H341" s="49" t="s">
        <v>414</v>
      </c>
      <c r="I341" s="52" t="s">
        <v>3569</v>
      </c>
      <c r="J341" s="50">
        <v>45807.0</v>
      </c>
      <c r="K341" s="51">
        <v>6589908.0</v>
      </c>
      <c r="L341" s="51">
        <v>527193.0</v>
      </c>
      <c r="M341" s="51">
        <v>7117101.0</v>
      </c>
      <c r="N341" s="49"/>
      <c r="O341" s="52"/>
      <c r="P341" s="50"/>
      <c r="Q341" s="51"/>
      <c r="R341" s="51"/>
      <c r="S341" s="51"/>
      <c r="T341" s="49"/>
      <c r="U341" s="52"/>
      <c r="V341" s="50"/>
      <c r="W341" s="51"/>
      <c r="X341" s="51"/>
      <c r="Y341" s="51"/>
      <c r="Z341" s="51">
        <v>7.8259259E7</v>
      </c>
      <c r="AA341" s="51">
        <v>6260741.0</v>
      </c>
      <c r="AB341" s="51">
        <v>8.452E7</v>
      </c>
      <c r="AC341" s="47"/>
      <c r="AD341" s="47" t="s">
        <v>3570</v>
      </c>
      <c r="AE341" s="48"/>
      <c r="AF341" s="50"/>
      <c r="AG341" s="51">
        <v>-6589908.0</v>
      </c>
      <c r="AH341" s="51">
        <v>-527193.0</v>
      </c>
      <c r="AI341" s="51">
        <v>-7117101.0</v>
      </c>
      <c r="AJ341" s="47" t="s">
        <v>3571</v>
      </c>
      <c r="AK341" s="48"/>
      <c r="AL341" s="50"/>
      <c r="AM341" s="51">
        <v>-7.1669351E7</v>
      </c>
      <c r="AN341" s="51">
        <v>-5733548.0</v>
      </c>
      <c r="AO341" s="51">
        <v>-7.7402899E7</v>
      </c>
      <c r="AP341" s="47"/>
      <c r="AQ341" s="48"/>
      <c r="AR341" s="50"/>
      <c r="AS341" s="51"/>
      <c r="AT341" s="51"/>
      <c r="AU341" s="51"/>
      <c r="AV341" s="47"/>
      <c r="AW341" s="48"/>
      <c r="AX341" s="50"/>
      <c r="AY341" s="51"/>
      <c r="AZ341" s="51"/>
      <c r="BA341" s="51"/>
      <c r="BB341" s="51">
        <f t="shared" ref="BB341:BD341" si="339">IF(AND(ISNUMBER(Z341),COUNT(AG341,AM341,AS341,AY341)=2),Z341+SUM(AG341,AM341,AS341,AY341),"")</f>
        <v>0</v>
      </c>
      <c r="BC341" s="51">
        <f t="shared" si="339"/>
        <v>0</v>
      </c>
      <c r="BD341" s="51">
        <f t="shared" si="339"/>
        <v>0</v>
      </c>
    </row>
    <row r="342" ht="48.0" customHeight="1">
      <c r="A342" s="49" t="s">
        <v>40</v>
      </c>
      <c r="B342" s="49" t="str">
        <f t="array" ref="B342">INDEX('HD cty 2024'!B:B,MATCH('F0, F1, F2, ...'!$C342,'HD cty 2024'!B:B,0))</f>
        <v>#N/A</v>
      </c>
      <c r="C342" s="49">
        <v>419.0</v>
      </c>
      <c r="D342" s="50">
        <v>45531.0</v>
      </c>
      <c r="E342" s="51">
        <v>1.44482295E8</v>
      </c>
      <c r="F342" s="51">
        <v>1.1558584E7</v>
      </c>
      <c r="G342" s="51">
        <v>1.56040879E8</v>
      </c>
      <c r="H342" s="49" t="s">
        <v>414</v>
      </c>
      <c r="I342" s="52" t="s">
        <v>3572</v>
      </c>
      <c r="J342" s="50">
        <v>45807.0</v>
      </c>
      <c r="K342" s="51">
        <v>1.0196409E7</v>
      </c>
      <c r="L342" s="51">
        <v>815713.0</v>
      </c>
      <c r="M342" s="51">
        <v>1.1012122E7</v>
      </c>
      <c r="N342" s="49"/>
      <c r="O342" s="52"/>
      <c r="P342" s="50"/>
      <c r="Q342" s="51"/>
      <c r="R342" s="51"/>
      <c r="S342" s="51"/>
      <c r="T342" s="49"/>
      <c r="U342" s="52"/>
      <c r="V342" s="50"/>
      <c r="W342" s="51"/>
      <c r="X342" s="51"/>
      <c r="Y342" s="51"/>
      <c r="Z342" s="51">
        <v>1.54678704E8</v>
      </c>
      <c r="AA342" s="51">
        <v>1.2374297E7</v>
      </c>
      <c r="AB342" s="51">
        <v>1.67053001E8</v>
      </c>
      <c r="AC342" s="47"/>
      <c r="AD342" s="47" t="s">
        <v>3573</v>
      </c>
      <c r="AE342" s="48"/>
      <c r="AF342" s="50"/>
      <c r="AG342" s="51">
        <v>-1.0196409E7</v>
      </c>
      <c r="AH342" s="51">
        <v>-815713.0</v>
      </c>
      <c r="AI342" s="51">
        <v>-1.1012122E7</v>
      </c>
      <c r="AJ342" s="47" t="s">
        <v>3574</v>
      </c>
      <c r="AK342" s="48"/>
      <c r="AL342" s="50"/>
      <c r="AM342" s="51">
        <v>-1.44482295E8</v>
      </c>
      <c r="AN342" s="51">
        <v>-1.1558584E7</v>
      </c>
      <c r="AO342" s="51">
        <v>-1.56040879E8</v>
      </c>
      <c r="AP342" s="47"/>
      <c r="AQ342" s="48"/>
      <c r="AR342" s="50"/>
      <c r="AS342" s="51"/>
      <c r="AT342" s="51"/>
      <c r="AU342" s="51"/>
      <c r="AV342" s="47"/>
      <c r="AW342" s="48"/>
      <c r="AX342" s="50"/>
      <c r="AY342" s="51"/>
      <c r="AZ342" s="51"/>
      <c r="BA342" s="51"/>
      <c r="BB342" s="51">
        <f t="shared" ref="BB342:BD342" si="340">IF(AND(ISNUMBER(Z342),COUNT(AG342,AM342,AS342,AY342)=2),Z342+SUM(AG342,AM342,AS342,AY342),"")</f>
        <v>0</v>
      </c>
      <c r="BC342" s="51">
        <f t="shared" si="340"/>
        <v>0</v>
      </c>
      <c r="BD342" s="51">
        <f t="shared" si="340"/>
        <v>0</v>
      </c>
    </row>
    <row r="343" ht="48.0" customHeight="1">
      <c r="A343" s="49" t="s">
        <v>40</v>
      </c>
      <c r="B343" s="49" t="str">
        <f t="array" ref="B343">INDEX('HD cty 2024'!B:B,MATCH('F0, F1, F2, ...'!$C343,'HD cty 2024'!B:B,0))</f>
        <v>#N/A</v>
      </c>
      <c r="C343" s="49">
        <v>420.0</v>
      </c>
      <c r="D343" s="50">
        <v>45531.0</v>
      </c>
      <c r="E343" s="51">
        <v>1.09752153E8</v>
      </c>
      <c r="F343" s="51">
        <v>8780172.0</v>
      </c>
      <c r="G343" s="51">
        <v>1.18532325E8</v>
      </c>
      <c r="H343" s="49" t="s">
        <v>414</v>
      </c>
      <c r="I343" s="52" t="s">
        <v>3575</v>
      </c>
      <c r="J343" s="50">
        <v>45807.0</v>
      </c>
      <c r="K343" s="51">
        <v>8318217.0</v>
      </c>
      <c r="L343" s="51">
        <v>665457.0</v>
      </c>
      <c r="M343" s="51">
        <v>8983674.0</v>
      </c>
      <c r="N343" s="49"/>
      <c r="O343" s="52"/>
      <c r="P343" s="50"/>
      <c r="Q343" s="51"/>
      <c r="R343" s="51"/>
      <c r="S343" s="51"/>
      <c r="T343" s="49"/>
      <c r="U343" s="52"/>
      <c r="V343" s="50"/>
      <c r="W343" s="51"/>
      <c r="X343" s="51"/>
      <c r="Y343" s="51"/>
      <c r="Z343" s="51">
        <v>1.1807037E8</v>
      </c>
      <c r="AA343" s="51">
        <v>9445629.0</v>
      </c>
      <c r="AB343" s="51">
        <v>1.27515999E8</v>
      </c>
      <c r="AC343" s="47"/>
      <c r="AD343" s="47" t="s">
        <v>3576</v>
      </c>
      <c r="AE343" s="48"/>
      <c r="AF343" s="50"/>
      <c r="AG343" s="51">
        <v>-8318217.0</v>
      </c>
      <c r="AH343" s="51">
        <v>-665457.0</v>
      </c>
      <c r="AI343" s="51">
        <v>-8983674.0</v>
      </c>
      <c r="AJ343" s="47" t="s">
        <v>3577</v>
      </c>
      <c r="AK343" s="48"/>
      <c r="AL343" s="50"/>
      <c r="AM343" s="51">
        <v>-1.09752153E8</v>
      </c>
      <c r="AN343" s="51">
        <v>-8780172.0</v>
      </c>
      <c r="AO343" s="51">
        <v>-1.18532325E8</v>
      </c>
      <c r="AP343" s="47"/>
      <c r="AQ343" s="48"/>
      <c r="AR343" s="50"/>
      <c r="AS343" s="51"/>
      <c r="AT343" s="51"/>
      <c r="AU343" s="51"/>
      <c r="AV343" s="47"/>
      <c r="AW343" s="48"/>
      <c r="AX343" s="50"/>
      <c r="AY343" s="51"/>
      <c r="AZ343" s="51"/>
      <c r="BA343" s="51"/>
      <c r="BB343" s="51">
        <f t="shared" ref="BB343:BD343" si="341">IF(AND(ISNUMBER(Z343),COUNT(AG343,AM343,AS343,AY343)=2),Z343+SUM(AG343,AM343,AS343,AY343),"")</f>
        <v>0</v>
      </c>
      <c r="BC343" s="51">
        <f t="shared" si="341"/>
        <v>0</v>
      </c>
      <c r="BD343" s="51">
        <f t="shared" si="341"/>
        <v>0</v>
      </c>
    </row>
    <row r="344" ht="48.0" customHeight="1">
      <c r="A344" s="49" t="s">
        <v>40</v>
      </c>
      <c r="B344" s="49" t="str">
        <f t="array" ref="B344">INDEX('HD cty 2024'!B:B,MATCH('F0, F1, F2, ...'!$C344,'HD cty 2024'!B:B,0))</f>
        <v>#N/A</v>
      </c>
      <c r="C344" s="49">
        <v>421.0</v>
      </c>
      <c r="D344" s="50">
        <v>45531.0</v>
      </c>
      <c r="E344" s="51">
        <v>7.9910011E7</v>
      </c>
      <c r="F344" s="51">
        <v>6392801.0</v>
      </c>
      <c r="G344" s="51">
        <v>8.6302812E7</v>
      </c>
      <c r="H344" s="49" t="s">
        <v>414</v>
      </c>
      <c r="I344" s="52" t="s">
        <v>3578</v>
      </c>
      <c r="J344" s="50">
        <v>45807.0</v>
      </c>
      <c r="K344" s="51">
        <v>3593693.0</v>
      </c>
      <c r="L344" s="51">
        <v>287495.0</v>
      </c>
      <c r="M344" s="51">
        <v>3881188.0</v>
      </c>
      <c r="N344" s="49"/>
      <c r="O344" s="52"/>
      <c r="P344" s="50"/>
      <c r="Q344" s="51"/>
      <c r="R344" s="51"/>
      <c r="S344" s="51"/>
      <c r="T344" s="49"/>
      <c r="U344" s="52"/>
      <c r="V344" s="50"/>
      <c r="W344" s="51"/>
      <c r="X344" s="51"/>
      <c r="Y344" s="51"/>
      <c r="Z344" s="51">
        <v>8.3503704E7</v>
      </c>
      <c r="AA344" s="51">
        <v>6680296.0</v>
      </c>
      <c r="AB344" s="51">
        <v>9.0184E7</v>
      </c>
      <c r="AC344" s="47"/>
      <c r="AD344" s="47" t="s">
        <v>3579</v>
      </c>
      <c r="AE344" s="48"/>
      <c r="AF344" s="50"/>
      <c r="AG344" s="51">
        <v>-3593693.0</v>
      </c>
      <c r="AH344" s="51">
        <v>-287495.0</v>
      </c>
      <c r="AI344" s="51">
        <v>-3881188.0</v>
      </c>
      <c r="AJ344" s="47" t="s">
        <v>3580</v>
      </c>
      <c r="AK344" s="48"/>
      <c r="AL344" s="50"/>
      <c r="AM344" s="51">
        <v>-7.9910011E7</v>
      </c>
      <c r="AN344" s="51">
        <v>-6392801.0</v>
      </c>
      <c r="AO344" s="51">
        <v>-8.6302812E7</v>
      </c>
      <c r="AP344" s="47"/>
      <c r="AQ344" s="48"/>
      <c r="AR344" s="50"/>
      <c r="AS344" s="51"/>
      <c r="AT344" s="51"/>
      <c r="AU344" s="51"/>
      <c r="AV344" s="47"/>
      <c r="AW344" s="48"/>
      <c r="AX344" s="50"/>
      <c r="AY344" s="51"/>
      <c r="AZ344" s="51"/>
      <c r="BA344" s="51"/>
      <c r="BB344" s="51">
        <f t="shared" ref="BB344:BD344" si="342">IF(AND(ISNUMBER(Z344),COUNT(AG344,AM344,AS344,AY344)=2),Z344+SUM(AG344,AM344,AS344,AY344),"")</f>
        <v>0</v>
      </c>
      <c r="BC344" s="51">
        <f t="shared" si="342"/>
        <v>0</v>
      </c>
      <c r="BD344" s="51">
        <f t="shared" si="342"/>
        <v>0</v>
      </c>
    </row>
    <row r="345" ht="48.0" customHeight="1">
      <c r="A345" s="49" t="s">
        <v>40</v>
      </c>
      <c r="B345" s="49" t="str">
        <f t="array" ref="B345">INDEX('HD cty 2024'!B:B,MATCH('F0, F1, F2, ...'!$C345,'HD cty 2024'!B:B,0))</f>
        <v>#N/A</v>
      </c>
      <c r="C345" s="49">
        <v>422.0</v>
      </c>
      <c r="D345" s="50">
        <v>45531.0</v>
      </c>
      <c r="E345" s="51">
        <v>6.6866097E7</v>
      </c>
      <c r="F345" s="51">
        <v>5349288.0</v>
      </c>
      <c r="G345" s="51">
        <v>7.2215385E7</v>
      </c>
      <c r="H345" s="49" t="s">
        <v>414</v>
      </c>
      <c r="I345" s="52" t="s">
        <v>3581</v>
      </c>
      <c r="J345" s="50">
        <v>45806.0</v>
      </c>
      <c r="K345" s="51">
        <v>7653347.0</v>
      </c>
      <c r="L345" s="51">
        <v>612268.0</v>
      </c>
      <c r="M345" s="51">
        <v>8265615.0</v>
      </c>
      <c r="N345" s="49"/>
      <c r="O345" s="52"/>
      <c r="P345" s="50"/>
      <c r="Q345" s="51"/>
      <c r="R345" s="51"/>
      <c r="S345" s="51"/>
      <c r="T345" s="49"/>
      <c r="U345" s="52"/>
      <c r="V345" s="50"/>
      <c r="W345" s="51"/>
      <c r="X345" s="51"/>
      <c r="Y345" s="51"/>
      <c r="Z345" s="51">
        <v>7.4519444E7</v>
      </c>
      <c r="AA345" s="51">
        <v>5961556.0</v>
      </c>
      <c r="AB345" s="51">
        <v>8.0481E7</v>
      </c>
      <c r="AC345" s="47"/>
      <c r="AD345" s="47" t="s">
        <v>3582</v>
      </c>
      <c r="AE345" s="48"/>
      <c r="AF345" s="50"/>
      <c r="AG345" s="51">
        <v>-7653347.0</v>
      </c>
      <c r="AH345" s="51">
        <v>-612268.0</v>
      </c>
      <c r="AI345" s="51">
        <v>-8265615.0</v>
      </c>
      <c r="AJ345" s="47" t="s">
        <v>3583</v>
      </c>
      <c r="AK345" s="48"/>
      <c r="AL345" s="50"/>
      <c r="AM345" s="51">
        <v>-6.6866097E7</v>
      </c>
      <c r="AN345" s="51">
        <v>-5349288.0</v>
      </c>
      <c r="AO345" s="51">
        <v>-7.2215385E7</v>
      </c>
      <c r="AP345" s="47"/>
      <c r="AQ345" s="48"/>
      <c r="AR345" s="50"/>
      <c r="AS345" s="51"/>
      <c r="AT345" s="51"/>
      <c r="AU345" s="51"/>
      <c r="AV345" s="47"/>
      <c r="AW345" s="48"/>
      <c r="AX345" s="50"/>
      <c r="AY345" s="51"/>
      <c r="AZ345" s="51"/>
      <c r="BA345" s="51"/>
      <c r="BB345" s="51">
        <f t="shared" ref="BB345:BD345" si="343">IF(AND(ISNUMBER(Z345),COUNT(AG345,AM345,AS345,AY345)=2),Z345+SUM(AG345,AM345,AS345,AY345),"")</f>
        <v>0</v>
      </c>
      <c r="BC345" s="51">
        <f t="shared" si="343"/>
        <v>0</v>
      </c>
      <c r="BD345" s="51">
        <f t="shared" si="343"/>
        <v>0</v>
      </c>
    </row>
    <row r="346" ht="48.0" customHeight="1">
      <c r="A346" s="49" t="s">
        <v>40</v>
      </c>
      <c r="B346" s="49" t="str">
        <f t="array" ref="B346">INDEX('HD cty 2024'!B:B,MATCH('F0, F1, F2, ...'!$C346,'HD cty 2024'!B:B,0))</f>
        <v>#N/A</v>
      </c>
      <c r="C346" s="49">
        <v>423.0</v>
      </c>
      <c r="D346" s="50">
        <v>45531.0</v>
      </c>
      <c r="E346" s="51">
        <v>7.5769403E7</v>
      </c>
      <c r="F346" s="51">
        <v>6061552.0</v>
      </c>
      <c r="G346" s="51">
        <v>8.1830955E7</v>
      </c>
      <c r="H346" s="49" t="s">
        <v>414</v>
      </c>
      <c r="I346" s="52" t="s">
        <v>3584</v>
      </c>
      <c r="J346" s="50">
        <v>45807.0</v>
      </c>
      <c r="K346" s="51">
        <v>6689856.0</v>
      </c>
      <c r="L346" s="51">
        <v>535188.0</v>
      </c>
      <c r="M346" s="51">
        <v>7225044.0</v>
      </c>
      <c r="N346" s="49"/>
      <c r="O346" s="52"/>
      <c r="P346" s="50"/>
      <c r="Q346" s="51"/>
      <c r="R346" s="51"/>
      <c r="S346" s="51"/>
      <c r="T346" s="49"/>
      <c r="U346" s="52"/>
      <c r="V346" s="50"/>
      <c r="W346" s="51"/>
      <c r="X346" s="51"/>
      <c r="Y346" s="51"/>
      <c r="Z346" s="51">
        <v>8.2459259E7</v>
      </c>
      <c r="AA346" s="51">
        <v>6596740.0</v>
      </c>
      <c r="AB346" s="51">
        <v>8.9055999E7</v>
      </c>
      <c r="AC346" s="47"/>
      <c r="AD346" s="47" t="s">
        <v>3585</v>
      </c>
      <c r="AE346" s="48"/>
      <c r="AF346" s="50"/>
      <c r="AG346" s="51">
        <v>-6689856.0</v>
      </c>
      <c r="AH346" s="51">
        <v>-535188.0</v>
      </c>
      <c r="AI346" s="51">
        <v>-7225044.0</v>
      </c>
      <c r="AJ346" s="47" t="s">
        <v>3586</v>
      </c>
      <c r="AK346" s="48"/>
      <c r="AL346" s="50"/>
      <c r="AM346" s="51">
        <v>-7.5769403E7</v>
      </c>
      <c r="AN346" s="51">
        <v>-6061552.0</v>
      </c>
      <c r="AO346" s="51">
        <v>-8.1830955E7</v>
      </c>
      <c r="AP346" s="47"/>
      <c r="AQ346" s="48"/>
      <c r="AR346" s="50"/>
      <c r="AS346" s="51"/>
      <c r="AT346" s="51"/>
      <c r="AU346" s="51"/>
      <c r="AV346" s="47"/>
      <c r="AW346" s="48"/>
      <c r="AX346" s="50"/>
      <c r="AY346" s="51"/>
      <c r="AZ346" s="51"/>
      <c r="BA346" s="51"/>
      <c r="BB346" s="51">
        <f t="shared" ref="BB346:BD346" si="344">IF(AND(ISNUMBER(Z346),COUNT(AG346,AM346,AS346,AY346)=2),Z346+SUM(AG346,AM346,AS346,AY346),"")</f>
        <v>0</v>
      </c>
      <c r="BC346" s="51">
        <f t="shared" si="344"/>
        <v>0</v>
      </c>
      <c r="BD346" s="51">
        <f t="shared" si="344"/>
        <v>0</v>
      </c>
    </row>
    <row r="347" ht="48.0" customHeight="1">
      <c r="A347" s="49" t="s">
        <v>40</v>
      </c>
      <c r="B347" s="49" t="str">
        <f t="array" ref="B347">INDEX('HD cty 2024'!B:B,MATCH('F0, F1, F2, ...'!$C347,'HD cty 2024'!B:B,0))</f>
        <v>#N/A</v>
      </c>
      <c r="C347" s="49">
        <v>424.0</v>
      </c>
      <c r="D347" s="50">
        <v>45531.0</v>
      </c>
      <c r="E347" s="51">
        <v>1.63715728E8</v>
      </c>
      <c r="F347" s="51">
        <v>1.3097258E7</v>
      </c>
      <c r="G347" s="51">
        <v>1.76812986E8</v>
      </c>
      <c r="H347" s="49" t="s">
        <v>414</v>
      </c>
      <c r="I347" s="52" t="s">
        <v>3587</v>
      </c>
      <c r="J347" s="50">
        <v>45807.0</v>
      </c>
      <c r="K347" s="51">
        <v>1.2742605E7</v>
      </c>
      <c r="L347" s="51">
        <v>1019408.0</v>
      </c>
      <c r="M347" s="51">
        <v>1.3762013E7</v>
      </c>
      <c r="N347" s="49"/>
      <c r="O347" s="52"/>
      <c r="P347" s="50"/>
      <c r="Q347" s="51"/>
      <c r="R347" s="51"/>
      <c r="S347" s="51"/>
      <c r="T347" s="49"/>
      <c r="U347" s="52"/>
      <c r="V347" s="50"/>
      <c r="W347" s="51"/>
      <c r="X347" s="51"/>
      <c r="Y347" s="51"/>
      <c r="Z347" s="51">
        <v>1.76458333E8</v>
      </c>
      <c r="AA347" s="51">
        <v>1.4116666E7</v>
      </c>
      <c r="AB347" s="51">
        <v>1.90574999E8</v>
      </c>
      <c r="AC347" s="47"/>
      <c r="AD347" s="47" t="s">
        <v>3588</v>
      </c>
      <c r="AE347" s="48"/>
      <c r="AF347" s="50"/>
      <c r="AG347" s="51">
        <v>-1.2742605E7</v>
      </c>
      <c r="AH347" s="51">
        <v>-1019408.0</v>
      </c>
      <c r="AI347" s="51">
        <v>-1.3762013E7</v>
      </c>
      <c r="AJ347" s="47" t="s">
        <v>3589</v>
      </c>
      <c r="AK347" s="48"/>
      <c r="AL347" s="50"/>
      <c r="AM347" s="51">
        <v>-1.63715728E8</v>
      </c>
      <c r="AN347" s="51">
        <v>-1.3097258E7</v>
      </c>
      <c r="AO347" s="51">
        <v>-1.76812986E8</v>
      </c>
      <c r="AP347" s="47"/>
      <c r="AQ347" s="48"/>
      <c r="AR347" s="50"/>
      <c r="AS347" s="51"/>
      <c r="AT347" s="51"/>
      <c r="AU347" s="51"/>
      <c r="AV347" s="47"/>
      <c r="AW347" s="48"/>
      <c r="AX347" s="50"/>
      <c r="AY347" s="51"/>
      <c r="AZ347" s="51"/>
      <c r="BA347" s="51"/>
      <c r="BB347" s="51">
        <f t="shared" ref="BB347:BD347" si="345">IF(AND(ISNUMBER(Z347),COUNT(AG347,AM347,AS347,AY347)=2),Z347+SUM(AG347,AM347,AS347,AY347),"")</f>
        <v>0</v>
      </c>
      <c r="BC347" s="51">
        <f t="shared" si="345"/>
        <v>0</v>
      </c>
      <c r="BD347" s="51">
        <f t="shared" si="345"/>
        <v>0</v>
      </c>
    </row>
    <row r="348" ht="48.0" customHeight="1">
      <c r="A348" s="49" t="s">
        <v>40</v>
      </c>
      <c r="B348" s="49" t="str">
        <f t="array" ref="B348">INDEX('HD cty 2024'!B:B,MATCH('F0, F1, F2, ...'!$C348,'HD cty 2024'!B:B,0))</f>
        <v>#N/A</v>
      </c>
      <c r="C348" s="49">
        <v>425.0</v>
      </c>
      <c r="D348" s="50">
        <v>45531.0</v>
      </c>
      <c r="E348" s="51">
        <v>1.26059704E8</v>
      </c>
      <c r="F348" s="51">
        <v>1.0084776E7</v>
      </c>
      <c r="G348" s="51">
        <v>1.3614448E8</v>
      </c>
      <c r="H348" s="49" t="s">
        <v>414</v>
      </c>
      <c r="I348" s="52" t="s">
        <v>3590</v>
      </c>
      <c r="J348" s="50">
        <v>45807.0</v>
      </c>
      <c r="K348" s="51">
        <v>1.2521777E7</v>
      </c>
      <c r="L348" s="51">
        <v>1001742.0</v>
      </c>
      <c r="M348" s="51">
        <v>1.3523519E7</v>
      </c>
      <c r="N348" s="49"/>
      <c r="O348" s="52"/>
      <c r="P348" s="50"/>
      <c r="Q348" s="51"/>
      <c r="R348" s="51"/>
      <c r="S348" s="51"/>
      <c r="T348" s="49"/>
      <c r="U348" s="52"/>
      <c r="V348" s="50"/>
      <c r="W348" s="51"/>
      <c r="X348" s="51"/>
      <c r="Y348" s="51"/>
      <c r="Z348" s="51">
        <v>1.38581481E8</v>
      </c>
      <c r="AA348" s="51">
        <v>1.1086518E7</v>
      </c>
      <c r="AB348" s="51">
        <v>1.49667999E8</v>
      </c>
      <c r="AC348" s="47"/>
      <c r="AD348" s="47" t="s">
        <v>3591</v>
      </c>
      <c r="AE348" s="48"/>
      <c r="AF348" s="50"/>
      <c r="AG348" s="51">
        <v>-1.2521777E7</v>
      </c>
      <c r="AH348" s="51">
        <v>-1001742.0</v>
      </c>
      <c r="AI348" s="51">
        <v>-1.3523519E7</v>
      </c>
      <c r="AJ348" s="47" t="s">
        <v>3592</v>
      </c>
      <c r="AK348" s="48"/>
      <c r="AL348" s="50"/>
      <c r="AM348" s="51">
        <v>-1.26059704E8</v>
      </c>
      <c r="AN348" s="51">
        <v>-1.0084776E7</v>
      </c>
      <c r="AO348" s="51">
        <v>-1.3614448E8</v>
      </c>
      <c r="AP348" s="47"/>
      <c r="AQ348" s="48"/>
      <c r="AR348" s="50"/>
      <c r="AS348" s="51"/>
      <c r="AT348" s="51"/>
      <c r="AU348" s="51"/>
      <c r="AV348" s="47"/>
      <c r="AW348" s="48"/>
      <c r="AX348" s="50"/>
      <c r="AY348" s="51"/>
      <c r="AZ348" s="51"/>
      <c r="BA348" s="51"/>
      <c r="BB348" s="51">
        <f t="shared" ref="BB348:BD348" si="346">IF(AND(ISNUMBER(Z348),COUNT(AG348,AM348,AS348,AY348)=2),Z348+SUM(AG348,AM348,AS348,AY348),"")</f>
        <v>0</v>
      </c>
      <c r="BC348" s="51">
        <f t="shared" si="346"/>
        <v>0</v>
      </c>
      <c r="BD348" s="51">
        <f t="shared" si="346"/>
        <v>0</v>
      </c>
    </row>
    <row r="349" ht="48.0" customHeight="1">
      <c r="A349" s="49" t="s">
        <v>40</v>
      </c>
      <c r="B349" s="49" t="str">
        <f t="array" ref="B349">INDEX('HD cty 2024'!B:B,MATCH('F0, F1, F2, ...'!$C349,'HD cty 2024'!B:B,0))</f>
        <v>#N/A</v>
      </c>
      <c r="C349" s="49">
        <v>426.0</v>
      </c>
      <c r="D349" s="50">
        <v>45531.0</v>
      </c>
      <c r="E349" s="51">
        <v>1.26665407E8</v>
      </c>
      <c r="F349" s="51">
        <v>1.0133233E7</v>
      </c>
      <c r="G349" s="51">
        <v>1.3679864E8</v>
      </c>
      <c r="H349" s="49" t="s">
        <v>414</v>
      </c>
      <c r="I349" s="52" t="s">
        <v>3593</v>
      </c>
      <c r="J349" s="50">
        <v>45807.0</v>
      </c>
      <c r="K349" s="51">
        <v>1.2192E7</v>
      </c>
      <c r="L349" s="51">
        <v>975360.0</v>
      </c>
      <c r="M349" s="51">
        <v>1.316736E7</v>
      </c>
      <c r="N349" s="49"/>
      <c r="O349" s="52"/>
      <c r="P349" s="50"/>
      <c r="Q349" s="51"/>
      <c r="R349" s="51"/>
      <c r="S349" s="51"/>
      <c r="T349" s="49"/>
      <c r="U349" s="52"/>
      <c r="V349" s="50"/>
      <c r="W349" s="51"/>
      <c r="X349" s="51"/>
      <c r="Y349" s="51"/>
      <c r="Z349" s="51">
        <v>1.38857407E8</v>
      </c>
      <c r="AA349" s="51">
        <v>1.1108593E7</v>
      </c>
      <c r="AB349" s="51">
        <v>1.49966E8</v>
      </c>
      <c r="AC349" s="47"/>
      <c r="AD349" s="47" t="s">
        <v>3594</v>
      </c>
      <c r="AE349" s="48"/>
      <c r="AF349" s="50"/>
      <c r="AG349" s="51">
        <v>-1.2192E7</v>
      </c>
      <c r="AH349" s="51">
        <v>-975360.0</v>
      </c>
      <c r="AI349" s="51">
        <v>-1.316736E7</v>
      </c>
      <c r="AJ349" s="47" t="s">
        <v>3595</v>
      </c>
      <c r="AK349" s="48"/>
      <c r="AL349" s="50"/>
      <c r="AM349" s="51">
        <v>-1.26665407E8</v>
      </c>
      <c r="AN349" s="51">
        <v>-1.0133233E7</v>
      </c>
      <c r="AO349" s="51">
        <v>-1.3679864E8</v>
      </c>
      <c r="AP349" s="47"/>
      <c r="AQ349" s="48"/>
      <c r="AR349" s="50"/>
      <c r="AS349" s="51"/>
      <c r="AT349" s="51"/>
      <c r="AU349" s="51"/>
      <c r="AV349" s="47"/>
      <c r="AW349" s="48"/>
      <c r="AX349" s="50"/>
      <c r="AY349" s="51"/>
      <c r="AZ349" s="51"/>
      <c r="BA349" s="51"/>
      <c r="BB349" s="51">
        <f t="shared" ref="BB349:BD349" si="347">IF(AND(ISNUMBER(Z349),COUNT(AG349,AM349,AS349,AY349)=2),Z349+SUM(AG349,AM349,AS349,AY349),"")</f>
        <v>0</v>
      </c>
      <c r="BC349" s="51">
        <f t="shared" si="347"/>
        <v>0</v>
      </c>
      <c r="BD349" s="51">
        <f t="shared" si="347"/>
        <v>0</v>
      </c>
    </row>
    <row r="350" ht="48.0" customHeight="1">
      <c r="A350" s="49" t="s">
        <v>40</v>
      </c>
      <c r="B350" s="49" t="str">
        <f t="array" ref="B350">INDEX('HD cty 2024'!B:B,MATCH('F0, F1, F2, ...'!$C350,'HD cty 2024'!B:B,0))</f>
        <v>#N/A</v>
      </c>
      <c r="C350" s="49">
        <v>427.0</v>
      </c>
      <c r="D350" s="50">
        <v>45531.0</v>
      </c>
      <c r="E350" s="51">
        <v>1.13179905E8</v>
      </c>
      <c r="F350" s="51">
        <v>9054392.0</v>
      </c>
      <c r="G350" s="51">
        <v>1.22234297E8</v>
      </c>
      <c r="H350" s="49" t="s">
        <v>414</v>
      </c>
      <c r="I350" s="52" t="s">
        <v>3596</v>
      </c>
      <c r="J350" s="50">
        <v>45807.0</v>
      </c>
      <c r="K350" s="51">
        <v>1.0274725E7</v>
      </c>
      <c r="L350" s="51">
        <v>821978.0</v>
      </c>
      <c r="M350" s="51">
        <v>1.1096703E7</v>
      </c>
      <c r="N350" s="49"/>
      <c r="O350" s="52"/>
      <c r="P350" s="50"/>
      <c r="Q350" s="51"/>
      <c r="R350" s="51"/>
      <c r="S350" s="51"/>
      <c r="T350" s="49"/>
      <c r="U350" s="52"/>
      <c r="V350" s="50"/>
      <c r="W350" s="51"/>
      <c r="X350" s="51"/>
      <c r="Y350" s="51"/>
      <c r="Z350" s="51">
        <v>1.2345463E8</v>
      </c>
      <c r="AA350" s="51">
        <v>9876370.0</v>
      </c>
      <c r="AB350" s="51">
        <v>1.33331E8</v>
      </c>
      <c r="AC350" s="47"/>
      <c r="AD350" s="47" t="s">
        <v>3597</v>
      </c>
      <c r="AE350" s="48"/>
      <c r="AF350" s="50"/>
      <c r="AG350" s="51">
        <v>-1.0274725E7</v>
      </c>
      <c r="AH350" s="51">
        <v>-821978.0</v>
      </c>
      <c r="AI350" s="51">
        <v>-1.1096703E7</v>
      </c>
      <c r="AJ350" s="47" t="s">
        <v>3598</v>
      </c>
      <c r="AK350" s="48"/>
      <c r="AL350" s="50"/>
      <c r="AM350" s="51">
        <v>-1.13179905E8</v>
      </c>
      <c r="AN350" s="51">
        <v>-9054392.0</v>
      </c>
      <c r="AO350" s="51">
        <v>-1.22234297E8</v>
      </c>
      <c r="AP350" s="47"/>
      <c r="AQ350" s="48"/>
      <c r="AR350" s="50"/>
      <c r="AS350" s="51"/>
      <c r="AT350" s="51"/>
      <c r="AU350" s="51"/>
      <c r="AV350" s="47"/>
      <c r="AW350" s="48"/>
      <c r="AX350" s="50"/>
      <c r="AY350" s="51"/>
      <c r="AZ350" s="51"/>
      <c r="BA350" s="51"/>
      <c r="BB350" s="51">
        <f t="shared" ref="BB350:BD350" si="348">IF(AND(ISNUMBER(Z350),COUNT(AG350,AM350,AS350,AY350)=2),Z350+SUM(AG350,AM350,AS350,AY350),"")</f>
        <v>0</v>
      </c>
      <c r="BC350" s="51">
        <f t="shared" si="348"/>
        <v>0</v>
      </c>
      <c r="BD350" s="51">
        <f t="shared" si="348"/>
        <v>0</v>
      </c>
    </row>
    <row r="351" ht="48.0" customHeight="1">
      <c r="A351" s="49" t="s">
        <v>40</v>
      </c>
      <c r="B351" s="49" t="str">
        <f t="array" ref="B351">INDEX('HD cty 2024'!B:B,MATCH('F0, F1, F2, ...'!$C351,'HD cty 2024'!B:B,0))</f>
        <v>#N/A</v>
      </c>
      <c r="C351" s="49">
        <v>428.0</v>
      </c>
      <c r="D351" s="50">
        <v>45531.0</v>
      </c>
      <c r="E351" s="51">
        <v>1.07722794E8</v>
      </c>
      <c r="F351" s="51">
        <v>8617824.0</v>
      </c>
      <c r="G351" s="51">
        <v>1.16340618E8</v>
      </c>
      <c r="H351" s="49" t="s">
        <v>414</v>
      </c>
      <c r="I351" s="52" t="s">
        <v>3599</v>
      </c>
      <c r="J351" s="50">
        <v>45807.0</v>
      </c>
      <c r="K351" s="51">
        <v>8817576.0</v>
      </c>
      <c r="L351" s="51">
        <v>705406.0</v>
      </c>
      <c r="M351" s="51">
        <v>9522982.0</v>
      </c>
      <c r="N351" s="49"/>
      <c r="O351" s="52"/>
      <c r="P351" s="50"/>
      <c r="Q351" s="51"/>
      <c r="R351" s="51"/>
      <c r="S351" s="51"/>
      <c r="T351" s="49"/>
      <c r="U351" s="52"/>
      <c r="V351" s="50"/>
      <c r="W351" s="51"/>
      <c r="X351" s="51"/>
      <c r="Y351" s="51"/>
      <c r="Z351" s="51">
        <v>1.1654037E8</v>
      </c>
      <c r="AA351" s="51">
        <v>9323230.0</v>
      </c>
      <c r="AB351" s="51">
        <v>1.258636E8</v>
      </c>
      <c r="AC351" s="47"/>
      <c r="AD351" s="47" t="s">
        <v>3600</v>
      </c>
      <c r="AE351" s="48"/>
      <c r="AF351" s="50"/>
      <c r="AG351" s="51">
        <v>-8817576.0</v>
      </c>
      <c r="AH351" s="51">
        <v>-705406.0</v>
      </c>
      <c r="AI351" s="51">
        <v>-9522982.0</v>
      </c>
      <c r="AJ351" s="47" t="s">
        <v>3601</v>
      </c>
      <c r="AK351" s="48"/>
      <c r="AL351" s="50"/>
      <c r="AM351" s="51">
        <v>-1.07722794E8</v>
      </c>
      <c r="AN351" s="51">
        <v>-8617824.0</v>
      </c>
      <c r="AO351" s="51">
        <v>-1.16340618E8</v>
      </c>
      <c r="AP351" s="47"/>
      <c r="AQ351" s="48"/>
      <c r="AR351" s="50"/>
      <c r="AS351" s="51"/>
      <c r="AT351" s="51"/>
      <c r="AU351" s="51"/>
      <c r="AV351" s="47"/>
      <c r="AW351" s="48"/>
      <c r="AX351" s="50"/>
      <c r="AY351" s="51"/>
      <c r="AZ351" s="51"/>
      <c r="BA351" s="51"/>
      <c r="BB351" s="51">
        <f t="shared" ref="BB351:BD351" si="349">IF(AND(ISNUMBER(Z351),COUNT(AG351,AM351,AS351,AY351)=2),Z351+SUM(AG351,AM351,AS351,AY351),"")</f>
        <v>0</v>
      </c>
      <c r="BC351" s="51">
        <f t="shared" si="349"/>
        <v>0</v>
      </c>
      <c r="BD351" s="51">
        <f t="shared" si="349"/>
        <v>0</v>
      </c>
    </row>
    <row r="352" ht="48.0" customHeight="1">
      <c r="A352" s="49" t="s">
        <v>40</v>
      </c>
      <c r="B352" s="49" t="str">
        <f t="array" ref="B352">INDEX('HD cty 2024'!B:B,MATCH('F0, F1, F2, ...'!$C352,'HD cty 2024'!B:B,0))</f>
        <v>#N/A</v>
      </c>
      <c r="C352" s="49">
        <v>429.0</v>
      </c>
      <c r="D352" s="50">
        <v>45532.0</v>
      </c>
      <c r="E352" s="51">
        <v>1.53461854E8</v>
      </c>
      <c r="F352" s="51">
        <v>1.2276948E7</v>
      </c>
      <c r="G352" s="51">
        <v>1.65738802E8</v>
      </c>
      <c r="H352" s="49" t="s">
        <v>414</v>
      </c>
      <c r="I352" s="52" t="s">
        <v>3602</v>
      </c>
      <c r="J352" s="50">
        <v>45806.0</v>
      </c>
      <c r="K352" s="51">
        <v>1.7670553E7</v>
      </c>
      <c r="L352" s="51">
        <v>1413644.0</v>
      </c>
      <c r="M352" s="51">
        <v>1.9084197E7</v>
      </c>
      <c r="N352" s="49"/>
      <c r="O352" s="52"/>
      <c r="P352" s="50"/>
      <c r="Q352" s="51"/>
      <c r="R352" s="51"/>
      <c r="S352" s="51"/>
      <c r="T352" s="49"/>
      <c r="U352" s="52"/>
      <c r="V352" s="50"/>
      <c r="W352" s="51"/>
      <c r="X352" s="51"/>
      <c r="Y352" s="51"/>
      <c r="Z352" s="51">
        <v>1.71132407E8</v>
      </c>
      <c r="AA352" s="51">
        <v>1.3690592E7</v>
      </c>
      <c r="AB352" s="51">
        <v>1.84822999E8</v>
      </c>
      <c r="AC352" s="47"/>
      <c r="AD352" s="47" t="s">
        <v>3603</v>
      </c>
      <c r="AE352" s="48"/>
      <c r="AF352" s="50"/>
      <c r="AG352" s="51">
        <v>-1.7670553E7</v>
      </c>
      <c r="AH352" s="51">
        <v>-1413644.0</v>
      </c>
      <c r="AI352" s="51">
        <v>-1.9084197E7</v>
      </c>
      <c r="AJ352" s="47" t="s">
        <v>3604</v>
      </c>
      <c r="AK352" s="48"/>
      <c r="AL352" s="50"/>
      <c r="AM352" s="51">
        <v>-1.53461854E8</v>
      </c>
      <c r="AN352" s="51">
        <v>-1.2276948E7</v>
      </c>
      <c r="AO352" s="51">
        <v>-1.65738802E8</v>
      </c>
      <c r="AP352" s="47"/>
      <c r="AQ352" s="48"/>
      <c r="AR352" s="50"/>
      <c r="AS352" s="51"/>
      <c r="AT352" s="51"/>
      <c r="AU352" s="51"/>
      <c r="AV352" s="47"/>
      <c r="AW352" s="48"/>
      <c r="AX352" s="50"/>
      <c r="AY352" s="51"/>
      <c r="AZ352" s="51"/>
      <c r="BA352" s="51"/>
      <c r="BB352" s="51">
        <f t="shared" ref="BB352:BD352" si="350">IF(AND(ISNUMBER(Z352),COUNT(AG352,AM352,AS352,AY352)=2),Z352+SUM(AG352,AM352,AS352,AY352),"")</f>
        <v>0</v>
      </c>
      <c r="BC352" s="51">
        <f t="shared" si="350"/>
        <v>0</v>
      </c>
      <c r="BD352" s="51">
        <f t="shared" si="350"/>
        <v>0</v>
      </c>
    </row>
    <row r="353" ht="48.0" customHeight="1">
      <c r="A353" s="49" t="s">
        <v>40</v>
      </c>
      <c r="B353" s="49" t="str">
        <f t="array" ref="B353">INDEX('HD cty 2024'!B:B,MATCH('F0, F1, F2, ...'!$C353,'HD cty 2024'!B:B,0))</f>
        <v>#N/A</v>
      </c>
      <c r="C353" s="49">
        <v>430.0</v>
      </c>
      <c r="D353" s="50">
        <v>45532.0</v>
      </c>
      <c r="E353" s="51">
        <v>488682.0</v>
      </c>
      <c r="F353" s="51">
        <v>39095.0</v>
      </c>
      <c r="G353" s="51">
        <v>527777.0</v>
      </c>
      <c r="H353" s="49" t="s">
        <v>414</v>
      </c>
      <c r="I353" s="52" t="s">
        <v>3605</v>
      </c>
      <c r="J353" s="50">
        <v>45807.0</v>
      </c>
      <c r="K353" s="51">
        <v>-20576.0</v>
      </c>
      <c r="L353" s="51">
        <v>-1646.0</v>
      </c>
      <c r="M353" s="51">
        <v>-22222.0</v>
      </c>
      <c r="N353" s="49"/>
      <c r="O353" s="52"/>
      <c r="P353" s="50"/>
      <c r="Q353" s="51"/>
      <c r="R353" s="51"/>
      <c r="S353" s="51"/>
      <c r="T353" s="49"/>
      <c r="U353" s="52"/>
      <c r="V353" s="50"/>
      <c r="W353" s="51"/>
      <c r="X353" s="51"/>
      <c r="Y353" s="51"/>
      <c r="Z353" s="51">
        <v>468106.0</v>
      </c>
      <c r="AA353" s="51">
        <v>37449.0</v>
      </c>
      <c r="AB353" s="51">
        <v>505555.0</v>
      </c>
      <c r="AC353" s="47"/>
      <c r="AD353" s="47" t="s">
        <v>3606</v>
      </c>
      <c r="AE353" s="48"/>
      <c r="AF353" s="50"/>
      <c r="AG353" s="51">
        <v>20576.0</v>
      </c>
      <c r="AH353" s="51">
        <v>1646.0</v>
      </c>
      <c r="AI353" s="51">
        <v>22222.0</v>
      </c>
      <c r="AJ353" s="47" t="s">
        <v>3607</v>
      </c>
      <c r="AK353" s="48"/>
      <c r="AL353" s="50"/>
      <c r="AM353" s="51">
        <v>-488682.0</v>
      </c>
      <c r="AN353" s="51">
        <v>-39095.0</v>
      </c>
      <c r="AO353" s="51">
        <v>-527777.0</v>
      </c>
      <c r="AP353" s="47"/>
      <c r="AQ353" s="48"/>
      <c r="AR353" s="50"/>
      <c r="AS353" s="51"/>
      <c r="AT353" s="51"/>
      <c r="AU353" s="51"/>
      <c r="AV353" s="47"/>
      <c r="AW353" s="48"/>
      <c r="AX353" s="50"/>
      <c r="AY353" s="51"/>
      <c r="AZ353" s="51"/>
      <c r="BA353" s="51"/>
      <c r="BB353" s="51">
        <f t="shared" ref="BB353:BD353" si="351">IF(AND(ISNUMBER(Z353),COUNT(AG353,AM353,AS353,AY353)=2),Z353+SUM(AG353,AM353,AS353,AY353),"")</f>
        <v>0</v>
      </c>
      <c r="BC353" s="51">
        <f t="shared" si="351"/>
        <v>0</v>
      </c>
      <c r="BD353" s="51">
        <f t="shared" si="351"/>
        <v>0</v>
      </c>
    </row>
    <row r="354" ht="48.0" customHeight="1">
      <c r="A354" s="49" t="s">
        <v>40</v>
      </c>
      <c r="B354" s="49" t="str">
        <f t="array" ref="B354">INDEX('HD cty 2024'!B:B,MATCH('F0, F1, F2, ...'!$C354,'HD cty 2024'!B:B,0))</f>
        <v>#N/A</v>
      </c>
      <c r="C354" s="49">
        <v>432.0</v>
      </c>
      <c r="D354" s="50">
        <v>45535.0</v>
      </c>
      <c r="E354" s="51">
        <v>1.7414955E8</v>
      </c>
      <c r="F354" s="51">
        <v>1.3931964E7</v>
      </c>
      <c r="G354" s="51">
        <v>1.88081514E8</v>
      </c>
      <c r="H354" s="49" t="s">
        <v>414</v>
      </c>
      <c r="I354" s="52" t="s">
        <v>3608</v>
      </c>
      <c r="J354" s="50">
        <v>45807.0</v>
      </c>
      <c r="K354" s="51">
        <v>1.5984524E7</v>
      </c>
      <c r="L354" s="51">
        <v>1278762.0</v>
      </c>
      <c r="M354" s="51">
        <v>1.7263286E7</v>
      </c>
      <c r="N354" s="49"/>
      <c r="O354" s="52"/>
      <c r="P354" s="50"/>
      <c r="Q354" s="51"/>
      <c r="R354" s="51"/>
      <c r="S354" s="51"/>
      <c r="T354" s="49"/>
      <c r="U354" s="52"/>
      <c r="V354" s="50"/>
      <c r="W354" s="51"/>
      <c r="X354" s="51"/>
      <c r="Y354" s="51"/>
      <c r="Z354" s="51">
        <v>1.90134074E8</v>
      </c>
      <c r="AA354" s="51">
        <v>1.5210726E7</v>
      </c>
      <c r="AB354" s="51">
        <v>2.053448E8</v>
      </c>
      <c r="AC354" s="47"/>
      <c r="AD354" s="47" t="s">
        <v>3609</v>
      </c>
      <c r="AE354" s="48"/>
      <c r="AF354" s="50"/>
      <c r="AG354" s="51">
        <v>-1.5984524E7</v>
      </c>
      <c r="AH354" s="51">
        <v>-1278762.0</v>
      </c>
      <c r="AI354" s="51">
        <v>-1.7263286E7</v>
      </c>
      <c r="AJ354" s="47" t="s">
        <v>3610</v>
      </c>
      <c r="AK354" s="48"/>
      <c r="AL354" s="50"/>
      <c r="AM354" s="51">
        <v>-1.7414955E8</v>
      </c>
      <c r="AN354" s="51">
        <v>-1.3931964E7</v>
      </c>
      <c r="AO354" s="51">
        <v>-1.88081514E8</v>
      </c>
      <c r="AP354" s="47"/>
      <c r="AQ354" s="48"/>
      <c r="AR354" s="50"/>
      <c r="AS354" s="51"/>
      <c r="AT354" s="51"/>
      <c r="AU354" s="51"/>
      <c r="AV354" s="47"/>
      <c r="AW354" s="48"/>
      <c r="AX354" s="50"/>
      <c r="AY354" s="51"/>
      <c r="AZ354" s="51"/>
      <c r="BA354" s="51"/>
      <c r="BB354" s="51">
        <f t="shared" ref="BB354:BD354" si="352">IF(AND(ISNUMBER(Z354),COUNT(AG354,AM354,AS354,AY354)=2),Z354+SUM(AG354,AM354,AS354,AY354),"")</f>
        <v>0</v>
      </c>
      <c r="BC354" s="51">
        <f t="shared" si="352"/>
        <v>0</v>
      </c>
      <c r="BD354" s="51">
        <f t="shared" si="352"/>
        <v>0</v>
      </c>
    </row>
    <row r="355" ht="48.0" customHeight="1">
      <c r="A355" s="49" t="s">
        <v>40</v>
      </c>
      <c r="B355" s="49" t="str">
        <f t="array" ref="B355">INDEX('HD cty 2024'!B:B,MATCH('F0, F1, F2, ...'!$C355,'HD cty 2024'!B:B,0))</f>
        <v>#N/A</v>
      </c>
      <c r="C355" s="49">
        <v>433.0</v>
      </c>
      <c r="D355" s="50">
        <v>45535.0</v>
      </c>
      <c r="E355" s="51">
        <v>1.20209263E8</v>
      </c>
      <c r="F355" s="51">
        <v>9616741.0</v>
      </c>
      <c r="G355" s="51">
        <v>1.29826004E8</v>
      </c>
      <c r="H355" s="49" t="s">
        <v>414</v>
      </c>
      <c r="I355" s="52" t="s">
        <v>3611</v>
      </c>
      <c r="J355" s="50">
        <v>45807.0</v>
      </c>
      <c r="K355" s="51">
        <v>1.1077774E7</v>
      </c>
      <c r="L355" s="51">
        <v>886222.0</v>
      </c>
      <c r="M355" s="51">
        <v>1.1963996E7</v>
      </c>
      <c r="N355" s="49"/>
      <c r="O355" s="52"/>
      <c r="P355" s="50"/>
      <c r="Q355" s="51"/>
      <c r="R355" s="51"/>
      <c r="S355" s="51"/>
      <c r="T355" s="49"/>
      <c r="U355" s="52"/>
      <c r="V355" s="50"/>
      <c r="W355" s="51"/>
      <c r="X355" s="51"/>
      <c r="Y355" s="51"/>
      <c r="Z355" s="51">
        <v>1.31287037E8</v>
      </c>
      <c r="AA355" s="51">
        <v>1.0502963E7</v>
      </c>
      <c r="AB355" s="51">
        <v>1.4179E8</v>
      </c>
      <c r="AC355" s="47"/>
      <c r="AD355" s="47" t="s">
        <v>3612</v>
      </c>
      <c r="AE355" s="48"/>
      <c r="AF355" s="50"/>
      <c r="AG355" s="51">
        <v>-1.1077774E7</v>
      </c>
      <c r="AH355" s="51">
        <v>-886222.0</v>
      </c>
      <c r="AI355" s="51">
        <v>-1.1963996E7</v>
      </c>
      <c r="AJ355" s="47" t="s">
        <v>3613</v>
      </c>
      <c r="AK355" s="48"/>
      <c r="AL355" s="50"/>
      <c r="AM355" s="51">
        <v>-1.20209263E8</v>
      </c>
      <c r="AN355" s="51">
        <v>-9616741.0</v>
      </c>
      <c r="AO355" s="51">
        <v>-1.29826004E8</v>
      </c>
      <c r="AP355" s="47"/>
      <c r="AQ355" s="48"/>
      <c r="AR355" s="50"/>
      <c r="AS355" s="51"/>
      <c r="AT355" s="51"/>
      <c r="AU355" s="51"/>
      <c r="AV355" s="47"/>
      <c r="AW355" s="48"/>
      <c r="AX355" s="50"/>
      <c r="AY355" s="51"/>
      <c r="AZ355" s="51"/>
      <c r="BA355" s="51"/>
      <c r="BB355" s="51">
        <f t="shared" ref="BB355:BD355" si="353">IF(AND(ISNUMBER(Z355),COUNT(AG355,AM355,AS355,AY355)=2),Z355+SUM(AG355,AM355,AS355,AY355),"")</f>
        <v>0</v>
      </c>
      <c r="BC355" s="51">
        <f t="shared" si="353"/>
        <v>0</v>
      </c>
      <c r="BD355" s="51">
        <f t="shared" si="353"/>
        <v>0</v>
      </c>
    </row>
    <row r="356" ht="48.0" customHeight="1">
      <c r="A356" s="49" t="s">
        <v>40</v>
      </c>
      <c r="B356" s="49" t="str">
        <f t="array" ref="B356">INDEX('HD cty 2024'!B:B,MATCH('F0, F1, F2, ...'!$C356,'HD cty 2024'!B:B,0))</f>
        <v>#N/A</v>
      </c>
      <c r="C356" s="49">
        <v>434.0</v>
      </c>
      <c r="D356" s="50">
        <v>45535.0</v>
      </c>
      <c r="E356" s="51">
        <v>6.3792715E7</v>
      </c>
      <c r="F356" s="51">
        <v>5103417.0</v>
      </c>
      <c r="G356" s="51">
        <v>6.8896132E7</v>
      </c>
      <c r="H356" s="49" t="s">
        <v>414</v>
      </c>
      <c r="I356" s="52" t="s">
        <v>3614</v>
      </c>
      <c r="J356" s="50">
        <v>45807.0</v>
      </c>
      <c r="K356" s="51">
        <v>4973026.0</v>
      </c>
      <c r="L356" s="51">
        <v>397842.0</v>
      </c>
      <c r="M356" s="51">
        <v>5370868.0</v>
      </c>
      <c r="N356" s="49"/>
      <c r="O356" s="52"/>
      <c r="P356" s="50"/>
      <c r="Q356" s="51"/>
      <c r="R356" s="51"/>
      <c r="S356" s="51"/>
      <c r="T356" s="49"/>
      <c r="U356" s="52"/>
      <c r="V356" s="50"/>
      <c r="W356" s="51"/>
      <c r="X356" s="51"/>
      <c r="Y356" s="51"/>
      <c r="Z356" s="51">
        <v>6.8765741E7</v>
      </c>
      <c r="AA356" s="51">
        <v>5501259.0</v>
      </c>
      <c r="AB356" s="51">
        <v>7.4267E7</v>
      </c>
      <c r="AC356" s="47"/>
      <c r="AD356" s="47" t="s">
        <v>3615</v>
      </c>
      <c r="AE356" s="48"/>
      <c r="AF356" s="50"/>
      <c r="AG356" s="51">
        <v>-4973026.0</v>
      </c>
      <c r="AH356" s="51">
        <v>-397842.0</v>
      </c>
      <c r="AI356" s="51">
        <v>-5370868.0</v>
      </c>
      <c r="AJ356" s="47" t="s">
        <v>3616</v>
      </c>
      <c r="AK356" s="48"/>
      <c r="AL356" s="50"/>
      <c r="AM356" s="51">
        <v>-6.3792715E7</v>
      </c>
      <c r="AN356" s="51">
        <v>-5103417.0</v>
      </c>
      <c r="AO356" s="51">
        <v>-6.8896132E7</v>
      </c>
      <c r="AP356" s="47"/>
      <c r="AQ356" s="48"/>
      <c r="AR356" s="50"/>
      <c r="AS356" s="51"/>
      <c r="AT356" s="51"/>
      <c r="AU356" s="51"/>
      <c r="AV356" s="47"/>
      <c r="AW356" s="48"/>
      <c r="AX356" s="50"/>
      <c r="AY356" s="51"/>
      <c r="AZ356" s="51"/>
      <c r="BA356" s="51"/>
      <c r="BB356" s="51">
        <f t="shared" ref="BB356:BD356" si="354">IF(AND(ISNUMBER(Z356),COUNT(AG356,AM356,AS356,AY356)=2),Z356+SUM(AG356,AM356,AS356,AY356),"")</f>
        <v>0</v>
      </c>
      <c r="BC356" s="51">
        <f t="shared" si="354"/>
        <v>0</v>
      </c>
      <c r="BD356" s="51">
        <f t="shared" si="354"/>
        <v>0</v>
      </c>
    </row>
    <row r="357" ht="48.0" customHeight="1">
      <c r="A357" s="49" t="s">
        <v>40</v>
      </c>
      <c r="B357" s="49" t="str">
        <f t="array" ref="B357">INDEX('HD cty 2024'!B:B,MATCH('F0, F1, F2, ...'!$C357,'HD cty 2024'!B:B,0))</f>
        <v>#N/A</v>
      </c>
      <c r="C357" s="49">
        <v>435.0</v>
      </c>
      <c r="D357" s="50">
        <v>45535.0</v>
      </c>
      <c r="E357" s="51">
        <v>1.93544043E8</v>
      </c>
      <c r="F357" s="51">
        <v>1.5483523E7</v>
      </c>
      <c r="G357" s="51">
        <v>2.09027566E8</v>
      </c>
      <c r="H357" s="49" t="s">
        <v>414</v>
      </c>
      <c r="I357" s="52" t="s">
        <v>3617</v>
      </c>
      <c r="J357" s="50">
        <v>45807.0</v>
      </c>
      <c r="K357" s="51">
        <v>2.2566142E7</v>
      </c>
      <c r="L357" s="51">
        <v>1805291.0</v>
      </c>
      <c r="M357" s="51">
        <v>2.4371433E7</v>
      </c>
      <c r="N357" s="49"/>
      <c r="O357" s="52"/>
      <c r="P357" s="50"/>
      <c r="Q357" s="51"/>
      <c r="R357" s="51"/>
      <c r="S357" s="51"/>
      <c r="T357" s="49"/>
      <c r="U357" s="52"/>
      <c r="V357" s="50"/>
      <c r="W357" s="51"/>
      <c r="X357" s="51"/>
      <c r="Y357" s="51"/>
      <c r="Z357" s="51">
        <v>2.16110185E8</v>
      </c>
      <c r="AA357" s="51">
        <v>1.7288814E7</v>
      </c>
      <c r="AB357" s="51">
        <v>2.33398999E8</v>
      </c>
      <c r="AC357" s="47"/>
      <c r="AD357" s="47" t="s">
        <v>3618</v>
      </c>
      <c r="AE357" s="48"/>
      <c r="AF357" s="50"/>
      <c r="AG357" s="51">
        <v>-2.2566142E7</v>
      </c>
      <c r="AH357" s="51">
        <v>-1805291.0</v>
      </c>
      <c r="AI357" s="51">
        <v>-2.4371433E7</v>
      </c>
      <c r="AJ357" s="47" t="s">
        <v>3619</v>
      </c>
      <c r="AK357" s="48"/>
      <c r="AL357" s="50"/>
      <c r="AM357" s="51">
        <v>-1.93544043E8</v>
      </c>
      <c r="AN357" s="51">
        <v>-1.5483523E7</v>
      </c>
      <c r="AO357" s="51">
        <v>-2.09027566E8</v>
      </c>
      <c r="AP357" s="47"/>
      <c r="AQ357" s="48"/>
      <c r="AR357" s="50"/>
      <c r="AS357" s="51"/>
      <c r="AT357" s="51"/>
      <c r="AU357" s="51"/>
      <c r="AV357" s="47"/>
      <c r="AW357" s="48"/>
      <c r="AX357" s="50"/>
      <c r="AY357" s="51"/>
      <c r="AZ357" s="51"/>
      <c r="BA357" s="51"/>
      <c r="BB357" s="51">
        <f t="shared" ref="BB357:BD357" si="355">IF(AND(ISNUMBER(Z357),COUNT(AG357,AM357,AS357,AY357)=2),Z357+SUM(AG357,AM357,AS357,AY357),"")</f>
        <v>0</v>
      </c>
      <c r="BC357" s="51">
        <f t="shared" si="355"/>
        <v>0</v>
      </c>
      <c r="BD357" s="51">
        <f t="shared" si="355"/>
        <v>0</v>
      </c>
    </row>
    <row r="358" ht="48.0" customHeight="1">
      <c r="A358" s="49" t="s">
        <v>40</v>
      </c>
      <c r="B358" s="49" t="str">
        <f t="array" ref="B358">INDEX('HD cty 2024'!B:B,MATCH('F0, F1, F2, ...'!$C358,'HD cty 2024'!B:B,0))</f>
        <v>#N/A</v>
      </c>
      <c r="C358" s="49">
        <v>436.0</v>
      </c>
      <c r="D358" s="50">
        <v>45535.0</v>
      </c>
      <c r="E358" s="51">
        <v>1.25032759E8</v>
      </c>
      <c r="F358" s="51">
        <v>1.0002621E7</v>
      </c>
      <c r="G358" s="51">
        <v>1.3503538E8</v>
      </c>
      <c r="H358" s="49" t="s">
        <v>414</v>
      </c>
      <c r="I358" s="52" t="s">
        <v>3620</v>
      </c>
      <c r="J358" s="50">
        <v>45807.0</v>
      </c>
      <c r="K358" s="51">
        <v>1.0169093E7</v>
      </c>
      <c r="L358" s="51">
        <v>813527.0</v>
      </c>
      <c r="M358" s="51">
        <v>1.098262E7</v>
      </c>
      <c r="N358" s="49"/>
      <c r="O358" s="52"/>
      <c r="P358" s="50"/>
      <c r="Q358" s="51"/>
      <c r="R358" s="51"/>
      <c r="S358" s="51"/>
      <c r="T358" s="49"/>
      <c r="U358" s="52"/>
      <c r="V358" s="50"/>
      <c r="W358" s="51"/>
      <c r="X358" s="51"/>
      <c r="Y358" s="51"/>
      <c r="Z358" s="51">
        <v>1.35201852E8</v>
      </c>
      <c r="AA358" s="51">
        <v>1.0816148E7</v>
      </c>
      <c r="AB358" s="51">
        <v>1.46018E8</v>
      </c>
      <c r="AC358" s="47"/>
      <c r="AD358" s="47" t="s">
        <v>3621</v>
      </c>
      <c r="AE358" s="48"/>
      <c r="AF358" s="50"/>
      <c r="AG358" s="51">
        <v>-1.0169093E7</v>
      </c>
      <c r="AH358" s="51">
        <v>-813527.0</v>
      </c>
      <c r="AI358" s="51">
        <v>-1.098262E7</v>
      </c>
      <c r="AJ358" s="47" t="s">
        <v>3622</v>
      </c>
      <c r="AK358" s="48"/>
      <c r="AL358" s="50"/>
      <c r="AM358" s="51">
        <v>-1.25032759E8</v>
      </c>
      <c r="AN358" s="51">
        <v>-1.0002621E7</v>
      </c>
      <c r="AO358" s="51">
        <v>-1.3503538E8</v>
      </c>
      <c r="AP358" s="47"/>
      <c r="AQ358" s="48"/>
      <c r="AR358" s="50"/>
      <c r="AS358" s="51"/>
      <c r="AT358" s="51"/>
      <c r="AU358" s="51"/>
      <c r="AV358" s="47"/>
      <c r="AW358" s="48"/>
      <c r="AX358" s="50"/>
      <c r="AY358" s="51"/>
      <c r="AZ358" s="51"/>
      <c r="BA358" s="51"/>
      <c r="BB358" s="51">
        <f t="shared" ref="BB358:BD358" si="356">IF(AND(ISNUMBER(Z358),COUNT(AG358,AM358,AS358,AY358)=2),Z358+SUM(AG358,AM358,AS358,AY358),"")</f>
        <v>0</v>
      </c>
      <c r="BC358" s="51">
        <f t="shared" si="356"/>
        <v>0</v>
      </c>
      <c r="BD358" s="51">
        <f t="shared" si="356"/>
        <v>0</v>
      </c>
    </row>
    <row r="359" ht="48.0" customHeight="1">
      <c r="A359" s="49" t="s">
        <v>40</v>
      </c>
      <c r="B359" s="49" t="str">
        <f t="array" ref="B359">INDEX('HD cty 2024'!B:B,MATCH('F0, F1, F2, ...'!$C359,'HD cty 2024'!B:B,0))</f>
        <v>#N/A</v>
      </c>
      <c r="C359" s="49">
        <v>437.0</v>
      </c>
      <c r="D359" s="50">
        <v>45535.0</v>
      </c>
      <c r="E359" s="51">
        <v>1.1283776E8</v>
      </c>
      <c r="F359" s="51">
        <v>9027021.0</v>
      </c>
      <c r="G359" s="51">
        <v>1.21864781E8</v>
      </c>
      <c r="H359" s="49" t="s">
        <v>414</v>
      </c>
      <c r="I359" s="52" t="s">
        <v>3623</v>
      </c>
      <c r="J359" s="50">
        <v>45807.0</v>
      </c>
      <c r="K359" s="51">
        <v>1.0131684E7</v>
      </c>
      <c r="L359" s="51">
        <v>810535.0</v>
      </c>
      <c r="M359" s="51">
        <v>1.0942219E7</v>
      </c>
      <c r="N359" s="49"/>
      <c r="O359" s="52"/>
      <c r="P359" s="50"/>
      <c r="Q359" s="51"/>
      <c r="R359" s="51"/>
      <c r="S359" s="51"/>
      <c r="T359" s="49"/>
      <c r="U359" s="52"/>
      <c r="V359" s="50"/>
      <c r="W359" s="51"/>
      <c r="X359" s="51"/>
      <c r="Y359" s="51"/>
      <c r="Z359" s="51">
        <v>1.22969444E8</v>
      </c>
      <c r="AA359" s="51">
        <v>9837556.0</v>
      </c>
      <c r="AB359" s="51">
        <v>1.32807E8</v>
      </c>
      <c r="AC359" s="47"/>
      <c r="AD359" s="47" t="s">
        <v>3624</v>
      </c>
      <c r="AE359" s="48"/>
      <c r="AF359" s="50"/>
      <c r="AG359" s="51">
        <v>-1.0131684E7</v>
      </c>
      <c r="AH359" s="51">
        <v>-810535.0</v>
      </c>
      <c r="AI359" s="51">
        <v>-1.0942219E7</v>
      </c>
      <c r="AJ359" s="47" t="s">
        <v>3625</v>
      </c>
      <c r="AK359" s="48"/>
      <c r="AL359" s="50"/>
      <c r="AM359" s="51">
        <v>-1.1283776E8</v>
      </c>
      <c r="AN359" s="51">
        <v>-9027021.0</v>
      </c>
      <c r="AO359" s="51">
        <v>-1.21864781E8</v>
      </c>
      <c r="AP359" s="47"/>
      <c r="AQ359" s="48"/>
      <c r="AR359" s="50"/>
      <c r="AS359" s="51"/>
      <c r="AT359" s="51"/>
      <c r="AU359" s="51"/>
      <c r="AV359" s="47"/>
      <c r="AW359" s="48"/>
      <c r="AX359" s="50"/>
      <c r="AY359" s="51"/>
      <c r="AZ359" s="51"/>
      <c r="BA359" s="51"/>
      <c r="BB359" s="51">
        <f t="shared" ref="BB359:BD359" si="357">IF(AND(ISNUMBER(Z359),COUNT(AG359,AM359,AS359,AY359)=2),Z359+SUM(AG359,AM359,AS359,AY359),"")</f>
        <v>0</v>
      </c>
      <c r="BC359" s="51">
        <f t="shared" si="357"/>
        <v>0</v>
      </c>
      <c r="BD359" s="51">
        <f t="shared" si="357"/>
        <v>0</v>
      </c>
    </row>
    <row r="360" ht="48.0" customHeight="1">
      <c r="A360" s="49" t="s">
        <v>40</v>
      </c>
      <c r="B360" s="49" t="str">
        <f t="array" ref="B360">INDEX('HD cty 2024'!B:B,MATCH('F0, F1, F2, ...'!$C360,'HD cty 2024'!B:B,0))</f>
        <v>#N/A</v>
      </c>
      <c r="C360" s="49">
        <v>438.0</v>
      </c>
      <c r="D360" s="50">
        <v>45539.0</v>
      </c>
      <c r="E360" s="51">
        <v>6.8214463E7</v>
      </c>
      <c r="F360" s="51">
        <v>5457157.0</v>
      </c>
      <c r="G360" s="51">
        <v>7.367162E7</v>
      </c>
      <c r="H360" s="49" t="s">
        <v>414</v>
      </c>
      <c r="I360" s="52" t="s">
        <v>3626</v>
      </c>
      <c r="J360" s="50">
        <v>45807.0</v>
      </c>
      <c r="K360" s="51">
        <v>6315167.0</v>
      </c>
      <c r="L360" s="51">
        <v>505213.0</v>
      </c>
      <c r="M360" s="51">
        <v>6820380.0</v>
      </c>
      <c r="N360" s="49"/>
      <c r="O360" s="52"/>
      <c r="P360" s="50"/>
      <c r="Q360" s="51"/>
      <c r="R360" s="51"/>
      <c r="S360" s="51"/>
      <c r="T360" s="49"/>
      <c r="U360" s="52"/>
      <c r="V360" s="50"/>
      <c r="W360" s="51"/>
      <c r="X360" s="51"/>
      <c r="Y360" s="51"/>
      <c r="Z360" s="51">
        <v>7.452963E7</v>
      </c>
      <c r="AA360" s="51">
        <v>5962370.0</v>
      </c>
      <c r="AB360" s="51">
        <v>8.0492E7</v>
      </c>
      <c r="AC360" s="47"/>
      <c r="AD360" s="47" t="s">
        <v>3627</v>
      </c>
      <c r="AE360" s="48"/>
      <c r="AF360" s="50"/>
      <c r="AG360" s="51">
        <v>-6315167.0</v>
      </c>
      <c r="AH360" s="51">
        <v>-505213.0</v>
      </c>
      <c r="AI360" s="51">
        <v>-6820380.0</v>
      </c>
      <c r="AJ360" s="47" t="s">
        <v>3628</v>
      </c>
      <c r="AK360" s="48"/>
      <c r="AL360" s="50"/>
      <c r="AM360" s="51">
        <v>-6.8214463E7</v>
      </c>
      <c r="AN360" s="51">
        <v>-5457157.0</v>
      </c>
      <c r="AO360" s="51">
        <v>-7.367162E7</v>
      </c>
      <c r="AP360" s="47"/>
      <c r="AQ360" s="48"/>
      <c r="AR360" s="50"/>
      <c r="AS360" s="51"/>
      <c r="AT360" s="51"/>
      <c r="AU360" s="51"/>
      <c r="AV360" s="47"/>
      <c r="AW360" s="48"/>
      <c r="AX360" s="50"/>
      <c r="AY360" s="51"/>
      <c r="AZ360" s="51"/>
      <c r="BA360" s="51"/>
      <c r="BB360" s="51">
        <f t="shared" ref="BB360:BD360" si="358">IF(AND(ISNUMBER(Z360),COUNT(AG360,AM360,AS360,AY360)=2),Z360+SUM(AG360,AM360,AS360,AY360),"")</f>
        <v>0</v>
      </c>
      <c r="BC360" s="51">
        <f t="shared" si="358"/>
        <v>0</v>
      </c>
      <c r="BD360" s="51">
        <f t="shared" si="358"/>
        <v>0</v>
      </c>
    </row>
    <row r="361" ht="48.0" customHeight="1">
      <c r="A361" s="49" t="s">
        <v>40</v>
      </c>
      <c r="B361" s="49" t="str">
        <f t="array" ref="B361">INDEX('HD cty 2024'!B:B,MATCH('F0, F1, F2, ...'!$C361,'HD cty 2024'!B:B,0))</f>
        <v>#N/A</v>
      </c>
      <c r="C361" s="49">
        <v>439.0</v>
      </c>
      <c r="D361" s="50">
        <v>45539.0</v>
      </c>
      <c r="E361" s="51">
        <v>9.0188054E7</v>
      </c>
      <c r="F361" s="51">
        <v>7215044.0</v>
      </c>
      <c r="G361" s="51">
        <v>9.7403098E7</v>
      </c>
      <c r="H361" s="49" t="s">
        <v>414</v>
      </c>
      <c r="I361" s="52" t="s">
        <v>3629</v>
      </c>
      <c r="J361" s="50">
        <v>45807.0</v>
      </c>
      <c r="K361" s="51">
        <v>7323057.0</v>
      </c>
      <c r="L361" s="51">
        <v>585845.0</v>
      </c>
      <c r="M361" s="51">
        <v>7908902.0</v>
      </c>
      <c r="N361" s="49"/>
      <c r="O361" s="52"/>
      <c r="P361" s="50"/>
      <c r="Q361" s="51"/>
      <c r="R361" s="51"/>
      <c r="S361" s="51"/>
      <c r="T361" s="49"/>
      <c r="U361" s="52"/>
      <c r="V361" s="50"/>
      <c r="W361" s="51"/>
      <c r="X361" s="51"/>
      <c r="Y361" s="51"/>
      <c r="Z361" s="51">
        <v>9.7511111E7</v>
      </c>
      <c r="AA361" s="51">
        <v>7800889.0</v>
      </c>
      <c r="AB361" s="51">
        <v>1.05312E8</v>
      </c>
      <c r="AC361" s="47"/>
      <c r="AD361" s="47" t="s">
        <v>3630</v>
      </c>
      <c r="AE361" s="48"/>
      <c r="AF361" s="50"/>
      <c r="AG361" s="51">
        <v>-7323057.0</v>
      </c>
      <c r="AH361" s="51">
        <v>-585845.0</v>
      </c>
      <c r="AI361" s="51">
        <v>-7908902.0</v>
      </c>
      <c r="AJ361" s="47" t="s">
        <v>3631</v>
      </c>
      <c r="AK361" s="48"/>
      <c r="AL361" s="50"/>
      <c r="AM361" s="51">
        <v>-9.0188054E7</v>
      </c>
      <c r="AN361" s="51">
        <v>-7215044.0</v>
      </c>
      <c r="AO361" s="51">
        <v>-9.7403098E7</v>
      </c>
      <c r="AP361" s="47"/>
      <c r="AQ361" s="48"/>
      <c r="AR361" s="50"/>
      <c r="AS361" s="51"/>
      <c r="AT361" s="51"/>
      <c r="AU361" s="51"/>
      <c r="AV361" s="47"/>
      <c r="AW361" s="48"/>
      <c r="AX361" s="50"/>
      <c r="AY361" s="51"/>
      <c r="AZ361" s="51"/>
      <c r="BA361" s="51"/>
      <c r="BB361" s="51">
        <f t="shared" ref="BB361:BD361" si="359">IF(AND(ISNUMBER(Z361),COUNT(AG361,AM361,AS361,AY361)=2),Z361+SUM(AG361,AM361,AS361,AY361),"")</f>
        <v>0</v>
      </c>
      <c r="BC361" s="51">
        <f t="shared" si="359"/>
        <v>0</v>
      </c>
      <c r="BD361" s="51">
        <f t="shared" si="359"/>
        <v>0</v>
      </c>
    </row>
    <row r="362" ht="48.0" customHeight="1">
      <c r="A362" s="49" t="s">
        <v>40</v>
      </c>
      <c r="B362" s="49" t="str">
        <f t="array" ref="B362">INDEX('HD cty 2024'!B:B,MATCH('F0, F1, F2, ...'!$C362,'HD cty 2024'!B:B,0))</f>
        <v>#N/A</v>
      </c>
      <c r="C362" s="49">
        <v>440.0</v>
      </c>
      <c r="D362" s="50">
        <v>45539.0</v>
      </c>
      <c r="E362" s="51">
        <v>7.4812396E7</v>
      </c>
      <c r="F362" s="51">
        <v>5984992.0</v>
      </c>
      <c r="G362" s="51">
        <v>8.0797388E7</v>
      </c>
      <c r="H362" s="49" t="s">
        <v>414</v>
      </c>
      <c r="I362" s="52" t="s">
        <v>3632</v>
      </c>
      <c r="J362" s="50">
        <v>45807.0</v>
      </c>
      <c r="K362" s="51">
        <v>7468530.0</v>
      </c>
      <c r="L362" s="51">
        <v>597482.0</v>
      </c>
      <c r="M362" s="51">
        <v>8066012.0</v>
      </c>
      <c r="N362" s="49"/>
      <c r="O362" s="52"/>
      <c r="P362" s="50"/>
      <c r="Q362" s="51"/>
      <c r="R362" s="51"/>
      <c r="S362" s="51"/>
      <c r="T362" s="49"/>
      <c r="U362" s="52"/>
      <c r="V362" s="50"/>
      <c r="W362" s="51"/>
      <c r="X362" s="51"/>
      <c r="Y362" s="51"/>
      <c r="Z362" s="51">
        <v>8.2280926E7</v>
      </c>
      <c r="AA362" s="51">
        <v>6582474.0</v>
      </c>
      <c r="AB362" s="51">
        <v>8.88634E7</v>
      </c>
      <c r="AC362" s="47"/>
      <c r="AD362" s="47" t="s">
        <v>3633</v>
      </c>
      <c r="AE362" s="48"/>
      <c r="AF362" s="50"/>
      <c r="AG362" s="51">
        <v>-7468530.0</v>
      </c>
      <c r="AH362" s="51">
        <v>-597482.0</v>
      </c>
      <c r="AI362" s="51">
        <v>-8066012.0</v>
      </c>
      <c r="AJ362" s="47" t="s">
        <v>3634</v>
      </c>
      <c r="AK362" s="48"/>
      <c r="AL362" s="50"/>
      <c r="AM362" s="51">
        <v>-7.4812396E7</v>
      </c>
      <c r="AN362" s="51">
        <v>-5984992.0</v>
      </c>
      <c r="AO362" s="51">
        <v>-8.0797388E7</v>
      </c>
      <c r="AP362" s="47"/>
      <c r="AQ362" s="48"/>
      <c r="AR362" s="50"/>
      <c r="AS362" s="51"/>
      <c r="AT362" s="51"/>
      <c r="AU362" s="51"/>
      <c r="AV362" s="47"/>
      <c r="AW362" s="48"/>
      <c r="AX362" s="50"/>
      <c r="AY362" s="51"/>
      <c r="AZ362" s="51"/>
      <c r="BA362" s="51"/>
      <c r="BB362" s="51">
        <f t="shared" ref="BB362:BD362" si="360">IF(AND(ISNUMBER(Z362),COUNT(AG362,AM362,AS362,AY362)=2),Z362+SUM(AG362,AM362,AS362,AY362),"")</f>
        <v>0</v>
      </c>
      <c r="BC362" s="51">
        <f t="shared" si="360"/>
        <v>0</v>
      </c>
      <c r="BD362" s="51">
        <f t="shared" si="360"/>
        <v>0</v>
      </c>
    </row>
    <row r="363" ht="48.0" customHeight="1">
      <c r="A363" s="49" t="s">
        <v>40</v>
      </c>
      <c r="B363" s="49" t="str">
        <f t="array" ref="B363">INDEX('HD cty 2024'!B:B,MATCH('F0, F1, F2, ...'!$C363,'HD cty 2024'!B:B,0))</f>
        <v>#N/A</v>
      </c>
      <c r="C363" s="49">
        <v>441.0</v>
      </c>
      <c r="D363" s="50">
        <v>45540.0</v>
      </c>
      <c r="E363" s="51">
        <v>1.69501909E8</v>
      </c>
      <c r="F363" s="51">
        <v>1.3560153E7</v>
      </c>
      <c r="G363" s="51">
        <v>1.83062062E8</v>
      </c>
      <c r="H363" s="49" t="s">
        <v>414</v>
      </c>
      <c r="I363" s="52" t="s">
        <v>3635</v>
      </c>
      <c r="J363" s="50">
        <v>45807.0</v>
      </c>
      <c r="K363" s="51">
        <v>1.4836795E7</v>
      </c>
      <c r="L363" s="51">
        <v>1186944.0</v>
      </c>
      <c r="M363" s="51">
        <v>1.6023739E7</v>
      </c>
      <c r="N363" s="49"/>
      <c r="O363" s="52"/>
      <c r="P363" s="50"/>
      <c r="Q363" s="51"/>
      <c r="R363" s="51"/>
      <c r="S363" s="51"/>
      <c r="T363" s="49"/>
      <c r="U363" s="52"/>
      <c r="V363" s="50"/>
      <c r="W363" s="51"/>
      <c r="X363" s="51"/>
      <c r="Y363" s="51"/>
      <c r="Z363" s="51">
        <v>1.84338704E8</v>
      </c>
      <c r="AA363" s="51">
        <v>1.4747097E7</v>
      </c>
      <c r="AB363" s="51">
        <v>1.99085801E8</v>
      </c>
      <c r="AC363" s="47"/>
      <c r="AD363" s="47" t="s">
        <v>3636</v>
      </c>
      <c r="AE363" s="48"/>
      <c r="AF363" s="50"/>
      <c r="AG363" s="51">
        <v>-1.4836795E7</v>
      </c>
      <c r="AH363" s="51">
        <v>-1186944.0</v>
      </c>
      <c r="AI363" s="51">
        <v>-1.6023739E7</v>
      </c>
      <c r="AJ363" s="47" t="s">
        <v>3637</v>
      </c>
      <c r="AK363" s="48"/>
      <c r="AL363" s="50"/>
      <c r="AM363" s="51">
        <v>-1.69501909E8</v>
      </c>
      <c r="AN363" s="51">
        <v>-1.3560153E7</v>
      </c>
      <c r="AO363" s="51">
        <v>-1.83062062E8</v>
      </c>
      <c r="AP363" s="47"/>
      <c r="AQ363" s="48"/>
      <c r="AR363" s="50"/>
      <c r="AS363" s="51"/>
      <c r="AT363" s="51"/>
      <c r="AU363" s="51"/>
      <c r="AV363" s="47"/>
      <c r="AW363" s="48"/>
      <c r="AX363" s="50"/>
      <c r="AY363" s="51"/>
      <c r="AZ363" s="51"/>
      <c r="BA363" s="51"/>
      <c r="BB363" s="51">
        <f t="shared" ref="BB363:BD363" si="361">IF(AND(ISNUMBER(Z363),COUNT(AG363,AM363,AS363,AY363)=2),Z363+SUM(AG363,AM363,AS363,AY363),"")</f>
        <v>0</v>
      </c>
      <c r="BC363" s="51">
        <f t="shared" si="361"/>
        <v>0</v>
      </c>
      <c r="BD363" s="51">
        <f t="shared" si="361"/>
        <v>0</v>
      </c>
    </row>
    <row r="364" ht="48.0" customHeight="1">
      <c r="A364" s="49" t="s">
        <v>40</v>
      </c>
      <c r="B364" s="49" t="str">
        <f t="array" ref="B364">INDEX('HD cty 2024'!B:B,MATCH('F0, F1, F2, ...'!$C364,'HD cty 2024'!B:B,0))</f>
        <v>#N/A</v>
      </c>
      <c r="C364" s="49">
        <v>442.0</v>
      </c>
      <c r="D364" s="50">
        <v>45540.0</v>
      </c>
      <c r="E364" s="51">
        <v>1.79669776E8</v>
      </c>
      <c r="F364" s="51">
        <v>1.4373582E7</v>
      </c>
      <c r="G364" s="51">
        <v>1.94043358E8</v>
      </c>
      <c r="H364" s="49" t="s">
        <v>414</v>
      </c>
      <c r="I364" s="52" t="s">
        <v>3638</v>
      </c>
      <c r="J364" s="50">
        <v>45808.0</v>
      </c>
      <c r="K364" s="51">
        <v>1.594152E7</v>
      </c>
      <c r="L364" s="51">
        <v>1275322.0</v>
      </c>
      <c r="M364" s="51">
        <v>1.7216842E7</v>
      </c>
      <c r="N364" s="49"/>
      <c r="O364" s="52"/>
      <c r="P364" s="50"/>
      <c r="Q364" s="51"/>
      <c r="R364" s="51"/>
      <c r="S364" s="51"/>
      <c r="T364" s="49"/>
      <c r="U364" s="52"/>
      <c r="V364" s="50"/>
      <c r="W364" s="51"/>
      <c r="X364" s="51"/>
      <c r="Y364" s="51"/>
      <c r="Z364" s="51">
        <v>1.95611296E8</v>
      </c>
      <c r="AA364" s="51">
        <v>1.5648904E7</v>
      </c>
      <c r="AB364" s="51">
        <v>2.112602E8</v>
      </c>
      <c r="AC364" s="47"/>
      <c r="AD364" s="47" t="s">
        <v>3639</v>
      </c>
      <c r="AE364" s="48"/>
      <c r="AF364" s="50"/>
      <c r="AG364" s="51">
        <v>-1.594152E7</v>
      </c>
      <c r="AH364" s="51">
        <v>-1275322.0</v>
      </c>
      <c r="AI364" s="51">
        <v>-1.7216842E7</v>
      </c>
      <c r="AJ364" s="47" t="s">
        <v>3640</v>
      </c>
      <c r="AK364" s="48"/>
      <c r="AL364" s="50"/>
      <c r="AM364" s="51">
        <v>-1.79669776E8</v>
      </c>
      <c r="AN364" s="51">
        <v>-1.4373582E7</v>
      </c>
      <c r="AO364" s="51">
        <v>-1.94043358E8</v>
      </c>
      <c r="AP364" s="47"/>
      <c r="AQ364" s="48"/>
      <c r="AR364" s="50"/>
      <c r="AS364" s="51"/>
      <c r="AT364" s="51"/>
      <c r="AU364" s="51"/>
      <c r="AV364" s="47"/>
      <c r="AW364" s="48"/>
      <c r="AX364" s="50"/>
      <c r="AY364" s="51"/>
      <c r="AZ364" s="51"/>
      <c r="BA364" s="51"/>
      <c r="BB364" s="51">
        <f t="shared" ref="BB364:BD364" si="362">IF(AND(ISNUMBER(Z364),COUNT(AG364,AM364,AS364,AY364)=2),Z364+SUM(AG364,AM364,AS364,AY364),"")</f>
        <v>0</v>
      </c>
      <c r="BC364" s="51">
        <f t="shared" si="362"/>
        <v>0</v>
      </c>
      <c r="BD364" s="51">
        <f t="shared" si="362"/>
        <v>0</v>
      </c>
    </row>
    <row r="365" ht="48.0" customHeight="1">
      <c r="A365" s="49" t="s">
        <v>40</v>
      </c>
      <c r="B365" s="49" t="str">
        <f t="array" ref="B365">INDEX('HD cty 2024'!B:B,MATCH('F0, F1, F2, ...'!$C365,'HD cty 2024'!B:B,0))</f>
        <v>#N/A</v>
      </c>
      <c r="C365" s="49">
        <v>443.0</v>
      </c>
      <c r="D365" s="50">
        <v>45540.0</v>
      </c>
      <c r="E365" s="51">
        <v>7.3565691E7</v>
      </c>
      <c r="F365" s="51">
        <v>5885255.0</v>
      </c>
      <c r="G365" s="51">
        <v>7.9450946E7</v>
      </c>
      <c r="H365" s="49" t="s">
        <v>414</v>
      </c>
      <c r="I365" s="52" t="s">
        <v>3641</v>
      </c>
      <c r="J365" s="50">
        <v>45807.0</v>
      </c>
      <c r="K365" s="51">
        <v>1.2726902E7</v>
      </c>
      <c r="L365" s="51">
        <v>1018152.0</v>
      </c>
      <c r="M365" s="51">
        <v>1.3745054E7</v>
      </c>
      <c r="N365" s="49"/>
      <c r="O365" s="52"/>
      <c r="P365" s="50"/>
      <c r="Q365" s="51"/>
      <c r="R365" s="51"/>
      <c r="S365" s="51"/>
      <c r="T365" s="49"/>
      <c r="U365" s="52"/>
      <c r="V365" s="50"/>
      <c r="W365" s="51"/>
      <c r="X365" s="51"/>
      <c r="Y365" s="51"/>
      <c r="Z365" s="51">
        <v>8.6292593E7</v>
      </c>
      <c r="AA365" s="51">
        <v>6903407.0</v>
      </c>
      <c r="AB365" s="51">
        <v>9.3196E7</v>
      </c>
      <c r="AC365" s="47"/>
      <c r="AD365" s="47" t="s">
        <v>3642</v>
      </c>
      <c r="AE365" s="48"/>
      <c r="AF365" s="50"/>
      <c r="AG365" s="51">
        <v>-1.2726902E7</v>
      </c>
      <c r="AH365" s="51">
        <v>-1018152.0</v>
      </c>
      <c r="AI365" s="51">
        <v>-1.3745054E7</v>
      </c>
      <c r="AJ365" s="47" t="s">
        <v>3643</v>
      </c>
      <c r="AK365" s="48"/>
      <c r="AL365" s="50"/>
      <c r="AM365" s="51">
        <v>-7.3565691E7</v>
      </c>
      <c r="AN365" s="51">
        <v>-5885255.0</v>
      </c>
      <c r="AO365" s="51">
        <v>-7.9450946E7</v>
      </c>
      <c r="AP365" s="47"/>
      <c r="AQ365" s="48"/>
      <c r="AR365" s="50"/>
      <c r="AS365" s="51"/>
      <c r="AT365" s="51"/>
      <c r="AU365" s="51"/>
      <c r="AV365" s="47"/>
      <c r="AW365" s="48"/>
      <c r="AX365" s="50"/>
      <c r="AY365" s="51"/>
      <c r="AZ365" s="51"/>
      <c r="BA365" s="51"/>
      <c r="BB365" s="51">
        <f t="shared" ref="BB365:BD365" si="363">IF(AND(ISNUMBER(Z365),COUNT(AG365,AM365,AS365,AY365)=2),Z365+SUM(AG365,AM365,AS365,AY365),"")</f>
        <v>0</v>
      </c>
      <c r="BC365" s="51">
        <f t="shared" si="363"/>
        <v>0</v>
      </c>
      <c r="BD365" s="51">
        <f t="shared" si="363"/>
        <v>0</v>
      </c>
    </row>
    <row r="366" ht="48.0" customHeight="1">
      <c r="A366" s="49" t="s">
        <v>40</v>
      </c>
      <c r="B366" s="49" t="str">
        <f t="array" ref="B366">INDEX('HD cty 2024'!B:B,MATCH('F0, F1, F2, ...'!$C366,'HD cty 2024'!B:B,0))</f>
        <v>#N/A</v>
      </c>
      <c r="C366" s="49">
        <v>444.0</v>
      </c>
      <c r="D366" s="50">
        <v>45540.0</v>
      </c>
      <c r="E366" s="51">
        <v>3285211.0</v>
      </c>
      <c r="F366" s="51">
        <v>262817.0</v>
      </c>
      <c r="G366" s="51">
        <v>3548028.0</v>
      </c>
      <c r="H366" s="49" t="s">
        <v>414</v>
      </c>
      <c r="I366" s="52" t="s">
        <v>3644</v>
      </c>
      <c r="J366" s="50">
        <v>45807.0</v>
      </c>
      <c r="K366" s="51">
        <v>153545.0</v>
      </c>
      <c r="L366" s="51">
        <v>12284.0</v>
      </c>
      <c r="M366" s="51">
        <v>165829.0</v>
      </c>
      <c r="N366" s="49"/>
      <c r="O366" s="52"/>
      <c r="P366" s="50"/>
      <c r="Q366" s="51"/>
      <c r="R366" s="51"/>
      <c r="S366" s="51"/>
      <c r="T366" s="49"/>
      <c r="U366" s="52"/>
      <c r="V366" s="50"/>
      <c r="W366" s="51"/>
      <c r="X366" s="51"/>
      <c r="Y366" s="51"/>
      <c r="Z366" s="51">
        <v>3438756.0</v>
      </c>
      <c r="AA366" s="51">
        <v>275101.0</v>
      </c>
      <c r="AB366" s="51">
        <v>3713857.0</v>
      </c>
      <c r="AC366" s="47"/>
      <c r="AD366" s="47" t="s">
        <v>3645</v>
      </c>
      <c r="AE366" s="48"/>
      <c r="AF366" s="50"/>
      <c r="AG366" s="51">
        <v>-153545.0</v>
      </c>
      <c r="AH366" s="51">
        <v>-12284.0</v>
      </c>
      <c r="AI366" s="51">
        <v>-165829.0</v>
      </c>
      <c r="AJ366" s="47" t="s">
        <v>3646</v>
      </c>
      <c r="AK366" s="48"/>
      <c r="AL366" s="50"/>
      <c r="AM366" s="51">
        <v>-3285211.0</v>
      </c>
      <c r="AN366" s="51">
        <v>-262817.0</v>
      </c>
      <c r="AO366" s="51">
        <v>-3548028.0</v>
      </c>
      <c r="AP366" s="47"/>
      <c r="AQ366" s="48"/>
      <c r="AR366" s="50"/>
      <c r="AS366" s="51"/>
      <c r="AT366" s="51"/>
      <c r="AU366" s="51"/>
      <c r="AV366" s="47"/>
      <c r="AW366" s="48"/>
      <c r="AX366" s="50"/>
      <c r="AY366" s="51"/>
      <c r="AZ366" s="51"/>
      <c r="BA366" s="51"/>
      <c r="BB366" s="51">
        <f t="shared" ref="BB366:BD366" si="364">IF(AND(ISNUMBER(Z366),COUNT(AG366,AM366,AS366,AY366)=2),Z366+SUM(AG366,AM366,AS366,AY366),"")</f>
        <v>0</v>
      </c>
      <c r="BC366" s="51">
        <f t="shared" si="364"/>
        <v>0</v>
      </c>
      <c r="BD366" s="51">
        <f t="shared" si="364"/>
        <v>0</v>
      </c>
    </row>
    <row r="367" ht="48.0" customHeight="1">
      <c r="A367" s="49" t="s">
        <v>40</v>
      </c>
      <c r="B367" s="49" t="str">
        <f t="array" ref="B367">INDEX('HD cty 2024'!B:B,MATCH('F0, F1, F2, ...'!$C367,'HD cty 2024'!B:B,0))</f>
        <v>#N/A</v>
      </c>
      <c r="C367" s="49">
        <v>445.0</v>
      </c>
      <c r="D367" s="50">
        <v>45541.0</v>
      </c>
      <c r="E367" s="51">
        <v>4.0181552E7</v>
      </c>
      <c r="F367" s="51">
        <v>3214524.0</v>
      </c>
      <c r="G367" s="51">
        <v>4.3396076E7</v>
      </c>
      <c r="H367" s="49" t="s">
        <v>414</v>
      </c>
      <c r="I367" s="52" t="s">
        <v>3647</v>
      </c>
      <c r="J367" s="50">
        <v>45807.0</v>
      </c>
      <c r="K367" s="51">
        <v>3715670.0</v>
      </c>
      <c r="L367" s="51">
        <v>297254.0</v>
      </c>
      <c r="M367" s="51">
        <v>4012924.0</v>
      </c>
      <c r="N367" s="49"/>
      <c r="O367" s="52"/>
      <c r="P367" s="50"/>
      <c r="Q367" s="51"/>
      <c r="R367" s="51"/>
      <c r="S367" s="51"/>
      <c r="T367" s="49"/>
      <c r="U367" s="52"/>
      <c r="V367" s="50"/>
      <c r="W367" s="51"/>
      <c r="X367" s="51"/>
      <c r="Y367" s="51"/>
      <c r="Z367" s="51">
        <v>4.3897222E7</v>
      </c>
      <c r="AA367" s="51">
        <v>3511778.0</v>
      </c>
      <c r="AB367" s="51">
        <v>4.7409E7</v>
      </c>
      <c r="AC367" s="47"/>
      <c r="AD367" s="47" t="s">
        <v>3648</v>
      </c>
      <c r="AE367" s="48"/>
      <c r="AF367" s="50"/>
      <c r="AG367" s="51">
        <v>-3715670.0</v>
      </c>
      <c r="AH367" s="51">
        <v>-297254.0</v>
      </c>
      <c r="AI367" s="51">
        <v>-4012924.0</v>
      </c>
      <c r="AJ367" s="47" t="s">
        <v>3649</v>
      </c>
      <c r="AK367" s="48"/>
      <c r="AL367" s="50"/>
      <c r="AM367" s="51">
        <v>-4.0181552E7</v>
      </c>
      <c r="AN367" s="51">
        <v>-3214524.0</v>
      </c>
      <c r="AO367" s="51">
        <v>-4.3396076E7</v>
      </c>
      <c r="AP367" s="47"/>
      <c r="AQ367" s="48"/>
      <c r="AR367" s="50"/>
      <c r="AS367" s="51"/>
      <c r="AT367" s="51"/>
      <c r="AU367" s="51"/>
      <c r="AV367" s="47"/>
      <c r="AW367" s="48"/>
      <c r="AX367" s="50"/>
      <c r="AY367" s="51"/>
      <c r="AZ367" s="51"/>
      <c r="BA367" s="51"/>
      <c r="BB367" s="51">
        <f t="shared" ref="BB367:BD367" si="365">IF(AND(ISNUMBER(Z367),COUNT(AG367,AM367,AS367,AY367)=2),Z367+SUM(AG367,AM367,AS367,AY367),"")</f>
        <v>0</v>
      </c>
      <c r="BC367" s="51">
        <f t="shared" si="365"/>
        <v>0</v>
      </c>
      <c r="BD367" s="51">
        <f t="shared" si="365"/>
        <v>0</v>
      </c>
    </row>
    <row r="368" ht="48.0" customHeight="1">
      <c r="A368" s="49" t="s">
        <v>40</v>
      </c>
      <c r="B368" s="49" t="str">
        <f t="array" ref="B368">INDEX('HD cty 2024'!B:B,MATCH('F0, F1, F2, ...'!$C368,'HD cty 2024'!B:B,0))</f>
        <v>#N/A</v>
      </c>
      <c r="C368" s="49">
        <v>446.0</v>
      </c>
      <c r="D368" s="50">
        <v>45541.0</v>
      </c>
      <c r="E368" s="51">
        <v>1.3194809E8</v>
      </c>
      <c r="F368" s="51">
        <v>1.0555847E7</v>
      </c>
      <c r="G368" s="51">
        <v>1.42503937E8</v>
      </c>
      <c r="H368" s="49" t="s">
        <v>414</v>
      </c>
      <c r="I368" s="52" t="s">
        <v>3650</v>
      </c>
      <c r="J368" s="50">
        <v>45807.0</v>
      </c>
      <c r="K368" s="51">
        <v>1.2034688E7</v>
      </c>
      <c r="L368" s="51">
        <v>962775.0</v>
      </c>
      <c r="M368" s="51">
        <v>1.2997463E7</v>
      </c>
      <c r="N368" s="49"/>
      <c r="O368" s="52"/>
      <c r="P368" s="50"/>
      <c r="Q368" s="51"/>
      <c r="R368" s="51"/>
      <c r="S368" s="51"/>
      <c r="T368" s="49"/>
      <c r="U368" s="52"/>
      <c r="V368" s="50"/>
      <c r="W368" s="51"/>
      <c r="X368" s="51"/>
      <c r="Y368" s="51"/>
      <c r="Z368" s="51">
        <v>1.43982778E8</v>
      </c>
      <c r="AA368" s="51">
        <v>1.1518622E7</v>
      </c>
      <c r="AB368" s="51">
        <v>1.555014E8</v>
      </c>
      <c r="AC368" s="47"/>
      <c r="AD368" s="47" t="s">
        <v>3651</v>
      </c>
      <c r="AE368" s="48"/>
      <c r="AF368" s="50"/>
      <c r="AG368" s="51">
        <v>-1.2034688E7</v>
      </c>
      <c r="AH368" s="51">
        <v>-962775.0</v>
      </c>
      <c r="AI368" s="51">
        <v>-1.2997463E7</v>
      </c>
      <c r="AJ368" s="47" t="s">
        <v>3652</v>
      </c>
      <c r="AK368" s="48"/>
      <c r="AL368" s="50"/>
      <c r="AM368" s="51">
        <v>-1.3194809E8</v>
      </c>
      <c r="AN368" s="51">
        <v>-1.0555847E7</v>
      </c>
      <c r="AO368" s="51">
        <v>-1.42503937E8</v>
      </c>
      <c r="AP368" s="47"/>
      <c r="AQ368" s="48"/>
      <c r="AR368" s="50"/>
      <c r="AS368" s="51"/>
      <c r="AT368" s="51"/>
      <c r="AU368" s="51"/>
      <c r="AV368" s="47"/>
      <c r="AW368" s="48"/>
      <c r="AX368" s="50"/>
      <c r="AY368" s="51"/>
      <c r="AZ368" s="51"/>
      <c r="BA368" s="51"/>
      <c r="BB368" s="51">
        <f t="shared" ref="BB368:BD368" si="366">IF(AND(ISNUMBER(Z368),COUNT(AG368,AM368,AS368,AY368)=2),Z368+SUM(AG368,AM368,AS368,AY368),"")</f>
        <v>0</v>
      </c>
      <c r="BC368" s="51">
        <f t="shared" si="366"/>
        <v>0</v>
      </c>
      <c r="BD368" s="51">
        <f t="shared" si="366"/>
        <v>0</v>
      </c>
    </row>
    <row r="369" ht="48.0" customHeight="1">
      <c r="A369" s="49" t="s">
        <v>40</v>
      </c>
      <c r="B369" s="49" t="str">
        <f t="array" ref="B369">INDEX('HD cty 2024'!B:B,MATCH('F0, F1, F2, ...'!$C369,'HD cty 2024'!B:B,0))</f>
        <v>#N/A</v>
      </c>
      <c r="C369" s="49">
        <v>447.0</v>
      </c>
      <c r="D369" s="50">
        <v>45541.0</v>
      </c>
      <c r="E369" s="51">
        <v>1.41553522E8</v>
      </c>
      <c r="F369" s="51">
        <v>1.1324282E7</v>
      </c>
      <c r="G369" s="51">
        <v>1.52877804E8</v>
      </c>
      <c r="H369" s="49" t="s">
        <v>414</v>
      </c>
      <c r="I369" s="52" t="s">
        <v>3653</v>
      </c>
      <c r="J369" s="50">
        <v>45807.0</v>
      </c>
      <c r="K369" s="51">
        <v>1.5717034E7</v>
      </c>
      <c r="L369" s="51">
        <v>1257363.0</v>
      </c>
      <c r="M369" s="51">
        <v>1.6974397E7</v>
      </c>
      <c r="N369" s="49"/>
      <c r="O369" s="52"/>
      <c r="P369" s="50"/>
      <c r="Q369" s="51"/>
      <c r="R369" s="51"/>
      <c r="S369" s="51"/>
      <c r="T369" s="49"/>
      <c r="U369" s="52"/>
      <c r="V369" s="50"/>
      <c r="W369" s="51"/>
      <c r="X369" s="51"/>
      <c r="Y369" s="51"/>
      <c r="Z369" s="51">
        <v>1.57270556E8</v>
      </c>
      <c r="AA369" s="51">
        <v>1.2581645E7</v>
      </c>
      <c r="AB369" s="51">
        <v>1.69852201E8</v>
      </c>
      <c r="AC369" s="47"/>
      <c r="AD369" s="47" t="s">
        <v>3654</v>
      </c>
      <c r="AE369" s="48"/>
      <c r="AF369" s="50"/>
      <c r="AG369" s="51">
        <v>-1.5717034E7</v>
      </c>
      <c r="AH369" s="51">
        <v>-1257363.0</v>
      </c>
      <c r="AI369" s="51">
        <v>-1.6974397E7</v>
      </c>
      <c r="AJ369" s="47" t="s">
        <v>3655</v>
      </c>
      <c r="AK369" s="48"/>
      <c r="AL369" s="50"/>
      <c r="AM369" s="51">
        <v>-1.41553522E8</v>
      </c>
      <c r="AN369" s="51">
        <v>-1.1324282E7</v>
      </c>
      <c r="AO369" s="51">
        <v>-1.52877804E8</v>
      </c>
      <c r="AP369" s="47"/>
      <c r="AQ369" s="48"/>
      <c r="AR369" s="50"/>
      <c r="AS369" s="51"/>
      <c r="AT369" s="51"/>
      <c r="AU369" s="51"/>
      <c r="AV369" s="47"/>
      <c r="AW369" s="48"/>
      <c r="AX369" s="50"/>
      <c r="AY369" s="51"/>
      <c r="AZ369" s="51"/>
      <c r="BA369" s="51"/>
      <c r="BB369" s="51">
        <f t="shared" ref="BB369:BD369" si="367">IF(AND(ISNUMBER(Z369),COUNT(AG369,AM369,AS369,AY369)=2),Z369+SUM(AG369,AM369,AS369,AY369),"")</f>
        <v>0</v>
      </c>
      <c r="BC369" s="51">
        <f t="shared" si="367"/>
        <v>0</v>
      </c>
      <c r="BD369" s="51">
        <f t="shared" si="367"/>
        <v>0</v>
      </c>
    </row>
    <row r="370" ht="48.0" customHeight="1">
      <c r="A370" s="49" t="s">
        <v>40</v>
      </c>
      <c r="B370" s="49" t="str">
        <f t="array" ref="B370">INDEX('HD cty 2024'!B:B,MATCH('F0, F1, F2, ...'!$C370,'HD cty 2024'!B:B,0))</f>
        <v>#N/A</v>
      </c>
      <c r="C370" s="49">
        <v>448.0</v>
      </c>
      <c r="D370" s="50">
        <v>45541.0</v>
      </c>
      <c r="E370" s="51">
        <v>8.1235781E7</v>
      </c>
      <c r="F370" s="51">
        <v>6498862.0</v>
      </c>
      <c r="G370" s="51">
        <v>8.7734643E7</v>
      </c>
      <c r="H370" s="49" t="s">
        <v>414</v>
      </c>
      <c r="I370" s="52" t="s">
        <v>3656</v>
      </c>
      <c r="J370" s="50">
        <v>45807.0</v>
      </c>
      <c r="K370" s="51">
        <v>1.5592923E7</v>
      </c>
      <c r="L370" s="51">
        <v>1247434.0</v>
      </c>
      <c r="M370" s="51">
        <v>1.6840357E7</v>
      </c>
      <c r="N370" s="49"/>
      <c r="O370" s="52"/>
      <c r="P370" s="50"/>
      <c r="Q370" s="51"/>
      <c r="R370" s="51"/>
      <c r="S370" s="51"/>
      <c r="T370" s="49"/>
      <c r="U370" s="52"/>
      <c r="V370" s="50"/>
      <c r="W370" s="51"/>
      <c r="X370" s="51"/>
      <c r="Y370" s="51"/>
      <c r="Z370" s="51">
        <v>9.6828704E7</v>
      </c>
      <c r="AA370" s="51">
        <v>7746296.0</v>
      </c>
      <c r="AB370" s="51">
        <v>1.04575E8</v>
      </c>
      <c r="AC370" s="47"/>
      <c r="AD370" s="47" t="s">
        <v>3657</v>
      </c>
      <c r="AE370" s="48"/>
      <c r="AF370" s="50"/>
      <c r="AG370" s="51">
        <v>-1.5592923E7</v>
      </c>
      <c r="AH370" s="51">
        <v>-1247434.0</v>
      </c>
      <c r="AI370" s="51">
        <v>-1.6840357E7</v>
      </c>
      <c r="AJ370" s="47" t="s">
        <v>3658</v>
      </c>
      <c r="AK370" s="48"/>
      <c r="AL370" s="50"/>
      <c r="AM370" s="51">
        <v>-8.1235781E7</v>
      </c>
      <c r="AN370" s="51">
        <v>-6498862.0</v>
      </c>
      <c r="AO370" s="51">
        <v>-8.7734643E7</v>
      </c>
      <c r="AP370" s="47"/>
      <c r="AQ370" s="48"/>
      <c r="AR370" s="50"/>
      <c r="AS370" s="51"/>
      <c r="AT370" s="51"/>
      <c r="AU370" s="51"/>
      <c r="AV370" s="47"/>
      <c r="AW370" s="48"/>
      <c r="AX370" s="50"/>
      <c r="AY370" s="51"/>
      <c r="AZ370" s="51"/>
      <c r="BA370" s="51"/>
      <c r="BB370" s="51">
        <f t="shared" ref="BB370:BD370" si="368">IF(AND(ISNUMBER(Z370),COUNT(AG370,AM370,AS370,AY370)=2),Z370+SUM(AG370,AM370,AS370,AY370),"")</f>
        <v>0</v>
      </c>
      <c r="BC370" s="51">
        <f t="shared" si="368"/>
        <v>0</v>
      </c>
      <c r="BD370" s="51">
        <f t="shared" si="368"/>
        <v>0</v>
      </c>
    </row>
    <row r="371" ht="48.0" customHeight="1">
      <c r="A371" s="49" t="s">
        <v>40</v>
      </c>
      <c r="B371" s="49" t="str">
        <f t="array" ref="B371">INDEX('HD cty 2024'!B:B,MATCH('F0, F1, F2, ...'!$C371,'HD cty 2024'!B:B,0))</f>
        <v>#N/A</v>
      </c>
      <c r="C371" s="49">
        <v>449.0</v>
      </c>
      <c r="D371" s="50">
        <v>45541.0</v>
      </c>
      <c r="E371" s="51">
        <v>1.24142177E8</v>
      </c>
      <c r="F371" s="51">
        <v>9931374.0</v>
      </c>
      <c r="G371" s="51">
        <v>1.34073551E8</v>
      </c>
      <c r="H371" s="49" t="s">
        <v>414</v>
      </c>
      <c r="I371" s="52" t="s">
        <v>3659</v>
      </c>
      <c r="J371" s="50">
        <v>45807.0</v>
      </c>
      <c r="K371" s="51">
        <v>1.5411527E7</v>
      </c>
      <c r="L371" s="51">
        <v>1232922.0</v>
      </c>
      <c r="M371" s="51">
        <v>1.6644449E7</v>
      </c>
      <c r="N371" s="49"/>
      <c r="O371" s="52"/>
      <c r="P371" s="50"/>
      <c r="Q371" s="51"/>
      <c r="R371" s="51"/>
      <c r="S371" s="51"/>
      <c r="T371" s="49"/>
      <c r="U371" s="52"/>
      <c r="V371" s="50"/>
      <c r="W371" s="51"/>
      <c r="X371" s="51"/>
      <c r="Y371" s="51"/>
      <c r="Z371" s="51">
        <v>1.39553704E8</v>
      </c>
      <c r="AA371" s="51">
        <v>1.1164296E7</v>
      </c>
      <c r="AB371" s="51">
        <v>1.50718E8</v>
      </c>
      <c r="AC371" s="47"/>
      <c r="AD371" s="47" t="s">
        <v>3660</v>
      </c>
      <c r="AE371" s="48"/>
      <c r="AF371" s="50"/>
      <c r="AG371" s="51">
        <v>-1.5411527E7</v>
      </c>
      <c r="AH371" s="51">
        <v>-1232922.0</v>
      </c>
      <c r="AI371" s="51">
        <v>-1.6644449E7</v>
      </c>
      <c r="AJ371" s="47" t="s">
        <v>3661</v>
      </c>
      <c r="AK371" s="48"/>
      <c r="AL371" s="50"/>
      <c r="AM371" s="51">
        <v>-1.24142177E8</v>
      </c>
      <c r="AN371" s="51">
        <v>-9931374.0</v>
      </c>
      <c r="AO371" s="51">
        <v>-1.34073551E8</v>
      </c>
      <c r="AP371" s="47"/>
      <c r="AQ371" s="48"/>
      <c r="AR371" s="50"/>
      <c r="AS371" s="51"/>
      <c r="AT371" s="51"/>
      <c r="AU371" s="51"/>
      <c r="AV371" s="47"/>
      <c r="AW371" s="48"/>
      <c r="AX371" s="50"/>
      <c r="AY371" s="51"/>
      <c r="AZ371" s="51"/>
      <c r="BA371" s="51"/>
      <c r="BB371" s="51">
        <f t="shared" ref="BB371:BD371" si="369">IF(AND(ISNUMBER(Z371),COUNT(AG371,AM371,AS371,AY371)=2),Z371+SUM(AG371,AM371,AS371,AY371),"")</f>
        <v>0</v>
      </c>
      <c r="BC371" s="51">
        <f t="shared" si="369"/>
        <v>0</v>
      </c>
      <c r="BD371" s="51">
        <f t="shared" si="369"/>
        <v>0</v>
      </c>
    </row>
    <row r="372" ht="48.0" customHeight="1">
      <c r="A372" s="49" t="s">
        <v>40</v>
      </c>
      <c r="B372" s="49" t="str">
        <f t="array" ref="B372">INDEX('HD cty 2024'!B:B,MATCH('F0, F1, F2, ...'!$C372,'HD cty 2024'!B:B,0))</f>
        <v>#N/A</v>
      </c>
      <c r="C372" s="49">
        <v>455.0</v>
      </c>
      <c r="D372" s="50">
        <v>45546.0</v>
      </c>
      <c r="E372" s="51">
        <v>7.7876797E7</v>
      </c>
      <c r="F372" s="51">
        <v>6230144.0</v>
      </c>
      <c r="G372" s="51">
        <v>8.4106941E7</v>
      </c>
      <c r="H372" s="49" t="s">
        <v>414</v>
      </c>
      <c r="I372" s="52" t="s">
        <v>3662</v>
      </c>
      <c r="J372" s="50">
        <v>45807.0</v>
      </c>
      <c r="K372" s="51">
        <v>1.1962092E7</v>
      </c>
      <c r="L372" s="51">
        <v>956967.0</v>
      </c>
      <c r="M372" s="51">
        <v>1.2919059E7</v>
      </c>
      <c r="N372" s="49"/>
      <c r="O372" s="52"/>
      <c r="P372" s="50"/>
      <c r="Q372" s="51"/>
      <c r="R372" s="51"/>
      <c r="S372" s="51"/>
      <c r="T372" s="49"/>
      <c r="U372" s="52"/>
      <c r="V372" s="50"/>
      <c r="W372" s="51"/>
      <c r="X372" s="51"/>
      <c r="Y372" s="51"/>
      <c r="Z372" s="51">
        <v>8.9838889E7</v>
      </c>
      <c r="AA372" s="51">
        <v>7187111.0</v>
      </c>
      <c r="AB372" s="51">
        <v>9.7026E7</v>
      </c>
      <c r="AC372" s="47"/>
      <c r="AD372" s="47" t="s">
        <v>3663</v>
      </c>
      <c r="AE372" s="48"/>
      <c r="AF372" s="50"/>
      <c r="AG372" s="51">
        <v>-1.1962092E7</v>
      </c>
      <c r="AH372" s="51">
        <v>-956967.0</v>
      </c>
      <c r="AI372" s="51">
        <v>-1.2919059E7</v>
      </c>
      <c r="AJ372" s="47" t="s">
        <v>3664</v>
      </c>
      <c r="AK372" s="48"/>
      <c r="AL372" s="50"/>
      <c r="AM372" s="51">
        <v>-7.7876797E7</v>
      </c>
      <c r="AN372" s="51">
        <v>-6230144.0</v>
      </c>
      <c r="AO372" s="51">
        <v>-8.4106941E7</v>
      </c>
      <c r="AP372" s="47"/>
      <c r="AQ372" s="48"/>
      <c r="AR372" s="50"/>
      <c r="AS372" s="51"/>
      <c r="AT372" s="51"/>
      <c r="AU372" s="51"/>
      <c r="AV372" s="47"/>
      <c r="AW372" s="48"/>
      <c r="AX372" s="50"/>
      <c r="AY372" s="51"/>
      <c r="AZ372" s="51"/>
      <c r="BA372" s="51"/>
      <c r="BB372" s="51">
        <f t="shared" ref="BB372:BD372" si="370">IF(AND(ISNUMBER(Z372),COUNT(AG372,AM372,AS372,AY372)=2),Z372+SUM(AG372,AM372,AS372,AY372),"")</f>
        <v>0</v>
      </c>
      <c r="BC372" s="51">
        <f t="shared" si="370"/>
        <v>0</v>
      </c>
      <c r="BD372" s="51">
        <f t="shared" si="370"/>
        <v>0</v>
      </c>
    </row>
    <row r="373" ht="48.0" customHeight="1">
      <c r="A373" s="49" t="s">
        <v>40</v>
      </c>
      <c r="B373" s="49" t="str">
        <f t="array" ref="B373">INDEX('HD cty 2024'!B:B,MATCH('F0, F1, F2, ...'!$C373,'HD cty 2024'!B:B,0))</f>
        <v>#N/A</v>
      </c>
      <c r="C373" s="49">
        <v>456.0</v>
      </c>
      <c r="D373" s="50">
        <v>45546.0</v>
      </c>
      <c r="E373" s="51">
        <v>1613806.0</v>
      </c>
      <c r="F373" s="51">
        <v>129104.0</v>
      </c>
      <c r="G373" s="51">
        <v>1742910.0</v>
      </c>
      <c r="H373" s="49" t="s">
        <v>414</v>
      </c>
      <c r="I373" s="52" t="s">
        <v>3665</v>
      </c>
      <c r="J373" s="50">
        <v>45807.0</v>
      </c>
      <c r="K373" s="51">
        <v>-87695.0</v>
      </c>
      <c r="L373" s="51">
        <v>-7016.0</v>
      </c>
      <c r="M373" s="51">
        <v>-94711.0</v>
      </c>
      <c r="N373" s="49"/>
      <c r="O373" s="52"/>
      <c r="P373" s="50"/>
      <c r="Q373" s="51"/>
      <c r="R373" s="51"/>
      <c r="S373" s="51"/>
      <c r="T373" s="49"/>
      <c r="U373" s="52"/>
      <c r="V373" s="50"/>
      <c r="W373" s="51"/>
      <c r="X373" s="51"/>
      <c r="Y373" s="51"/>
      <c r="Z373" s="51">
        <v>1526111.0</v>
      </c>
      <c r="AA373" s="51">
        <v>122088.0</v>
      </c>
      <c r="AB373" s="51">
        <v>1648199.0</v>
      </c>
      <c r="AC373" s="47"/>
      <c r="AD373" s="47" t="s">
        <v>3666</v>
      </c>
      <c r="AE373" s="48"/>
      <c r="AF373" s="50"/>
      <c r="AG373" s="51">
        <v>87695.0</v>
      </c>
      <c r="AH373" s="51">
        <v>7016.0</v>
      </c>
      <c r="AI373" s="51">
        <v>94711.0</v>
      </c>
      <c r="AJ373" s="47" t="s">
        <v>3667</v>
      </c>
      <c r="AK373" s="48"/>
      <c r="AL373" s="50"/>
      <c r="AM373" s="51">
        <v>-1613806.0</v>
      </c>
      <c r="AN373" s="51">
        <v>-129104.0</v>
      </c>
      <c r="AO373" s="51">
        <v>-1742910.0</v>
      </c>
      <c r="AP373" s="47"/>
      <c r="AQ373" s="48"/>
      <c r="AR373" s="50"/>
      <c r="AS373" s="51"/>
      <c r="AT373" s="51"/>
      <c r="AU373" s="51"/>
      <c r="AV373" s="47"/>
      <c r="AW373" s="48"/>
      <c r="AX373" s="50"/>
      <c r="AY373" s="51"/>
      <c r="AZ373" s="51"/>
      <c r="BA373" s="51"/>
      <c r="BB373" s="51">
        <f t="shared" ref="BB373:BD373" si="371">IF(AND(ISNUMBER(Z373),COUNT(AG373,AM373,AS373,AY373)=2),Z373+SUM(AG373,AM373,AS373,AY373),"")</f>
        <v>0</v>
      </c>
      <c r="BC373" s="51">
        <f t="shared" si="371"/>
        <v>0</v>
      </c>
      <c r="BD373" s="51">
        <f t="shared" si="371"/>
        <v>0</v>
      </c>
    </row>
    <row r="374" ht="48.0" customHeight="1">
      <c r="A374" s="49" t="s">
        <v>40</v>
      </c>
      <c r="B374" s="49" t="str">
        <f t="array" ref="B374">INDEX('HD cty 2024'!B:B,MATCH('F0, F1, F2, ...'!$C374,'HD cty 2024'!B:B,0))</f>
        <v>#N/A</v>
      </c>
      <c r="C374" s="49">
        <v>462.0</v>
      </c>
      <c r="D374" s="50">
        <v>45555.0</v>
      </c>
      <c r="E374" s="51">
        <v>7.2021995E7</v>
      </c>
      <c r="F374" s="51">
        <v>5761760.0</v>
      </c>
      <c r="G374" s="51">
        <v>7.7783755E7</v>
      </c>
      <c r="H374" s="49" t="s">
        <v>414</v>
      </c>
      <c r="I374" s="52" t="s">
        <v>3668</v>
      </c>
      <c r="J374" s="50">
        <v>45807.0</v>
      </c>
      <c r="K374" s="51">
        <v>1.1022449E7</v>
      </c>
      <c r="L374" s="51">
        <v>881796.0</v>
      </c>
      <c r="M374" s="51">
        <v>1.1904245E7</v>
      </c>
      <c r="N374" s="49"/>
      <c r="O374" s="52"/>
      <c r="P374" s="50"/>
      <c r="Q374" s="51"/>
      <c r="R374" s="51"/>
      <c r="S374" s="51"/>
      <c r="T374" s="49"/>
      <c r="U374" s="52"/>
      <c r="V374" s="50"/>
      <c r="W374" s="51"/>
      <c r="X374" s="51"/>
      <c r="Y374" s="51"/>
      <c r="Z374" s="51">
        <v>8.3044444E7</v>
      </c>
      <c r="AA374" s="51">
        <v>6643556.0</v>
      </c>
      <c r="AB374" s="51">
        <v>8.9688E7</v>
      </c>
      <c r="AC374" s="47"/>
      <c r="AD374" s="47" t="s">
        <v>3669</v>
      </c>
      <c r="AE374" s="48"/>
      <c r="AF374" s="50"/>
      <c r="AG374" s="51">
        <v>-1.1022449E7</v>
      </c>
      <c r="AH374" s="51">
        <v>-881796.0</v>
      </c>
      <c r="AI374" s="51">
        <v>-1.1904245E7</v>
      </c>
      <c r="AJ374" s="47" t="s">
        <v>3670</v>
      </c>
      <c r="AK374" s="48"/>
      <c r="AL374" s="50"/>
      <c r="AM374" s="51">
        <v>-7.2021995E7</v>
      </c>
      <c r="AN374" s="51">
        <v>-5761760.0</v>
      </c>
      <c r="AO374" s="51">
        <v>-7.7783755E7</v>
      </c>
      <c r="AP374" s="47"/>
      <c r="AQ374" s="48"/>
      <c r="AR374" s="50"/>
      <c r="AS374" s="51"/>
      <c r="AT374" s="51"/>
      <c r="AU374" s="51"/>
      <c r="AV374" s="47"/>
      <c r="AW374" s="48"/>
      <c r="AX374" s="50"/>
      <c r="AY374" s="51"/>
      <c r="AZ374" s="51"/>
      <c r="BA374" s="51"/>
      <c r="BB374" s="51">
        <f t="shared" ref="BB374:BD374" si="372">IF(AND(ISNUMBER(Z374),COUNT(AG374,AM374,AS374,AY374)=2),Z374+SUM(AG374,AM374,AS374,AY374),"")</f>
        <v>0</v>
      </c>
      <c r="BC374" s="51">
        <f t="shared" si="372"/>
        <v>0</v>
      </c>
      <c r="BD374" s="51">
        <f t="shared" si="372"/>
        <v>0</v>
      </c>
    </row>
    <row r="375" ht="48.0" customHeight="1">
      <c r="A375" s="49" t="s">
        <v>40</v>
      </c>
      <c r="B375" s="49" t="str">
        <f t="array" ref="B375">INDEX('HD cty 2024'!B:B,MATCH('F0, F1, F2, ...'!$C375,'HD cty 2024'!B:B,0))</f>
        <v>#N/A</v>
      </c>
      <c r="C375" s="49">
        <v>465.0</v>
      </c>
      <c r="D375" s="50">
        <v>45555.0</v>
      </c>
      <c r="E375" s="51">
        <v>2.4240949E8</v>
      </c>
      <c r="F375" s="51">
        <v>1.9392759E7</v>
      </c>
      <c r="G375" s="51">
        <v>2.61802249E8</v>
      </c>
      <c r="H375" s="49" t="s">
        <v>414</v>
      </c>
      <c r="I375" s="52" t="s">
        <v>3671</v>
      </c>
      <c r="J375" s="50">
        <v>45807.0</v>
      </c>
      <c r="K375" s="51">
        <v>3.8684029E7</v>
      </c>
      <c r="L375" s="51">
        <v>3094722.0</v>
      </c>
      <c r="M375" s="51">
        <v>4.1778751E7</v>
      </c>
      <c r="N375" s="49"/>
      <c r="O375" s="52"/>
      <c r="P375" s="50"/>
      <c r="Q375" s="51"/>
      <c r="R375" s="51"/>
      <c r="S375" s="51"/>
      <c r="T375" s="49"/>
      <c r="U375" s="52"/>
      <c r="V375" s="50"/>
      <c r="W375" s="51"/>
      <c r="X375" s="51"/>
      <c r="Y375" s="51"/>
      <c r="Z375" s="51">
        <v>2.81093519E8</v>
      </c>
      <c r="AA375" s="51">
        <v>2.2487481E7</v>
      </c>
      <c r="AB375" s="51">
        <v>3.03581E8</v>
      </c>
      <c r="AC375" s="47"/>
      <c r="AD375" s="47" t="s">
        <v>3672</v>
      </c>
      <c r="AE375" s="48"/>
      <c r="AF375" s="50"/>
      <c r="AG375" s="51">
        <v>-3.8684029E7</v>
      </c>
      <c r="AH375" s="51">
        <v>-3094722.0</v>
      </c>
      <c r="AI375" s="51">
        <v>-4.1778751E7</v>
      </c>
      <c r="AJ375" s="47" t="s">
        <v>3673</v>
      </c>
      <c r="AK375" s="48"/>
      <c r="AL375" s="50"/>
      <c r="AM375" s="51">
        <v>-2.4240949E8</v>
      </c>
      <c r="AN375" s="51">
        <v>-1.9392759E7</v>
      </c>
      <c r="AO375" s="51">
        <v>-2.61802249E8</v>
      </c>
      <c r="AP375" s="47"/>
      <c r="AQ375" s="48"/>
      <c r="AR375" s="50"/>
      <c r="AS375" s="51"/>
      <c r="AT375" s="51"/>
      <c r="AU375" s="51"/>
      <c r="AV375" s="47"/>
      <c r="AW375" s="48"/>
      <c r="AX375" s="50"/>
      <c r="AY375" s="51"/>
      <c r="AZ375" s="51"/>
      <c r="BA375" s="51"/>
      <c r="BB375" s="51">
        <f t="shared" ref="BB375:BD375" si="373">IF(AND(ISNUMBER(Z375),COUNT(AG375,AM375,AS375,AY375)=2),Z375+SUM(AG375,AM375,AS375,AY375),"")</f>
        <v>0</v>
      </c>
      <c r="BC375" s="51">
        <f t="shared" si="373"/>
        <v>0</v>
      </c>
      <c r="BD375" s="51">
        <f t="shared" si="373"/>
        <v>0</v>
      </c>
    </row>
    <row r="376" ht="48.0" customHeight="1">
      <c r="A376" s="49" t="s">
        <v>40</v>
      </c>
      <c r="B376" s="49" t="str">
        <f t="array" ref="B376">INDEX('HD cty 2024'!B:B,MATCH('F0, F1, F2, ...'!$C376,'HD cty 2024'!B:B,0))</f>
        <v>#N/A</v>
      </c>
      <c r="C376" s="49">
        <v>466.0</v>
      </c>
      <c r="D376" s="50">
        <v>45555.0</v>
      </c>
      <c r="E376" s="51">
        <v>8401068.0</v>
      </c>
      <c r="F376" s="51">
        <v>672085.0</v>
      </c>
      <c r="G376" s="51">
        <v>9073153.0</v>
      </c>
      <c r="H376" s="49" t="s">
        <v>414</v>
      </c>
      <c r="I376" s="52" t="s">
        <v>3674</v>
      </c>
      <c r="J376" s="50">
        <v>45807.0</v>
      </c>
      <c r="K376" s="51">
        <v>1275181.0</v>
      </c>
      <c r="L376" s="51">
        <v>102014.0</v>
      </c>
      <c r="M376" s="51">
        <v>1377195.0</v>
      </c>
      <c r="N376" s="49"/>
      <c r="O376" s="52"/>
      <c r="P376" s="50"/>
      <c r="Q376" s="51"/>
      <c r="R376" s="51"/>
      <c r="S376" s="51"/>
      <c r="T376" s="49"/>
      <c r="U376" s="52"/>
      <c r="V376" s="50"/>
      <c r="W376" s="51"/>
      <c r="X376" s="51"/>
      <c r="Y376" s="51"/>
      <c r="Z376" s="51">
        <v>9676249.0</v>
      </c>
      <c r="AA376" s="51">
        <v>774099.0</v>
      </c>
      <c r="AB376" s="51">
        <v>1.0450348E7</v>
      </c>
      <c r="AC376" s="47"/>
      <c r="AD376" s="47" t="s">
        <v>3675</v>
      </c>
      <c r="AE376" s="48"/>
      <c r="AF376" s="50"/>
      <c r="AG376" s="51">
        <v>-1275181.0</v>
      </c>
      <c r="AH376" s="51">
        <v>-102014.0</v>
      </c>
      <c r="AI376" s="51">
        <v>-1377195.0</v>
      </c>
      <c r="AJ376" s="47" t="s">
        <v>3676</v>
      </c>
      <c r="AK376" s="48"/>
      <c r="AL376" s="50"/>
      <c r="AM376" s="51">
        <v>-8401068.0</v>
      </c>
      <c r="AN376" s="51">
        <v>-672085.0</v>
      </c>
      <c r="AO376" s="51">
        <v>-9073153.0</v>
      </c>
      <c r="AP376" s="47"/>
      <c r="AQ376" s="48"/>
      <c r="AR376" s="50"/>
      <c r="AS376" s="51"/>
      <c r="AT376" s="51"/>
      <c r="AU376" s="51"/>
      <c r="AV376" s="47"/>
      <c r="AW376" s="48"/>
      <c r="AX376" s="50"/>
      <c r="AY376" s="51"/>
      <c r="AZ376" s="51"/>
      <c r="BA376" s="51"/>
      <c r="BB376" s="51">
        <f t="shared" ref="BB376:BD376" si="374">IF(AND(ISNUMBER(Z376),COUNT(AG376,AM376,AS376,AY376)=2),Z376+SUM(AG376,AM376,AS376,AY376),"")</f>
        <v>0</v>
      </c>
      <c r="BC376" s="51">
        <f t="shared" si="374"/>
        <v>0</v>
      </c>
      <c r="BD376" s="51">
        <f t="shared" si="374"/>
        <v>0</v>
      </c>
    </row>
    <row r="377" ht="102.0" customHeight="1">
      <c r="A377" s="49" t="s">
        <v>40</v>
      </c>
      <c r="B377" s="49" t="str">
        <f t="array" ref="B377">INDEX('HD cty 2024'!B:B,MATCH('F0, F1, F2, ...'!$C377,'HD cty 2024'!B:B,0))</f>
        <v>#N/A</v>
      </c>
      <c r="C377" s="49">
        <v>467.0</v>
      </c>
      <c r="D377" s="50">
        <v>45555.0</v>
      </c>
      <c r="E377" s="51">
        <v>1.3370075E7</v>
      </c>
      <c r="F377" s="51">
        <v>1069606.0</v>
      </c>
      <c r="G377" s="51">
        <v>1.4439681E7</v>
      </c>
      <c r="H377" s="49" t="s">
        <v>414</v>
      </c>
      <c r="I377" s="52" t="s">
        <v>3677</v>
      </c>
      <c r="J377" s="50">
        <v>45807.0</v>
      </c>
      <c r="K377" s="51">
        <v>-1.3370075E7</v>
      </c>
      <c r="L377" s="51">
        <v>-1069606.0</v>
      </c>
      <c r="M377" s="51">
        <v>-1.4439681E7</v>
      </c>
      <c r="N377" s="49"/>
      <c r="O377" s="52"/>
      <c r="P377" s="50"/>
      <c r="Q377" s="51"/>
      <c r="R377" s="51"/>
      <c r="S377" s="51"/>
      <c r="T377" s="49"/>
      <c r="U377" s="52"/>
      <c r="V377" s="50"/>
      <c r="W377" s="51"/>
      <c r="X377" s="51"/>
      <c r="Y377" s="51"/>
      <c r="Z377" s="51">
        <v>0.0</v>
      </c>
      <c r="AA377" s="51">
        <v>0.0</v>
      </c>
      <c r="AB377" s="51">
        <v>0.0</v>
      </c>
      <c r="AC377" s="47" t="s">
        <v>3678</v>
      </c>
      <c r="AD377" s="47" t="s">
        <v>3679</v>
      </c>
      <c r="AE377" s="48"/>
      <c r="AF377" s="50">
        <v>46304.0</v>
      </c>
      <c r="AG377" s="51">
        <v>1.3370075E7</v>
      </c>
      <c r="AH377" s="51">
        <v>1069606.0</v>
      </c>
      <c r="AI377" s="51">
        <v>1.4439681E7</v>
      </c>
      <c r="AJ377" s="47" t="s">
        <v>3680</v>
      </c>
      <c r="AK377" s="48"/>
      <c r="AL377" s="50">
        <v>46304.0</v>
      </c>
      <c r="AM377" s="51">
        <v>-1.3370075E7</v>
      </c>
      <c r="AN377" s="51">
        <v>-1069606.0</v>
      </c>
      <c r="AO377" s="51">
        <v>-1.4439681E7</v>
      </c>
      <c r="AP377" s="47"/>
      <c r="AQ377" s="48"/>
      <c r="AR377" s="50"/>
      <c r="AS377" s="51"/>
      <c r="AT377" s="51"/>
      <c r="AU377" s="51"/>
      <c r="AV377" s="47"/>
      <c r="AW377" s="48"/>
      <c r="AX377" s="50"/>
      <c r="AY377" s="51"/>
      <c r="AZ377" s="51"/>
      <c r="BA377" s="51"/>
      <c r="BB377" s="51">
        <f t="shared" ref="BB377:BD377" si="375">IF(AND(ISNUMBER(Z377),COUNT(AG377,AM377,AS377,AY377)=2),Z377+SUM(AG377,AM377,AS377,AY377),"")</f>
        <v>0</v>
      </c>
      <c r="BC377" s="51">
        <f t="shared" si="375"/>
        <v>0</v>
      </c>
      <c r="BD377" s="51">
        <f t="shared" si="375"/>
        <v>0</v>
      </c>
    </row>
    <row r="378" ht="48.0" customHeight="1">
      <c r="A378" s="49" t="s">
        <v>40</v>
      </c>
      <c r="B378" s="49" t="str">
        <f t="array" ref="B378">INDEX('HD cty 2024'!B:B,MATCH('F0, F1, F2, ...'!$C378,'HD cty 2024'!B:B,0))</f>
        <v>#N/A</v>
      </c>
      <c r="C378" s="49">
        <v>468.0</v>
      </c>
      <c r="D378" s="50">
        <v>45556.0</v>
      </c>
      <c r="E378" s="51">
        <v>1.11414494E8</v>
      </c>
      <c r="F378" s="51">
        <v>8913160.0</v>
      </c>
      <c r="G378" s="51">
        <v>1.20327654E8</v>
      </c>
      <c r="H378" s="49" t="s">
        <v>414</v>
      </c>
      <c r="I378" s="52" t="s">
        <v>3681</v>
      </c>
      <c r="J378" s="50">
        <v>45807.0</v>
      </c>
      <c r="K378" s="51">
        <v>1.3522543E7</v>
      </c>
      <c r="L378" s="51">
        <v>1081803.0</v>
      </c>
      <c r="M378" s="51">
        <v>1.4604346E7</v>
      </c>
      <c r="N378" s="49"/>
      <c r="O378" s="52"/>
      <c r="P378" s="50"/>
      <c r="Q378" s="51"/>
      <c r="R378" s="51"/>
      <c r="S378" s="51"/>
      <c r="T378" s="49"/>
      <c r="U378" s="52"/>
      <c r="V378" s="50"/>
      <c r="W378" s="51"/>
      <c r="X378" s="51"/>
      <c r="Y378" s="51"/>
      <c r="Z378" s="51">
        <v>1.24937037E8</v>
      </c>
      <c r="AA378" s="51">
        <v>9994963.0</v>
      </c>
      <c r="AB378" s="51">
        <v>1.34932E8</v>
      </c>
      <c r="AC378" s="47"/>
      <c r="AD378" s="47" t="s">
        <v>3682</v>
      </c>
      <c r="AE378" s="48"/>
      <c r="AF378" s="50"/>
      <c r="AG378" s="51">
        <v>-1.3522543E7</v>
      </c>
      <c r="AH378" s="51">
        <v>-1081803.0</v>
      </c>
      <c r="AI378" s="51">
        <v>-1.4604346E7</v>
      </c>
      <c r="AJ378" s="47" t="s">
        <v>3683</v>
      </c>
      <c r="AK378" s="48"/>
      <c r="AL378" s="50"/>
      <c r="AM378" s="51">
        <v>-1.11414494E8</v>
      </c>
      <c r="AN378" s="51">
        <v>-8913160.0</v>
      </c>
      <c r="AO378" s="51">
        <v>-1.20327654E8</v>
      </c>
      <c r="AP378" s="47"/>
      <c r="AQ378" s="48"/>
      <c r="AR378" s="50"/>
      <c r="AS378" s="51"/>
      <c r="AT378" s="51"/>
      <c r="AU378" s="51"/>
      <c r="AV378" s="47"/>
      <c r="AW378" s="48"/>
      <c r="AX378" s="50"/>
      <c r="AY378" s="51"/>
      <c r="AZ378" s="51"/>
      <c r="BA378" s="51"/>
      <c r="BB378" s="51">
        <f t="shared" ref="BB378:BD378" si="376">IF(AND(ISNUMBER(Z378),COUNT(AG378,AM378,AS378,AY378)=2),Z378+SUM(AG378,AM378,AS378,AY378),"")</f>
        <v>0</v>
      </c>
      <c r="BC378" s="51">
        <f t="shared" si="376"/>
        <v>0</v>
      </c>
      <c r="BD378" s="51">
        <f t="shared" si="376"/>
        <v>0</v>
      </c>
    </row>
    <row r="379" ht="48.0" customHeight="1">
      <c r="A379" s="49" t="s">
        <v>40</v>
      </c>
      <c r="B379" s="49" t="str">
        <f t="array" ref="B379">INDEX('HD cty 2024'!B:B,MATCH('F0, F1, F2, ...'!$C379,'HD cty 2024'!B:B,0))</f>
        <v>#N/A</v>
      </c>
      <c r="C379" s="49">
        <v>472.0</v>
      </c>
      <c r="D379" s="50">
        <v>45559.0</v>
      </c>
      <c r="E379" s="51">
        <v>1.45332459E8</v>
      </c>
      <c r="F379" s="51">
        <v>1.1626597E7</v>
      </c>
      <c r="G379" s="51">
        <v>1.56959056E8</v>
      </c>
      <c r="H379" s="49" t="s">
        <v>414</v>
      </c>
      <c r="I379" s="52" t="s">
        <v>3684</v>
      </c>
      <c r="J379" s="50">
        <v>45807.0</v>
      </c>
      <c r="K379" s="51">
        <v>7628652.0</v>
      </c>
      <c r="L379" s="51">
        <v>610292.0</v>
      </c>
      <c r="M379" s="51">
        <v>8238944.0</v>
      </c>
      <c r="N379" s="49"/>
      <c r="O379" s="52"/>
      <c r="P379" s="50"/>
      <c r="Q379" s="51"/>
      <c r="R379" s="51"/>
      <c r="S379" s="51"/>
      <c r="T379" s="49"/>
      <c r="U379" s="52"/>
      <c r="V379" s="50"/>
      <c r="W379" s="51"/>
      <c r="X379" s="51"/>
      <c r="Y379" s="51"/>
      <c r="Z379" s="51">
        <v>1.52961111E8</v>
      </c>
      <c r="AA379" s="51">
        <v>1.2236889E7</v>
      </c>
      <c r="AB379" s="51">
        <v>1.65198E8</v>
      </c>
      <c r="AC379" s="47"/>
      <c r="AD379" s="47" t="s">
        <v>3685</v>
      </c>
      <c r="AE379" s="48"/>
      <c r="AF379" s="50"/>
      <c r="AG379" s="51">
        <v>-7628652.0</v>
      </c>
      <c r="AH379" s="51">
        <v>-610292.0</v>
      </c>
      <c r="AI379" s="51">
        <v>-8238944.0</v>
      </c>
      <c r="AJ379" s="47" t="s">
        <v>3686</v>
      </c>
      <c r="AK379" s="48"/>
      <c r="AL379" s="50"/>
      <c r="AM379" s="51">
        <v>-1.45332459E8</v>
      </c>
      <c r="AN379" s="51">
        <v>-1.1626597E7</v>
      </c>
      <c r="AO379" s="51">
        <v>-1.56959056E8</v>
      </c>
      <c r="AP379" s="47"/>
      <c r="AQ379" s="48"/>
      <c r="AR379" s="50"/>
      <c r="AS379" s="51"/>
      <c r="AT379" s="51"/>
      <c r="AU379" s="51"/>
      <c r="AV379" s="47"/>
      <c r="AW379" s="48"/>
      <c r="AX379" s="50"/>
      <c r="AY379" s="51"/>
      <c r="AZ379" s="51"/>
      <c r="BA379" s="51"/>
      <c r="BB379" s="51">
        <f t="shared" ref="BB379:BD379" si="377">IF(AND(ISNUMBER(Z379),COUNT(AG379,AM379,AS379,AY379)=2),Z379+SUM(AG379,AM379,AS379,AY379),"")</f>
        <v>0</v>
      </c>
      <c r="BC379" s="51">
        <f t="shared" si="377"/>
        <v>0</v>
      </c>
      <c r="BD379" s="51">
        <f t="shared" si="377"/>
        <v>0</v>
      </c>
    </row>
    <row r="380" ht="48.0" customHeight="1">
      <c r="A380" s="49" t="s">
        <v>40</v>
      </c>
      <c r="B380" s="49" t="str">
        <f t="array" ref="B380">INDEX('HD cty 2024'!B:B,MATCH('F0, F1, F2, ...'!$C380,'HD cty 2024'!B:B,0))</f>
        <v>#N/A</v>
      </c>
      <c r="C380" s="49">
        <v>473.0</v>
      </c>
      <c r="D380" s="50">
        <v>45559.0</v>
      </c>
      <c r="E380" s="51">
        <v>1.08625065E8</v>
      </c>
      <c r="F380" s="51">
        <v>8690005.0</v>
      </c>
      <c r="G380" s="51">
        <v>1.1731507E8</v>
      </c>
      <c r="H380" s="49" t="s">
        <v>414</v>
      </c>
      <c r="I380" s="52" t="s">
        <v>3687</v>
      </c>
      <c r="J380" s="50">
        <v>45807.0</v>
      </c>
      <c r="K380" s="51">
        <v>6222157.0</v>
      </c>
      <c r="L380" s="51">
        <v>497773.0</v>
      </c>
      <c r="M380" s="51">
        <v>6719930.0</v>
      </c>
      <c r="N380" s="49"/>
      <c r="O380" s="52"/>
      <c r="P380" s="50"/>
      <c r="Q380" s="51"/>
      <c r="R380" s="51"/>
      <c r="S380" s="51"/>
      <c r="T380" s="49"/>
      <c r="U380" s="52"/>
      <c r="V380" s="50"/>
      <c r="W380" s="51"/>
      <c r="X380" s="51"/>
      <c r="Y380" s="51"/>
      <c r="Z380" s="51">
        <v>1.14847222E8</v>
      </c>
      <c r="AA380" s="51">
        <v>9187778.0</v>
      </c>
      <c r="AB380" s="51">
        <v>1.24035E8</v>
      </c>
      <c r="AC380" s="47"/>
      <c r="AD380" s="47" t="s">
        <v>3688</v>
      </c>
      <c r="AE380" s="48"/>
      <c r="AF380" s="50"/>
      <c r="AG380" s="51">
        <v>-6222157.0</v>
      </c>
      <c r="AH380" s="51">
        <v>-497773.0</v>
      </c>
      <c r="AI380" s="51">
        <v>-6719930.0</v>
      </c>
      <c r="AJ380" s="47" t="s">
        <v>3689</v>
      </c>
      <c r="AK380" s="48"/>
      <c r="AL380" s="50"/>
      <c r="AM380" s="51">
        <v>-1.08625065E8</v>
      </c>
      <c r="AN380" s="51">
        <v>-8690005.0</v>
      </c>
      <c r="AO380" s="51">
        <v>-1.1731507E8</v>
      </c>
      <c r="AP380" s="47"/>
      <c r="AQ380" s="48"/>
      <c r="AR380" s="50"/>
      <c r="AS380" s="51"/>
      <c r="AT380" s="51"/>
      <c r="AU380" s="51"/>
      <c r="AV380" s="47"/>
      <c r="AW380" s="48"/>
      <c r="AX380" s="50"/>
      <c r="AY380" s="51"/>
      <c r="AZ380" s="51"/>
      <c r="BA380" s="51"/>
      <c r="BB380" s="51">
        <f t="shared" ref="BB380:BD380" si="378">IF(AND(ISNUMBER(Z380),COUNT(AG380,AM380,AS380,AY380)=2),Z380+SUM(AG380,AM380,AS380,AY380),"")</f>
        <v>0</v>
      </c>
      <c r="BC380" s="51">
        <f t="shared" si="378"/>
        <v>0</v>
      </c>
      <c r="BD380" s="51">
        <f t="shared" si="378"/>
        <v>0</v>
      </c>
    </row>
    <row r="381" ht="48.0" customHeight="1">
      <c r="A381" s="49" t="s">
        <v>40</v>
      </c>
      <c r="B381" s="49" t="str">
        <f t="array" ref="B381">INDEX('HD cty 2024'!B:B,MATCH('F0, F1, F2, ...'!$C381,'HD cty 2024'!B:B,0))</f>
        <v>#N/A</v>
      </c>
      <c r="C381" s="49">
        <v>474.0</v>
      </c>
      <c r="D381" s="50">
        <v>45559.0</v>
      </c>
      <c r="E381" s="51">
        <v>2.6295228E7</v>
      </c>
      <c r="F381" s="51">
        <v>2103618.0</v>
      </c>
      <c r="G381" s="51">
        <v>2.8398846E7</v>
      </c>
      <c r="H381" s="49" t="s">
        <v>414</v>
      </c>
      <c r="I381" s="52" t="s">
        <v>3690</v>
      </c>
      <c r="J381" s="50">
        <v>45807.0</v>
      </c>
      <c r="K381" s="51">
        <v>6723291.0</v>
      </c>
      <c r="L381" s="51">
        <v>537863.0</v>
      </c>
      <c r="M381" s="51">
        <v>7261154.0</v>
      </c>
      <c r="N381" s="49"/>
      <c r="O381" s="52"/>
      <c r="P381" s="50"/>
      <c r="Q381" s="51"/>
      <c r="R381" s="51"/>
      <c r="S381" s="51"/>
      <c r="T381" s="49"/>
      <c r="U381" s="52"/>
      <c r="V381" s="50"/>
      <c r="W381" s="51"/>
      <c r="X381" s="51"/>
      <c r="Y381" s="51"/>
      <c r="Z381" s="51">
        <v>3.3018519E7</v>
      </c>
      <c r="AA381" s="51">
        <v>2641481.0</v>
      </c>
      <c r="AB381" s="51">
        <v>3.566E7</v>
      </c>
      <c r="AC381" s="47"/>
      <c r="AD381" s="47" t="s">
        <v>3691</v>
      </c>
      <c r="AE381" s="48"/>
      <c r="AF381" s="50"/>
      <c r="AG381" s="51">
        <v>-6723291.0</v>
      </c>
      <c r="AH381" s="51">
        <v>-537863.0</v>
      </c>
      <c r="AI381" s="51">
        <v>-7261154.0</v>
      </c>
      <c r="AJ381" s="47" t="s">
        <v>3692</v>
      </c>
      <c r="AK381" s="48"/>
      <c r="AL381" s="50"/>
      <c r="AM381" s="51">
        <v>-2.6295228E7</v>
      </c>
      <c r="AN381" s="51">
        <v>-2103618.0</v>
      </c>
      <c r="AO381" s="51">
        <v>-2.8398846E7</v>
      </c>
      <c r="AP381" s="47"/>
      <c r="AQ381" s="48"/>
      <c r="AR381" s="50"/>
      <c r="AS381" s="51"/>
      <c r="AT381" s="51"/>
      <c r="AU381" s="51"/>
      <c r="AV381" s="47"/>
      <c r="AW381" s="48"/>
      <c r="AX381" s="50"/>
      <c r="AY381" s="51"/>
      <c r="AZ381" s="51"/>
      <c r="BA381" s="51"/>
      <c r="BB381" s="51">
        <f t="shared" ref="BB381:BD381" si="379">IF(AND(ISNUMBER(Z381),COUNT(AG381,AM381,AS381,AY381)=2),Z381+SUM(AG381,AM381,AS381,AY381),"")</f>
        <v>0</v>
      </c>
      <c r="BC381" s="51">
        <f t="shared" si="379"/>
        <v>0</v>
      </c>
      <c r="BD381" s="51">
        <f t="shared" si="379"/>
        <v>0</v>
      </c>
    </row>
    <row r="382" ht="48.0" customHeight="1">
      <c r="A382" s="49" t="s">
        <v>40</v>
      </c>
      <c r="B382" s="49" t="str">
        <f t="array" ref="B382">INDEX('HD cty 2024'!B:B,MATCH('F0, F1, F2, ...'!$C382,'HD cty 2024'!B:B,0))</f>
        <v>#N/A</v>
      </c>
      <c r="C382" s="49">
        <v>475.0</v>
      </c>
      <c r="D382" s="50">
        <v>45559.0</v>
      </c>
      <c r="E382" s="51">
        <v>1.46509926E8</v>
      </c>
      <c r="F382" s="51">
        <v>1.1720794E7</v>
      </c>
      <c r="G382" s="51">
        <v>1.5823072E8</v>
      </c>
      <c r="H382" s="49" t="s">
        <v>414</v>
      </c>
      <c r="I382" s="52" t="s">
        <v>3693</v>
      </c>
      <c r="J382" s="50">
        <v>45807.0</v>
      </c>
      <c r="K382" s="51">
        <v>4.2824333E7</v>
      </c>
      <c r="L382" s="51">
        <v>3425947.0</v>
      </c>
      <c r="M382" s="51">
        <v>4.625028E7</v>
      </c>
      <c r="N382" s="49"/>
      <c r="O382" s="52"/>
      <c r="P382" s="50"/>
      <c r="Q382" s="51"/>
      <c r="R382" s="51"/>
      <c r="S382" s="51"/>
      <c r="T382" s="49"/>
      <c r="U382" s="52"/>
      <c r="V382" s="50"/>
      <c r="W382" s="51"/>
      <c r="X382" s="51"/>
      <c r="Y382" s="51"/>
      <c r="Z382" s="51">
        <v>1.89334259E8</v>
      </c>
      <c r="AA382" s="51">
        <v>1.5146741E7</v>
      </c>
      <c r="AB382" s="51">
        <v>2.04481E8</v>
      </c>
      <c r="AC382" s="47"/>
      <c r="AD382" s="47" t="s">
        <v>3694</v>
      </c>
      <c r="AE382" s="48"/>
      <c r="AF382" s="50"/>
      <c r="AG382" s="51">
        <v>-4.2824333E7</v>
      </c>
      <c r="AH382" s="51">
        <v>-3425947.0</v>
      </c>
      <c r="AI382" s="51">
        <v>-4.625028E7</v>
      </c>
      <c r="AJ382" s="47" t="s">
        <v>3695</v>
      </c>
      <c r="AK382" s="48"/>
      <c r="AL382" s="50"/>
      <c r="AM382" s="51">
        <v>-1.46509926E8</v>
      </c>
      <c r="AN382" s="51">
        <v>-1.1720794E7</v>
      </c>
      <c r="AO382" s="51">
        <v>-1.5823072E8</v>
      </c>
      <c r="AP382" s="47"/>
      <c r="AQ382" s="48"/>
      <c r="AR382" s="50"/>
      <c r="AS382" s="51"/>
      <c r="AT382" s="51"/>
      <c r="AU382" s="51"/>
      <c r="AV382" s="47"/>
      <c r="AW382" s="48"/>
      <c r="AX382" s="50"/>
      <c r="AY382" s="51"/>
      <c r="AZ382" s="51"/>
      <c r="BA382" s="51"/>
      <c r="BB382" s="51">
        <f t="shared" ref="BB382:BD382" si="380">IF(AND(ISNUMBER(Z382),COUNT(AG382,AM382,AS382,AY382)=2),Z382+SUM(AG382,AM382,AS382,AY382),"")</f>
        <v>0</v>
      </c>
      <c r="BC382" s="51">
        <f t="shared" si="380"/>
        <v>0</v>
      </c>
      <c r="BD382" s="51">
        <f t="shared" si="380"/>
        <v>0</v>
      </c>
    </row>
    <row r="383" ht="48.0" customHeight="1">
      <c r="A383" s="49" t="s">
        <v>40</v>
      </c>
      <c r="B383" s="49" t="str">
        <f t="array" ref="B383">INDEX('HD cty 2024'!B:B,MATCH('F0, F1, F2, ...'!$C383,'HD cty 2024'!B:B,0))</f>
        <v>#N/A</v>
      </c>
      <c r="C383" s="49">
        <v>476.0</v>
      </c>
      <c r="D383" s="50">
        <v>45559.0</v>
      </c>
      <c r="E383" s="51">
        <v>1.2091782E8</v>
      </c>
      <c r="F383" s="51">
        <v>9673426.0</v>
      </c>
      <c r="G383" s="51">
        <v>1.30591246E8</v>
      </c>
      <c r="H383" s="49" t="s">
        <v>414</v>
      </c>
      <c r="I383" s="52" t="s">
        <v>3696</v>
      </c>
      <c r="J383" s="50">
        <v>45807.0</v>
      </c>
      <c r="K383" s="51">
        <v>2.0962736E7</v>
      </c>
      <c r="L383" s="51">
        <v>1677019.0</v>
      </c>
      <c r="M383" s="51">
        <v>2.2639755E7</v>
      </c>
      <c r="N383" s="49"/>
      <c r="O383" s="52"/>
      <c r="P383" s="50"/>
      <c r="Q383" s="51"/>
      <c r="R383" s="51"/>
      <c r="S383" s="51"/>
      <c r="T383" s="49"/>
      <c r="U383" s="52"/>
      <c r="V383" s="50"/>
      <c r="W383" s="51"/>
      <c r="X383" s="51"/>
      <c r="Y383" s="51"/>
      <c r="Z383" s="51">
        <v>1.41880556E8</v>
      </c>
      <c r="AA383" s="51">
        <v>1.1350445E7</v>
      </c>
      <c r="AB383" s="51">
        <v>1.53231001E8</v>
      </c>
      <c r="AC383" s="47"/>
      <c r="AD383" s="47" t="s">
        <v>3697</v>
      </c>
      <c r="AE383" s="48"/>
      <c r="AF383" s="50"/>
      <c r="AG383" s="51">
        <v>-2.0962736E7</v>
      </c>
      <c r="AH383" s="51">
        <v>-1677019.0</v>
      </c>
      <c r="AI383" s="51">
        <v>-2.2639755E7</v>
      </c>
      <c r="AJ383" s="47" t="s">
        <v>3698</v>
      </c>
      <c r="AK383" s="48"/>
      <c r="AL383" s="50"/>
      <c r="AM383" s="51">
        <v>-1.2091782E8</v>
      </c>
      <c r="AN383" s="51">
        <v>-9673426.0</v>
      </c>
      <c r="AO383" s="51">
        <v>-1.30591246E8</v>
      </c>
      <c r="AP383" s="47"/>
      <c r="AQ383" s="48"/>
      <c r="AR383" s="50"/>
      <c r="AS383" s="51"/>
      <c r="AT383" s="51"/>
      <c r="AU383" s="51"/>
      <c r="AV383" s="47"/>
      <c r="AW383" s="48"/>
      <c r="AX383" s="50"/>
      <c r="AY383" s="51"/>
      <c r="AZ383" s="51"/>
      <c r="BA383" s="51"/>
      <c r="BB383" s="51">
        <f t="shared" ref="BB383:BD383" si="381">IF(AND(ISNUMBER(Z383),COUNT(AG383,AM383,AS383,AY383)=2),Z383+SUM(AG383,AM383,AS383,AY383),"")</f>
        <v>0</v>
      </c>
      <c r="BC383" s="51">
        <f t="shared" si="381"/>
        <v>0</v>
      </c>
      <c r="BD383" s="51">
        <f t="shared" si="381"/>
        <v>0</v>
      </c>
    </row>
    <row r="384" ht="48.0" customHeight="1">
      <c r="A384" s="49" t="s">
        <v>40</v>
      </c>
      <c r="B384" s="49" t="str">
        <f t="array" ref="B384">INDEX('HD cty 2024'!B:B,MATCH('F0, F1, F2, ...'!$C384,'HD cty 2024'!B:B,0))</f>
        <v>#N/A</v>
      </c>
      <c r="C384" s="49">
        <v>477.0</v>
      </c>
      <c r="D384" s="50">
        <v>45559.0</v>
      </c>
      <c r="E384" s="51">
        <v>6988805.0</v>
      </c>
      <c r="F384" s="51">
        <v>559104.0</v>
      </c>
      <c r="G384" s="51">
        <v>7547909.0</v>
      </c>
      <c r="H384" s="49" t="s">
        <v>414</v>
      </c>
      <c r="I384" s="52" t="s">
        <v>3699</v>
      </c>
      <c r="J384" s="50">
        <v>45807.0</v>
      </c>
      <c r="K384" s="51">
        <v>172203.0</v>
      </c>
      <c r="L384" s="51">
        <v>13776.0</v>
      </c>
      <c r="M384" s="51">
        <v>185979.0</v>
      </c>
      <c r="N384" s="49"/>
      <c r="O384" s="52"/>
      <c r="P384" s="50"/>
      <c r="Q384" s="51"/>
      <c r="R384" s="51"/>
      <c r="S384" s="51"/>
      <c r="T384" s="49"/>
      <c r="U384" s="52"/>
      <c r="V384" s="50"/>
      <c r="W384" s="51"/>
      <c r="X384" s="51"/>
      <c r="Y384" s="51"/>
      <c r="Z384" s="51">
        <v>7161008.0</v>
      </c>
      <c r="AA384" s="51">
        <v>572880.0</v>
      </c>
      <c r="AB384" s="51">
        <v>7733888.0</v>
      </c>
      <c r="AC384" s="47"/>
      <c r="AD384" s="47" t="s">
        <v>3700</v>
      </c>
      <c r="AE384" s="48"/>
      <c r="AF384" s="50"/>
      <c r="AG384" s="51">
        <v>-172203.0</v>
      </c>
      <c r="AH384" s="51">
        <v>-13776.0</v>
      </c>
      <c r="AI384" s="51">
        <v>-185979.0</v>
      </c>
      <c r="AJ384" s="47" t="s">
        <v>3701</v>
      </c>
      <c r="AK384" s="48"/>
      <c r="AL384" s="50"/>
      <c r="AM384" s="51">
        <v>-6988805.0</v>
      </c>
      <c r="AN384" s="51">
        <v>-559104.0</v>
      </c>
      <c r="AO384" s="51">
        <v>-7547909.0</v>
      </c>
      <c r="AP384" s="47"/>
      <c r="AQ384" s="48"/>
      <c r="AR384" s="50"/>
      <c r="AS384" s="51"/>
      <c r="AT384" s="51"/>
      <c r="AU384" s="51"/>
      <c r="AV384" s="47"/>
      <c r="AW384" s="48"/>
      <c r="AX384" s="50"/>
      <c r="AY384" s="51"/>
      <c r="AZ384" s="51"/>
      <c r="BA384" s="51"/>
      <c r="BB384" s="51">
        <f t="shared" ref="BB384:BD384" si="382">IF(AND(ISNUMBER(Z384),COUNT(AG384,AM384,AS384,AY384)=2),Z384+SUM(AG384,AM384,AS384,AY384),"")</f>
        <v>0</v>
      </c>
      <c r="BC384" s="51">
        <f t="shared" si="382"/>
        <v>0</v>
      </c>
      <c r="BD384" s="51">
        <f t="shared" si="382"/>
        <v>0</v>
      </c>
    </row>
    <row r="385" ht="48.0" customHeight="1">
      <c r="A385" s="49" t="s">
        <v>40</v>
      </c>
      <c r="B385" s="49" t="str">
        <f t="array" ref="B385">INDEX('HD cty 2024'!B:B,MATCH('F0, F1, F2, ...'!$C385,'HD cty 2024'!B:B,0))</f>
        <v>#N/A</v>
      </c>
      <c r="C385" s="49">
        <v>480.0</v>
      </c>
      <c r="D385" s="50">
        <v>45562.0</v>
      </c>
      <c r="E385" s="51">
        <v>1.05958345E8</v>
      </c>
      <c r="F385" s="51">
        <v>8476668.0</v>
      </c>
      <c r="G385" s="51">
        <v>1.14435013E8</v>
      </c>
      <c r="H385" s="49" t="s">
        <v>414</v>
      </c>
      <c r="I385" s="52" t="s">
        <v>3702</v>
      </c>
      <c r="J385" s="50">
        <v>45807.0</v>
      </c>
      <c r="K385" s="51">
        <v>7202435.0</v>
      </c>
      <c r="L385" s="51">
        <v>576195.0</v>
      </c>
      <c r="M385" s="51">
        <v>7778630.0</v>
      </c>
      <c r="N385" s="49"/>
      <c r="O385" s="52"/>
      <c r="P385" s="50"/>
      <c r="Q385" s="51"/>
      <c r="R385" s="51"/>
      <c r="S385" s="51"/>
      <c r="T385" s="49"/>
      <c r="U385" s="52"/>
      <c r="V385" s="50"/>
      <c r="W385" s="51"/>
      <c r="X385" s="51"/>
      <c r="Y385" s="51"/>
      <c r="Z385" s="51">
        <v>1.1316078E8</v>
      </c>
      <c r="AA385" s="51">
        <v>9052863.0</v>
      </c>
      <c r="AB385" s="51">
        <v>1.22213643E8</v>
      </c>
      <c r="AC385" s="47"/>
      <c r="AD385" s="47" t="s">
        <v>3703</v>
      </c>
      <c r="AE385" s="48"/>
      <c r="AF385" s="50"/>
      <c r="AG385" s="51">
        <v>-7202435.0</v>
      </c>
      <c r="AH385" s="51">
        <v>-576195.0</v>
      </c>
      <c r="AI385" s="51">
        <v>-7778630.0</v>
      </c>
      <c r="AJ385" s="47" t="s">
        <v>3704</v>
      </c>
      <c r="AK385" s="48"/>
      <c r="AL385" s="50"/>
      <c r="AM385" s="51">
        <v>-1.05958345E8</v>
      </c>
      <c r="AN385" s="51">
        <v>-8476668.0</v>
      </c>
      <c r="AO385" s="51">
        <v>-1.14435013E8</v>
      </c>
      <c r="AP385" s="47"/>
      <c r="AQ385" s="48"/>
      <c r="AR385" s="50"/>
      <c r="AS385" s="51"/>
      <c r="AT385" s="51"/>
      <c r="AU385" s="51"/>
      <c r="AV385" s="47"/>
      <c r="AW385" s="48"/>
      <c r="AX385" s="50"/>
      <c r="AY385" s="51"/>
      <c r="AZ385" s="51"/>
      <c r="BA385" s="51"/>
      <c r="BB385" s="51">
        <f t="shared" ref="BB385:BD385" si="383">IF(AND(ISNUMBER(Z385),COUNT(AG385,AM385,AS385,AY385)=2),Z385+SUM(AG385,AM385,AS385,AY385),"")</f>
        <v>0</v>
      </c>
      <c r="BC385" s="51">
        <f t="shared" si="383"/>
        <v>0</v>
      </c>
      <c r="BD385" s="51">
        <f t="shared" si="383"/>
        <v>0</v>
      </c>
    </row>
    <row r="386" ht="48.0" customHeight="1">
      <c r="A386" s="49" t="s">
        <v>40</v>
      </c>
      <c r="B386" s="49" t="str">
        <f t="array" ref="B386">INDEX('HD cty 2024'!B:B,MATCH('F0, F1, F2, ...'!$C386,'HD cty 2024'!B:B,0))</f>
        <v>#N/A</v>
      </c>
      <c r="C386" s="49">
        <v>481.0</v>
      </c>
      <c r="D386" s="50">
        <v>45563.0</v>
      </c>
      <c r="E386" s="51">
        <v>8.0624611E7</v>
      </c>
      <c r="F386" s="51">
        <v>6449969.0</v>
      </c>
      <c r="G386" s="51">
        <v>8.707458E7</v>
      </c>
      <c r="H386" s="49" t="s">
        <v>414</v>
      </c>
      <c r="I386" s="52" t="s">
        <v>3705</v>
      </c>
      <c r="J386" s="50">
        <v>45807.0</v>
      </c>
      <c r="K386" s="51">
        <v>6230613.0</v>
      </c>
      <c r="L386" s="51">
        <v>498449.0</v>
      </c>
      <c r="M386" s="51">
        <v>6729062.0</v>
      </c>
      <c r="N386" s="49"/>
      <c r="O386" s="52"/>
      <c r="P386" s="50"/>
      <c r="Q386" s="51"/>
      <c r="R386" s="51"/>
      <c r="S386" s="51"/>
      <c r="T386" s="49"/>
      <c r="U386" s="52"/>
      <c r="V386" s="50"/>
      <c r="W386" s="51"/>
      <c r="X386" s="51"/>
      <c r="Y386" s="51"/>
      <c r="Z386" s="51">
        <v>8.6855224E7</v>
      </c>
      <c r="AA386" s="51">
        <v>6948418.0</v>
      </c>
      <c r="AB386" s="51">
        <v>9.3803642E7</v>
      </c>
      <c r="AC386" s="47"/>
      <c r="AD386" s="47" t="s">
        <v>3706</v>
      </c>
      <c r="AE386" s="48"/>
      <c r="AF386" s="50"/>
      <c r="AG386" s="51">
        <v>-6230613.0</v>
      </c>
      <c r="AH386" s="51">
        <v>-498449.0</v>
      </c>
      <c r="AI386" s="51">
        <v>-6729062.0</v>
      </c>
      <c r="AJ386" s="47" t="s">
        <v>3707</v>
      </c>
      <c r="AK386" s="48"/>
      <c r="AL386" s="50"/>
      <c r="AM386" s="51">
        <v>-8.0624611E7</v>
      </c>
      <c r="AN386" s="51">
        <v>-6449969.0</v>
      </c>
      <c r="AO386" s="51">
        <v>-8.707458E7</v>
      </c>
      <c r="AP386" s="47"/>
      <c r="AQ386" s="48"/>
      <c r="AR386" s="50"/>
      <c r="AS386" s="51"/>
      <c r="AT386" s="51"/>
      <c r="AU386" s="51"/>
      <c r="AV386" s="47"/>
      <c r="AW386" s="48"/>
      <c r="AX386" s="50"/>
      <c r="AY386" s="51"/>
      <c r="AZ386" s="51"/>
      <c r="BA386" s="51"/>
      <c r="BB386" s="51">
        <f t="shared" ref="BB386:BD386" si="384">IF(AND(ISNUMBER(Z386),COUNT(AG386,AM386,AS386,AY386)=2),Z386+SUM(AG386,AM386,AS386,AY386),"")</f>
        <v>0</v>
      </c>
      <c r="BC386" s="51">
        <f t="shared" si="384"/>
        <v>0</v>
      </c>
      <c r="BD386" s="51">
        <f t="shared" si="384"/>
        <v>0</v>
      </c>
    </row>
    <row r="387" ht="48.0" customHeight="1">
      <c r="A387" s="49" t="s">
        <v>40</v>
      </c>
      <c r="B387" s="49" t="str">
        <f t="array" ref="B387">INDEX('HD cty 2024'!B:B,MATCH('F0, F1, F2, ...'!$C387,'HD cty 2024'!B:B,0))</f>
        <v>#N/A</v>
      </c>
      <c r="C387" s="49">
        <v>482.0</v>
      </c>
      <c r="D387" s="50">
        <v>45563.0</v>
      </c>
      <c r="E387" s="51">
        <v>1.48717533E8</v>
      </c>
      <c r="F387" s="51">
        <v>1.1897403E7</v>
      </c>
      <c r="G387" s="51">
        <v>1.60614936E8</v>
      </c>
      <c r="H387" s="49" t="s">
        <v>414</v>
      </c>
      <c r="I387" s="52" t="s">
        <v>3708</v>
      </c>
      <c r="J387" s="50">
        <v>45807.0</v>
      </c>
      <c r="K387" s="51">
        <v>8747808.0</v>
      </c>
      <c r="L387" s="51">
        <v>699825.0</v>
      </c>
      <c r="M387" s="51">
        <v>9447633.0</v>
      </c>
      <c r="N387" s="49"/>
      <c r="O387" s="52"/>
      <c r="P387" s="50"/>
      <c r="Q387" s="51"/>
      <c r="R387" s="51"/>
      <c r="S387" s="51"/>
      <c r="T387" s="49"/>
      <c r="U387" s="52"/>
      <c r="V387" s="50"/>
      <c r="W387" s="51"/>
      <c r="X387" s="51"/>
      <c r="Y387" s="51"/>
      <c r="Z387" s="51">
        <v>1.57465341E8</v>
      </c>
      <c r="AA387" s="51">
        <v>1.2597228E7</v>
      </c>
      <c r="AB387" s="51">
        <v>1.70062569E8</v>
      </c>
      <c r="AC387" s="47"/>
      <c r="AD387" s="47" t="s">
        <v>3709</v>
      </c>
      <c r="AE387" s="48"/>
      <c r="AF387" s="50"/>
      <c r="AG387" s="51">
        <v>-8747808.0</v>
      </c>
      <c r="AH387" s="51">
        <v>-699825.0</v>
      </c>
      <c r="AI387" s="51">
        <v>-9447633.0</v>
      </c>
      <c r="AJ387" s="47" t="s">
        <v>3710</v>
      </c>
      <c r="AK387" s="48"/>
      <c r="AL387" s="50"/>
      <c r="AM387" s="51">
        <v>-1.48717533E8</v>
      </c>
      <c r="AN387" s="51">
        <v>-1.1897403E7</v>
      </c>
      <c r="AO387" s="51">
        <v>-1.60614936E8</v>
      </c>
      <c r="AP387" s="47"/>
      <c r="AQ387" s="48"/>
      <c r="AR387" s="50"/>
      <c r="AS387" s="51"/>
      <c r="AT387" s="51"/>
      <c r="AU387" s="51"/>
      <c r="AV387" s="47"/>
      <c r="AW387" s="48"/>
      <c r="AX387" s="50"/>
      <c r="AY387" s="51"/>
      <c r="AZ387" s="51"/>
      <c r="BA387" s="51"/>
      <c r="BB387" s="51">
        <f t="shared" ref="BB387:BD387" si="385">IF(AND(ISNUMBER(Z387),COUNT(AG387,AM387,AS387,AY387)=2),Z387+SUM(AG387,AM387,AS387,AY387),"")</f>
        <v>0</v>
      </c>
      <c r="BC387" s="51">
        <f t="shared" si="385"/>
        <v>0</v>
      </c>
      <c r="BD387" s="51">
        <f t="shared" si="385"/>
        <v>0</v>
      </c>
    </row>
    <row r="388" ht="48.0" customHeight="1">
      <c r="A388" s="49" t="s">
        <v>40</v>
      </c>
      <c r="B388" s="49" t="str">
        <f t="array" ref="B388">INDEX('HD cty 2024'!B:B,MATCH('F0, F1, F2, ...'!$C388,'HD cty 2024'!B:B,0))</f>
        <v>#N/A</v>
      </c>
      <c r="C388" s="49">
        <v>483.0</v>
      </c>
      <c r="D388" s="50">
        <v>45563.0</v>
      </c>
      <c r="E388" s="51">
        <v>7493779.0</v>
      </c>
      <c r="F388" s="51">
        <v>599502.0</v>
      </c>
      <c r="G388" s="51">
        <v>8093281.0</v>
      </c>
      <c r="H388" s="49" t="s">
        <v>414</v>
      </c>
      <c r="I388" s="52" t="s">
        <v>3711</v>
      </c>
      <c r="J388" s="50">
        <v>45807.0</v>
      </c>
      <c r="K388" s="51">
        <v>707147.0</v>
      </c>
      <c r="L388" s="51">
        <v>56572.0</v>
      </c>
      <c r="M388" s="51">
        <v>763719.0</v>
      </c>
      <c r="N388" s="49"/>
      <c r="O388" s="52"/>
      <c r="P388" s="50"/>
      <c r="Q388" s="51"/>
      <c r="R388" s="51"/>
      <c r="S388" s="51"/>
      <c r="T388" s="49"/>
      <c r="U388" s="52"/>
      <c r="V388" s="50"/>
      <c r="W388" s="51"/>
      <c r="X388" s="51"/>
      <c r="Y388" s="51"/>
      <c r="Z388" s="51">
        <v>8200926.0</v>
      </c>
      <c r="AA388" s="51">
        <v>656074.0</v>
      </c>
      <c r="AB388" s="51">
        <v>8857000.0</v>
      </c>
      <c r="AC388" s="47"/>
      <c r="AD388" s="47" t="s">
        <v>3712</v>
      </c>
      <c r="AE388" s="48"/>
      <c r="AF388" s="50"/>
      <c r="AG388" s="51">
        <v>-707147.0</v>
      </c>
      <c r="AH388" s="51">
        <v>-56572.0</v>
      </c>
      <c r="AI388" s="51">
        <v>-763719.0</v>
      </c>
      <c r="AJ388" s="47" t="s">
        <v>3713</v>
      </c>
      <c r="AK388" s="48"/>
      <c r="AL388" s="50"/>
      <c r="AM388" s="51">
        <v>-7493779.0</v>
      </c>
      <c r="AN388" s="51">
        <v>-599502.0</v>
      </c>
      <c r="AO388" s="51">
        <v>-8093281.0</v>
      </c>
      <c r="AP388" s="47"/>
      <c r="AQ388" s="48"/>
      <c r="AR388" s="50"/>
      <c r="AS388" s="51"/>
      <c r="AT388" s="51"/>
      <c r="AU388" s="51"/>
      <c r="AV388" s="47"/>
      <c r="AW388" s="48"/>
      <c r="AX388" s="50"/>
      <c r="AY388" s="51"/>
      <c r="AZ388" s="51"/>
      <c r="BA388" s="51"/>
      <c r="BB388" s="51">
        <f t="shared" ref="BB388:BD388" si="386">IF(AND(ISNUMBER(Z388),COUNT(AG388,AM388,AS388,AY388)=2),Z388+SUM(AG388,AM388,AS388,AY388),"")</f>
        <v>0</v>
      </c>
      <c r="BC388" s="51">
        <f t="shared" si="386"/>
        <v>0</v>
      </c>
      <c r="BD388" s="51">
        <f t="shared" si="386"/>
        <v>0</v>
      </c>
    </row>
    <row r="389" ht="48.0" customHeight="1">
      <c r="A389" s="49" t="s">
        <v>40</v>
      </c>
      <c r="B389" s="49" t="str">
        <f t="array" ref="B389">INDEX('HD cty 2024'!B:B,MATCH('F0, F1, F2, ...'!$C389,'HD cty 2024'!B:B,0))</f>
        <v>#N/A</v>
      </c>
      <c r="C389" s="49">
        <v>484.0</v>
      </c>
      <c r="D389" s="50">
        <v>45563.0</v>
      </c>
      <c r="E389" s="51">
        <v>1.51228991E8</v>
      </c>
      <c r="F389" s="51">
        <v>1.2098319E7</v>
      </c>
      <c r="G389" s="51">
        <v>1.6332731E8</v>
      </c>
      <c r="H389" s="49" t="s">
        <v>414</v>
      </c>
      <c r="I389" s="52" t="s">
        <v>3714</v>
      </c>
      <c r="J389" s="50">
        <v>45807.0</v>
      </c>
      <c r="K389" s="51">
        <v>1.1655268E7</v>
      </c>
      <c r="L389" s="51">
        <v>932421.0</v>
      </c>
      <c r="M389" s="51">
        <v>1.2587689E7</v>
      </c>
      <c r="N389" s="49"/>
      <c r="O389" s="52"/>
      <c r="P389" s="50"/>
      <c r="Q389" s="51"/>
      <c r="R389" s="51"/>
      <c r="S389" s="51"/>
      <c r="T389" s="49"/>
      <c r="U389" s="52"/>
      <c r="V389" s="50"/>
      <c r="W389" s="51"/>
      <c r="X389" s="51"/>
      <c r="Y389" s="51"/>
      <c r="Z389" s="51">
        <v>1.62884259E8</v>
      </c>
      <c r="AA389" s="51">
        <v>1.303074E7</v>
      </c>
      <c r="AB389" s="51">
        <v>1.75914999E8</v>
      </c>
      <c r="AC389" s="47"/>
      <c r="AD389" s="47" t="s">
        <v>3715</v>
      </c>
      <c r="AE389" s="48"/>
      <c r="AF389" s="50"/>
      <c r="AG389" s="51">
        <v>-1.1655268E7</v>
      </c>
      <c r="AH389" s="51">
        <v>-932421.0</v>
      </c>
      <c r="AI389" s="51">
        <v>-1.2587689E7</v>
      </c>
      <c r="AJ389" s="47" t="s">
        <v>3716</v>
      </c>
      <c r="AK389" s="48"/>
      <c r="AL389" s="50"/>
      <c r="AM389" s="51">
        <v>-1.51228991E8</v>
      </c>
      <c r="AN389" s="51">
        <v>-1.2098319E7</v>
      </c>
      <c r="AO389" s="51">
        <v>-1.6332731E8</v>
      </c>
      <c r="AP389" s="47"/>
      <c r="AQ389" s="48"/>
      <c r="AR389" s="50"/>
      <c r="AS389" s="51"/>
      <c r="AT389" s="51"/>
      <c r="AU389" s="51"/>
      <c r="AV389" s="47"/>
      <c r="AW389" s="48"/>
      <c r="AX389" s="50"/>
      <c r="AY389" s="51"/>
      <c r="AZ389" s="51"/>
      <c r="BA389" s="51"/>
      <c r="BB389" s="51">
        <f t="shared" ref="BB389:BD389" si="387">IF(AND(ISNUMBER(Z389),COUNT(AG389,AM389,AS389,AY389)=2),Z389+SUM(AG389,AM389,AS389,AY389),"")</f>
        <v>0</v>
      </c>
      <c r="BC389" s="51">
        <f t="shared" si="387"/>
        <v>0</v>
      </c>
      <c r="BD389" s="51">
        <f t="shared" si="387"/>
        <v>0</v>
      </c>
    </row>
    <row r="390" ht="48.0" customHeight="1">
      <c r="A390" s="49" t="s">
        <v>40</v>
      </c>
      <c r="B390" s="49" t="str">
        <f t="array" ref="B390">INDEX('HD cty 2024'!B:B,MATCH('F0, F1, F2, ...'!$C390,'HD cty 2024'!B:B,0))</f>
        <v>#N/A</v>
      </c>
      <c r="C390" s="49">
        <v>485.0</v>
      </c>
      <c r="D390" s="50">
        <v>45563.0</v>
      </c>
      <c r="E390" s="51">
        <v>4.0963641E7</v>
      </c>
      <c r="F390" s="51">
        <v>3277091.0</v>
      </c>
      <c r="G390" s="51">
        <v>4.4240732E7</v>
      </c>
      <c r="H390" s="49" t="s">
        <v>414</v>
      </c>
      <c r="I390" s="52" t="s">
        <v>3717</v>
      </c>
      <c r="J390" s="50">
        <v>45807.0</v>
      </c>
      <c r="K390" s="51">
        <v>4536359.0</v>
      </c>
      <c r="L390" s="51">
        <v>362909.0</v>
      </c>
      <c r="M390" s="51">
        <v>4899268.0</v>
      </c>
      <c r="N390" s="49"/>
      <c r="O390" s="52"/>
      <c r="P390" s="50"/>
      <c r="Q390" s="51"/>
      <c r="R390" s="51"/>
      <c r="S390" s="51"/>
      <c r="T390" s="49"/>
      <c r="U390" s="52"/>
      <c r="V390" s="50"/>
      <c r="W390" s="51"/>
      <c r="X390" s="51"/>
      <c r="Y390" s="51"/>
      <c r="Z390" s="51">
        <v>4.55E7</v>
      </c>
      <c r="AA390" s="51">
        <v>3640000.0</v>
      </c>
      <c r="AB390" s="51">
        <v>4.914E7</v>
      </c>
      <c r="AC390" s="47"/>
      <c r="AD390" s="47" t="s">
        <v>3718</v>
      </c>
      <c r="AE390" s="48"/>
      <c r="AF390" s="50"/>
      <c r="AG390" s="51">
        <v>-4536359.0</v>
      </c>
      <c r="AH390" s="51">
        <v>-362909.0</v>
      </c>
      <c r="AI390" s="51">
        <v>-4899268.0</v>
      </c>
      <c r="AJ390" s="47" t="s">
        <v>3719</v>
      </c>
      <c r="AK390" s="48"/>
      <c r="AL390" s="50"/>
      <c r="AM390" s="51">
        <v>-4.0963641E7</v>
      </c>
      <c r="AN390" s="51">
        <v>-3277091.0</v>
      </c>
      <c r="AO390" s="51">
        <v>-4.4240732E7</v>
      </c>
      <c r="AP390" s="47"/>
      <c r="AQ390" s="48"/>
      <c r="AR390" s="50"/>
      <c r="AS390" s="51"/>
      <c r="AT390" s="51"/>
      <c r="AU390" s="51"/>
      <c r="AV390" s="47"/>
      <c r="AW390" s="48"/>
      <c r="AX390" s="50"/>
      <c r="AY390" s="51"/>
      <c r="AZ390" s="51"/>
      <c r="BA390" s="51"/>
      <c r="BB390" s="51">
        <f t="shared" ref="BB390:BD390" si="388">IF(AND(ISNUMBER(Z390),COUNT(AG390,AM390,AS390,AY390)=2),Z390+SUM(AG390,AM390,AS390,AY390),"")</f>
        <v>0</v>
      </c>
      <c r="BC390" s="51">
        <f t="shared" si="388"/>
        <v>0</v>
      </c>
      <c r="BD390" s="51">
        <f t="shared" si="388"/>
        <v>0</v>
      </c>
    </row>
    <row r="391" ht="48.0" customHeight="1">
      <c r="A391" s="49" t="s">
        <v>40</v>
      </c>
      <c r="B391" s="49" t="str">
        <f t="array" ref="B391">INDEX('HD cty 2024'!B:B,MATCH('F0, F1, F2, ...'!$C391,'HD cty 2024'!B:B,0))</f>
        <v>#N/A</v>
      </c>
      <c r="C391" s="49">
        <v>486.0</v>
      </c>
      <c r="D391" s="50">
        <v>45565.0</v>
      </c>
      <c r="E391" s="51">
        <v>1.27095101E8</v>
      </c>
      <c r="F391" s="51">
        <v>1.0167608E7</v>
      </c>
      <c r="G391" s="51">
        <v>1.37262709E8</v>
      </c>
      <c r="H391" s="49" t="s">
        <v>414</v>
      </c>
      <c r="I391" s="52" t="s">
        <v>3720</v>
      </c>
      <c r="J391" s="50">
        <v>45807.0</v>
      </c>
      <c r="K391" s="51">
        <v>1.3153418E7</v>
      </c>
      <c r="L391" s="51">
        <v>1052273.0</v>
      </c>
      <c r="M391" s="51">
        <v>1.4205691E7</v>
      </c>
      <c r="N391" s="49"/>
      <c r="O391" s="52"/>
      <c r="P391" s="50"/>
      <c r="Q391" s="51"/>
      <c r="R391" s="51"/>
      <c r="S391" s="51"/>
      <c r="T391" s="49"/>
      <c r="U391" s="52"/>
      <c r="V391" s="50"/>
      <c r="W391" s="51"/>
      <c r="X391" s="51"/>
      <c r="Y391" s="51"/>
      <c r="Z391" s="51">
        <v>1.40248519E8</v>
      </c>
      <c r="AA391" s="51">
        <v>1.1219881E7</v>
      </c>
      <c r="AB391" s="51">
        <v>1.514684E8</v>
      </c>
      <c r="AC391" s="47"/>
      <c r="AD391" s="47" t="s">
        <v>3721</v>
      </c>
      <c r="AE391" s="48"/>
      <c r="AF391" s="50"/>
      <c r="AG391" s="51">
        <v>-1.3153418E7</v>
      </c>
      <c r="AH391" s="51">
        <v>-1052273.0</v>
      </c>
      <c r="AI391" s="51">
        <v>-1.4205691E7</v>
      </c>
      <c r="AJ391" s="47" t="s">
        <v>3722</v>
      </c>
      <c r="AK391" s="48"/>
      <c r="AL391" s="50"/>
      <c r="AM391" s="51">
        <v>-1.27095101E8</v>
      </c>
      <c r="AN391" s="51">
        <v>-1.0167608E7</v>
      </c>
      <c r="AO391" s="51">
        <v>-1.37262709E8</v>
      </c>
      <c r="AP391" s="47"/>
      <c r="AQ391" s="48"/>
      <c r="AR391" s="50"/>
      <c r="AS391" s="51"/>
      <c r="AT391" s="51"/>
      <c r="AU391" s="51"/>
      <c r="AV391" s="47"/>
      <c r="AW391" s="48"/>
      <c r="AX391" s="50"/>
      <c r="AY391" s="51"/>
      <c r="AZ391" s="51"/>
      <c r="BA391" s="51"/>
      <c r="BB391" s="51">
        <f t="shared" ref="BB391:BD391" si="389">IF(AND(ISNUMBER(Z391),COUNT(AG391,AM391,AS391,AY391)=2),Z391+SUM(AG391,AM391,AS391,AY391),"")</f>
        <v>0</v>
      </c>
      <c r="BC391" s="51">
        <f t="shared" si="389"/>
        <v>0</v>
      </c>
      <c r="BD391" s="51">
        <f t="shared" si="389"/>
        <v>0</v>
      </c>
    </row>
    <row r="392" ht="48.0" customHeight="1">
      <c r="A392" s="49" t="s">
        <v>40</v>
      </c>
      <c r="B392" s="49" t="str">
        <f t="array" ref="B392">INDEX('HD cty 2024'!B:B,MATCH('F0, F1, F2, ...'!$C392,'HD cty 2024'!B:B,0))</f>
        <v>#N/A</v>
      </c>
      <c r="C392" s="49">
        <v>487.0</v>
      </c>
      <c r="D392" s="50">
        <v>45565.0</v>
      </c>
      <c r="E392" s="51">
        <v>1.05154466E8</v>
      </c>
      <c r="F392" s="51">
        <v>8412357.0</v>
      </c>
      <c r="G392" s="51">
        <v>1.13566823E8</v>
      </c>
      <c r="H392" s="49" t="s">
        <v>414</v>
      </c>
      <c r="I392" s="52" t="s">
        <v>3723</v>
      </c>
      <c r="J392" s="50">
        <v>45807.0</v>
      </c>
      <c r="K392" s="51">
        <v>1.1248497E7</v>
      </c>
      <c r="L392" s="51">
        <v>899880.0</v>
      </c>
      <c r="M392" s="51">
        <v>1.2148377E7</v>
      </c>
      <c r="N392" s="49"/>
      <c r="O392" s="52"/>
      <c r="P392" s="50"/>
      <c r="Q392" s="51"/>
      <c r="R392" s="51"/>
      <c r="S392" s="51"/>
      <c r="T392" s="49"/>
      <c r="U392" s="52"/>
      <c r="V392" s="50"/>
      <c r="W392" s="51"/>
      <c r="X392" s="51"/>
      <c r="Y392" s="51"/>
      <c r="Z392" s="51">
        <v>1.16402963E8</v>
      </c>
      <c r="AA392" s="51">
        <v>9312237.0</v>
      </c>
      <c r="AB392" s="51">
        <v>1.257152E8</v>
      </c>
      <c r="AC392" s="47"/>
      <c r="AD392" s="47" t="s">
        <v>3724</v>
      </c>
      <c r="AE392" s="48"/>
      <c r="AF392" s="50"/>
      <c r="AG392" s="51">
        <v>-1.1248497E7</v>
      </c>
      <c r="AH392" s="51">
        <v>-899880.0</v>
      </c>
      <c r="AI392" s="51">
        <v>-1.2148377E7</v>
      </c>
      <c r="AJ392" s="47" t="s">
        <v>3725</v>
      </c>
      <c r="AK392" s="48"/>
      <c r="AL392" s="50"/>
      <c r="AM392" s="51">
        <v>-1.05154466E8</v>
      </c>
      <c r="AN392" s="51">
        <v>-8412357.0</v>
      </c>
      <c r="AO392" s="51">
        <v>-1.13566823E8</v>
      </c>
      <c r="AP392" s="47"/>
      <c r="AQ392" s="48"/>
      <c r="AR392" s="50"/>
      <c r="AS392" s="51"/>
      <c r="AT392" s="51"/>
      <c r="AU392" s="51"/>
      <c r="AV392" s="47"/>
      <c r="AW392" s="48"/>
      <c r="AX392" s="50"/>
      <c r="AY392" s="51"/>
      <c r="AZ392" s="51"/>
      <c r="BA392" s="51"/>
      <c r="BB392" s="51">
        <f t="shared" ref="BB392:BD392" si="390">IF(AND(ISNUMBER(Z392),COUNT(AG392,AM392,AS392,AY392)=2),Z392+SUM(AG392,AM392,AS392,AY392),"")</f>
        <v>0</v>
      </c>
      <c r="BC392" s="51">
        <f t="shared" si="390"/>
        <v>0</v>
      </c>
      <c r="BD392" s="51">
        <f t="shared" si="390"/>
        <v>0</v>
      </c>
    </row>
    <row r="393" ht="48.0" customHeight="1">
      <c r="A393" s="49" t="s">
        <v>40</v>
      </c>
      <c r="B393" s="49" t="str">
        <f t="array" ref="B393">INDEX('HD cty 2024'!B:B,MATCH('F0, F1, F2, ...'!$C393,'HD cty 2024'!B:B,0))</f>
        <v>#N/A</v>
      </c>
      <c r="C393" s="49">
        <v>488.0</v>
      </c>
      <c r="D393" s="50">
        <v>45565.0</v>
      </c>
      <c r="E393" s="51">
        <v>7.5517899E7</v>
      </c>
      <c r="F393" s="51">
        <v>6041432.0</v>
      </c>
      <c r="G393" s="51">
        <v>8.1559331E7</v>
      </c>
      <c r="H393" s="49" t="s">
        <v>414</v>
      </c>
      <c r="I393" s="52" t="s">
        <v>3726</v>
      </c>
      <c r="J393" s="50">
        <v>45807.0</v>
      </c>
      <c r="K393" s="51">
        <v>6955434.0</v>
      </c>
      <c r="L393" s="51">
        <v>556435.0</v>
      </c>
      <c r="M393" s="51">
        <v>7511869.0</v>
      </c>
      <c r="N393" s="49"/>
      <c r="O393" s="52"/>
      <c r="P393" s="50"/>
      <c r="Q393" s="51"/>
      <c r="R393" s="51"/>
      <c r="S393" s="51"/>
      <c r="T393" s="49"/>
      <c r="U393" s="52"/>
      <c r="V393" s="50"/>
      <c r="W393" s="51"/>
      <c r="X393" s="51"/>
      <c r="Y393" s="51"/>
      <c r="Z393" s="51">
        <v>8.2473333E7</v>
      </c>
      <c r="AA393" s="51">
        <v>6597867.0</v>
      </c>
      <c r="AB393" s="51">
        <v>8.90712E7</v>
      </c>
      <c r="AC393" s="47"/>
      <c r="AD393" s="47" t="s">
        <v>3727</v>
      </c>
      <c r="AE393" s="48"/>
      <c r="AF393" s="50"/>
      <c r="AG393" s="51">
        <v>-6955434.0</v>
      </c>
      <c r="AH393" s="51">
        <v>-556435.0</v>
      </c>
      <c r="AI393" s="51">
        <v>-7511869.0</v>
      </c>
      <c r="AJ393" s="47" t="s">
        <v>3728</v>
      </c>
      <c r="AK393" s="48"/>
      <c r="AL393" s="50"/>
      <c r="AM393" s="51">
        <v>-7.5517899E7</v>
      </c>
      <c r="AN393" s="51">
        <v>-6041432.0</v>
      </c>
      <c r="AO393" s="51">
        <v>-8.1559331E7</v>
      </c>
      <c r="AP393" s="47"/>
      <c r="AQ393" s="48"/>
      <c r="AR393" s="50"/>
      <c r="AS393" s="51"/>
      <c r="AT393" s="51"/>
      <c r="AU393" s="51"/>
      <c r="AV393" s="47"/>
      <c r="AW393" s="48"/>
      <c r="AX393" s="50"/>
      <c r="AY393" s="51"/>
      <c r="AZ393" s="51"/>
      <c r="BA393" s="51"/>
      <c r="BB393" s="51">
        <f t="shared" ref="BB393:BD393" si="391">IF(AND(ISNUMBER(Z393),COUNT(AG393,AM393,AS393,AY393)=2),Z393+SUM(AG393,AM393,AS393,AY393),"")</f>
        <v>0</v>
      </c>
      <c r="BC393" s="51">
        <f t="shared" si="391"/>
        <v>0</v>
      </c>
      <c r="BD393" s="51">
        <f t="shared" si="391"/>
        <v>0</v>
      </c>
    </row>
    <row r="394" ht="48.0" customHeight="1">
      <c r="A394" s="49" t="s">
        <v>40</v>
      </c>
      <c r="B394" s="49" t="str">
        <f t="array" ref="B394">INDEX('HD cty 2024'!B:B,MATCH('F0, F1, F2, ...'!$C394,'HD cty 2024'!B:B,0))</f>
        <v>#N/A</v>
      </c>
      <c r="C394" s="49">
        <v>489.0</v>
      </c>
      <c r="D394" s="50">
        <v>45565.0</v>
      </c>
      <c r="E394" s="51">
        <v>1.60978806E8</v>
      </c>
      <c r="F394" s="51">
        <v>1.2878304E7</v>
      </c>
      <c r="G394" s="51">
        <v>1.7385711E8</v>
      </c>
      <c r="H394" s="49" t="s">
        <v>414</v>
      </c>
      <c r="I394" s="52" t="s">
        <v>3729</v>
      </c>
      <c r="J394" s="50">
        <v>45807.0</v>
      </c>
      <c r="K394" s="51">
        <v>1.4458416E7</v>
      </c>
      <c r="L394" s="51">
        <v>1156673.0</v>
      </c>
      <c r="M394" s="51">
        <v>1.5615089E7</v>
      </c>
      <c r="N394" s="49"/>
      <c r="O394" s="52"/>
      <c r="P394" s="50"/>
      <c r="Q394" s="51"/>
      <c r="R394" s="51"/>
      <c r="S394" s="51"/>
      <c r="T394" s="49"/>
      <c r="U394" s="52"/>
      <c r="V394" s="50"/>
      <c r="W394" s="51"/>
      <c r="X394" s="51"/>
      <c r="Y394" s="51"/>
      <c r="Z394" s="51">
        <v>1.75437222E8</v>
      </c>
      <c r="AA394" s="51">
        <v>1.4034977E7</v>
      </c>
      <c r="AB394" s="51">
        <v>1.89472199E8</v>
      </c>
      <c r="AC394" s="47"/>
      <c r="AD394" s="47" t="s">
        <v>3730</v>
      </c>
      <c r="AE394" s="48"/>
      <c r="AF394" s="50"/>
      <c r="AG394" s="51">
        <v>-1.4458416E7</v>
      </c>
      <c r="AH394" s="51">
        <v>-1156673.0</v>
      </c>
      <c r="AI394" s="51">
        <v>-1.5615089E7</v>
      </c>
      <c r="AJ394" s="47" t="s">
        <v>3731</v>
      </c>
      <c r="AK394" s="48"/>
      <c r="AL394" s="50"/>
      <c r="AM394" s="51">
        <v>-1.60978806E8</v>
      </c>
      <c r="AN394" s="51">
        <v>-1.2878304E7</v>
      </c>
      <c r="AO394" s="51">
        <v>-1.7385711E8</v>
      </c>
      <c r="AP394" s="47"/>
      <c r="AQ394" s="48"/>
      <c r="AR394" s="50"/>
      <c r="AS394" s="51"/>
      <c r="AT394" s="51"/>
      <c r="AU394" s="51"/>
      <c r="AV394" s="47"/>
      <c r="AW394" s="48"/>
      <c r="AX394" s="50"/>
      <c r="AY394" s="51"/>
      <c r="AZ394" s="51"/>
      <c r="BA394" s="51"/>
      <c r="BB394" s="51">
        <f t="shared" ref="BB394:BD394" si="392">IF(AND(ISNUMBER(Z394),COUNT(AG394,AM394,AS394,AY394)=2),Z394+SUM(AG394,AM394,AS394,AY394),"")</f>
        <v>0</v>
      </c>
      <c r="BC394" s="51">
        <f t="shared" si="392"/>
        <v>0</v>
      </c>
      <c r="BD394" s="51">
        <f t="shared" si="392"/>
        <v>0</v>
      </c>
    </row>
    <row r="395" ht="48.0" customHeight="1">
      <c r="A395" s="49" t="s">
        <v>40</v>
      </c>
      <c r="B395" s="49" t="str">
        <f t="array" ref="B395">INDEX('HD cty 2024'!B:B,MATCH('F0, F1, F2, ...'!$C395,'HD cty 2024'!B:B,0))</f>
        <v>#N/A</v>
      </c>
      <c r="C395" s="49">
        <v>490.0</v>
      </c>
      <c r="D395" s="50">
        <v>45565.0</v>
      </c>
      <c r="E395" s="51">
        <v>1.81069866E8</v>
      </c>
      <c r="F395" s="51">
        <v>1.4485589E7</v>
      </c>
      <c r="G395" s="51">
        <v>1.95555455E8</v>
      </c>
      <c r="H395" s="49" t="s">
        <v>414</v>
      </c>
      <c r="I395" s="52" t="s">
        <v>3732</v>
      </c>
      <c r="J395" s="50">
        <v>45807.0</v>
      </c>
      <c r="K395" s="51">
        <v>1.6170319E7</v>
      </c>
      <c r="L395" s="51">
        <v>1293626.0</v>
      </c>
      <c r="M395" s="51">
        <v>1.7463945E7</v>
      </c>
      <c r="N395" s="49"/>
      <c r="O395" s="52"/>
      <c r="P395" s="50"/>
      <c r="Q395" s="51"/>
      <c r="R395" s="51"/>
      <c r="S395" s="51"/>
      <c r="T395" s="49"/>
      <c r="U395" s="52"/>
      <c r="V395" s="50"/>
      <c r="W395" s="51"/>
      <c r="X395" s="51"/>
      <c r="Y395" s="51"/>
      <c r="Z395" s="51">
        <v>1.97240185E8</v>
      </c>
      <c r="AA395" s="51">
        <v>1.5779215E7</v>
      </c>
      <c r="AB395" s="51">
        <v>2.130194E8</v>
      </c>
      <c r="AC395" s="47"/>
      <c r="AD395" s="47" t="s">
        <v>3733</v>
      </c>
      <c r="AE395" s="48"/>
      <c r="AF395" s="50"/>
      <c r="AG395" s="51">
        <v>-1.6170319E7</v>
      </c>
      <c r="AH395" s="51">
        <v>-1293626.0</v>
      </c>
      <c r="AI395" s="51">
        <v>-1.7463945E7</v>
      </c>
      <c r="AJ395" s="47" t="s">
        <v>3734</v>
      </c>
      <c r="AK395" s="48"/>
      <c r="AL395" s="50"/>
      <c r="AM395" s="51">
        <v>-1.81069866E8</v>
      </c>
      <c r="AN395" s="51">
        <v>-1.4485589E7</v>
      </c>
      <c r="AO395" s="51">
        <v>-1.95555455E8</v>
      </c>
      <c r="AP395" s="47"/>
      <c r="AQ395" s="48"/>
      <c r="AR395" s="50"/>
      <c r="AS395" s="51"/>
      <c r="AT395" s="51"/>
      <c r="AU395" s="51"/>
      <c r="AV395" s="47"/>
      <c r="AW395" s="48"/>
      <c r="AX395" s="50"/>
      <c r="AY395" s="51"/>
      <c r="AZ395" s="51"/>
      <c r="BA395" s="51"/>
      <c r="BB395" s="51">
        <f t="shared" ref="BB395:BD395" si="393">IF(AND(ISNUMBER(Z395),COUNT(AG395,AM395,AS395,AY395)=2),Z395+SUM(AG395,AM395,AS395,AY395),"")</f>
        <v>0</v>
      </c>
      <c r="BC395" s="51">
        <f t="shared" si="393"/>
        <v>0</v>
      </c>
      <c r="BD395" s="51">
        <f t="shared" si="393"/>
        <v>0</v>
      </c>
    </row>
    <row r="396" ht="48.0" customHeight="1">
      <c r="A396" s="49" t="s">
        <v>40</v>
      </c>
      <c r="B396" s="49" t="str">
        <f t="array" ref="B396">INDEX('HD cty 2024'!B:B,MATCH('F0, F1, F2, ...'!$C396,'HD cty 2024'!B:B,0))</f>
        <v>#N/A</v>
      </c>
      <c r="C396" s="49">
        <v>491.0</v>
      </c>
      <c r="D396" s="50">
        <v>45565.0</v>
      </c>
      <c r="E396" s="51">
        <v>1.46140275E8</v>
      </c>
      <c r="F396" s="51">
        <v>1.1691222E7</v>
      </c>
      <c r="G396" s="51">
        <v>1.57831497E8</v>
      </c>
      <c r="H396" s="49" t="s">
        <v>414</v>
      </c>
      <c r="I396" s="52" t="s">
        <v>3735</v>
      </c>
      <c r="J396" s="50">
        <v>45807.0</v>
      </c>
      <c r="K396" s="51">
        <v>1.1093058E7</v>
      </c>
      <c r="L396" s="51">
        <v>887445.0</v>
      </c>
      <c r="M396" s="51">
        <v>1.1980503E7</v>
      </c>
      <c r="N396" s="49"/>
      <c r="O396" s="52"/>
      <c r="P396" s="50"/>
      <c r="Q396" s="51"/>
      <c r="R396" s="51"/>
      <c r="S396" s="51"/>
      <c r="T396" s="49"/>
      <c r="U396" s="52"/>
      <c r="V396" s="50"/>
      <c r="W396" s="51"/>
      <c r="X396" s="51"/>
      <c r="Y396" s="51"/>
      <c r="Z396" s="51">
        <v>1.57233333E8</v>
      </c>
      <c r="AA396" s="51">
        <v>1.2578667E7</v>
      </c>
      <c r="AB396" s="51">
        <v>1.69812E8</v>
      </c>
      <c r="AC396" s="47"/>
      <c r="AD396" s="47" t="s">
        <v>3736</v>
      </c>
      <c r="AE396" s="48"/>
      <c r="AF396" s="50"/>
      <c r="AG396" s="51">
        <v>-1.1093058E7</v>
      </c>
      <c r="AH396" s="51">
        <v>-887445.0</v>
      </c>
      <c r="AI396" s="51">
        <v>-1.1980503E7</v>
      </c>
      <c r="AJ396" s="47" t="s">
        <v>3737</v>
      </c>
      <c r="AK396" s="48"/>
      <c r="AL396" s="50"/>
      <c r="AM396" s="51">
        <v>-1.46140275E8</v>
      </c>
      <c r="AN396" s="51">
        <v>-1.1691222E7</v>
      </c>
      <c r="AO396" s="51">
        <v>-1.57831497E8</v>
      </c>
      <c r="AP396" s="47"/>
      <c r="AQ396" s="48"/>
      <c r="AR396" s="50"/>
      <c r="AS396" s="51"/>
      <c r="AT396" s="51"/>
      <c r="AU396" s="51"/>
      <c r="AV396" s="47"/>
      <c r="AW396" s="48"/>
      <c r="AX396" s="50"/>
      <c r="AY396" s="51"/>
      <c r="AZ396" s="51"/>
      <c r="BA396" s="51"/>
      <c r="BB396" s="51">
        <f t="shared" ref="BB396:BD396" si="394">IF(AND(ISNUMBER(Z396),COUNT(AG396,AM396,AS396,AY396)=2),Z396+SUM(AG396,AM396,AS396,AY396),"")</f>
        <v>0</v>
      </c>
      <c r="BC396" s="51">
        <f t="shared" si="394"/>
        <v>0</v>
      </c>
      <c r="BD396" s="51">
        <f t="shared" si="394"/>
        <v>0</v>
      </c>
    </row>
    <row r="397" ht="48.0" customHeight="1">
      <c r="A397" s="49" t="s">
        <v>40</v>
      </c>
      <c r="B397" s="49" t="str">
        <f t="array" ref="B397">INDEX('HD cty 2024'!B:B,MATCH('F0, F1, F2, ...'!$C397,'HD cty 2024'!B:B,0))</f>
        <v>#N/A</v>
      </c>
      <c r="C397" s="49">
        <v>492.0</v>
      </c>
      <c r="D397" s="50">
        <v>45565.0</v>
      </c>
      <c r="E397" s="51">
        <v>1.51382938E8</v>
      </c>
      <c r="F397" s="51">
        <v>1.2110635E7</v>
      </c>
      <c r="G397" s="51">
        <v>1.63493573E8</v>
      </c>
      <c r="H397" s="49" t="s">
        <v>414</v>
      </c>
      <c r="I397" s="52" t="s">
        <v>3738</v>
      </c>
      <c r="J397" s="50">
        <v>45807.0</v>
      </c>
      <c r="K397" s="51">
        <v>1.262021E7</v>
      </c>
      <c r="L397" s="51">
        <v>1009617.0</v>
      </c>
      <c r="M397" s="51">
        <v>1.3629827E7</v>
      </c>
      <c r="N397" s="49"/>
      <c r="O397" s="52"/>
      <c r="P397" s="50"/>
      <c r="Q397" s="51"/>
      <c r="R397" s="51"/>
      <c r="S397" s="51"/>
      <c r="T397" s="49"/>
      <c r="U397" s="52"/>
      <c r="V397" s="50"/>
      <c r="W397" s="51"/>
      <c r="X397" s="51"/>
      <c r="Y397" s="51"/>
      <c r="Z397" s="51">
        <v>1.64003148E8</v>
      </c>
      <c r="AA397" s="51">
        <v>1.3120252E7</v>
      </c>
      <c r="AB397" s="51">
        <v>1.771234E8</v>
      </c>
      <c r="AC397" s="47"/>
      <c r="AD397" s="47" t="s">
        <v>3739</v>
      </c>
      <c r="AE397" s="48"/>
      <c r="AF397" s="50"/>
      <c r="AG397" s="51">
        <v>-1.262021E7</v>
      </c>
      <c r="AH397" s="51">
        <v>-1009617.0</v>
      </c>
      <c r="AI397" s="51">
        <v>-1.3629827E7</v>
      </c>
      <c r="AJ397" s="47" t="s">
        <v>3740</v>
      </c>
      <c r="AK397" s="48"/>
      <c r="AL397" s="50"/>
      <c r="AM397" s="51">
        <v>-1.51382938E8</v>
      </c>
      <c r="AN397" s="51">
        <v>-1.2110635E7</v>
      </c>
      <c r="AO397" s="51">
        <v>-1.63493573E8</v>
      </c>
      <c r="AP397" s="47"/>
      <c r="AQ397" s="48"/>
      <c r="AR397" s="50"/>
      <c r="AS397" s="51"/>
      <c r="AT397" s="51"/>
      <c r="AU397" s="51"/>
      <c r="AV397" s="47"/>
      <c r="AW397" s="48"/>
      <c r="AX397" s="50"/>
      <c r="AY397" s="51"/>
      <c r="AZ397" s="51"/>
      <c r="BA397" s="51"/>
      <c r="BB397" s="51">
        <f t="shared" ref="BB397:BD397" si="395">IF(AND(ISNUMBER(Z397),COUNT(AG397,AM397,AS397,AY397)=2),Z397+SUM(AG397,AM397,AS397,AY397),"")</f>
        <v>0</v>
      </c>
      <c r="BC397" s="51">
        <f t="shared" si="395"/>
        <v>0</v>
      </c>
      <c r="BD397" s="51">
        <f t="shared" si="395"/>
        <v>0</v>
      </c>
    </row>
    <row r="398" ht="48.0" customHeight="1">
      <c r="A398" s="49" t="s">
        <v>40</v>
      </c>
      <c r="B398" s="49" t="str">
        <f t="array" ref="B398">INDEX('HD cty 2024'!B:B,MATCH('F0, F1, F2, ...'!$C398,'HD cty 2024'!B:B,0))</f>
        <v>#N/A</v>
      </c>
      <c r="C398" s="49">
        <v>493.0</v>
      </c>
      <c r="D398" s="50">
        <v>45565.0</v>
      </c>
      <c r="E398" s="51">
        <v>1.73956025E8</v>
      </c>
      <c r="F398" s="51">
        <v>1.3916482E7</v>
      </c>
      <c r="G398" s="51">
        <v>1.87872507E8</v>
      </c>
      <c r="H398" s="49" t="s">
        <v>414</v>
      </c>
      <c r="I398" s="52" t="s">
        <v>3741</v>
      </c>
      <c r="J398" s="50">
        <v>45807.0</v>
      </c>
      <c r="K398" s="51">
        <v>1.2345271E7</v>
      </c>
      <c r="L398" s="51">
        <v>987622.0</v>
      </c>
      <c r="M398" s="51">
        <v>1.3332893E7</v>
      </c>
      <c r="N398" s="49"/>
      <c r="O398" s="52"/>
      <c r="P398" s="50"/>
      <c r="Q398" s="51"/>
      <c r="R398" s="51"/>
      <c r="S398" s="51"/>
      <c r="T398" s="49"/>
      <c r="U398" s="52"/>
      <c r="V398" s="50"/>
      <c r="W398" s="51"/>
      <c r="X398" s="51"/>
      <c r="Y398" s="51"/>
      <c r="Z398" s="51">
        <v>1.86301296E8</v>
      </c>
      <c r="AA398" s="51">
        <v>1.4904104E7</v>
      </c>
      <c r="AB398" s="51">
        <v>2.012054E8</v>
      </c>
      <c r="AC398" s="47"/>
      <c r="AD398" s="47" t="s">
        <v>3742</v>
      </c>
      <c r="AE398" s="48"/>
      <c r="AF398" s="50"/>
      <c r="AG398" s="51">
        <v>-1.2345271E7</v>
      </c>
      <c r="AH398" s="51">
        <v>-987622.0</v>
      </c>
      <c r="AI398" s="51">
        <v>-1.3332893E7</v>
      </c>
      <c r="AJ398" s="47" t="s">
        <v>3743</v>
      </c>
      <c r="AK398" s="48"/>
      <c r="AL398" s="50"/>
      <c r="AM398" s="51">
        <v>-1.73956025E8</v>
      </c>
      <c r="AN398" s="51">
        <v>-1.3916482E7</v>
      </c>
      <c r="AO398" s="51">
        <v>-1.87872507E8</v>
      </c>
      <c r="AP398" s="47"/>
      <c r="AQ398" s="48"/>
      <c r="AR398" s="50"/>
      <c r="AS398" s="51"/>
      <c r="AT398" s="51"/>
      <c r="AU398" s="51"/>
      <c r="AV398" s="47"/>
      <c r="AW398" s="48"/>
      <c r="AX398" s="50"/>
      <c r="AY398" s="51"/>
      <c r="AZ398" s="51"/>
      <c r="BA398" s="51"/>
      <c r="BB398" s="51">
        <f t="shared" ref="BB398:BD398" si="396">IF(AND(ISNUMBER(Z398),COUNT(AG398,AM398,AS398,AY398)=2),Z398+SUM(AG398,AM398,AS398,AY398),"")</f>
        <v>0</v>
      </c>
      <c r="BC398" s="51">
        <f t="shared" si="396"/>
        <v>0</v>
      </c>
      <c r="BD398" s="51">
        <f t="shared" si="396"/>
        <v>0</v>
      </c>
    </row>
    <row r="399" ht="48.0" customHeight="1">
      <c r="A399" s="49" t="s">
        <v>40</v>
      </c>
      <c r="B399" s="49" t="str">
        <f t="array" ref="B399">INDEX('HD cty 2024'!B:B,MATCH('F0, F1, F2, ...'!$C399,'HD cty 2024'!B:B,0))</f>
        <v>#N/A</v>
      </c>
      <c r="C399" s="49">
        <v>494.0</v>
      </c>
      <c r="D399" s="50">
        <v>45565.0</v>
      </c>
      <c r="E399" s="51">
        <v>1.20984167E8</v>
      </c>
      <c r="F399" s="51">
        <v>9678733.0</v>
      </c>
      <c r="G399" s="51">
        <v>1.306629E8</v>
      </c>
      <c r="H399" s="49" t="s">
        <v>414</v>
      </c>
      <c r="I399" s="52" t="s">
        <v>3744</v>
      </c>
      <c r="J399" s="50">
        <v>45807.0</v>
      </c>
      <c r="K399" s="51">
        <v>9291203.0</v>
      </c>
      <c r="L399" s="51">
        <v>743296.0</v>
      </c>
      <c r="M399" s="51">
        <v>1.0034499E7</v>
      </c>
      <c r="N399" s="49"/>
      <c r="O399" s="52"/>
      <c r="P399" s="50"/>
      <c r="Q399" s="51"/>
      <c r="R399" s="51"/>
      <c r="S399" s="51"/>
      <c r="T399" s="49"/>
      <c r="U399" s="52"/>
      <c r="V399" s="50"/>
      <c r="W399" s="51"/>
      <c r="X399" s="51"/>
      <c r="Y399" s="51"/>
      <c r="Z399" s="51">
        <v>1.3027537E8</v>
      </c>
      <c r="AA399" s="51">
        <v>1.0422029E7</v>
      </c>
      <c r="AB399" s="51">
        <v>1.40697399E8</v>
      </c>
      <c r="AC399" s="47"/>
      <c r="AD399" s="47" t="s">
        <v>3745</v>
      </c>
      <c r="AE399" s="48"/>
      <c r="AF399" s="50"/>
      <c r="AG399" s="51">
        <v>-9291203.0</v>
      </c>
      <c r="AH399" s="51">
        <v>-743296.0</v>
      </c>
      <c r="AI399" s="51">
        <v>-1.0034499E7</v>
      </c>
      <c r="AJ399" s="47" t="s">
        <v>3746</v>
      </c>
      <c r="AK399" s="48"/>
      <c r="AL399" s="50"/>
      <c r="AM399" s="51">
        <v>-1.20984167E8</v>
      </c>
      <c r="AN399" s="51">
        <v>-9678733.0</v>
      </c>
      <c r="AO399" s="51">
        <v>-1.306629E8</v>
      </c>
      <c r="AP399" s="47"/>
      <c r="AQ399" s="48"/>
      <c r="AR399" s="50"/>
      <c r="AS399" s="51"/>
      <c r="AT399" s="51"/>
      <c r="AU399" s="51"/>
      <c r="AV399" s="47"/>
      <c r="AW399" s="48"/>
      <c r="AX399" s="50"/>
      <c r="AY399" s="51"/>
      <c r="AZ399" s="51"/>
      <c r="BA399" s="51"/>
      <c r="BB399" s="51">
        <f t="shared" ref="BB399:BD399" si="397">IF(AND(ISNUMBER(Z399),COUNT(AG399,AM399,AS399,AY399)=2),Z399+SUM(AG399,AM399,AS399,AY399),"")</f>
        <v>0</v>
      </c>
      <c r="BC399" s="51">
        <f t="shared" si="397"/>
        <v>0</v>
      </c>
      <c r="BD399" s="51">
        <f t="shared" si="397"/>
        <v>0</v>
      </c>
    </row>
    <row r="400" ht="48.0" customHeight="1">
      <c r="A400" s="49" t="s">
        <v>40</v>
      </c>
      <c r="B400" s="49" t="str">
        <f t="array" ref="B400">INDEX('HD cty 2024'!B:B,MATCH('F0, F1, F2, ...'!$C400,'HD cty 2024'!B:B,0))</f>
        <v>#N/A</v>
      </c>
      <c r="C400" s="49">
        <v>495.0</v>
      </c>
      <c r="D400" s="50">
        <v>45565.0</v>
      </c>
      <c r="E400" s="51">
        <v>1.24318122E8</v>
      </c>
      <c r="F400" s="51">
        <v>9945450.0</v>
      </c>
      <c r="G400" s="51">
        <v>1.34263572E8</v>
      </c>
      <c r="H400" s="49" t="s">
        <v>414</v>
      </c>
      <c r="I400" s="52" t="s">
        <v>3747</v>
      </c>
      <c r="J400" s="50">
        <v>45807.0</v>
      </c>
      <c r="K400" s="51">
        <v>1.0145952E7</v>
      </c>
      <c r="L400" s="51">
        <v>811676.0</v>
      </c>
      <c r="M400" s="51">
        <v>1.0957628E7</v>
      </c>
      <c r="N400" s="49"/>
      <c r="O400" s="52"/>
      <c r="P400" s="50"/>
      <c r="Q400" s="51"/>
      <c r="R400" s="51"/>
      <c r="S400" s="51"/>
      <c r="T400" s="49"/>
      <c r="U400" s="52"/>
      <c r="V400" s="50"/>
      <c r="W400" s="51"/>
      <c r="X400" s="51"/>
      <c r="Y400" s="51"/>
      <c r="Z400" s="51">
        <v>1.34464074E8</v>
      </c>
      <c r="AA400" s="51">
        <v>1.0757126E7</v>
      </c>
      <c r="AB400" s="51">
        <v>1.452212E8</v>
      </c>
      <c r="AC400" s="47"/>
      <c r="AD400" s="47" t="s">
        <v>3748</v>
      </c>
      <c r="AE400" s="48"/>
      <c r="AF400" s="50"/>
      <c r="AG400" s="51">
        <v>-1.0145952E7</v>
      </c>
      <c r="AH400" s="51">
        <v>-811676.0</v>
      </c>
      <c r="AI400" s="51">
        <v>-1.0957628E7</v>
      </c>
      <c r="AJ400" s="47" t="s">
        <v>3749</v>
      </c>
      <c r="AK400" s="48"/>
      <c r="AL400" s="50"/>
      <c r="AM400" s="51">
        <v>-1.24318122E8</v>
      </c>
      <c r="AN400" s="51">
        <v>-9945450.0</v>
      </c>
      <c r="AO400" s="51">
        <v>-1.34263572E8</v>
      </c>
      <c r="AP400" s="47"/>
      <c r="AQ400" s="48"/>
      <c r="AR400" s="50"/>
      <c r="AS400" s="51"/>
      <c r="AT400" s="51"/>
      <c r="AU400" s="51"/>
      <c r="AV400" s="47"/>
      <c r="AW400" s="48"/>
      <c r="AX400" s="50"/>
      <c r="AY400" s="51"/>
      <c r="AZ400" s="51"/>
      <c r="BA400" s="51"/>
      <c r="BB400" s="51">
        <f t="shared" ref="BB400:BD400" si="398">IF(AND(ISNUMBER(Z400),COUNT(AG400,AM400,AS400,AY400)=2),Z400+SUM(AG400,AM400,AS400,AY400),"")</f>
        <v>0</v>
      </c>
      <c r="BC400" s="51">
        <f t="shared" si="398"/>
        <v>0</v>
      </c>
      <c r="BD400" s="51">
        <f t="shared" si="398"/>
        <v>0</v>
      </c>
    </row>
    <row r="401" ht="48.0" customHeight="1">
      <c r="A401" s="49" t="s">
        <v>40</v>
      </c>
      <c r="B401" s="49" t="str">
        <f t="array" ref="B401">INDEX('HD cty 2024'!B:B,MATCH('F0, F1, F2, ...'!$C401,'HD cty 2024'!B:B,0))</f>
        <v>#N/A</v>
      </c>
      <c r="C401" s="49">
        <v>496.0</v>
      </c>
      <c r="D401" s="50">
        <v>45565.0</v>
      </c>
      <c r="E401" s="51">
        <v>1.9150739E7</v>
      </c>
      <c r="F401" s="51">
        <v>1532059.0</v>
      </c>
      <c r="G401" s="51">
        <v>2.0682798E7</v>
      </c>
      <c r="H401" s="49" t="s">
        <v>414</v>
      </c>
      <c r="I401" s="52" t="s">
        <v>3750</v>
      </c>
      <c r="J401" s="50">
        <v>45807.0</v>
      </c>
      <c r="K401" s="51">
        <v>2179817.0</v>
      </c>
      <c r="L401" s="51">
        <v>174385.0</v>
      </c>
      <c r="M401" s="51">
        <v>2354202.0</v>
      </c>
      <c r="N401" s="49"/>
      <c r="O401" s="52"/>
      <c r="P401" s="50"/>
      <c r="Q401" s="51"/>
      <c r="R401" s="51"/>
      <c r="S401" s="51"/>
      <c r="T401" s="49"/>
      <c r="U401" s="52"/>
      <c r="V401" s="50"/>
      <c r="W401" s="51"/>
      <c r="X401" s="51"/>
      <c r="Y401" s="51"/>
      <c r="Z401" s="51">
        <v>2.1330556E7</v>
      </c>
      <c r="AA401" s="51">
        <v>1706444.0</v>
      </c>
      <c r="AB401" s="51">
        <v>2.3037E7</v>
      </c>
      <c r="AC401" s="47"/>
      <c r="AD401" s="47" t="s">
        <v>3751</v>
      </c>
      <c r="AE401" s="48"/>
      <c r="AF401" s="50"/>
      <c r="AG401" s="51">
        <v>-2179817.0</v>
      </c>
      <c r="AH401" s="51">
        <v>-174385.0</v>
      </c>
      <c r="AI401" s="51">
        <v>-2354202.0</v>
      </c>
      <c r="AJ401" s="47" t="s">
        <v>3752</v>
      </c>
      <c r="AK401" s="48"/>
      <c r="AL401" s="50"/>
      <c r="AM401" s="51">
        <v>-1.9150739E7</v>
      </c>
      <c r="AN401" s="51">
        <v>-1532059.0</v>
      </c>
      <c r="AO401" s="51">
        <v>-2.0682798E7</v>
      </c>
      <c r="AP401" s="47"/>
      <c r="AQ401" s="48"/>
      <c r="AR401" s="50"/>
      <c r="AS401" s="51"/>
      <c r="AT401" s="51"/>
      <c r="AU401" s="51"/>
      <c r="AV401" s="47"/>
      <c r="AW401" s="48"/>
      <c r="AX401" s="50"/>
      <c r="AY401" s="51"/>
      <c r="AZ401" s="51"/>
      <c r="BA401" s="51"/>
      <c r="BB401" s="51">
        <f t="shared" ref="BB401:BD401" si="399">IF(AND(ISNUMBER(Z401),COUNT(AG401,AM401,AS401,AY401)=2),Z401+SUM(AG401,AM401,AS401,AY401),"")</f>
        <v>0</v>
      </c>
      <c r="BC401" s="51">
        <f t="shared" si="399"/>
        <v>0</v>
      </c>
      <c r="BD401" s="51">
        <f t="shared" si="399"/>
        <v>0</v>
      </c>
    </row>
    <row r="402" ht="48.0" customHeight="1">
      <c r="A402" s="49" t="s">
        <v>40</v>
      </c>
      <c r="B402" s="49" t="str">
        <f t="array" ref="B402">INDEX('HD cty 2024'!B:B,MATCH('F0, F1, F2, ...'!$C402,'HD cty 2024'!B:B,0))</f>
        <v>#N/A</v>
      </c>
      <c r="C402" s="49">
        <v>497.0</v>
      </c>
      <c r="D402" s="50">
        <v>45565.0</v>
      </c>
      <c r="E402" s="51">
        <v>1.76207134E8</v>
      </c>
      <c r="F402" s="51">
        <v>1.4096571E7</v>
      </c>
      <c r="G402" s="51">
        <v>1.90303705E8</v>
      </c>
      <c r="H402" s="49" t="s">
        <v>414</v>
      </c>
      <c r="I402" s="52" t="s">
        <v>3753</v>
      </c>
      <c r="J402" s="50">
        <v>45807.0</v>
      </c>
      <c r="K402" s="51">
        <v>1.4002125E7</v>
      </c>
      <c r="L402" s="51">
        <v>1120170.0</v>
      </c>
      <c r="M402" s="51">
        <v>1.5122295E7</v>
      </c>
      <c r="N402" s="49"/>
      <c r="O402" s="52"/>
      <c r="P402" s="50"/>
      <c r="Q402" s="51"/>
      <c r="R402" s="51"/>
      <c r="S402" s="51"/>
      <c r="T402" s="49"/>
      <c r="U402" s="52"/>
      <c r="V402" s="50"/>
      <c r="W402" s="51"/>
      <c r="X402" s="51"/>
      <c r="Y402" s="51"/>
      <c r="Z402" s="51">
        <v>1.90209259E8</v>
      </c>
      <c r="AA402" s="51">
        <v>1.5216741E7</v>
      </c>
      <c r="AB402" s="51">
        <v>2.05426E8</v>
      </c>
      <c r="AC402" s="47"/>
      <c r="AD402" s="47" t="s">
        <v>3754</v>
      </c>
      <c r="AE402" s="48"/>
      <c r="AF402" s="50"/>
      <c r="AG402" s="51">
        <v>-1.4002125E7</v>
      </c>
      <c r="AH402" s="51">
        <v>-1120170.0</v>
      </c>
      <c r="AI402" s="51">
        <v>-1.5122295E7</v>
      </c>
      <c r="AJ402" s="47" t="s">
        <v>3755</v>
      </c>
      <c r="AK402" s="48"/>
      <c r="AL402" s="50"/>
      <c r="AM402" s="51">
        <v>-1.76207134E8</v>
      </c>
      <c r="AN402" s="51">
        <v>-1.4096571E7</v>
      </c>
      <c r="AO402" s="51">
        <v>-1.90303705E8</v>
      </c>
      <c r="AP402" s="47"/>
      <c r="AQ402" s="48"/>
      <c r="AR402" s="50"/>
      <c r="AS402" s="51"/>
      <c r="AT402" s="51"/>
      <c r="AU402" s="51"/>
      <c r="AV402" s="47"/>
      <c r="AW402" s="48"/>
      <c r="AX402" s="50"/>
      <c r="AY402" s="51"/>
      <c r="AZ402" s="51"/>
      <c r="BA402" s="51"/>
      <c r="BB402" s="51">
        <f t="shared" ref="BB402:BD402" si="400">IF(AND(ISNUMBER(Z402),COUNT(AG402,AM402,AS402,AY402)=2),Z402+SUM(AG402,AM402,AS402,AY402),"")</f>
        <v>0</v>
      </c>
      <c r="BC402" s="51">
        <f t="shared" si="400"/>
        <v>0</v>
      </c>
      <c r="BD402" s="51">
        <f t="shared" si="400"/>
        <v>0</v>
      </c>
    </row>
    <row r="403" ht="129.75" customHeight="1">
      <c r="A403" s="49" t="s">
        <v>40</v>
      </c>
      <c r="B403" s="49" t="str">
        <f t="array" ref="B403">INDEX('HD cty 2024'!B:B,MATCH('F0, F1, F2, ...'!$C403,'HD cty 2024'!B:B,0))</f>
        <v>#N/A</v>
      </c>
      <c r="C403" s="49">
        <v>498.0</v>
      </c>
      <c r="D403" s="50">
        <v>45565.0</v>
      </c>
      <c r="E403" s="51">
        <v>1.97727562E8</v>
      </c>
      <c r="F403" s="51">
        <v>1.5818205E7</v>
      </c>
      <c r="G403" s="51">
        <v>2.13545767E8</v>
      </c>
      <c r="H403" s="49" t="s">
        <v>414</v>
      </c>
      <c r="I403" s="52" t="s">
        <v>3756</v>
      </c>
      <c r="J403" s="50">
        <v>45807.0</v>
      </c>
      <c r="K403" s="51">
        <v>1.7830586E7</v>
      </c>
      <c r="L403" s="51">
        <v>1426447.0</v>
      </c>
      <c r="M403" s="51">
        <v>1.9257033E7</v>
      </c>
      <c r="N403" s="49"/>
      <c r="O403" s="52"/>
      <c r="P403" s="50"/>
      <c r="Q403" s="51"/>
      <c r="R403" s="51"/>
      <c r="S403" s="51"/>
      <c r="T403" s="49"/>
      <c r="U403" s="52"/>
      <c r="V403" s="50"/>
      <c r="W403" s="51"/>
      <c r="X403" s="51"/>
      <c r="Y403" s="51"/>
      <c r="Z403" s="51">
        <v>2.15558148E8</v>
      </c>
      <c r="AA403" s="51">
        <v>1.7244652E7</v>
      </c>
      <c r="AB403" s="51">
        <v>2.328028E8</v>
      </c>
      <c r="AC403" s="47" t="s">
        <v>3757</v>
      </c>
      <c r="AD403" s="47" t="s">
        <v>3758</v>
      </c>
      <c r="AE403" s="48"/>
      <c r="AF403" s="50">
        <v>46314.0</v>
      </c>
      <c r="AG403" s="51">
        <v>-1.97727562E8</v>
      </c>
      <c r="AH403" s="51">
        <v>-1.5818205E7</v>
      </c>
      <c r="AI403" s="51">
        <v>-2.13545767E8</v>
      </c>
      <c r="AJ403" s="47" t="s">
        <v>3759</v>
      </c>
      <c r="AK403" s="48"/>
      <c r="AL403" s="50">
        <v>46314.0</v>
      </c>
      <c r="AM403" s="51">
        <v>-1.7830586E7</v>
      </c>
      <c r="AN403" s="51">
        <v>-1426447.0</v>
      </c>
      <c r="AO403" s="51">
        <v>-1.9257033E7</v>
      </c>
      <c r="AP403" s="47"/>
      <c r="AQ403" s="48"/>
      <c r="AR403" s="50"/>
      <c r="AS403" s="51"/>
      <c r="AT403" s="51"/>
      <c r="AU403" s="51"/>
      <c r="AV403" s="47"/>
      <c r="AW403" s="48"/>
      <c r="AX403" s="50"/>
      <c r="AY403" s="51"/>
      <c r="AZ403" s="51"/>
      <c r="BA403" s="51"/>
      <c r="BB403" s="51">
        <f t="shared" ref="BB403:BD403" si="401">SUM(Z403,AG403,AM403,AS403,AY403)</f>
        <v>0</v>
      </c>
      <c r="BC403" s="51">
        <f t="shared" si="401"/>
        <v>0</v>
      </c>
      <c r="BD403" s="51">
        <f t="shared" si="401"/>
        <v>0</v>
      </c>
    </row>
    <row r="404" ht="48.0" customHeight="1">
      <c r="A404" s="49" t="s">
        <v>40</v>
      </c>
      <c r="B404" s="49" t="str">
        <f t="array" ref="B404">INDEX('HD cty 2024'!B:B,MATCH('F0, F1, F2, ...'!$C404,'HD cty 2024'!B:B,0))</f>
        <v>#N/A</v>
      </c>
      <c r="C404" s="49">
        <v>499.0</v>
      </c>
      <c r="D404" s="50">
        <v>45565.0</v>
      </c>
      <c r="E404" s="51">
        <v>3441936.0</v>
      </c>
      <c r="F404" s="51">
        <v>275355.0</v>
      </c>
      <c r="G404" s="51">
        <v>3717291.0</v>
      </c>
      <c r="H404" s="49" t="s">
        <v>414</v>
      </c>
      <c r="I404" s="52" t="s">
        <v>3760</v>
      </c>
      <c r="J404" s="50">
        <v>45807.0</v>
      </c>
      <c r="K404" s="51">
        <v>66120.0</v>
      </c>
      <c r="L404" s="51">
        <v>5290.0</v>
      </c>
      <c r="M404" s="51">
        <v>71410.0</v>
      </c>
      <c r="N404" s="49"/>
      <c r="O404" s="52"/>
      <c r="P404" s="50"/>
      <c r="Q404" s="51"/>
      <c r="R404" s="51"/>
      <c r="S404" s="51"/>
      <c r="T404" s="49"/>
      <c r="U404" s="52"/>
      <c r="V404" s="50"/>
      <c r="W404" s="51"/>
      <c r="X404" s="51"/>
      <c r="Y404" s="51"/>
      <c r="Z404" s="51">
        <v>3508056.0</v>
      </c>
      <c r="AA404" s="51">
        <v>280645.0</v>
      </c>
      <c r="AB404" s="51">
        <v>3788701.0</v>
      </c>
      <c r="AC404" s="47"/>
      <c r="AD404" s="47" t="s">
        <v>3761</v>
      </c>
      <c r="AE404" s="48"/>
      <c r="AF404" s="50"/>
      <c r="AG404" s="51">
        <v>-66120.0</v>
      </c>
      <c r="AH404" s="51">
        <v>-5290.0</v>
      </c>
      <c r="AI404" s="51">
        <v>-71410.0</v>
      </c>
      <c r="AJ404" s="47" t="s">
        <v>3762</v>
      </c>
      <c r="AK404" s="48"/>
      <c r="AL404" s="50"/>
      <c r="AM404" s="51">
        <v>-3441936.0</v>
      </c>
      <c r="AN404" s="51">
        <v>-275355.0</v>
      </c>
      <c r="AO404" s="51">
        <v>-3717291.0</v>
      </c>
      <c r="AP404" s="47"/>
      <c r="AQ404" s="48"/>
      <c r="AR404" s="50"/>
      <c r="AS404" s="51"/>
      <c r="AT404" s="51"/>
      <c r="AU404" s="51"/>
      <c r="AV404" s="47"/>
      <c r="AW404" s="48"/>
      <c r="AX404" s="50"/>
      <c r="AY404" s="51"/>
      <c r="AZ404" s="51"/>
      <c r="BA404" s="51"/>
      <c r="BB404" s="51">
        <f t="shared" ref="BB404:BD404" si="402">IF(AND(ISNUMBER(Z404),COUNT(AG404,AM404,AS404,AY404)=2),Z404+SUM(AG404,AM404,AS404,AY404),"")</f>
        <v>0</v>
      </c>
      <c r="BC404" s="51">
        <f t="shared" si="402"/>
        <v>0</v>
      </c>
      <c r="BD404" s="51">
        <f t="shared" si="402"/>
        <v>0</v>
      </c>
    </row>
    <row r="405" ht="48.0" customHeight="1">
      <c r="A405" s="49" t="s">
        <v>40</v>
      </c>
      <c r="B405" s="49" t="str">
        <f t="array" ref="B405">INDEX('HD cty 2024'!B:B,MATCH('F0, F1, F2, ...'!$C405,'HD cty 2024'!B:B,0))</f>
        <v>#N/A</v>
      </c>
      <c r="C405" s="49">
        <v>500.0</v>
      </c>
      <c r="D405" s="50">
        <v>45566.0</v>
      </c>
      <c r="E405" s="51">
        <v>8.8923878E7</v>
      </c>
      <c r="F405" s="51">
        <v>7113910.0</v>
      </c>
      <c r="G405" s="51">
        <v>9.6037788E7</v>
      </c>
      <c r="H405" s="49" t="s">
        <v>414</v>
      </c>
      <c r="I405" s="52" t="s">
        <v>3763</v>
      </c>
      <c r="J405" s="50">
        <v>45807.0</v>
      </c>
      <c r="K405" s="51">
        <v>9843344.0</v>
      </c>
      <c r="L405" s="51">
        <v>787468.0</v>
      </c>
      <c r="M405" s="51">
        <v>1.0630812E7</v>
      </c>
      <c r="N405" s="49"/>
      <c r="O405" s="52"/>
      <c r="P405" s="50"/>
      <c r="Q405" s="51"/>
      <c r="R405" s="51"/>
      <c r="S405" s="51"/>
      <c r="T405" s="49"/>
      <c r="U405" s="52"/>
      <c r="V405" s="50"/>
      <c r="W405" s="51"/>
      <c r="X405" s="51"/>
      <c r="Y405" s="51"/>
      <c r="Z405" s="51">
        <v>9.8767222E7</v>
      </c>
      <c r="AA405" s="51">
        <v>7901378.0</v>
      </c>
      <c r="AB405" s="51">
        <v>1.066686E8</v>
      </c>
      <c r="AC405" s="47"/>
      <c r="AD405" s="47" t="s">
        <v>3764</v>
      </c>
      <c r="AE405" s="48"/>
      <c r="AF405" s="50"/>
      <c r="AG405" s="51">
        <v>-9843344.0</v>
      </c>
      <c r="AH405" s="51">
        <v>-787468.0</v>
      </c>
      <c r="AI405" s="51">
        <v>-1.0630812E7</v>
      </c>
      <c r="AJ405" s="47" t="s">
        <v>3765</v>
      </c>
      <c r="AK405" s="48"/>
      <c r="AL405" s="50"/>
      <c r="AM405" s="51">
        <v>-8.8923878E7</v>
      </c>
      <c r="AN405" s="51">
        <v>-7113910.0</v>
      </c>
      <c r="AO405" s="51">
        <v>-9.6037788E7</v>
      </c>
      <c r="AP405" s="47"/>
      <c r="AQ405" s="48"/>
      <c r="AR405" s="50"/>
      <c r="AS405" s="51"/>
      <c r="AT405" s="51"/>
      <c r="AU405" s="51"/>
      <c r="AV405" s="47"/>
      <c r="AW405" s="48"/>
      <c r="AX405" s="50"/>
      <c r="AY405" s="51"/>
      <c r="AZ405" s="51"/>
      <c r="BA405" s="51"/>
      <c r="BB405" s="51">
        <f t="shared" ref="BB405:BD405" si="403">IF(AND(ISNUMBER(Z405),COUNT(AG405,AM405,AS405,AY405)=2),Z405+SUM(AG405,AM405,AS405,AY405),"")</f>
        <v>0</v>
      </c>
      <c r="BC405" s="51">
        <f t="shared" si="403"/>
        <v>0</v>
      </c>
      <c r="BD405" s="51">
        <f t="shared" si="403"/>
        <v>0</v>
      </c>
    </row>
    <row r="406" ht="48.0" customHeight="1">
      <c r="A406" s="49" t="s">
        <v>40</v>
      </c>
      <c r="B406" s="49" t="str">
        <f t="array" ref="B406">INDEX('HD cty 2024'!B:B,MATCH('F0, F1, F2, ...'!$C406,'HD cty 2024'!B:B,0))</f>
        <v>#N/A</v>
      </c>
      <c r="C406" s="49">
        <v>502.0</v>
      </c>
      <c r="D406" s="50">
        <v>45566.0</v>
      </c>
      <c r="E406" s="51">
        <v>2.1266967E8</v>
      </c>
      <c r="F406" s="51">
        <v>1.7013574E7</v>
      </c>
      <c r="G406" s="51">
        <v>2.29683244E8</v>
      </c>
      <c r="H406" s="49" t="s">
        <v>414</v>
      </c>
      <c r="I406" s="52" t="s">
        <v>3766</v>
      </c>
      <c r="J406" s="50">
        <v>45807.0</v>
      </c>
      <c r="K406" s="51">
        <v>2.1340145E7</v>
      </c>
      <c r="L406" s="51">
        <v>1707212.0</v>
      </c>
      <c r="M406" s="51">
        <v>2.3047357E7</v>
      </c>
      <c r="N406" s="49"/>
      <c r="O406" s="52"/>
      <c r="P406" s="50"/>
      <c r="Q406" s="51"/>
      <c r="R406" s="51"/>
      <c r="S406" s="51"/>
      <c r="T406" s="49"/>
      <c r="U406" s="52"/>
      <c r="V406" s="50"/>
      <c r="W406" s="51"/>
      <c r="X406" s="51"/>
      <c r="Y406" s="51"/>
      <c r="Z406" s="51">
        <v>2.34009815E8</v>
      </c>
      <c r="AA406" s="51">
        <v>1.8720786E7</v>
      </c>
      <c r="AB406" s="51">
        <v>2.52730601E8</v>
      </c>
      <c r="AC406" s="47"/>
      <c r="AD406" s="47" t="s">
        <v>3767</v>
      </c>
      <c r="AE406" s="48"/>
      <c r="AF406" s="50"/>
      <c r="AG406" s="51">
        <v>-2.1340145E7</v>
      </c>
      <c r="AH406" s="51">
        <v>-1707212.0</v>
      </c>
      <c r="AI406" s="51">
        <v>-2.3047357E7</v>
      </c>
      <c r="AJ406" s="47" t="s">
        <v>3768</v>
      </c>
      <c r="AK406" s="48"/>
      <c r="AL406" s="50"/>
      <c r="AM406" s="51">
        <v>-2.1266967E8</v>
      </c>
      <c r="AN406" s="51">
        <v>-1.7013574E7</v>
      </c>
      <c r="AO406" s="51">
        <v>-2.29683244E8</v>
      </c>
      <c r="AP406" s="47"/>
      <c r="AQ406" s="48"/>
      <c r="AR406" s="50"/>
      <c r="AS406" s="51"/>
      <c r="AT406" s="51"/>
      <c r="AU406" s="51"/>
      <c r="AV406" s="47"/>
      <c r="AW406" s="48"/>
      <c r="AX406" s="50"/>
      <c r="AY406" s="51"/>
      <c r="AZ406" s="51"/>
      <c r="BA406" s="51"/>
      <c r="BB406" s="51">
        <f t="shared" ref="BB406:BD406" si="404">IF(AND(ISNUMBER(Z406),COUNT(AG406,AM406,AS406,AY406)=2),Z406+SUM(AG406,AM406,AS406,AY406),"")</f>
        <v>0</v>
      </c>
      <c r="BC406" s="51">
        <f t="shared" si="404"/>
        <v>0</v>
      </c>
      <c r="BD406" s="51">
        <f t="shared" si="404"/>
        <v>0</v>
      </c>
    </row>
    <row r="407" ht="48.0" customHeight="1">
      <c r="A407" s="49" t="s">
        <v>40</v>
      </c>
      <c r="B407" s="49" t="str">
        <f t="array" ref="B407">INDEX('HD cty 2024'!B:B,MATCH('F0, F1, F2, ...'!$C407,'HD cty 2024'!B:B,0))</f>
        <v>#N/A</v>
      </c>
      <c r="C407" s="49">
        <v>503.0</v>
      </c>
      <c r="D407" s="50">
        <v>45566.0</v>
      </c>
      <c r="E407" s="51">
        <v>9.1984081E7</v>
      </c>
      <c r="F407" s="51">
        <v>7358726.0</v>
      </c>
      <c r="G407" s="51">
        <v>9.9342807E7</v>
      </c>
      <c r="H407" s="49" t="s">
        <v>414</v>
      </c>
      <c r="I407" s="52" t="s">
        <v>3769</v>
      </c>
      <c r="J407" s="50">
        <v>45807.0</v>
      </c>
      <c r="K407" s="51">
        <v>1.95974E7</v>
      </c>
      <c r="L407" s="51">
        <v>1567792.0</v>
      </c>
      <c r="M407" s="51">
        <v>2.1165192E7</v>
      </c>
      <c r="N407" s="49"/>
      <c r="O407" s="52"/>
      <c r="P407" s="50"/>
      <c r="Q407" s="51"/>
      <c r="R407" s="51"/>
      <c r="S407" s="51"/>
      <c r="T407" s="49"/>
      <c r="U407" s="52"/>
      <c r="V407" s="50"/>
      <c r="W407" s="51"/>
      <c r="X407" s="51"/>
      <c r="Y407" s="51"/>
      <c r="Z407" s="51">
        <v>1.11581481E8</v>
      </c>
      <c r="AA407" s="51">
        <v>8926518.0</v>
      </c>
      <c r="AB407" s="51">
        <v>1.20507999E8</v>
      </c>
      <c r="AC407" s="47"/>
      <c r="AD407" s="47" t="s">
        <v>3770</v>
      </c>
      <c r="AE407" s="48"/>
      <c r="AF407" s="50"/>
      <c r="AG407" s="51">
        <v>-1.95974E7</v>
      </c>
      <c r="AH407" s="51">
        <v>-1567792.0</v>
      </c>
      <c r="AI407" s="51">
        <v>-2.1165192E7</v>
      </c>
      <c r="AJ407" s="47" t="s">
        <v>3771</v>
      </c>
      <c r="AK407" s="48"/>
      <c r="AL407" s="50"/>
      <c r="AM407" s="51">
        <v>-9.1984081E7</v>
      </c>
      <c r="AN407" s="51">
        <v>-7358726.0</v>
      </c>
      <c r="AO407" s="51">
        <v>-9.9342807E7</v>
      </c>
      <c r="AP407" s="47"/>
      <c r="AQ407" s="48"/>
      <c r="AR407" s="50"/>
      <c r="AS407" s="51"/>
      <c r="AT407" s="51"/>
      <c r="AU407" s="51"/>
      <c r="AV407" s="47"/>
      <c r="AW407" s="48"/>
      <c r="AX407" s="50"/>
      <c r="AY407" s="51"/>
      <c r="AZ407" s="51"/>
      <c r="BA407" s="51"/>
      <c r="BB407" s="51">
        <f t="shared" ref="BB407:BD407" si="405">IF(AND(ISNUMBER(Z407),COUNT(AG407,AM407,AS407,AY407)=2),Z407+SUM(AG407,AM407,AS407,AY407),"")</f>
        <v>0</v>
      </c>
      <c r="BC407" s="51">
        <f t="shared" si="405"/>
        <v>0</v>
      </c>
      <c r="BD407" s="51">
        <f t="shared" si="405"/>
        <v>0</v>
      </c>
    </row>
    <row r="408" ht="48.0" customHeight="1">
      <c r="A408" s="49" t="s">
        <v>40</v>
      </c>
      <c r="B408" s="49" t="str">
        <f t="array" ref="B408">INDEX('HD cty 2024'!B:B,MATCH('F0, F1, F2, ...'!$C408,'HD cty 2024'!B:B,0))</f>
        <v>#N/A</v>
      </c>
      <c r="C408" s="49">
        <v>504.0</v>
      </c>
      <c r="D408" s="50">
        <v>45567.0</v>
      </c>
      <c r="E408" s="51">
        <v>2.4360121E7</v>
      </c>
      <c r="F408" s="51">
        <v>1948810.0</v>
      </c>
      <c r="G408" s="51">
        <v>2.6308931E7</v>
      </c>
      <c r="H408" s="49" t="s">
        <v>414</v>
      </c>
      <c r="I408" s="52" t="s">
        <v>3772</v>
      </c>
      <c r="J408" s="50">
        <v>45807.0</v>
      </c>
      <c r="K408" s="51">
        <v>2315064.0</v>
      </c>
      <c r="L408" s="51">
        <v>185205.0</v>
      </c>
      <c r="M408" s="51">
        <v>2500269.0</v>
      </c>
      <c r="N408" s="49"/>
      <c r="O408" s="52"/>
      <c r="P408" s="50"/>
      <c r="Q408" s="51"/>
      <c r="R408" s="51"/>
      <c r="S408" s="51"/>
      <c r="T408" s="49"/>
      <c r="U408" s="52"/>
      <c r="V408" s="50"/>
      <c r="W408" s="51"/>
      <c r="X408" s="51"/>
      <c r="Y408" s="51"/>
      <c r="Z408" s="51">
        <v>2.6675185E7</v>
      </c>
      <c r="AA408" s="51">
        <v>2134015.0</v>
      </c>
      <c r="AB408" s="51">
        <v>2.88092E7</v>
      </c>
      <c r="AC408" s="47"/>
      <c r="AD408" s="47" t="s">
        <v>3773</v>
      </c>
      <c r="AE408" s="48"/>
      <c r="AF408" s="50"/>
      <c r="AG408" s="51">
        <v>-2315064.0</v>
      </c>
      <c r="AH408" s="51">
        <v>-185205.0</v>
      </c>
      <c r="AI408" s="51">
        <v>-2500269.0</v>
      </c>
      <c r="AJ408" s="47" t="s">
        <v>3774</v>
      </c>
      <c r="AK408" s="48"/>
      <c r="AL408" s="50"/>
      <c r="AM408" s="51">
        <v>-2.4360121E7</v>
      </c>
      <c r="AN408" s="51">
        <v>-1948810.0</v>
      </c>
      <c r="AO408" s="51">
        <v>-2.6308931E7</v>
      </c>
      <c r="AP408" s="47"/>
      <c r="AQ408" s="48"/>
      <c r="AR408" s="50"/>
      <c r="AS408" s="51"/>
      <c r="AT408" s="51"/>
      <c r="AU408" s="51"/>
      <c r="AV408" s="47"/>
      <c r="AW408" s="48"/>
      <c r="AX408" s="50"/>
      <c r="AY408" s="51"/>
      <c r="AZ408" s="51"/>
      <c r="BA408" s="51"/>
      <c r="BB408" s="51">
        <f t="shared" ref="BB408:BD408" si="406">IF(AND(ISNUMBER(Z408),COUNT(AG408,AM408,AS408,AY408)=2),Z408+SUM(AG408,AM408,AS408,AY408),"")</f>
        <v>0</v>
      </c>
      <c r="BC408" s="51">
        <f t="shared" si="406"/>
        <v>0</v>
      </c>
      <c r="BD408" s="51">
        <f t="shared" si="406"/>
        <v>0</v>
      </c>
    </row>
    <row r="409" ht="48.0" customHeight="1">
      <c r="A409" s="49" t="s">
        <v>40</v>
      </c>
      <c r="B409" s="49" t="str">
        <f t="array" ref="B409">INDEX('HD cty 2024'!B:B,MATCH('F0, F1, F2, ...'!$C409,'HD cty 2024'!B:B,0))</f>
        <v>#N/A</v>
      </c>
      <c r="C409" s="49">
        <v>505.0</v>
      </c>
      <c r="D409" s="50">
        <v>45567.0</v>
      </c>
      <c r="E409" s="51">
        <v>2.07387173E8</v>
      </c>
      <c r="F409" s="51">
        <v>1.6590974E7</v>
      </c>
      <c r="G409" s="51">
        <v>2.23978147E8</v>
      </c>
      <c r="H409" s="49" t="s">
        <v>414</v>
      </c>
      <c r="I409" s="52" t="s">
        <v>3775</v>
      </c>
      <c r="J409" s="50">
        <v>45807.0</v>
      </c>
      <c r="K409" s="51">
        <v>2.1782827E7</v>
      </c>
      <c r="L409" s="51">
        <v>1742626.0</v>
      </c>
      <c r="M409" s="51">
        <v>2.3525453E7</v>
      </c>
      <c r="N409" s="49"/>
      <c r="O409" s="52"/>
      <c r="P409" s="50"/>
      <c r="Q409" s="51"/>
      <c r="R409" s="51"/>
      <c r="S409" s="51"/>
      <c r="T409" s="49"/>
      <c r="U409" s="52"/>
      <c r="V409" s="50"/>
      <c r="W409" s="51"/>
      <c r="X409" s="51"/>
      <c r="Y409" s="51"/>
      <c r="Z409" s="51">
        <v>2.2917E8</v>
      </c>
      <c r="AA409" s="51">
        <v>1.83336E7</v>
      </c>
      <c r="AB409" s="51">
        <v>2.475036E8</v>
      </c>
      <c r="AC409" s="47"/>
      <c r="AD409" s="47" t="s">
        <v>3776</v>
      </c>
      <c r="AE409" s="48"/>
      <c r="AF409" s="50"/>
      <c r="AG409" s="51">
        <v>-2.1782827E7</v>
      </c>
      <c r="AH409" s="51">
        <v>-1742626.0</v>
      </c>
      <c r="AI409" s="51">
        <v>-2.3525453E7</v>
      </c>
      <c r="AJ409" s="47" t="s">
        <v>3777</v>
      </c>
      <c r="AK409" s="48"/>
      <c r="AL409" s="50"/>
      <c r="AM409" s="51">
        <v>-2.07387173E8</v>
      </c>
      <c r="AN409" s="51">
        <v>-1.6590974E7</v>
      </c>
      <c r="AO409" s="51">
        <v>-2.23978147E8</v>
      </c>
      <c r="AP409" s="47"/>
      <c r="AQ409" s="48"/>
      <c r="AR409" s="50"/>
      <c r="AS409" s="51"/>
      <c r="AT409" s="51"/>
      <c r="AU409" s="51"/>
      <c r="AV409" s="47"/>
      <c r="AW409" s="48"/>
      <c r="AX409" s="50"/>
      <c r="AY409" s="51"/>
      <c r="AZ409" s="51"/>
      <c r="BA409" s="51"/>
      <c r="BB409" s="51">
        <f t="shared" ref="BB409:BD409" si="407">IF(AND(ISNUMBER(Z409),COUNT(AG409,AM409,AS409,AY409)=2),Z409+SUM(AG409,AM409,AS409,AY409),"")</f>
        <v>0</v>
      </c>
      <c r="BC409" s="51">
        <f t="shared" si="407"/>
        <v>0</v>
      </c>
      <c r="BD409" s="51">
        <f t="shared" si="407"/>
        <v>0</v>
      </c>
    </row>
    <row r="410" ht="48.0" customHeight="1">
      <c r="A410" s="49" t="s">
        <v>40</v>
      </c>
      <c r="B410" s="49" t="str">
        <f t="array" ref="B410">INDEX('HD cty 2024'!B:B,MATCH('F0, F1, F2, ...'!$C410,'HD cty 2024'!B:B,0))</f>
        <v>#N/A</v>
      </c>
      <c r="C410" s="49">
        <v>506.0</v>
      </c>
      <c r="D410" s="50">
        <v>45567.0</v>
      </c>
      <c r="E410" s="51">
        <v>1.28265253E8</v>
      </c>
      <c r="F410" s="51">
        <v>1.026122E7</v>
      </c>
      <c r="G410" s="51">
        <v>1.38526473E8</v>
      </c>
      <c r="H410" s="49" t="s">
        <v>414</v>
      </c>
      <c r="I410" s="52" t="s">
        <v>3778</v>
      </c>
      <c r="J410" s="50">
        <v>45807.0</v>
      </c>
      <c r="K410" s="51">
        <v>1.4739006E7</v>
      </c>
      <c r="L410" s="51">
        <v>1179120.0</v>
      </c>
      <c r="M410" s="51">
        <v>1.5918126E7</v>
      </c>
      <c r="N410" s="49"/>
      <c r="O410" s="52"/>
      <c r="P410" s="50"/>
      <c r="Q410" s="51"/>
      <c r="R410" s="51"/>
      <c r="S410" s="51"/>
      <c r="T410" s="49"/>
      <c r="U410" s="52"/>
      <c r="V410" s="50"/>
      <c r="W410" s="51"/>
      <c r="X410" s="51"/>
      <c r="Y410" s="51"/>
      <c r="Z410" s="51">
        <v>1.43004259E8</v>
      </c>
      <c r="AA410" s="51">
        <v>1.144034E7</v>
      </c>
      <c r="AB410" s="51">
        <v>1.54444599E8</v>
      </c>
      <c r="AC410" s="47"/>
      <c r="AD410" s="47" t="s">
        <v>3779</v>
      </c>
      <c r="AE410" s="48"/>
      <c r="AF410" s="50"/>
      <c r="AG410" s="51">
        <v>-1.4739006E7</v>
      </c>
      <c r="AH410" s="51">
        <v>-1179120.0</v>
      </c>
      <c r="AI410" s="51">
        <v>-1.5918126E7</v>
      </c>
      <c r="AJ410" s="47" t="s">
        <v>3780</v>
      </c>
      <c r="AK410" s="48"/>
      <c r="AL410" s="50"/>
      <c r="AM410" s="51">
        <v>-1.28265253E8</v>
      </c>
      <c r="AN410" s="51">
        <v>-1.026122E7</v>
      </c>
      <c r="AO410" s="51">
        <v>-1.38526473E8</v>
      </c>
      <c r="AP410" s="47"/>
      <c r="AQ410" s="48"/>
      <c r="AR410" s="50"/>
      <c r="AS410" s="51"/>
      <c r="AT410" s="51"/>
      <c r="AU410" s="51"/>
      <c r="AV410" s="47"/>
      <c r="AW410" s="48"/>
      <c r="AX410" s="50"/>
      <c r="AY410" s="51"/>
      <c r="AZ410" s="51"/>
      <c r="BA410" s="51"/>
      <c r="BB410" s="51">
        <f t="shared" ref="BB410:BD410" si="408">IF(AND(ISNUMBER(Z410),COUNT(AG410,AM410,AS410,AY410)=2),Z410+SUM(AG410,AM410,AS410,AY410),"")</f>
        <v>0</v>
      </c>
      <c r="BC410" s="51">
        <f t="shared" si="408"/>
        <v>0</v>
      </c>
      <c r="BD410" s="51">
        <f t="shared" si="408"/>
        <v>0</v>
      </c>
    </row>
    <row r="411" ht="48.0" customHeight="1">
      <c r="A411" s="49" t="s">
        <v>40</v>
      </c>
      <c r="B411" s="49" t="str">
        <f t="array" ref="B411">INDEX('HD cty 2024'!B:B,MATCH('F0, F1, F2, ...'!$C411,'HD cty 2024'!B:B,0))</f>
        <v>#N/A</v>
      </c>
      <c r="C411" s="49">
        <v>507.0</v>
      </c>
      <c r="D411" s="50">
        <v>45567.0</v>
      </c>
      <c r="E411" s="51">
        <v>1.84757706E8</v>
      </c>
      <c r="F411" s="51">
        <v>1.4780616E7</v>
      </c>
      <c r="G411" s="51">
        <v>1.99538322E8</v>
      </c>
      <c r="H411" s="49" t="s">
        <v>414</v>
      </c>
      <c r="I411" s="52" t="s">
        <v>3781</v>
      </c>
      <c r="J411" s="50">
        <v>45807.0</v>
      </c>
      <c r="K411" s="51">
        <v>1.380322E7</v>
      </c>
      <c r="L411" s="51">
        <v>1104258.0</v>
      </c>
      <c r="M411" s="51">
        <v>1.4907478E7</v>
      </c>
      <c r="N411" s="49"/>
      <c r="O411" s="52"/>
      <c r="P411" s="50"/>
      <c r="Q411" s="51"/>
      <c r="R411" s="51"/>
      <c r="S411" s="51"/>
      <c r="T411" s="49"/>
      <c r="U411" s="52"/>
      <c r="V411" s="50"/>
      <c r="W411" s="51"/>
      <c r="X411" s="51"/>
      <c r="Y411" s="51"/>
      <c r="Z411" s="51">
        <v>1.98560926E8</v>
      </c>
      <c r="AA411" s="51">
        <v>1.5884874E7</v>
      </c>
      <c r="AB411" s="51">
        <v>2.144458E8</v>
      </c>
      <c r="AC411" s="47"/>
      <c r="AD411" s="47" t="s">
        <v>3782</v>
      </c>
      <c r="AE411" s="48"/>
      <c r="AF411" s="50"/>
      <c r="AG411" s="51">
        <v>-1.380322E7</v>
      </c>
      <c r="AH411" s="51">
        <v>-1104258.0</v>
      </c>
      <c r="AI411" s="51">
        <v>-1.4907478E7</v>
      </c>
      <c r="AJ411" s="47" t="s">
        <v>3783</v>
      </c>
      <c r="AK411" s="48"/>
      <c r="AL411" s="50"/>
      <c r="AM411" s="51">
        <v>-1.84757706E8</v>
      </c>
      <c r="AN411" s="51">
        <v>-1.4780616E7</v>
      </c>
      <c r="AO411" s="51">
        <v>-1.99538322E8</v>
      </c>
      <c r="AP411" s="47"/>
      <c r="AQ411" s="48"/>
      <c r="AR411" s="50"/>
      <c r="AS411" s="51"/>
      <c r="AT411" s="51"/>
      <c r="AU411" s="51"/>
      <c r="AV411" s="47"/>
      <c r="AW411" s="48"/>
      <c r="AX411" s="50"/>
      <c r="AY411" s="51"/>
      <c r="AZ411" s="51"/>
      <c r="BA411" s="51"/>
      <c r="BB411" s="51">
        <f t="shared" ref="BB411:BD411" si="409">IF(AND(ISNUMBER(Z411),COUNT(AG411,AM411,AS411,AY411)=2),Z411+SUM(AG411,AM411,AS411,AY411),"")</f>
        <v>0</v>
      </c>
      <c r="BC411" s="51">
        <f t="shared" si="409"/>
        <v>0</v>
      </c>
      <c r="BD411" s="51">
        <f t="shared" si="409"/>
        <v>0</v>
      </c>
    </row>
    <row r="412" ht="48.0" customHeight="1">
      <c r="A412" s="49" t="s">
        <v>40</v>
      </c>
      <c r="B412" s="49" t="str">
        <f t="array" ref="B412">INDEX('HD cty 2024'!B:B,MATCH('F0, F1, F2, ...'!$C412,'HD cty 2024'!B:B,0))</f>
        <v>#N/A</v>
      </c>
      <c r="C412" s="49">
        <v>508.0</v>
      </c>
      <c r="D412" s="50">
        <v>45567.0</v>
      </c>
      <c r="E412" s="51">
        <v>1.65255627E8</v>
      </c>
      <c r="F412" s="51">
        <v>1.322045E7</v>
      </c>
      <c r="G412" s="51">
        <v>1.78476077E8</v>
      </c>
      <c r="H412" s="49" t="s">
        <v>414</v>
      </c>
      <c r="I412" s="52" t="s">
        <v>3784</v>
      </c>
      <c r="J412" s="50">
        <v>45807.0</v>
      </c>
      <c r="K412" s="51">
        <v>2.9382336E7</v>
      </c>
      <c r="L412" s="51">
        <v>2350587.0</v>
      </c>
      <c r="M412" s="51">
        <v>3.1732923E7</v>
      </c>
      <c r="N412" s="49"/>
      <c r="O412" s="52"/>
      <c r="P412" s="50"/>
      <c r="Q412" s="51"/>
      <c r="R412" s="51"/>
      <c r="S412" s="51"/>
      <c r="T412" s="49"/>
      <c r="U412" s="52"/>
      <c r="V412" s="50"/>
      <c r="W412" s="51"/>
      <c r="X412" s="51"/>
      <c r="Y412" s="51"/>
      <c r="Z412" s="51">
        <v>1.94637963E8</v>
      </c>
      <c r="AA412" s="51">
        <v>1.5571037E7</v>
      </c>
      <c r="AB412" s="51">
        <v>2.10209E8</v>
      </c>
      <c r="AC412" s="47"/>
      <c r="AD412" s="47" t="s">
        <v>3785</v>
      </c>
      <c r="AE412" s="48"/>
      <c r="AF412" s="50"/>
      <c r="AG412" s="51">
        <v>-2.9382336E7</v>
      </c>
      <c r="AH412" s="51">
        <v>-2350587.0</v>
      </c>
      <c r="AI412" s="51">
        <v>-3.1732923E7</v>
      </c>
      <c r="AJ412" s="47" t="s">
        <v>3786</v>
      </c>
      <c r="AK412" s="48"/>
      <c r="AL412" s="50"/>
      <c r="AM412" s="51">
        <v>-1.65255627E8</v>
      </c>
      <c r="AN412" s="51">
        <v>-1.322045E7</v>
      </c>
      <c r="AO412" s="51">
        <v>-1.78476077E8</v>
      </c>
      <c r="AP412" s="47"/>
      <c r="AQ412" s="48"/>
      <c r="AR412" s="50"/>
      <c r="AS412" s="51"/>
      <c r="AT412" s="51"/>
      <c r="AU412" s="51"/>
      <c r="AV412" s="47"/>
      <c r="AW412" s="48"/>
      <c r="AX412" s="50"/>
      <c r="AY412" s="51"/>
      <c r="AZ412" s="51"/>
      <c r="BA412" s="51"/>
      <c r="BB412" s="51">
        <f t="shared" ref="BB412:BD412" si="410">IF(AND(ISNUMBER(Z412),COUNT(AG412,AM412,AS412,AY412)=2),Z412+SUM(AG412,AM412,AS412,AY412),"")</f>
        <v>0</v>
      </c>
      <c r="BC412" s="51">
        <f t="shared" si="410"/>
        <v>0</v>
      </c>
      <c r="BD412" s="51">
        <f t="shared" si="410"/>
        <v>0</v>
      </c>
    </row>
    <row r="413" ht="87.0" customHeight="1">
      <c r="A413" s="49" t="s">
        <v>40</v>
      </c>
      <c r="B413" s="49" t="str">
        <f t="array" ref="B413">INDEX('HD cty 2024'!B:B,MATCH('F0, F1, F2, ...'!$C413,'HD cty 2024'!B:B,0))</f>
        <v>#N/A</v>
      </c>
      <c r="C413" s="49">
        <v>512.0</v>
      </c>
      <c r="D413" s="50">
        <v>45572.0</v>
      </c>
      <c r="E413" s="51">
        <v>1532500.0</v>
      </c>
      <c r="F413" s="51">
        <v>122600.0</v>
      </c>
      <c r="G413" s="51">
        <v>1655100.0</v>
      </c>
      <c r="H413" s="49" t="s">
        <v>414</v>
      </c>
      <c r="I413" s="52" t="s">
        <v>3787</v>
      </c>
      <c r="J413" s="50">
        <v>45807.0</v>
      </c>
      <c r="K413" s="51">
        <v>-1532500.0</v>
      </c>
      <c r="L413" s="51">
        <v>-122600.0</v>
      </c>
      <c r="M413" s="51">
        <v>-1655100.0</v>
      </c>
      <c r="N413" s="49"/>
      <c r="O413" s="52"/>
      <c r="P413" s="50"/>
      <c r="Q413" s="51"/>
      <c r="R413" s="51"/>
      <c r="S413" s="51"/>
      <c r="T413" s="49"/>
      <c r="U413" s="52"/>
      <c r="V413" s="50"/>
      <c r="W413" s="51"/>
      <c r="X413" s="51"/>
      <c r="Y413" s="51"/>
      <c r="Z413" s="51">
        <v>0.0</v>
      </c>
      <c r="AA413" s="51">
        <v>0.0</v>
      </c>
      <c r="AB413" s="51">
        <v>0.0</v>
      </c>
      <c r="AC413" s="47" t="s">
        <v>3788</v>
      </c>
      <c r="AD413" s="47" t="s">
        <v>3789</v>
      </c>
      <c r="AE413" s="48"/>
      <c r="AF413" s="50">
        <v>46304.0</v>
      </c>
      <c r="AG413" s="51">
        <v>1532500.0</v>
      </c>
      <c r="AH413" s="51">
        <v>122600.0</v>
      </c>
      <c r="AI413" s="51">
        <v>1655100.0</v>
      </c>
      <c r="AJ413" s="47" t="s">
        <v>3790</v>
      </c>
      <c r="AK413" s="48"/>
      <c r="AL413" s="50">
        <v>46304.0</v>
      </c>
      <c r="AM413" s="51">
        <v>-1532500.0</v>
      </c>
      <c r="AN413" s="51">
        <v>-122600.0</v>
      </c>
      <c r="AO413" s="51">
        <v>-1655100.0</v>
      </c>
      <c r="AP413" s="47"/>
      <c r="AQ413" s="48"/>
      <c r="AR413" s="50"/>
      <c r="AS413" s="51"/>
      <c r="AT413" s="51"/>
      <c r="AU413" s="51"/>
      <c r="AV413" s="47"/>
      <c r="AW413" s="48"/>
      <c r="AX413" s="50"/>
      <c r="AY413" s="51"/>
      <c r="AZ413" s="51"/>
      <c r="BA413" s="51"/>
      <c r="BB413" s="51">
        <f t="shared" ref="BB413:BD413" si="411">IF(AND(ISNUMBER(Z413),COUNT(AG413,AM413,AS413,AY413)=2),Z413+SUM(AG413,AM413,AS413,AY413),"")</f>
        <v>0</v>
      </c>
      <c r="BC413" s="51">
        <f t="shared" si="411"/>
        <v>0</v>
      </c>
      <c r="BD413" s="51">
        <f t="shared" si="411"/>
        <v>0</v>
      </c>
    </row>
    <row r="414" ht="48.0" customHeight="1">
      <c r="A414" s="49" t="s">
        <v>40</v>
      </c>
      <c r="B414" s="49" t="str">
        <f t="array" ref="B414">INDEX('HD cty 2024'!B:B,MATCH('F0, F1, F2, ...'!$C414,'HD cty 2024'!B:B,0))</f>
        <v>#N/A</v>
      </c>
      <c r="C414" s="49">
        <v>513.0</v>
      </c>
      <c r="D414" s="50">
        <v>45572.0</v>
      </c>
      <c r="E414" s="51">
        <v>4.7477165E7</v>
      </c>
      <c r="F414" s="51">
        <v>3798173.0</v>
      </c>
      <c r="G414" s="51">
        <v>5.1275338E7</v>
      </c>
      <c r="H414" s="49" t="s">
        <v>414</v>
      </c>
      <c r="I414" s="52" t="s">
        <v>3791</v>
      </c>
      <c r="J414" s="50">
        <v>45807.0</v>
      </c>
      <c r="K414" s="51">
        <v>5504316.0</v>
      </c>
      <c r="L414" s="51">
        <v>440345.0</v>
      </c>
      <c r="M414" s="51">
        <v>5944661.0</v>
      </c>
      <c r="N414" s="49"/>
      <c r="O414" s="52"/>
      <c r="P414" s="50"/>
      <c r="Q414" s="51"/>
      <c r="R414" s="51"/>
      <c r="S414" s="51"/>
      <c r="T414" s="49"/>
      <c r="U414" s="52"/>
      <c r="V414" s="50"/>
      <c r="W414" s="51"/>
      <c r="X414" s="51"/>
      <c r="Y414" s="51"/>
      <c r="Z414" s="51">
        <v>5.2981481E7</v>
      </c>
      <c r="AA414" s="51">
        <v>4238518.0</v>
      </c>
      <c r="AB414" s="51">
        <v>5.7219999E7</v>
      </c>
      <c r="AC414" s="47"/>
      <c r="AD414" s="47" t="s">
        <v>3792</v>
      </c>
      <c r="AE414" s="48"/>
      <c r="AF414" s="50"/>
      <c r="AG414" s="51">
        <v>-5504316.0</v>
      </c>
      <c r="AH414" s="51">
        <v>-440345.0</v>
      </c>
      <c r="AI414" s="51">
        <v>-5944661.0</v>
      </c>
      <c r="AJ414" s="47" t="s">
        <v>3793</v>
      </c>
      <c r="AK414" s="48"/>
      <c r="AL414" s="50"/>
      <c r="AM414" s="51">
        <v>-4.7477165E7</v>
      </c>
      <c r="AN414" s="51">
        <v>-3798173.0</v>
      </c>
      <c r="AO414" s="51">
        <v>-5.1275338E7</v>
      </c>
      <c r="AP414" s="47"/>
      <c r="AQ414" s="48"/>
      <c r="AR414" s="50"/>
      <c r="AS414" s="51"/>
      <c r="AT414" s="51"/>
      <c r="AU414" s="51"/>
      <c r="AV414" s="47"/>
      <c r="AW414" s="48"/>
      <c r="AX414" s="50"/>
      <c r="AY414" s="51"/>
      <c r="AZ414" s="51"/>
      <c r="BA414" s="51"/>
      <c r="BB414" s="51">
        <f t="shared" ref="BB414:BD414" si="412">IF(AND(ISNUMBER(Z414),COUNT(AG414,AM414,AS414,AY414)=2),Z414+SUM(AG414,AM414,AS414,AY414),"")</f>
        <v>0</v>
      </c>
      <c r="BC414" s="51">
        <f t="shared" si="412"/>
        <v>0</v>
      </c>
      <c r="BD414" s="51">
        <f t="shared" si="412"/>
        <v>0</v>
      </c>
    </row>
    <row r="415" ht="48.0" customHeight="1">
      <c r="A415" s="49" t="s">
        <v>40</v>
      </c>
      <c r="B415" s="49" t="str">
        <f t="array" ref="B415">INDEX('HD cty 2024'!B:B,MATCH('F0, F1, F2, ...'!$C415,'HD cty 2024'!B:B,0))</f>
        <v>#N/A</v>
      </c>
      <c r="C415" s="49">
        <v>519.0</v>
      </c>
      <c r="D415" s="50">
        <v>45580.0</v>
      </c>
      <c r="E415" s="51">
        <v>9.7905485E7</v>
      </c>
      <c r="F415" s="51">
        <v>7832439.0</v>
      </c>
      <c r="G415" s="51">
        <v>1.05737924E8</v>
      </c>
      <c r="H415" s="49" t="s">
        <v>414</v>
      </c>
      <c r="I415" s="52" t="s">
        <v>3794</v>
      </c>
      <c r="J415" s="50">
        <v>45808.0</v>
      </c>
      <c r="K415" s="51">
        <v>1.1794608E7</v>
      </c>
      <c r="L415" s="51">
        <v>943569.0</v>
      </c>
      <c r="M415" s="51">
        <v>1.2738177E7</v>
      </c>
      <c r="N415" s="49"/>
      <c r="O415" s="52"/>
      <c r="P415" s="50"/>
      <c r="Q415" s="51"/>
      <c r="R415" s="51"/>
      <c r="S415" s="51"/>
      <c r="T415" s="49"/>
      <c r="U415" s="52"/>
      <c r="V415" s="50"/>
      <c r="W415" s="51"/>
      <c r="X415" s="51"/>
      <c r="Y415" s="51"/>
      <c r="Z415" s="51">
        <v>1.09700093E8</v>
      </c>
      <c r="AA415" s="51">
        <v>8776008.0</v>
      </c>
      <c r="AB415" s="51">
        <v>1.18476101E8</v>
      </c>
      <c r="AC415" s="47"/>
      <c r="AD415" s="47" t="s">
        <v>3795</v>
      </c>
      <c r="AE415" s="48"/>
      <c r="AF415" s="50"/>
      <c r="AG415" s="51">
        <v>-1.1794608E7</v>
      </c>
      <c r="AH415" s="51">
        <v>-943569.0</v>
      </c>
      <c r="AI415" s="51">
        <v>-1.2738177E7</v>
      </c>
      <c r="AJ415" s="47" t="s">
        <v>3796</v>
      </c>
      <c r="AK415" s="48"/>
      <c r="AL415" s="50"/>
      <c r="AM415" s="51">
        <v>-9.7905485E7</v>
      </c>
      <c r="AN415" s="51">
        <v>-7832439.0</v>
      </c>
      <c r="AO415" s="51">
        <v>-1.05737924E8</v>
      </c>
      <c r="AP415" s="47"/>
      <c r="AQ415" s="48"/>
      <c r="AR415" s="50"/>
      <c r="AS415" s="51"/>
      <c r="AT415" s="51"/>
      <c r="AU415" s="51"/>
      <c r="AV415" s="47"/>
      <c r="AW415" s="48"/>
      <c r="AX415" s="50"/>
      <c r="AY415" s="51"/>
      <c r="AZ415" s="51"/>
      <c r="BA415" s="51"/>
      <c r="BB415" s="51">
        <f t="shared" ref="BB415:BD415" si="413">IF(AND(ISNUMBER(Z415),COUNT(AG415,AM415,AS415,AY415)=2),Z415+SUM(AG415,AM415,AS415,AY415),"")</f>
        <v>0</v>
      </c>
      <c r="BC415" s="51">
        <f t="shared" si="413"/>
        <v>0</v>
      </c>
      <c r="BD415" s="51">
        <f t="shared" si="413"/>
        <v>0</v>
      </c>
    </row>
    <row r="416" ht="48.0" customHeight="1">
      <c r="A416" s="49" t="s">
        <v>40</v>
      </c>
      <c r="B416" s="49" t="str">
        <f t="array" ref="B416">INDEX('HD cty 2024'!B:B,MATCH('F0, F1, F2, ...'!$C416,'HD cty 2024'!B:B,0))</f>
        <v>#N/A</v>
      </c>
      <c r="C416" s="49">
        <v>520.0</v>
      </c>
      <c r="D416" s="50">
        <v>45580.0</v>
      </c>
      <c r="E416" s="51">
        <v>2.11194704E8</v>
      </c>
      <c r="F416" s="51">
        <v>1.6895576E7</v>
      </c>
      <c r="G416" s="51">
        <v>2.2809028E8</v>
      </c>
      <c r="H416" s="49" t="s">
        <v>414</v>
      </c>
      <c r="I416" s="52" t="s">
        <v>3797</v>
      </c>
      <c r="J416" s="50">
        <v>45807.0</v>
      </c>
      <c r="K416" s="51">
        <v>4.6276592E7</v>
      </c>
      <c r="L416" s="51">
        <v>3702127.0</v>
      </c>
      <c r="M416" s="51">
        <v>4.9978719E7</v>
      </c>
      <c r="N416" s="49"/>
      <c r="O416" s="52"/>
      <c r="P416" s="50"/>
      <c r="Q416" s="51"/>
      <c r="R416" s="51"/>
      <c r="S416" s="51"/>
      <c r="T416" s="49"/>
      <c r="U416" s="52"/>
      <c r="V416" s="50"/>
      <c r="W416" s="51"/>
      <c r="X416" s="51"/>
      <c r="Y416" s="51"/>
      <c r="Z416" s="51">
        <v>2.57471296E8</v>
      </c>
      <c r="AA416" s="51">
        <v>2.0597703E7</v>
      </c>
      <c r="AB416" s="51">
        <v>2.78068999E8</v>
      </c>
      <c r="AC416" s="47"/>
      <c r="AD416" s="47" t="s">
        <v>3798</v>
      </c>
      <c r="AE416" s="48"/>
      <c r="AF416" s="50"/>
      <c r="AG416" s="51">
        <v>-4.6276592E7</v>
      </c>
      <c r="AH416" s="51">
        <v>-3702127.0</v>
      </c>
      <c r="AI416" s="51">
        <v>-4.9978719E7</v>
      </c>
      <c r="AJ416" s="47" t="s">
        <v>3799</v>
      </c>
      <c r="AK416" s="48"/>
      <c r="AL416" s="50"/>
      <c r="AM416" s="51">
        <v>-2.11194704E8</v>
      </c>
      <c r="AN416" s="51">
        <v>-1.6895576E7</v>
      </c>
      <c r="AO416" s="51">
        <v>-2.2809028E8</v>
      </c>
      <c r="AP416" s="47"/>
      <c r="AQ416" s="48"/>
      <c r="AR416" s="50"/>
      <c r="AS416" s="51"/>
      <c r="AT416" s="51"/>
      <c r="AU416" s="51"/>
      <c r="AV416" s="47"/>
      <c r="AW416" s="48"/>
      <c r="AX416" s="50"/>
      <c r="AY416" s="51"/>
      <c r="AZ416" s="51"/>
      <c r="BA416" s="51"/>
      <c r="BB416" s="51">
        <f t="shared" ref="BB416:BD416" si="414">IF(AND(ISNUMBER(Z416),COUNT(AG416,AM416,AS416,AY416)=2),Z416+SUM(AG416,AM416,AS416,AY416),"")</f>
        <v>0</v>
      </c>
      <c r="BC416" s="51">
        <f t="shared" si="414"/>
        <v>0</v>
      </c>
      <c r="BD416" s="51">
        <f t="shared" si="414"/>
        <v>0</v>
      </c>
    </row>
    <row r="417" ht="102.0" customHeight="1">
      <c r="A417" s="49" t="s">
        <v>40</v>
      </c>
      <c r="B417" s="49" t="str">
        <f t="array" ref="B417">INDEX('HD cty 2024'!B:B,MATCH('F0, F1, F2, ...'!$C417,'HD cty 2024'!B:B,0))</f>
        <v>#N/A</v>
      </c>
      <c r="C417" s="49">
        <v>521.0</v>
      </c>
      <c r="D417" s="50">
        <v>45580.0</v>
      </c>
      <c r="E417" s="51">
        <v>2479629.0</v>
      </c>
      <c r="F417" s="51">
        <v>198370.0</v>
      </c>
      <c r="G417" s="51">
        <v>2677999.0</v>
      </c>
      <c r="H417" s="49" t="s">
        <v>414</v>
      </c>
      <c r="I417" s="52" t="s">
        <v>3800</v>
      </c>
      <c r="J417" s="50">
        <v>45807.0</v>
      </c>
      <c r="K417" s="51">
        <v>-2479629.0</v>
      </c>
      <c r="L417" s="51">
        <v>-198370.0</v>
      </c>
      <c r="M417" s="51">
        <v>-2677999.0</v>
      </c>
      <c r="N417" s="49"/>
      <c r="O417" s="52"/>
      <c r="P417" s="50"/>
      <c r="Q417" s="51"/>
      <c r="R417" s="51"/>
      <c r="S417" s="51"/>
      <c r="T417" s="49"/>
      <c r="U417" s="52"/>
      <c r="V417" s="50"/>
      <c r="W417" s="51"/>
      <c r="X417" s="51"/>
      <c r="Y417" s="51"/>
      <c r="Z417" s="51">
        <v>0.0</v>
      </c>
      <c r="AA417" s="51">
        <v>0.0</v>
      </c>
      <c r="AB417" s="51">
        <v>0.0</v>
      </c>
      <c r="AC417" s="47" t="s">
        <v>3801</v>
      </c>
      <c r="AD417" s="47" t="s">
        <v>3802</v>
      </c>
      <c r="AE417" s="48"/>
      <c r="AF417" s="50">
        <v>46304.0</v>
      </c>
      <c r="AG417" s="51">
        <v>2479629.0</v>
      </c>
      <c r="AH417" s="51">
        <v>198370.0</v>
      </c>
      <c r="AI417" s="51">
        <v>2677999.0</v>
      </c>
      <c r="AJ417" s="47" t="s">
        <v>3803</v>
      </c>
      <c r="AK417" s="48"/>
      <c r="AL417" s="50">
        <v>46304.0</v>
      </c>
      <c r="AM417" s="51">
        <v>-2479629.0</v>
      </c>
      <c r="AN417" s="51">
        <v>-198370.0</v>
      </c>
      <c r="AO417" s="51">
        <v>-2677999.0</v>
      </c>
      <c r="AP417" s="47"/>
      <c r="AQ417" s="48"/>
      <c r="AR417" s="50"/>
      <c r="AS417" s="51"/>
      <c r="AT417" s="51"/>
      <c r="AU417" s="51"/>
      <c r="AV417" s="47"/>
      <c r="AW417" s="48"/>
      <c r="AX417" s="50"/>
      <c r="AY417" s="51"/>
      <c r="AZ417" s="51"/>
      <c r="BA417" s="51"/>
      <c r="BB417" s="51">
        <f t="shared" ref="BB417:BD417" si="415">IF(AND(ISNUMBER(Z417),COUNT(AG417,AM417,AS417,AY417)=2),Z417+SUM(AG417,AM417,AS417,AY417),"")</f>
        <v>0</v>
      </c>
      <c r="BC417" s="51">
        <f t="shared" si="415"/>
        <v>0</v>
      </c>
      <c r="BD417" s="51">
        <f t="shared" si="415"/>
        <v>0</v>
      </c>
    </row>
    <row r="418" ht="48.0" customHeight="1">
      <c r="A418" s="49" t="s">
        <v>40</v>
      </c>
      <c r="B418" s="49" t="str">
        <f t="array" ref="B418">INDEX('HD cty 2024'!B:B,MATCH('F0, F1, F2, ...'!$C418,'HD cty 2024'!B:B,0))</f>
        <v>#N/A</v>
      </c>
      <c r="C418" s="49">
        <v>522.0</v>
      </c>
      <c r="D418" s="50">
        <v>45580.0</v>
      </c>
      <c r="E418" s="51">
        <v>3800858.0</v>
      </c>
      <c r="F418" s="51">
        <v>304069.0</v>
      </c>
      <c r="G418" s="51">
        <v>4104927.0</v>
      </c>
      <c r="H418" s="49" t="s">
        <v>414</v>
      </c>
      <c r="I418" s="52" t="s">
        <v>3804</v>
      </c>
      <c r="J418" s="50">
        <v>45808.0</v>
      </c>
      <c r="K418" s="51">
        <v>-61458.0</v>
      </c>
      <c r="L418" s="51">
        <v>-4917.0</v>
      </c>
      <c r="M418" s="51">
        <v>-66375.0</v>
      </c>
      <c r="N418" s="49"/>
      <c r="O418" s="52"/>
      <c r="P418" s="50"/>
      <c r="Q418" s="51"/>
      <c r="R418" s="51"/>
      <c r="S418" s="51"/>
      <c r="T418" s="49"/>
      <c r="U418" s="52"/>
      <c r="V418" s="50"/>
      <c r="W418" s="51"/>
      <c r="X418" s="51"/>
      <c r="Y418" s="51"/>
      <c r="Z418" s="51">
        <v>3739400.0</v>
      </c>
      <c r="AA418" s="51">
        <v>299152.0</v>
      </c>
      <c r="AB418" s="51">
        <v>4038552.0</v>
      </c>
      <c r="AC418" s="47"/>
      <c r="AD418" s="47" t="s">
        <v>3805</v>
      </c>
      <c r="AE418" s="48"/>
      <c r="AF418" s="50"/>
      <c r="AG418" s="51">
        <v>61458.0</v>
      </c>
      <c r="AH418" s="51">
        <v>4917.0</v>
      </c>
      <c r="AI418" s="51">
        <v>66375.0</v>
      </c>
      <c r="AJ418" s="47" t="s">
        <v>3806</v>
      </c>
      <c r="AK418" s="48"/>
      <c r="AL418" s="50"/>
      <c r="AM418" s="51">
        <v>-3800858.0</v>
      </c>
      <c r="AN418" s="51">
        <v>-304069.0</v>
      </c>
      <c r="AO418" s="51">
        <v>-4104927.0</v>
      </c>
      <c r="AP418" s="47"/>
      <c r="AQ418" s="48"/>
      <c r="AR418" s="50"/>
      <c r="AS418" s="51"/>
      <c r="AT418" s="51"/>
      <c r="AU418" s="51"/>
      <c r="AV418" s="47"/>
      <c r="AW418" s="48"/>
      <c r="AX418" s="50"/>
      <c r="AY418" s="51"/>
      <c r="AZ418" s="51"/>
      <c r="BA418" s="51"/>
      <c r="BB418" s="51">
        <f t="shared" ref="BB418:BD418" si="416">IF(AND(ISNUMBER(Z418),COUNT(AG418,AM418,AS418,AY418)=2),Z418+SUM(AG418,AM418,AS418,AY418),"")</f>
        <v>0</v>
      </c>
      <c r="BC418" s="51">
        <f t="shared" si="416"/>
        <v>0</v>
      </c>
      <c r="BD418" s="51">
        <f t="shared" si="416"/>
        <v>0</v>
      </c>
    </row>
    <row r="419" ht="48.0" customHeight="1">
      <c r="A419" s="49" t="s">
        <v>40</v>
      </c>
      <c r="B419" s="49" t="str">
        <f t="array" ref="B419">INDEX('HD cty 2024'!B:B,MATCH('F0, F1, F2, ...'!$C419,'HD cty 2024'!B:B,0))</f>
        <v>#N/A</v>
      </c>
      <c r="C419" s="49">
        <v>525.0</v>
      </c>
      <c r="D419" s="50">
        <v>45581.0</v>
      </c>
      <c r="E419" s="51">
        <v>1146296.0</v>
      </c>
      <c r="F419" s="51">
        <v>91704.0</v>
      </c>
      <c r="G419" s="51">
        <v>1238000.0</v>
      </c>
      <c r="H419" s="49" t="s">
        <v>414</v>
      </c>
      <c r="I419" s="52" t="s">
        <v>3807</v>
      </c>
      <c r="J419" s="50">
        <v>45807.0</v>
      </c>
      <c r="K419" s="51">
        <v>92593.0</v>
      </c>
      <c r="L419" s="51">
        <v>7407.0</v>
      </c>
      <c r="M419" s="51">
        <v>100000.0</v>
      </c>
      <c r="N419" s="49"/>
      <c r="O419" s="52"/>
      <c r="P419" s="50"/>
      <c r="Q419" s="51"/>
      <c r="R419" s="51"/>
      <c r="S419" s="51"/>
      <c r="T419" s="49"/>
      <c r="U419" s="52"/>
      <c r="V419" s="50"/>
      <c r="W419" s="51"/>
      <c r="X419" s="51"/>
      <c r="Y419" s="51"/>
      <c r="Z419" s="51">
        <v>1238889.0</v>
      </c>
      <c r="AA419" s="51">
        <v>99111.0</v>
      </c>
      <c r="AB419" s="51">
        <v>1338000.0</v>
      </c>
      <c r="AC419" s="47"/>
      <c r="AD419" s="47" t="s">
        <v>3808</v>
      </c>
      <c r="AE419" s="48"/>
      <c r="AF419" s="50"/>
      <c r="AG419" s="51">
        <v>-92593.0</v>
      </c>
      <c r="AH419" s="51">
        <v>-7407.0</v>
      </c>
      <c r="AI419" s="51">
        <v>-100000.0</v>
      </c>
      <c r="AJ419" s="47" t="s">
        <v>3809</v>
      </c>
      <c r="AK419" s="48"/>
      <c r="AL419" s="50"/>
      <c r="AM419" s="51">
        <v>-1146296.0</v>
      </c>
      <c r="AN419" s="51">
        <v>-91704.0</v>
      </c>
      <c r="AO419" s="51">
        <v>-1238000.0</v>
      </c>
      <c r="AP419" s="47"/>
      <c r="AQ419" s="48"/>
      <c r="AR419" s="50"/>
      <c r="AS419" s="51"/>
      <c r="AT419" s="51"/>
      <c r="AU419" s="51"/>
      <c r="AV419" s="47"/>
      <c r="AW419" s="48"/>
      <c r="AX419" s="50"/>
      <c r="AY419" s="51"/>
      <c r="AZ419" s="51"/>
      <c r="BA419" s="51"/>
      <c r="BB419" s="51">
        <f t="shared" ref="BB419:BD419" si="417">IF(AND(ISNUMBER(Z419),COUNT(AG419,AM419,AS419,AY419)=2),Z419+SUM(AG419,AM419,AS419,AY419),"")</f>
        <v>0</v>
      </c>
      <c r="BC419" s="51">
        <f t="shared" si="417"/>
        <v>0</v>
      </c>
      <c r="BD419" s="51">
        <f t="shared" si="417"/>
        <v>0</v>
      </c>
    </row>
    <row r="420" ht="48.0" customHeight="1">
      <c r="A420" s="49" t="s">
        <v>40</v>
      </c>
      <c r="B420" s="49" t="str">
        <f t="array" ref="B420">INDEX('HD cty 2024'!B:B,MATCH('F0, F1, F2, ...'!$C420,'HD cty 2024'!B:B,0))</f>
        <v>#N/A</v>
      </c>
      <c r="C420" s="49">
        <v>532.0</v>
      </c>
      <c r="D420" s="50">
        <v>45586.0</v>
      </c>
      <c r="E420" s="51">
        <v>1.55101592E8</v>
      </c>
      <c r="F420" s="51">
        <v>1.2408127E7</v>
      </c>
      <c r="G420" s="51">
        <v>1.67509719E8</v>
      </c>
      <c r="H420" s="49" t="s">
        <v>414</v>
      </c>
      <c r="I420" s="52" t="s">
        <v>3810</v>
      </c>
      <c r="J420" s="50">
        <v>45807.0</v>
      </c>
      <c r="K420" s="51">
        <v>1.0097482E7</v>
      </c>
      <c r="L420" s="51">
        <v>807799.0</v>
      </c>
      <c r="M420" s="51">
        <v>1.0905281E7</v>
      </c>
      <c r="N420" s="49"/>
      <c r="O420" s="52"/>
      <c r="P420" s="50"/>
      <c r="Q420" s="51"/>
      <c r="R420" s="51"/>
      <c r="S420" s="51"/>
      <c r="T420" s="49"/>
      <c r="U420" s="52"/>
      <c r="V420" s="50"/>
      <c r="W420" s="51"/>
      <c r="X420" s="51"/>
      <c r="Y420" s="51"/>
      <c r="Z420" s="51">
        <v>1.65199074E8</v>
      </c>
      <c r="AA420" s="51">
        <v>1.3215926E7</v>
      </c>
      <c r="AB420" s="51">
        <v>1.78415E8</v>
      </c>
      <c r="AC420" s="47"/>
      <c r="AD420" s="47" t="s">
        <v>3811</v>
      </c>
      <c r="AE420" s="48"/>
      <c r="AF420" s="50"/>
      <c r="AG420" s="51">
        <v>-1.0097482E7</v>
      </c>
      <c r="AH420" s="51">
        <v>-807799.0</v>
      </c>
      <c r="AI420" s="51">
        <v>-1.0905281E7</v>
      </c>
      <c r="AJ420" s="47" t="s">
        <v>3812</v>
      </c>
      <c r="AK420" s="48"/>
      <c r="AL420" s="50"/>
      <c r="AM420" s="51">
        <v>-1.55101592E8</v>
      </c>
      <c r="AN420" s="51">
        <v>-1.2408127E7</v>
      </c>
      <c r="AO420" s="51">
        <v>-1.67509719E8</v>
      </c>
      <c r="AP420" s="47"/>
      <c r="AQ420" s="48"/>
      <c r="AR420" s="50"/>
      <c r="AS420" s="51"/>
      <c r="AT420" s="51"/>
      <c r="AU420" s="51"/>
      <c r="AV420" s="47"/>
      <c r="AW420" s="48"/>
      <c r="AX420" s="50"/>
      <c r="AY420" s="51"/>
      <c r="AZ420" s="51"/>
      <c r="BA420" s="51"/>
      <c r="BB420" s="51">
        <f t="shared" ref="BB420:BD420" si="418">IF(AND(ISNUMBER(Z420),COUNT(AG420,AM420,AS420,AY420)=2),Z420+SUM(AG420,AM420,AS420,AY420),"")</f>
        <v>0</v>
      </c>
      <c r="BC420" s="51">
        <f t="shared" si="418"/>
        <v>0</v>
      </c>
      <c r="BD420" s="51">
        <f t="shared" si="418"/>
        <v>0</v>
      </c>
    </row>
    <row r="421" ht="48.0" customHeight="1">
      <c r="A421" s="49" t="s">
        <v>40</v>
      </c>
      <c r="B421" s="49" t="str">
        <f t="array" ref="B421">INDEX('HD cty 2024'!B:B,MATCH('F0, F1, F2, ...'!$C421,'HD cty 2024'!B:B,0))</f>
        <v>#N/A</v>
      </c>
      <c r="C421" s="49">
        <v>533.0</v>
      </c>
      <c r="D421" s="50">
        <v>45586.0</v>
      </c>
      <c r="E421" s="51">
        <v>2313764.0</v>
      </c>
      <c r="F421" s="51">
        <v>185101.0</v>
      </c>
      <c r="G421" s="51">
        <v>2498865.0</v>
      </c>
      <c r="H421" s="49" t="s">
        <v>414</v>
      </c>
      <c r="I421" s="52" t="s">
        <v>3813</v>
      </c>
      <c r="J421" s="50">
        <v>45807.0</v>
      </c>
      <c r="K421" s="51">
        <v>138295.0</v>
      </c>
      <c r="L421" s="51">
        <v>11064.0</v>
      </c>
      <c r="M421" s="51">
        <v>149359.0</v>
      </c>
      <c r="N421" s="49"/>
      <c r="O421" s="52"/>
      <c r="P421" s="50"/>
      <c r="Q421" s="51"/>
      <c r="R421" s="51"/>
      <c r="S421" s="51"/>
      <c r="T421" s="49"/>
      <c r="U421" s="52"/>
      <c r="V421" s="50"/>
      <c r="W421" s="51"/>
      <c r="X421" s="51"/>
      <c r="Y421" s="51"/>
      <c r="Z421" s="51">
        <v>2452059.0</v>
      </c>
      <c r="AA421" s="51">
        <v>196165.0</v>
      </c>
      <c r="AB421" s="51">
        <v>2648224.0</v>
      </c>
      <c r="AC421" s="47"/>
      <c r="AD421" s="47" t="s">
        <v>3814</v>
      </c>
      <c r="AE421" s="48"/>
      <c r="AF421" s="50"/>
      <c r="AG421" s="51">
        <v>-138295.0</v>
      </c>
      <c r="AH421" s="51">
        <v>-11064.0</v>
      </c>
      <c r="AI421" s="51">
        <v>-149359.0</v>
      </c>
      <c r="AJ421" s="47" t="s">
        <v>3815</v>
      </c>
      <c r="AK421" s="48"/>
      <c r="AL421" s="50"/>
      <c r="AM421" s="51">
        <v>-2313764.0</v>
      </c>
      <c r="AN421" s="51">
        <v>-185101.0</v>
      </c>
      <c r="AO421" s="51">
        <v>-2498865.0</v>
      </c>
      <c r="AP421" s="47"/>
      <c r="AQ421" s="48"/>
      <c r="AR421" s="50"/>
      <c r="AS421" s="51"/>
      <c r="AT421" s="51"/>
      <c r="AU421" s="51"/>
      <c r="AV421" s="47"/>
      <c r="AW421" s="48"/>
      <c r="AX421" s="50"/>
      <c r="AY421" s="51"/>
      <c r="AZ421" s="51"/>
      <c r="BA421" s="51"/>
      <c r="BB421" s="51">
        <f t="shared" ref="BB421:BD421" si="419">IF(AND(ISNUMBER(Z421),COUNT(AG421,AM421,AS421,AY421)=2),Z421+SUM(AG421,AM421,AS421,AY421),"")</f>
        <v>0</v>
      </c>
      <c r="BC421" s="51">
        <f t="shared" si="419"/>
        <v>0</v>
      </c>
      <c r="BD421" s="51">
        <f t="shared" si="419"/>
        <v>0</v>
      </c>
    </row>
    <row r="422" ht="90.0" customHeight="1">
      <c r="A422" s="49" t="s">
        <v>40</v>
      </c>
      <c r="B422" s="49" t="str">
        <f t="array" ref="B422">INDEX('HD cty 2024'!B:B,MATCH('F0, F1, F2, ...'!$C422,'HD cty 2024'!B:B,0))</f>
        <v>#N/A</v>
      </c>
      <c r="C422" s="49">
        <v>535.0</v>
      </c>
      <c r="D422" s="50">
        <v>45587.0</v>
      </c>
      <c r="E422" s="51">
        <v>1.80276018E8</v>
      </c>
      <c r="F422" s="51">
        <v>1.4422081E7</v>
      </c>
      <c r="G422" s="51">
        <v>1.94698099E8</v>
      </c>
      <c r="H422" s="49" t="s">
        <v>414</v>
      </c>
      <c r="I422" s="52" t="s">
        <v>3816</v>
      </c>
      <c r="J422" s="50">
        <v>45807.0</v>
      </c>
      <c r="K422" s="51">
        <v>3.9194352E7</v>
      </c>
      <c r="L422" s="51">
        <v>3135548.0</v>
      </c>
      <c r="M422" s="51">
        <v>4.2329E7</v>
      </c>
      <c r="N422" s="49"/>
      <c r="O422" s="52"/>
      <c r="P422" s="50"/>
      <c r="Q422" s="51"/>
      <c r="R422" s="51"/>
      <c r="S422" s="51"/>
      <c r="T422" s="49"/>
      <c r="U422" s="52"/>
      <c r="V422" s="50"/>
      <c r="W422" s="51"/>
      <c r="X422" s="51"/>
      <c r="Y422" s="51"/>
      <c r="Z422" s="51">
        <v>2.1947037E8</v>
      </c>
      <c r="AA422" s="51">
        <v>1.7557629E7</v>
      </c>
      <c r="AB422" s="51">
        <v>2.37027099E8</v>
      </c>
      <c r="AC422" s="47" t="s">
        <v>2776</v>
      </c>
      <c r="AD422" s="47" t="s">
        <v>3817</v>
      </c>
      <c r="AE422" s="48"/>
      <c r="AF422" s="50">
        <v>46307.0</v>
      </c>
      <c r="AG422" s="51">
        <v>-3.9194352E7</v>
      </c>
      <c r="AH422" s="51">
        <v>-3135548.0</v>
      </c>
      <c r="AI422" s="51">
        <v>-4.2329E7</v>
      </c>
      <c r="AJ422" s="47" t="s">
        <v>3818</v>
      </c>
      <c r="AK422" s="48"/>
      <c r="AL422" s="50">
        <v>46307.0</v>
      </c>
      <c r="AM422" s="51">
        <v>-1.80276018E8</v>
      </c>
      <c r="AN422" s="51">
        <v>-1.4422081E7</v>
      </c>
      <c r="AO422" s="51">
        <v>-1.94698099E8</v>
      </c>
      <c r="AP422" s="47"/>
      <c r="AQ422" s="48"/>
      <c r="AR422" s="50"/>
      <c r="AS422" s="51"/>
      <c r="AT422" s="51"/>
      <c r="AU422" s="51"/>
      <c r="AV422" s="47"/>
      <c r="AW422" s="48"/>
      <c r="AX422" s="50"/>
      <c r="AY422" s="51"/>
      <c r="AZ422" s="51"/>
      <c r="BA422" s="51"/>
      <c r="BB422" s="51">
        <f t="shared" ref="BB422:BD422" si="420">IF(AND(ISNUMBER(Z422),COUNT(AG422,AM422,AS422,AY422)=2),Z422+SUM(AG422,AM422,AS422,AY422),"")</f>
        <v>0</v>
      </c>
      <c r="BC422" s="51">
        <f t="shared" si="420"/>
        <v>0</v>
      </c>
      <c r="BD422" s="51">
        <f t="shared" si="420"/>
        <v>0</v>
      </c>
    </row>
    <row r="423" ht="48.0" customHeight="1">
      <c r="A423" s="49" t="s">
        <v>40</v>
      </c>
      <c r="B423" s="49" t="str">
        <f t="array" ref="B423">INDEX('HD cty 2024'!B:B,MATCH('F0, F1, F2, ...'!$C423,'HD cty 2024'!B:B,0))</f>
        <v>#N/A</v>
      </c>
      <c r="C423" s="49">
        <v>536.0</v>
      </c>
      <c r="D423" s="50">
        <v>45587.0</v>
      </c>
      <c r="E423" s="51">
        <v>1.28957321E8</v>
      </c>
      <c r="F423" s="51">
        <v>1.0316586E7</v>
      </c>
      <c r="G423" s="51">
        <v>1.39273907E8</v>
      </c>
      <c r="H423" s="49" t="s">
        <v>414</v>
      </c>
      <c r="I423" s="52" t="s">
        <v>3819</v>
      </c>
      <c r="J423" s="50">
        <v>45807.0</v>
      </c>
      <c r="K423" s="51">
        <v>1.9981568E7</v>
      </c>
      <c r="L423" s="51">
        <v>1598525.0</v>
      </c>
      <c r="M423" s="51">
        <v>2.1580093E7</v>
      </c>
      <c r="N423" s="49"/>
      <c r="O423" s="52"/>
      <c r="P423" s="50"/>
      <c r="Q423" s="51"/>
      <c r="R423" s="51"/>
      <c r="S423" s="51"/>
      <c r="T423" s="49"/>
      <c r="U423" s="52"/>
      <c r="V423" s="50"/>
      <c r="W423" s="51"/>
      <c r="X423" s="51"/>
      <c r="Y423" s="51"/>
      <c r="Z423" s="51">
        <v>1.48938889E8</v>
      </c>
      <c r="AA423" s="51">
        <v>1.1915111E7</v>
      </c>
      <c r="AB423" s="51">
        <v>1.60854E8</v>
      </c>
      <c r="AC423" s="47"/>
      <c r="AD423" s="47" t="s">
        <v>3820</v>
      </c>
      <c r="AE423" s="48"/>
      <c r="AF423" s="50"/>
      <c r="AG423" s="51">
        <v>-1.9981568E7</v>
      </c>
      <c r="AH423" s="51">
        <v>-1598525.0</v>
      </c>
      <c r="AI423" s="51">
        <v>-2.1580093E7</v>
      </c>
      <c r="AJ423" s="47" t="s">
        <v>3821</v>
      </c>
      <c r="AK423" s="48"/>
      <c r="AL423" s="50"/>
      <c r="AM423" s="51">
        <v>-1.28957321E8</v>
      </c>
      <c r="AN423" s="51">
        <v>-1.0316586E7</v>
      </c>
      <c r="AO423" s="51">
        <v>-1.39273907E8</v>
      </c>
      <c r="AP423" s="47"/>
      <c r="AQ423" s="48"/>
      <c r="AR423" s="50"/>
      <c r="AS423" s="51"/>
      <c r="AT423" s="51"/>
      <c r="AU423" s="51"/>
      <c r="AV423" s="47"/>
      <c r="AW423" s="48"/>
      <c r="AX423" s="50"/>
      <c r="AY423" s="51"/>
      <c r="AZ423" s="51"/>
      <c r="BA423" s="51"/>
      <c r="BB423" s="51">
        <f t="shared" ref="BB423:BD423" si="421">IF(AND(ISNUMBER(Z423),COUNT(AG423,AM423,AS423,AY423)=2),Z423+SUM(AG423,AM423,AS423,AY423),"")</f>
        <v>0</v>
      </c>
      <c r="BC423" s="51">
        <f t="shared" si="421"/>
        <v>0</v>
      </c>
      <c r="BD423" s="51">
        <f t="shared" si="421"/>
        <v>0</v>
      </c>
    </row>
    <row r="424" ht="48.0" customHeight="1">
      <c r="A424" s="49" t="s">
        <v>40</v>
      </c>
      <c r="B424" s="49" t="str">
        <f t="array" ref="B424">INDEX('HD cty 2024'!B:B,MATCH('F0, F1, F2, ...'!$C424,'HD cty 2024'!B:B,0))</f>
        <v>#N/A</v>
      </c>
      <c r="C424" s="49">
        <v>537.0</v>
      </c>
      <c r="D424" s="50">
        <v>45587.0</v>
      </c>
      <c r="E424" s="51">
        <v>7.0297649E7</v>
      </c>
      <c r="F424" s="51">
        <v>5623812.0</v>
      </c>
      <c r="G424" s="51">
        <v>7.5921461E7</v>
      </c>
      <c r="H424" s="49" t="s">
        <v>414</v>
      </c>
      <c r="I424" s="52" t="s">
        <v>3822</v>
      </c>
      <c r="J424" s="50">
        <v>45807.0</v>
      </c>
      <c r="K424" s="51">
        <v>8311610.0</v>
      </c>
      <c r="L424" s="51">
        <v>664929.0</v>
      </c>
      <c r="M424" s="51">
        <v>8976539.0</v>
      </c>
      <c r="N424" s="49"/>
      <c r="O424" s="52"/>
      <c r="P424" s="50"/>
      <c r="Q424" s="51"/>
      <c r="R424" s="51"/>
      <c r="S424" s="51"/>
      <c r="T424" s="49"/>
      <c r="U424" s="52"/>
      <c r="V424" s="50"/>
      <c r="W424" s="51"/>
      <c r="X424" s="51"/>
      <c r="Y424" s="51"/>
      <c r="Z424" s="51">
        <v>7.8609259E7</v>
      </c>
      <c r="AA424" s="51">
        <v>6288741.0</v>
      </c>
      <c r="AB424" s="51">
        <v>8.4898E7</v>
      </c>
      <c r="AC424" s="47"/>
      <c r="AD424" s="47" t="s">
        <v>3823</v>
      </c>
      <c r="AE424" s="48"/>
      <c r="AF424" s="50"/>
      <c r="AG424" s="51">
        <v>-8311610.0</v>
      </c>
      <c r="AH424" s="51">
        <v>-664929.0</v>
      </c>
      <c r="AI424" s="51">
        <v>-8976539.0</v>
      </c>
      <c r="AJ424" s="47" t="s">
        <v>3824</v>
      </c>
      <c r="AK424" s="48"/>
      <c r="AL424" s="50"/>
      <c r="AM424" s="51">
        <v>-7.0297649E7</v>
      </c>
      <c r="AN424" s="51">
        <v>-5623812.0</v>
      </c>
      <c r="AO424" s="51">
        <v>-7.5921461E7</v>
      </c>
      <c r="AP424" s="47"/>
      <c r="AQ424" s="48"/>
      <c r="AR424" s="50"/>
      <c r="AS424" s="51"/>
      <c r="AT424" s="51"/>
      <c r="AU424" s="51"/>
      <c r="AV424" s="47"/>
      <c r="AW424" s="48"/>
      <c r="AX424" s="50"/>
      <c r="AY424" s="51"/>
      <c r="AZ424" s="51"/>
      <c r="BA424" s="51"/>
      <c r="BB424" s="51">
        <f t="shared" ref="BB424:BD424" si="422">IF(AND(ISNUMBER(Z424),COUNT(AG424,AM424,AS424,AY424)=2),Z424+SUM(AG424,AM424,AS424,AY424),"")</f>
        <v>0</v>
      </c>
      <c r="BC424" s="51">
        <f t="shared" si="422"/>
        <v>0</v>
      </c>
      <c r="BD424" s="51">
        <f t="shared" si="422"/>
        <v>0</v>
      </c>
    </row>
    <row r="425" ht="48.0" customHeight="1">
      <c r="A425" s="49" t="s">
        <v>40</v>
      </c>
      <c r="B425" s="49" t="str">
        <f t="array" ref="B425">INDEX('HD cty 2024'!B:B,MATCH('F0, F1, F2, ...'!$C425,'HD cty 2024'!B:B,0))</f>
        <v>#N/A</v>
      </c>
      <c r="C425" s="49">
        <v>543.0</v>
      </c>
      <c r="D425" s="50">
        <v>45596.0</v>
      </c>
      <c r="E425" s="51">
        <v>8.4926912E7</v>
      </c>
      <c r="F425" s="51">
        <v>6794153.0</v>
      </c>
      <c r="G425" s="51">
        <v>9.1721065E7</v>
      </c>
      <c r="H425" s="49" t="s">
        <v>414</v>
      </c>
      <c r="I425" s="52" t="s">
        <v>3825</v>
      </c>
      <c r="J425" s="50">
        <v>45807.0</v>
      </c>
      <c r="K425" s="51">
        <v>7296236.0</v>
      </c>
      <c r="L425" s="51">
        <v>583699.0</v>
      </c>
      <c r="M425" s="51">
        <v>7879935.0</v>
      </c>
      <c r="N425" s="49"/>
      <c r="O425" s="52"/>
      <c r="P425" s="50"/>
      <c r="Q425" s="51"/>
      <c r="R425" s="51"/>
      <c r="S425" s="51"/>
      <c r="T425" s="49"/>
      <c r="U425" s="52"/>
      <c r="V425" s="50"/>
      <c r="W425" s="51"/>
      <c r="X425" s="51"/>
      <c r="Y425" s="51"/>
      <c r="Z425" s="51">
        <v>9.2223148E7</v>
      </c>
      <c r="AA425" s="51">
        <v>7377852.0</v>
      </c>
      <c r="AB425" s="51">
        <v>9.9601E7</v>
      </c>
      <c r="AC425" s="47"/>
      <c r="AD425" s="47" t="s">
        <v>3826</v>
      </c>
      <c r="AE425" s="48"/>
      <c r="AF425" s="50"/>
      <c r="AG425" s="51">
        <v>-7296236.0</v>
      </c>
      <c r="AH425" s="51">
        <v>-583699.0</v>
      </c>
      <c r="AI425" s="51">
        <v>-7879935.0</v>
      </c>
      <c r="AJ425" s="47" t="s">
        <v>3827</v>
      </c>
      <c r="AK425" s="48"/>
      <c r="AL425" s="50"/>
      <c r="AM425" s="51">
        <v>-8.4926912E7</v>
      </c>
      <c r="AN425" s="51">
        <v>-6794153.0</v>
      </c>
      <c r="AO425" s="51">
        <v>-9.1721065E7</v>
      </c>
      <c r="AP425" s="47"/>
      <c r="AQ425" s="48"/>
      <c r="AR425" s="50"/>
      <c r="AS425" s="51"/>
      <c r="AT425" s="51"/>
      <c r="AU425" s="51"/>
      <c r="AV425" s="47"/>
      <c r="AW425" s="48"/>
      <c r="AX425" s="50"/>
      <c r="AY425" s="51"/>
      <c r="AZ425" s="51"/>
      <c r="BA425" s="51"/>
      <c r="BB425" s="51">
        <f t="shared" ref="BB425:BD425" si="423">IF(AND(ISNUMBER(Z425),COUNT(AG425,AM425,AS425,AY425)=2),Z425+SUM(AG425,AM425,AS425,AY425),"")</f>
        <v>0</v>
      </c>
      <c r="BC425" s="51">
        <f t="shared" si="423"/>
        <v>0</v>
      </c>
      <c r="BD425" s="51">
        <f t="shared" si="423"/>
        <v>0</v>
      </c>
    </row>
    <row r="426" ht="48.0" customHeight="1">
      <c r="A426" s="49" t="s">
        <v>40</v>
      </c>
      <c r="B426" s="49" t="str">
        <f t="array" ref="B426">INDEX('HD cty 2024'!B:B,MATCH('F0, F1, F2, ...'!$C426,'HD cty 2024'!B:B,0))</f>
        <v>#N/A</v>
      </c>
      <c r="C426" s="49">
        <v>544.0</v>
      </c>
      <c r="D426" s="50">
        <v>45596.0</v>
      </c>
      <c r="E426" s="51">
        <v>9.332967E7</v>
      </c>
      <c r="F426" s="51">
        <v>7466374.0</v>
      </c>
      <c r="G426" s="51">
        <v>1.00796044E8</v>
      </c>
      <c r="H426" s="49" t="s">
        <v>414</v>
      </c>
      <c r="I426" s="52" t="s">
        <v>3828</v>
      </c>
      <c r="J426" s="50">
        <v>45807.0</v>
      </c>
      <c r="K426" s="51">
        <v>5249960.0</v>
      </c>
      <c r="L426" s="51">
        <v>419997.0</v>
      </c>
      <c r="M426" s="51">
        <v>5669957.0</v>
      </c>
      <c r="N426" s="49" t="s">
        <v>414</v>
      </c>
      <c r="O426" s="52" t="s">
        <v>3829</v>
      </c>
      <c r="P426" s="50">
        <v>45807.0</v>
      </c>
      <c r="Q426" s="51">
        <v>-185186.0</v>
      </c>
      <c r="R426" s="51">
        <v>-14815.0</v>
      </c>
      <c r="S426" s="51">
        <v>-200001.0</v>
      </c>
      <c r="T426" s="49"/>
      <c r="U426" s="52"/>
      <c r="V426" s="50"/>
      <c r="W426" s="51"/>
      <c r="X426" s="51"/>
      <c r="Y426" s="51"/>
      <c r="Z426" s="51">
        <v>9.8394444E7</v>
      </c>
      <c r="AA426" s="51">
        <v>7871556.0</v>
      </c>
      <c r="AB426" s="51">
        <v>1.06266E8</v>
      </c>
      <c r="AC426" s="47"/>
      <c r="AD426" s="47" t="s">
        <v>3830</v>
      </c>
      <c r="AE426" s="48"/>
      <c r="AF426" s="50"/>
      <c r="AG426" s="51">
        <v>-5249960.0</v>
      </c>
      <c r="AH426" s="51">
        <v>-419997.0</v>
      </c>
      <c r="AI426" s="51">
        <v>-5669957.0</v>
      </c>
      <c r="AJ426" s="47" t="s">
        <v>3831</v>
      </c>
      <c r="AK426" s="48"/>
      <c r="AL426" s="50"/>
      <c r="AM426" s="51">
        <v>185186.0</v>
      </c>
      <c r="AN426" s="51">
        <v>14815.0</v>
      </c>
      <c r="AO426" s="51">
        <v>200001.0</v>
      </c>
      <c r="AP426" s="47" t="s">
        <v>3832</v>
      </c>
      <c r="AQ426" s="48"/>
      <c r="AR426" s="50"/>
      <c r="AS426" s="51">
        <v>-9.332967E7</v>
      </c>
      <c r="AT426" s="51">
        <v>-7466374.0</v>
      </c>
      <c r="AU426" s="51">
        <v>-1.00796044E8</v>
      </c>
      <c r="AV426" s="47"/>
      <c r="AW426" s="48"/>
      <c r="AX426" s="50"/>
      <c r="AY426" s="51"/>
      <c r="AZ426" s="51"/>
      <c r="BA426" s="51"/>
      <c r="BB426" s="51">
        <f t="shared" ref="BB426:BD426" si="424">IF(AND(ISNUMBER(Z426),COUNT(AG426,AM426,AS426,AY426)=3),Z426+SUM(AG426,AM426,AS426,AY426),"")</f>
        <v>0</v>
      </c>
      <c r="BC426" s="51">
        <f t="shared" si="424"/>
        <v>0</v>
      </c>
      <c r="BD426" s="51">
        <f t="shared" si="424"/>
        <v>0</v>
      </c>
    </row>
    <row r="427" ht="48.0" customHeight="1">
      <c r="A427" s="49" t="s">
        <v>40</v>
      </c>
      <c r="B427" s="49" t="str">
        <f t="array" ref="B427">INDEX('HD cty 2024'!B:B,MATCH('F0, F1, F2, ...'!$C427,'HD cty 2024'!B:B,0))</f>
        <v>#N/A</v>
      </c>
      <c r="C427" s="49">
        <v>545.0</v>
      </c>
      <c r="D427" s="50">
        <v>45596.0</v>
      </c>
      <c r="E427" s="51">
        <v>8.0946789E7</v>
      </c>
      <c r="F427" s="51">
        <v>6475743.0</v>
      </c>
      <c r="G427" s="51">
        <v>8.7422532E7</v>
      </c>
      <c r="H427" s="49" t="s">
        <v>414</v>
      </c>
      <c r="I427" s="52" t="s">
        <v>3833</v>
      </c>
      <c r="J427" s="50">
        <v>45807.0</v>
      </c>
      <c r="K427" s="51">
        <v>8360248.0</v>
      </c>
      <c r="L427" s="51">
        <v>668820.0</v>
      </c>
      <c r="M427" s="51">
        <v>9029068.0</v>
      </c>
      <c r="N427" s="49"/>
      <c r="O427" s="52"/>
      <c r="P427" s="50"/>
      <c r="Q427" s="51"/>
      <c r="R427" s="51"/>
      <c r="S427" s="51"/>
      <c r="T427" s="49"/>
      <c r="U427" s="52"/>
      <c r="V427" s="50"/>
      <c r="W427" s="51"/>
      <c r="X427" s="51"/>
      <c r="Y427" s="51"/>
      <c r="Z427" s="51">
        <v>8.9307037E7</v>
      </c>
      <c r="AA427" s="51">
        <v>7144563.0</v>
      </c>
      <c r="AB427" s="51">
        <v>9.64516E7</v>
      </c>
      <c r="AC427" s="47"/>
      <c r="AD427" s="47" t="s">
        <v>3834</v>
      </c>
      <c r="AE427" s="48"/>
      <c r="AF427" s="50"/>
      <c r="AG427" s="51">
        <v>-8360248.0</v>
      </c>
      <c r="AH427" s="51">
        <v>-668820.0</v>
      </c>
      <c r="AI427" s="51">
        <v>-9029068.0</v>
      </c>
      <c r="AJ427" s="47" t="s">
        <v>3835</v>
      </c>
      <c r="AK427" s="48"/>
      <c r="AL427" s="50"/>
      <c r="AM427" s="51">
        <v>-8.0946789E7</v>
      </c>
      <c r="AN427" s="51">
        <v>-6475743.0</v>
      </c>
      <c r="AO427" s="51">
        <v>-8.7422532E7</v>
      </c>
      <c r="AP427" s="47"/>
      <c r="AQ427" s="48"/>
      <c r="AR427" s="50"/>
      <c r="AS427" s="51"/>
      <c r="AT427" s="51"/>
      <c r="AU427" s="51"/>
      <c r="AV427" s="47"/>
      <c r="AW427" s="48"/>
      <c r="AX427" s="50"/>
      <c r="AY427" s="51"/>
      <c r="AZ427" s="51"/>
      <c r="BA427" s="51"/>
      <c r="BB427" s="51">
        <f t="shared" ref="BB427:BD427" si="425">IF(AND(ISNUMBER(Z427),COUNT(AG427,AM427,AS427,AY427)=2),Z427+SUM(AG427,AM427,AS427,AY427),"")</f>
        <v>0</v>
      </c>
      <c r="BC427" s="51">
        <f t="shared" si="425"/>
        <v>0</v>
      </c>
      <c r="BD427" s="51">
        <f t="shared" si="425"/>
        <v>0</v>
      </c>
    </row>
    <row r="428" ht="48.0" customHeight="1">
      <c r="A428" s="49" t="s">
        <v>40</v>
      </c>
      <c r="B428" s="49" t="str">
        <f t="array" ref="B428">INDEX('HD cty 2024'!B:B,MATCH('F0, F1, F2, ...'!$C428,'HD cty 2024'!B:B,0))</f>
        <v>#N/A</v>
      </c>
      <c r="C428" s="49">
        <v>546.0</v>
      </c>
      <c r="D428" s="50">
        <v>45596.0</v>
      </c>
      <c r="E428" s="51">
        <v>1.1682474E7</v>
      </c>
      <c r="F428" s="51">
        <v>934598.0</v>
      </c>
      <c r="G428" s="51">
        <v>1.2617072E7</v>
      </c>
      <c r="H428" s="49" t="s">
        <v>414</v>
      </c>
      <c r="I428" s="52" t="s">
        <v>3836</v>
      </c>
      <c r="J428" s="50">
        <v>45807.0</v>
      </c>
      <c r="K428" s="51">
        <v>-598215.0</v>
      </c>
      <c r="L428" s="51">
        <v>-47857.0</v>
      </c>
      <c r="M428" s="51">
        <v>-646072.0</v>
      </c>
      <c r="N428" s="49"/>
      <c r="O428" s="52"/>
      <c r="P428" s="50"/>
      <c r="Q428" s="51"/>
      <c r="R428" s="51"/>
      <c r="S428" s="51"/>
      <c r="T428" s="49"/>
      <c r="U428" s="52"/>
      <c r="V428" s="50"/>
      <c r="W428" s="51"/>
      <c r="X428" s="51"/>
      <c r="Y428" s="51"/>
      <c r="Z428" s="51">
        <v>1.1084259E7</v>
      </c>
      <c r="AA428" s="51">
        <v>886741.0</v>
      </c>
      <c r="AB428" s="51">
        <v>1.1971E7</v>
      </c>
      <c r="AC428" s="47"/>
      <c r="AD428" s="47" t="s">
        <v>3837</v>
      </c>
      <c r="AE428" s="48"/>
      <c r="AF428" s="50"/>
      <c r="AG428" s="51">
        <v>598215.0</v>
      </c>
      <c r="AH428" s="51">
        <v>47857.0</v>
      </c>
      <c r="AI428" s="51">
        <v>646072.0</v>
      </c>
      <c r="AJ428" s="47" t="s">
        <v>3838</v>
      </c>
      <c r="AK428" s="48"/>
      <c r="AL428" s="50"/>
      <c r="AM428" s="51">
        <v>-1.1682474E7</v>
      </c>
      <c r="AN428" s="51">
        <v>-934598.0</v>
      </c>
      <c r="AO428" s="51">
        <v>-1.2617072E7</v>
      </c>
      <c r="AP428" s="47"/>
      <c r="AQ428" s="48"/>
      <c r="AR428" s="50"/>
      <c r="AS428" s="51"/>
      <c r="AT428" s="51"/>
      <c r="AU428" s="51"/>
      <c r="AV428" s="47"/>
      <c r="AW428" s="48"/>
      <c r="AX428" s="50"/>
      <c r="AY428" s="51"/>
      <c r="AZ428" s="51"/>
      <c r="BA428" s="51"/>
      <c r="BB428" s="51">
        <f t="shared" ref="BB428:BD428" si="426">IF(AND(ISNUMBER(Z428),COUNT(AG428,AM428,AS428,AY428)=2),Z428+SUM(AG428,AM428,AS428,AY428),"")</f>
        <v>0</v>
      </c>
      <c r="BC428" s="51">
        <f t="shared" si="426"/>
        <v>0</v>
      </c>
      <c r="BD428" s="51">
        <f t="shared" si="426"/>
        <v>0</v>
      </c>
    </row>
    <row r="429" ht="48.0" customHeight="1">
      <c r="A429" s="49" t="s">
        <v>40</v>
      </c>
      <c r="B429" s="49" t="str">
        <f t="array" ref="B429">INDEX('HD cty 2024'!B:B,MATCH('F0, F1, F2, ...'!$C429,'HD cty 2024'!B:B,0))</f>
        <v>#N/A</v>
      </c>
      <c r="C429" s="49">
        <v>547.0</v>
      </c>
      <c r="D429" s="50">
        <v>45596.0</v>
      </c>
      <c r="E429" s="51">
        <v>1.33089948E8</v>
      </c>
      <c r="F429" s="51">
        <v>1.0647196E7</v>
      </c>
      <c r="G429" s="51">
        <v>1.43737144E8</v>
      </c>
      <c r="H429" s="49" t="s">
        <v>414</v>
      </c>
      <c r="I429" s="52" t="s">
        <v>3839</v>
      </c>
      <c r="J429" s="50">
        <v>45807.0</v>
      </c>
      <c r="K429" s="51">
        <v>9298580.0</v>
      </c>
      <c r="L429" s="51">
        <v>743886.0</v>
      </c>
      <c r="M429" s="51">
        <v>1.0042466E7</v>
      </c>
      <c r="N429" s="49"/>
      <c r="O429" s="52"/>
      <c r="P429" s="50"/>
      <c r="Q429" s="51"/>
      <c r="R429" s="51"/>
      <c r="S429" s="51"/>
      <c r="T429" s="49"/>
      <c r="U429" s="52"/>
      <c r="V429" s="50"/>
      <c r="W429" s="51"/>
      <c r="X429" s="51"/>
      <c r="Y429" s="51"/>
      <c r="Z429" s="51">
        <v>1.42388528E8</v>
      </c>
      <c r="AA429" s="51">
        <v>1.1391082E7</v>
      </c>
      <c r="AB429" s="51">
        <v>1.5377961E8</v>
      </c>
      <c r="AC429" s="47"/>
      <c r="AD429" s="47" t="s">
        <v>3840</v>
      </c>
      <c r="AE429" s="48"/>
      <c r="AF429" s="50"/>
      <c r="AG429" s="51">
        <v>-9298580.0</v>
      </c>
      <c r="AH429" s="51">
        <v>-743886.0</v>
      </c>
      <c r="AI429" s="51">
        <v>-1.0042466E7</v>
      </c>
      <c r="AJ429" s="47" t="s">
        <v>3841</v>
      </c>
      <c r="AK429" s="48"/>
      <c r="AL429" s="50"/>
      <c r="AM429" s="51">
        <v>-1.33089948E8</v>
      </c>
      <c r="AN429" s="51">
        <v>-1.0647196E7</v>
      </c>
      <c r="AO429" s="51">
        <v>-1.43737144E8</v>
      </c>
      <c r="AP429" s="47"/>
      <c r="AQ429" s="48"/>
      <c r="AR429" s="50"/>
      <c r="AS429" s="51"/>
      <c r="AT429" s="51"/>
      <c r="AU429" s="51"/>
      <c r="AV429" s="47"/>
      <c r="AW429" s="48"/>
      <c r="AX429" s="50"/>
      <c r="AY429" s="51"/>
      <c r="AZ429" s="51"/>
      <c r="BA429" s="51"/>
      <c r="BB429" s="51">
        <f t="shared" ref="BB429:BD429" si="427">IF(AND(ISNUMBER(Z429),COUNT(AG429,AM429,AS429,AY429)=2),Z429+SUM(AG429,AM429,AS429,AY429),"")</f>
        <v>0</v>
      </c>
      <c r="BC429" s="51">
        <f t="shared" si="427"/>
        <v>0</v>
      </c>
      <c r="BD429" s="51">
        <f t="shared" si="427"/>
        <v>0</v>
      </c>
    </row>
    <row r="430" ht="48.0" customHeight="1">
      <c r="A430" s="49" t="s">
        <v>40</v>
      </c>
      <c r="B430" s="49" t="str">
        <f t="array" ref="B430">INDEX('HD cty 2024'!B:B,MATCH('F0, F1, F2, ...'!$C430,'HD cty 2024'!B:B,0))</f>
        <v>#N/A</v>
      </c>
      <c r="C430" s="49">
        <v>548.0</v>
      </c>
      <c r="D430" s="50">
        <v>45596.0</v>
      </c>
      <c r="E430" s="51">
        <v>1.58596597E8</v>
      </c>
      <c r="F430" s="51">
        <v>1.2687728E7</v>
      </c>
      <c r="G430" s="51">
        <v>1.71284325E8</v>
      </c>
      <c r="H430" s="49" t="s">
        <v>414</v>
      </c>
      <c r="I430" s="52" t="s">
        <v>3842</v>
      </c>
      <c r="J430" s="50">
        <v>45807.0</v>
      </c>
      <c r="K430" s="51">
        <v>1.3957672E7</v>
      </c>
      <c r="L430" s="51">
        <v>1116614.0</v>
      </c>
      <c r="M430" s="51">
        <v>1.5074286E7</v>
      </c>
      <c r="N430" s="49"/>
      <c r="O430" s="52"/>
      <c r="P430" s="50"/>
      <c r="Q430" s="51"/>
      <c r="R430" s="51"/>
      <c r="S430" s="51"/>
      <c r="T430" s="49"/>
      <c r="U430" s="52"/>
      <c r="V430" s="50"/>
      <c r="W430" s="51"/>
      <c r="X430" s="51"/>
      <c r="Y430" s="51"/>
      <c r="Z430" s="51">
        <v>1.72554269E8</v>
      </c>
      <c r="AA430" s="51">
        <v>1.3804342E7</v>
      </c>
      <c r="AB430" s="51">
        <v>1.86358611E8</v>
      </c>
      <c r="AC430" s="47"/>
      <c r="AD430" s="47" t="s">
        <v>3843</v>
      </c>
      <c r="AE430" s="48"/>
      <c r="AF430" s="50"/>
      <c r="AG430" s="51">
        <v>-1.3957672E7</v>
      </c>
      <c r="AH430" s="51">
        <v>-1116614.0</v>
      </c>
      <c r="AI430" s="51">
        <v>-1.5074286E7</v>
      </c>
      <c r="AJ430" s="47" t="s">
        <v>3844</v>
      </c>
      <c r="AK430" s="48"/>
      <c r="AL430" s="50"/>
      <c r="AM430" s="51">
        <v>-1.58596597E8</v>
      </c>
      <c r="AN430" s="51">
        <v>-1.2687728E7</v>
      </c>
      <c r="AO430" s="51">
        <v>-1.71284325E8</v>
      </c>
      <c r="AP430" s="47"/>
      <c r="AQ430" s="48"/>
      <c r="AR430" s="50"/>
      <c r="AS430" s="51"/>
      <c r="AT430" s="51"/>
      <c r="AU430" s="51"/>
      <c r="AV430" s="47"/>
      <c r="AW430" s="48"/>
      <c r="AX430" s="50"/>
      <c r="AY430" s="51"/>
      <c r="AZ430" s="51"/>
      <c r="BA430" s="51"/>
      <c r="BB430" s="51">
        <f t="shared" ref="BB430:BD430" si="428">IF(AND(ISNUMBER(Z430),COUNT(AG430,AM430,AS430,AY430)=2),Z430+SUM(AG430,AM430,AS430,AY430),"")</f>
        <v>0</v>
      </c>
      <c r="BC430" s="51">
        <f t="shared" si="428"/>
        <v>0</v>
      </c>
      <c r="BD430" s="51">
        <f t="shared" si="428"/>
        <v>0</v>
      </c>
    </row>
    <row r="431" ht="48.0" customHeight="1">
      <c r="A431" s="49" t="s">
        <v>40</v>
      </c>
      <c r="B431" s="49" t="str">
        <f t="array" ref="B431">INDEX('HD cty 2024'!B:B,MATCH('F0, F1, F2, ...'!$C431,'HD cty 2024'!B:B,0))</f>
        <v>#N/A</v>
      </c>
      <c r="C431" s="49">
        <v>549.0</v>
      </c>
      <c r="D431" s="50">
        <v>45596.0</v>
      </c>
      <c r="E431" s="51">
        <v>1.44797227E8</v>
      </c>
      <c r="F431" s="51">
        <v>1.1583778E7</v>
      </c>
      <c r="G431" s="51">
        <v>1.56381005E8</v>
      </c>
      <c r="H431" s="49" t="s">
        <v>414</v>
      </c>
      <c r="I431" s="52" t="s">
        <v>3845</v>
      </c>
      <c r="J431" s="50">
        <v>45807.0</v>
      </c>
      <c r="K431" s="51">
        <v>1.7320736E7</v>
      </c>
      <c r="L431" s="51">
        <v>1385659.0</v>
      </c>
      <c r="M431" s="51">
        <v>1.8706395E7</v>
      </c>
      <c r="N431" s="49"/>
      <c r="O431" s="52"/>
      <c r="P431" s="50"/>
      <c r="Q431" s="51"/>
      <c r="R431" s="51"/>
      <c r="S431" s="51"/>
      <c r="T431" s="49"/>
      <c r="U431" s="52"/>
      <c r="V431" s="50"/>
      <c r="W431" s="51"/>
      <c r="X431" s="51"/>
      <c r="Y431" s="51"/>
      <c r="Z431" s="51">
        <v>1.62117963E8</v>
      </c>
      <c r="AA431" s="51">
        <v>1.2969437E7</v>
      </c>
      <c r="AB431" s="51">
        <v>1.750874E8</v>
      </c>
      <c r="AC431" s="47"/>
      <c r="AD431" s="47" t="s">
        <v>3846</v>
      </c>
      <c r="AE431" s="48"/>
      <c r="AF431" s="50"/>
      <c r="AG431" s="51">
        <v>-1.7320736E7</v>
      </c>
      <c r="AH431" s="51">
        <v>-1385659.0</v>
      </c>
      <c r="AI431" s="51">
        <v>-1.8706395E7</v>
      </c>
      <c r="AJ431" s="47" t="s">
        <v>3847</v>
      </c>
      <c r="AK431" s="48"/>
      <c r="AL431" s="50"/>
      <c r="AM431" s="51">
        <v>-1.44797227E8</v>
      </c>
      <c r="AN431" s="51">
        <v>-1.1583778E7</v>
      </c>
      <c r="AO431" s="51">
        <v>-1.56381005E8</v>
      </c>
      <c r="AP431" s="47"/>
      <c r="AQ431" s="48"/>
      <c r="AR431" s="50"/>
      <c r="AS431" s="51"/>
      <c r="AT431" s="51"/>
      <c r="AU431" s="51"/>
      <c r="AV431" s="47"/>
      <c r="AW431" s="48"/>
      <c r="AX431" s="50"/>
      <c r="AY431" s="51"/>
      <c r="AZ431" s="51"/>
      <c r="BA431" s="51"/>
      <c r="BB431" s="51">
        <f t="shared" ref="BB431:BD431" si="429">IF(AND(ISNUMBER(Z431),COUNT(AG431,AM431,AS431,AY431)=2),Z431+SUM(AG431,AM431,AS431,AY431),"")</f>
        <v>0</v>
      </c>
      <c r="BC431" s="51">
        <f t="shared" si="429"/>
        <v>0</v>
      </c>
      <c r="BD431" s="51">
        <f t="shared" si="429"/>
        <v>0</v>
      </c>
    </row>
    <row r="432" ht="48.0" customHeight="1">
      <c r="A432" s="49" t="s">
        <v>40</v>
      </c>
      <c r="B432" s="49" t="str">
        <f t="array" ref="B432">INDEX('HD cty 2024'!B:B,MATCH('F0, F1, F2, ...'!$C432,'HD cty 2024'!B:B,0))</f>
        <v>#N/A</v>
      </c>
      <c r="C432" s="49">
        <v>550.0</v>
      </c>
      <c r="D432" s="50">
        <v>45596.0</v>
      </c>
      <c r="E432" s="51">
        <v>1.36661653E8</v>
      </c>
      <c r="F432" s="51">
        <v>1.0932932E7</v>
      </c>
      <c r="G432" s="51">
        <v>1.47594585E8</v>
      </c>
      <c r="H432" s="49" t="s">
        <v>414</v>
      </c>
      <c r="I432" s="52" t="s">
        <v>3848</v>
      </c>
      <c r="J432" s="50">
        <v>45807.0</v>
      </c>
      <c r="K432" s="51">
        <v>1.427168E7</v>
      </c>
      <c r="L432" s="51">
        <v>1141734.0</v>
      </c>
      <c r="M432" s="51">
        <v>1.5413414E7</v>
      </c>
      <c r="N432" s="49"/>
      <c r="O432" s="52"/>
      <c r="P432" s="50"/>
      <c r="Q432" s="51"/>
      <c r="R432" s="51"/>
      <c r="S432" s="51"/>
      <c r="T432" s="49"/>
      <c r="U432" s="52"/>
      <c r="V432" s="50"/>
      <c r="W432" s="51"/>
      <c r="X432" s="51"/>
      <c r="Y432" s="51"/>
      <c r="Z432" s="51">
        <v>1.50933333E8</v>
      </c>
      <c r="AA432" s="51">
        <v>1.2074666E7</v>
      </c>
      <c r="AB432" s="51">
        <v>1.63007999E8</v>
      </c>
      <c r="AC432" s="47"/>
      <c r="AD432" s="47" t="s">
        <v>3849</v>
      </c>
      <c r="AE432" s="48"/>
      <c r="AF432" s="50"/>
      <c r="AG432" s="51">
        <v>-1.427168E7</v>
      </c>
      <c r="AH432" s="51">
        <v>-1141734.0</v>
      </c>
      <c r="AI432" s="51">
        <v>-1.5413414E7</v>
      </c>
      <c r="AJ432" s="47" t="s">
        <v>3850</v>
      </c>
      <c r="AK432" s="48"/>
      <c r="AL432" s="50"/>
      <c r="AM432" s="51">
        <v>-1.36661653E8</v>
      </c>
      <c r="AN432" s="51">
        <v>-1.0932932E7</v>
      </c>
      <c r="AO432" s="51">
        <v>-1.47594585E8</v>
      </c>
      <c r="AP432" s="47"/>
      <c r="AQ432" s="48"/>
      <c r="AR432" s="50"/>
      <c r="AS432" s="51"/>
      <c r="AT432" s="51"/>
      <c r="AU432" s="51"/>
      <c r="AV432" s="47"/>
      <c r="AW432" s="48"/>
      <c r="AX432" s="50"/>
      <c r="AY432" s="51"/>
      <c r="AZ432" s="51"/>
      <c r="BA432" s="51"/>
      <c r="BB432" s="51">
        <f t="shared" ref="BB432:BD432" si="430">IF(AND(ISNUMBER(Z432),COUNT(AG432,AM432,AS432,AY432)=2),Z432+SUM(AG432,AM432,AS432,AY432),"")</f>
        <v>0</v>
      </c>
      <c r="BC432" s="51">
        <f t="shared" si="430"/>
        <v>0</v>
      </c>
      <c r="BD432" s="51">
        <f t="shared" si="430"/>
        <v>0</v>
      </c>
    </row>
    <row r="433" ht="48.0" customHeight="1">
      <c r="A433" s="49" t="s">
        <v>40</v>
      </c>
      <c r="B433" s="49" t="str">
        <f t="array" ref="B433">INDEX('HD cty 2024'!B:B,MATCH('F0, F1, F2, ...'!$C433,'HD cty 2024'!B:B,0))</f>
        <v>#N/A</v>
      </c>
      <c r="C433" s="49">
        <v>551.0</v>
      </c>
      <c r="D433" s="50">
        <v>45596.0</v>
      </c>
      <c r="E433" s="51">
        <v>9.1745011E7</v>
      </c>
      <c r="F433" s="51">
        <v>7339601.0</v>
      </c>
      <c r="G433" s="51">
        <v>9.9084612E7</v>
      </c>
      <c r="H433" s="49" t="s">
        <v>414</v>
      </c>
      <c r="I433" s="52" t="s">
        <v>3851</v>
      </c>
      <c r="J433" s="50">
        <v>45807.0</v>
      </c>
      <c r="K433" s="51">
        <v>1.5582952E7</v>
      </c>
      <c r="L433" s="51">
        <v>1246636.0</v>
      </c>
      <c r="M433" s="51">
        <v>1.6829588E7</v>
      </c>
      <c r="N433" s="49"/>
      <c r="O433" s="52"/>
      <c r="P433" s="50"/>
      <c r="Q433" s="51"/>
      <c r="R433" s="51"/>
      <c r="S433" s="51"/>
      <c r="T433" s="49"/>
      <c r="U433" s="52"/>
      <c r="V433" s="50"/>
      <c r="W433" s="51"/>
      <c r="X433" s="51"/>
      <c r="Y433" s="51"/>
      <c r="Z433" s="51">
        <v>1.07327963E8</v>
      </c>
      <c r="AA433" s="51">
        <v>8586237.0</v>
      </c>
      <c r="AB433" s="51">
        <v>1.159142E8</v>
      </c>
      <c r="AC433" s="47"/>
      <c r="AD433" s="47" t="s">
        <v>3852</v>
      </c>
      <c r="AE433" s="48"/>
      <c r="AF433" s="50"/>
      <c r="AG433" s="51">
        <v>-1.5582952E7</v>
      </c>
      <c r="AH433" s="51">
        <v>-1246636.0</v>
      </c>
      <c r="AI433" s="51">
        <v>-1.6829588E7</v>
      </c>
      <c r="AJ433" s="47" t="s">
        <v>3853</v>
      </c>
      <c r="AK433" s="48"/>
      <c r="AL433" s="50"/>
      <c r="AM433" s="51">
        <v>-9.1745011E7</v>
      </c>
      <c r="AN433" s="51">
        <v>-7339601.0</v>
      </c>
      <c r="AO433" s="51">
        <v>-9.9084612E7</v>
      </c>
      <c r="AP433" s="47"/>
      <c r="AQ433" s="48"/>
      <c r="AR433" s="50"/>
      <c r="AS433" s="51"/>
      <c r="AT433" s="51"/>
      <c r="AU433" s="51"/>
      <c r="AV433" s="47"/>
      <c r="AW433" s="48"/>
      <c r="AX433" s="50"/>
      <c r="AY433" s="51"/>
      <c r="AZ433" s="51"/>
      <c r="BA433" s="51"/>
      <c r="BB433" s="51">
        <f t="shared" ref="BB433:BD433" si="431">IF(AND(ISNUMBER(Z433),COUNT(AG433,AM433,AS433,AY433)=2),Z433+SUM(AG433,AM433,AS433,AY433),"")</f>
        <v>0</v>
      </c>
      <c r="BC433" s="51">
        <f t="shared" si="431"/>
        <v>0</v>
      </c>
      <c r="BD433" s="51">
        <f t="shared" si="431"/>
        <v>0</v>
      </c>
    </row>
    <row r="434" ht="48.0" customHeight="1">
      <c r="A434" s="49" t="s">
        <v>40</v>
      </c>
      <c r="B434" s="49" t="str">
        <f t="array" ref="B434">INDEX('HD cty 2024'!B:B,MATCH('F0, F1, F2, ...'!$C434,'HD cty 2024'!B:B,0))</f>
        <v>#N/A</v>
      </c>
      <c r="C434" s="49">
        <v>552.0</v>
      </c>
      <c r="D434" s="50">
        <v>45596.0</v>
      </c>
      <c r="E434" s="51">
        <v>6847424.0</v>
      </c>
      <c r="F434" s="51">
        <v>547794.0</v>
      </c>
      <c r="G434" s="51">
        <v>7395218.0</v>
      </c>
      <c r="H434" s="49" t="s">
        <v>414</v>
      </c>
      <c r="I434" s="52" t="s">
        <v>3854</v>
      </c>
      <c r="J434" s="50">
        <v>45807.0</v>
      </c>
      <c r="K434" s="51">
        <v>-783589.0</v>
      </c>
      <c r="L434" s="51">
        <v>-62687.0</v>
      </c>
      <c r="M434" s="51">
        <v>-846276.0</v>
      </c>
      <c r="N434" s="49"/>
      <c r="O434" s="52"/>
      <c r="P434" s="50"/>
      <c r="Q434" s="51"/>
      <c r="R434" s="51"/>
      <c r="S434" s="51"/>
      <c r="T434" s="49"/>
      <c r="U434" s="52"/>
      <c r="V434" s="50"/>
      <c r="W434" s="51"/>
      <c r="X434" s="51"/>
      <c r="Y434" s="51"/>
      <c r="Z434" s="51">
        <v>6063835.0</v>
      </c>
      <c r="AA434" s="51">
        <v>485107.0</v>
      </c>
      <c r="AB434" s="51">
        <v>6548942.0</v>
      </c>
      <c r="AC434" s="47"/>
      <c r="AD434" s="47" t="s">
        <v>3855</v>
      </c>
      <c r="AE434" s="48"/>
      <c r="AF434" s="50"/>
      <c r="AG434" s="51">
        <v>783589.0</v>
      </c>
      <c r="AH434" s="51">
        <v>62687.0</v>
      </c>
      <c r="AI434" s="51">
        <v>846276.0</v>
      </c>
      <c r="AJ434" s="47" t="s">
        <v>3856</v>
      </c>
      <c r="AK434" s="48"/>
      <c r="AL434" s="50"/>
      <c r="AM434" s="51">
        <v>-6847424.0</v>
      </c>
      <c r="AN434" s="51">
        <v>-547794.0</v>
      </c>
      <c r="AO434" s="51">
        <v>-7395218.0</v>
      </c>
      <c r="AP434" s="47"/>
      <c r="AQ434" s="48"/>
      <c r="AR434" s="50"/>
      <c r="AS434" s="51"/>
      <c r="AT434" s="51"/>
      <c r="AU434" s="51"/>
      <c r="AV434" s="47"/>
      <c r="AW434" s="48"/>
      <c r="AX434" s="50"/>
      <c r="AY434" s="51"/>
      <c r="AZ434" s="51"/>
      <c r="BA434" s="51"/>
      <c r="BB434" s="51">
        <f t="shared" ref="BB434:BD434" si="432">IF(AND(ISNUMBER(Z434),COUNT(AG434,AM434,AS434,AY434)=2),Z434+SUM(AG434,AM434,AS434,AY434),"")</f>
        <v>0</v>
      </c>
      <c r="BC434" s="51">
        <f t="shared" si="432"/>
        <v>0</v>
      </c>
      <c r="BD434" s="51">
        <f t="shared" si="432"/>
        <v>0</v>
      </c>
    </row>
    <row r="435" ht="90.0" customHeight="1">
      <c r="A435" s="49" t="s">
        <v>40</v>
      </c>
      <c r="B435" s="49" t="str">
        <f t="array" ref="B435">INDEX('HD cty 2024'!B:B,MATCH('F0, F1, F2, ...'!$C435,'HD cty 2024'!B:B,0))</f>
        <v>#N/A</v>
      </c>
      <c r="C435" s="49">
        <v>555.0</v>
      </c>
      <c r="D435" s="50">
        <v>45596.0</v>
      </c>
      <c r="E435" s="51">
        <v>6219445.0</v>
      </c>
      <c r="F435" s="51">
        <v>497556.0</v>
      </c>
      <c r="G435" s="51">
        <v>6717001.0</v>
      </c>
      <c r="H435" s="49" t="s">
        <v>414</v>
      </c>
      <c r="I435" s="52" t="s">
        <v>3857</v>
      </c>
      <c r="J435" s="50">
        <v>45808.0</v>
      </c>
      <c r="K435" s="51">
        <v>-1888889.0</v>
      </c>
      <c r="L435" s="51">
        <v>-151111.0</v>
      </c>
      <c r="M435" s="51">
        <v>-2040000.0</v>
      </c>
      <c r="N435" s="49"/>
      <c r="O435" s="52"/>
      <c r="P435" s="50"/>
      <c r="Q435" s="51"/>
      <c r="R435" s="51"/>
      <c r="S435" s="51"/>
      <c r="T435" s="49"/>
      <c r="U435" s="52"/>
      <c r="V435" s="50"/>
      <c r="W435" s="51"/>
      <c r="X435" s="51"/>
      <c r="Y435" s="51"/>
      <c r="Z435" s="51">
        <v>4330556.0</v>
      </c>
      <c r="AA435" s="51">
        <v>346445.0</v>
      </c>
      <c r="AB435" s="51">
        <v>4677001.0</v>
      </c>
      <c r="AC435" s="47" t="s">
        <v>3858</v>
      </c>
      <c r="AD435" s="47" t="s">
        <v>3859</v>
      </c>
      <c r="AE435" s="48"/>
      <c r="AF435" s="50">
        <v>46307.0</v>
      </c>
      <c r="AG435" s="51">
        <v>1888889.0</v>
      </c>
      <c r="AH435" s="51">
        <v>151111.0</v>
      </c>
      <c r="AI435" s="51">
        <v>2040000.0</v>
      </c>
      <c r="AJ435" s="47" t="s">
        <v>3860</v>
      </c>
      <c r="AK435" s="48"/>
      <c r="AL435" s="50">
        <v>46307.0</v>
      </c>
      <c r="AM435" s="51">
        <v>-6219445.0</v>
      </c>
      <c r="AN435" s="51">
        <v>-497556.0</v>
      </c>
      <c r="AO435" s="51">
        <v>-6717001.0</v>
      </c>
      <c r="AP435" s="47"/>
      <c r="AQ435" s="48"/>
      <c r="AR435" s="50"/>
      <c r="AS435" s="51"/>
      <c r="AT435" s="51"/>
      <c r="AU435" s="51"/>
      <c r="AV435" s="47"/>
      <c r="AW435" s="48"/>
      <c r="AX435" s="50"/>
      <c r="AY435" s="51"/>
      <c r="AZ435" s="51"/>
      <c r="BA435" s="51"/>
      <c r="BB435" s="51">
        <f t="shared" ref="BB435:BD435" si="433">IF(AND(ISNUMBER(Z435),COUNT(AG435,AM435,AS435,AY435)=2),Z435+SUM(AG435,AM435,AS435,AY435),"")</f>
        <v>0</v>
      </c>
      <c r="BC435" s="51">
        <f t="shared" si="433"/>
        <v>0</v>
      </c>
      <c r="BD435" s="51">
        <f t="shared" si="433"/>
        <v>0</v>
      </c>
    </row>
    <row r="436" ht="48.0" customHeight="1">
      <c r="A436" s="49" t="s">
        <v>40</v>
      </c>
      <c r="B436" s="49" t="str">
        <f t="array" ref="B436">INDEX('HD cty 2024'!B:B,MATCH('F0, F1, F2, ...'!$C436,'HD cty 2024'!B:B,0))</f>
        <v>#N/A</v>
      </c>
      <c r="C436" s="49">
        <v>556.0</v>
      </c>
      <c r="D436" s="50">
        <v>45596.0</v>
      </c>
      <c r="E436" s="51">
        <v>3914815.0</v>
      </c>
      <c r="F436" s="51">
        <v>313185.0</v>
      </c>
      <c r="G436" s="51">
        <v>4228000.0</v>
      </c>
      <c r="H436" s="49" t="s">
        <v>414</v>
      </c>
      <c r="I436" s="52" t="s">
        <v>3861</v>
      </c>
      <c r="J436" s="50">
        <v>45807.0</v>
      </c>
      <c r="K436" s="51">
        <v>-1537398.0</v>
      </c>
      <c r="L436" s="51">
        <v>-122992.0</v>
      </c>
      <c r="M436" s="51">
        <v>-1660390.0</v>
      </c>
      <c r="N436" s="49"/>
      <c r="O436" s="52"/>
      <c r="P436" s="50"/>
      <c r="Q436" s="51"/>
      <c r="R436" s="51"/>
      <c r="S436" s="51"/>
      <c r="T436" s="49"/>
      <c r="U436" s="52"/>
      <c r="V436" s="50"/>
      <c r="W436" s="51"/>
      <c r="X436" s="51"/>
      <c r="Y436" s="51"/>
      <c r="Z436" s="51">
        <v>2377417.0</v>
      </c>
      <c r="AA436" s="51">
        <v>190193.0</v>
      </c>
      <c r="AB436" s="51">
        <v>2567610.0</v>
      </c>
      <c r="AC436" s="47"/>
      <c r="AD436" s="47" t="s">
        <v>3862</v>
      </c>
      <c r="AE436" s="48"/>
      <c r="AF436" s="50"/>
      <c r="AG436" s="51">
        <v>1537398.0</v>
      </c>
      <c r="AH436" s="51">
        <v>122992.0</v>
      </c>
      <c r="AI436" s="51">
        <v>1660390.0</v>
      </c>
      <c r="AJ436" s="47" t="s">
        <v>3863</v>
      </c>
      <c r="AK436" s="48"/>
      <c r="AL436" s="50"/>
      <c r="AM436" s="51">
        <v>-3914815.0</v>
      </c>
      <c r="AN436" s="51">
        <v>-313185.0</v>
      </c>
      <c r="AO436" s="51">
        <v>-4228000.0</v>
      </c>
      <c r="AP436" s="47"/>
      <c r="AQ436" s="48"/>
      <c r="AR436" s="50"/>
      <c r="AS436" s="51"/>
      <c r="AT436" s="51"/>
      <c r="AU436" s="51"/>
      <c r="AV436" s="47"/>
      <c r="AW436" s="48"/>
      <c r="AX436" s="50"/>
      <c r="AY436" s="51"/>
      <c r="AZ436" s="51"/>
      <c r="BA436" s="51"/>
      <c r="BB436" s="51">
        <f t="shared" ref="BB436:BD436" si="434">IF(AND(ISNUMBER(Z436),COUNT(AG436,AM436,AS436,AY436)=2),Z436+SUM(AG436,AM436,AS436,AY436),"")</f>
        <v>0</v>
      </c>
      <c r="BC436" s="51">
        <f t="shared" si="434"/>
        <v>0</v>
      </c>
      <c r="BD436" s="51">
        <f t="shared" si="434"/>
        <v>0</v>
      </c>
    </row>
    <row r="437" ht="48.0" customHeight="1">
      <c r="A437" s="49" t="s">
        <v>40</v>
      </c>
      <c r="B437" s="49" t="str">
        <f t="array" ref="B437">INDEX('HD cty 2024'!B:B,MATCH('F0, F1, F2, ...'!$C437,'HD cty 2024'!B:B,0))</f>
        <v>#N/A</v>
      </c>
      <c r="C437" s="49">
        <v>557.0</v>
      </c>
      <c r="D437" s="50">
        <v>45596.0</v>
      </c>
      <c r="E437" s="51">
        <v>3539605.0</v>
      </c>
      <c r="F437" s="51">
        <v>283168.0</v>
      </c>
      <c r="G437" s="51">
        <v>3822773.0</v>
      </c>
      <c r="H437" s="49" t="s">
        <v>414</v>
      </c>
      <c r="I437" s="52" t="s">
        <v>3864</v>
      </c>
      <c r="J437" s="50">
        <v>45807.0</v>
      </c>
      <c r="K437" s="51">
        <v>152602.0</v>
      </c>
      <c r="L437" s="51">
        <v>12208.0</v>
      </c>
      <c r="M437" s="51">
        <v>164810.0</v>
      </c>
      <c r="N437" s="49"/>
      <c r="O437" s="52"/>
      <c r="P437" s="50"/>
      <c r="Q437" s="51"/>
      <c r="R437" s="51"/>
      <c r="S437" s="51"/>
      <c r="T437" s="49"/>
      <c r="U437" s="52"/>
      <c r="V437" s="50"/>
      <c r="W437" s="51"/>
      <c r="X437" s="51"/>
      <c r="Y437" s="51"/>
      <c r="Z437" s="51">
        <v>3692207.0</v>
      </c>
      <c r="AA437" s="51">
        <v>295376.0</v>
      </c>
      <c r="AB437" s="51">
        <v>3987583.0</v>
      </c>
      <c r="AC437" s="47"/>
      <c r="AD437" s="47" t="s">
        <v>3865</v>
      </c>
      <c r="AE437" s="48"/>
      <c r="AF437" s="50"/>
      <c r="AG437" s="51">
        <v>-152602.0</v>
      </c>
      <c r="AH437" s="51">
        <v>-12208.0</v>
      </c>
      <c r="AI437" s="51">
        <v>-164810.0</v>
      </c>
      <c r="AJ437" s="47" t="s">
        <v>3866</v>
      </c>
      <c r="AK437" s="48"/>
      <c r="AL437" s="50"/>
      <c r="AM437" s="51">
        <v>-3539605.0</v>
      </c>
      <c r="AN437" s="51">
        <v>-283168.0</v>
      </c>
      <c r="AO437" s="51">
        <v>-3822773.0</v>
      </c>
      <c r="AP437" s="47"/>
      <c r="AQ437" s="48"/>
      <c r="AR437" s="50"/>
      <c r="AS437" s="51"/>
      <c r="AT437" s="51"/>
      <c r="AU437" s="51"/>
      <c r="AV437" s="47"/>
      <c r="AW437" s="48"/>
      <c r="AX437" s="50"/>
      <c r="AY437" s="51"/>
      <c r="AZ437" s="51"/>
      <c r="BA437" s="51"/>
      <c r="BB437" s="51">
        <f t="shared" ref="BB437:BD437" si="435">IF(AND(ISNUMBER(Z437),COUNT(AG437,AM437,AS437,AY437)=2),Z437+SUM(AG437,AM437,AS437,AY437),"")</f>
        <v>0</v>
      </c>
      <c r="BC437" s="51">
        <f t="shared" si="435"/>
        <v>0</v>
      </c>
      <c r="BD437" s="51">
        <f t="shared" si="435"/>
        <v>0</v>
      </c>
    </row>
    <row r="438" ht="48.0" customHeight="1">
      <c r="A438" s="49" t="s">
        <v>40</v>
      </c>
      <c r="B438" s="49" t="str">
        <f t="array" ref="B438">INDEX('HD cty 2024'!B:B,MATCH('F0, F1, F2, ...'!$C438,'HD cty 2024'!B:B,0))</f>
        <v>#N/A</v>
      </c>
      <c r="C438" s="49">
        <v>558.0</v>
      </c>
      <c r="D438" s="50">
        <v>45602.0</v>
      </c>
      <c r="E438" s="51">
        <v>6.9263523E7</v>
      </c>
      <c r="F438" s="51">
        <v>5541082.0</v>
      </c>
      <c r="G438" s="51">
        <v>7.4804605E7</v>
      </c>
      <c r="H438" s="49" t="s">
        <v>414</v>
      </c>
      <c r="I438" s="52" t="s">
        <v>3867</v>
      </c>
      <c r="J438" s="50">
        <v>45807.0</v>
      </c>
      <c r="K438" s="51">
        <v>8015736.0</v>
      </c>
      <c r="L438" s="51">
        <v>641259.0</v>
      </c>
      <c r="M438" s="51">
        <v>8656995.0</v>
      </c>
      <c r="N438" s="49"/>
      <c r="O438" s="52"/>
      <c r="P438" s="50"/>
      <c r="Q438" s="51"/>
      <c r="R438" s="51"/>
      <c r="S438" s="51"/>
      <c r="T438" s="49"/>
      <c r="U438" s="52"/>
      <c r="V438" s="50"/>
      <c r="W438" s="51"/>
      <c r="X438" s="51"/>
      <c r="Y438" s="51"/>
      <c r="Z438" s="51">
        <v>7.7279259E7</v>
      </c>
      <c r="AA438" s="51">
        <v>6182341.0</v>
      </c>
      <c r="AB438" s="51">
        <v>8.34616E7</v>
      </c>
      <c r="AC438" s="47"/>
      <c r="AD438" s="47" t="s">
        <v>3868</v>
      </c>
      <c r="AE438" s="48"/>
      <c r="AF438" s="50"/>
      <c r="AG438" s="51">
        <v>-8015736.0</v>
      </c>
      <c r="AH438" s="51">
        <v>-641259.0</v>
      </c>
      <c r="AI438" s="51">
        <v>-8656995.0</v>
      </c>
      <c r="AJ438" s="47" t="s">
        <v>3869</v>
      </c>
      <c r="AK438" s="48"/>
      <c r="AL438" s="50"/>
      <c r="AM438" s="51">
        <v>-6.9263523E7</v>
      </c>
      <c r="AN438" s="51">
        <v>-5541082.0</v>
      </c>
      <c r="AO438" s="51">
        <v>-7.4804605E7</v>
      </c>
      <c r="AP438" s="47"/>
      <c r="AQ438" s="48"/>
      <c r="AR438" s="50"/>
      <c r="AS438" s="51"/>
      <c r="AT438" s="51"/>
      <c r="AU438" s="51"/>
      <c r="AV438" s="47"/>
      <c r="AW438" s="48"/>
      <c r="AX438" s="50"/>
      <c r="AY438" s="51"/>
      <c r="AZ438" s="51"/>
      <c r="BA438" s="51"/>
      <c r="BB438" s="51">
        <f t="shared" ref="BB438:BD438" si="436">IF(AND(ISNUMBER(Z438),COUNT(AG438,AM438,AS438,AY438)=2),Z438+SUM(AG438,AM438,AS438,AY438),"")</f>
        <v>0</v>
      </c>
      <c r="BC438" s="51">
        <f t="shared" si="436"/>
        <v>0</v>
      </c>
      <c r="BD438" s="51">
        <f t="shared" si="436"/>
        <v>0</v>
      </c>
    </row>
    <row r="439" ht="48.0" customHeight="1">
      <c r="A439" s="49" t="s">
        <v>40</v>
      </c>
      <c r="B439" s="49" t="str">
        <f t="array" ref="B439">INDEX('HD cty 2024'!B:B,MATCH('F0, F1, F2, ...'!$C439,'HD cty 2024'!B:B,0))</f>
        <v>#N/A</v>
      </c>
      <c r="C439" s="49">
        <v>559.0</v>
      </c>
      <c r="D439" s="50">
        <v>45602.0</v>
      </c>
      <c r="E439" s="51">
        <v>1.32299828E8</v>
      </c>
      <c r="F439" s="51">
        <v>1.0583986E7</v>
      </c>
      <c r="G439" s="51">
        <v>1.42883814E8</v>
      </c>
      <c r="H439" s="49" t="s">
        <v>414</v>
      </c>
      <c r="I439" s="52" t="s">
        <v>3870</v>
      </c>
      <c r="J439" s="50">
        <v>45807.0</v>
      </c>
      <c r="K439" s="51">
        <v>1.5964246E7</v>
      </c>
      <c r="L439" s="51">
        <v>1277140.0</v>
      </c>
      <c r="M439" s="51">
        <v>1.7241386E7</v>
      </c>
      <c r="N439" s="49"/>
      <c r="O439" s="52"/>
      <c r="P439" s="50"/>
      <c r="Q439" s="51"/>
      <c r="R439" s="51"/>
      <c r="S439" s="51"/>
      <c r="T439" s="49"/>
      <c r="U439" s="52"/>
      <c r="V439" s="50"/>
      <c r="W439" s="51"/>
      <c r="X439" s="51"/>
      <c r="Y439" s="51"/>
      <c r="Z439" s="51">
        <v>1.48264074E8</v>
      </c>
      <c r="AA439" s="51">
        <v>1.1861126E7</v>
      </c>
      <c r="AB439" s="51">
        <v>1.601252E8</v>
      </c>
      <c r="AC439" s="47"/>
      <c r="AD439" s="47" t="s">
        <v>3871</v>
      </c>
      <c r="AE439" s="48"/>
      <c r="AF439" s="50"/>
      <c r="AG439" s="51">
        <v>-1.5964246E7</v>
      </c>
      <c r="AH439" s="51">
        <v>-1277140.0</v>
      </c>
      <c r="AI439" s="51">
        <v>-1.7241386E7</v>
      </c>
      <c r="AJ439" s="47" t="s">
        <v>3872</v>
      </c>
      <c r="AK439" s="48"/>
      <c r="AL439" s="50"/>
      <c r="AM439" s="51">
        <v>-1.32299828E8</v>
      </c>
      <c r="AN439" s="51">
        <v>-1.0583986E7</v>
      </c>
      <c r="AO439" s="51">
        <v>-1.42883814E8</v>
      </c>
      <c r="AP439" s="47"/>
      <c r="AQ439" s="48"/>
      <c r="AR439" s="50"/>
      <c r="AS439" s="51"/>
      <c r="AT439" s="51"/>
      <c r="AU439" s="51"/>
      <c r="AV439" s="47"/>
      <c r="AW439" s="48"/>
      <c r="AX439" s="50"/>
      <c r="AY439" s="51"/>
      <c r="AZ439" s="51"/>
      <c r="BA439" s="51"/>
      <c r="BB439" s="51">
        <f t="shared" ref="BB439:BD439" si="437">IF(AND(ISNUMBER(Z439),COUNT(AG439,AM439,AS439,AY439)=2),Z439+SUM(AG439,AM439,AS439,AY439),"")</f>
        <v>0</v>
      </c>
      <c r="BC439" s="51">
        <f t="shared" si="437"/>
        <v>0</v>
      </c>
      <c r="BD439" s="51">
        <f t="shared" si="437"/>
        <v>0</v>
      </c>
    </row>
    <row r="440" ht="48.0" customHeight="1">
      <c r="A440" s="49" t="s">
        <v>40</v>
      </c>
      <c r="B440" s="49" t="str">
        <f t="array" ref="B440">INDEX('HD cty 2024'!B:B,MATCH('F0, F1, F2, ...'!$C440,'HD cty 2024'!B:B,0))</f>
        <v>#N/A</v>
      </c>
      <c r="C440" s="49">
        <v>560.0</v>
      </c>
      <c r="D440" s="50">
        <v>45602.0</v>
      </c>
      <c r="E440" s="51">
        <v>1.50084032E8</v>
      </c>
      <c r="F440" s="51">
        <v>1.2006723E7</v>
      </c>
      <c r="G440" s="51">
        <v>1.62090755E8</v>
      </c>
      <c r="H440" s="49" t="s">
        <v>414</v>
      </c>
      <c r="I440" s="52" t="s">
        <v>3873</v>
      </c>
      <c r="J440" s="50">
        <v>45807.0</v>
      </c>
      <c r="K440" s="51">
        <v>1.9324857E7</v>
      </c>
      <c r="L440" s="51">
        <v>1545989.0</v>
      </c>
      <c r="M440" s="51">
        <v>2.0870846E7</v>
      </c>
      <c r="N440" s="49"/>
      <c r="O440" s="52"/>
      <c r="P440" s="50"/>
      <c r="Q440" s="51"/>
      <c r="R440" s="51"/>
      <c r="S440" s="51"/>
      <c r="T440" s="49"/>
      <c r="U440" s="52"/>
      <c r="V440" s="50"/>
      <c r="W440" s="51"/>
      <c r="X440" s="51"/>
      <c r="Y440" s="51"/>
      <c r="Z440" s="51">
        <v>1.69408889E8</v>
      </c>
      <c r="AA440" s="51">
        <v>1.3552712E7</v>
      </c>
      <c r="AB440" s="51">
        <v>1.82961601E8</v>
      </c>
      <c r="AC440" s="47"/>
      <c r="AD440" s="47" t="s">
        <v>3874</v>
      </c>
      <c r="AE440" s="48"/>
      <c r="AF440" s="50"/>
      <c r="AG440" s="51">
        <v>-1.9324857E7</v>
      </c>
      <c r="AH440" s="51">
        <v>-1545989.0</v>
      </c>
      <c r="AI440" s="51">
        <v>-2.0870846E7</v>
      </c>
      <c r="AJ440" s="47" t="s">
        <v>3875</v>
      </c>
      <c r="AK440" s="48"/>
      <c r="AL440" s="50"/>
      <c r="AM440" s="51">
        <v>-1.50084032E8</v>
      </c>
      <c r="AN440" s="51">
        <v>-1.2006723E7</v>
      </c>
      <c r="AO440" s="51">
        <v>-1.62090755E8</v>
      </c>
      <c r="AP440" s="47"/>
      <c r="AQ440" s="48"/>
      <c r="AR440" s="50"/>
      <c r="AS440" s="51"/>
      <c r="AT440" s="51"/>
      <c r="AU440" s="51"/>
      <c r="AV440" s="47"/>
      <c r="AW440" s="48"/>
      <c r="AX440" s="50"/>
      <c r="AY440" s="51"/>
      <c r="AZ440" s="51"/>
      <c r="BA440" s="51"/>
      <c r="BB440" s="51">
        <f t="shared" ref="BB440:BD440" si="438">IF(AND(ISNUMBER(Z440),COUNT(AG440,AM440,AS440,AY440)=2),Z440+SUM(AG440,AM440,AS440,AY440),"")</f>
        <v>0</v>
      </c>
      <c r="BC440" s="51">
        <f t="shared" si="438"/>
        <v>0</v>
      </c>
      <c r="BD440" s="51">
        <f t="shared" si="438"/>
        <v>0</v>
      </c>
    </row>
    <row r="441" ht="48.0" customHeight="1">
      <c r="A441" s="49" t="s">
        <v>40</v>
      </c>
      <c r="B441" s="49" t="str">
        <f t="array" ref="B441">INDEX('HD cty 2024'!B:B,MATCH('F0, F1, F2, ...'!$C441,'HD cty 2024'!B:B,0))</f>
        <v>#N/A</v>
      </c>
      <c r="C441" s="49">
        <v>561.0</v>
      </c>
      <c r="D441" s="50">
        <v>45602.0</v>
      </c>
      <c r="E441" s="51">
        <v>9.6405566E7</v>
      </c>
      <c r="F441" s="51">
        <v>7712445.0</v>
      </c>
      <c r="G441" s="51">
        <v>1.04118011E8</v>
      </c>
      <c r="H441" s="49" t="s">
        <v>414</v>
      </c>
      <c r="I441" s="52" t="s">
        <v>3876</v>
      </c>
      <c r="J441" s="50">
        <v>45807.0</v>
      </c>
      <c r="K441" s="51">
        <v>7828138.0</v>
      </c>
      <c r="L441" s="51">
        <v>626251.0</v>
      </c>
      <c r="M441" s="51">
        <v>8454389.0</v>
      </c>
      <c r="N441" s="49"/>
      <c r="O441" s="52"/>
      <c r="P441" s="50"/>
      <c r="Q441" s="51"/>
      <c r="R441" s="51"/>
      <c r="S441" s="51"/>
      <c r="T441" s="49"/>
      <c r="U441" s="52"/>
      <c r="V441" s="50"/>
      <c r="W441" s="51"/>
      <c r="X441" s="51"/>
      <c r="Y441" s="51"/>
      <c r="Z441" s="51">
        <v>1.04233704E8</v>
      </c>
      <c r="AA441" s="51">
        <v>8338696.0</v>
      </c>
      <c r="AB441" s="51">
        <v>1.125724E8</v>
      </c>
      <c r="AC441" s="47"/>
      <c r="AD441" s="47" t="s">
        <v>3877</v>
      </c>
      <c r="AE441" s="48"/>
      <c r="AF441" s="50"/>
      <c r="AG441" s="51">
        <v>-7828138.0</v>
      </c>
      <c r="AH441" s="51">
        <v>-626251.0</v>
      </c>
      <c r="AI441" s="51">
        <v>-8454389.0</v>
      </c>
      <c r="AJ441" s="47" t="s">
        <v>3878</v>
      </c>
      <c r="AK441" s="48"/>
      <c r="AL441" s="50"/>
      <c r="AM441" s="51">
        <v>-9.6405566E7</v>
      </c>
      <c r="AN441" s="51">
        <v>-7712445.0</v>
      </c>
      <c r="AO441" s="51">
        <v>-1.04118011E8</v>
      </c>
      <c r="AP441" s="47"/>
      <c r="AQ441" s="48"/>
      <c r="AR441" s="50"/>
      <c r="AS441" s="51"/>
      <c r="AT441" s="51"/>
      <c r="AU441" s="51"/>
      <c r="AV441" s="47"/>
      <c r="AW441" s="48"/>
      <c r="AX441" s="50"/>
      <c r="AY441" s="51"/>
      <c r="AZ441" s="51"/>
      <c r="BA441" s="51"/>
      <c r="BB441" s="51">
        <f t="shared" ref="BB441:BD441" si="439">IF(AND(ISNUMBER(Z441),COUNT(AG441,AM441,AS441,AY441)=2),Z441+SUM(AG441,AM441,AS441,AY441),"")</f>
        <v>0</v>
      </c>
      <c r="BC441" s="51">
        <f t="shared" si="439"/>
        <v>0</v>
      </c>
      <c r="BD441" s="51">
        <f t="shared" si="439"/>
        <v>0</v>
      </c>
    </row>
    <row r="442" ht="48.0" customHeight="1">
      <c r="A442" s="49" t="s">
        <v>40</v>
      </c>
      <c r="B442" s="49" t="str">
        <f t="array" ref="B442">INDEX('HD cty 2024'!B:B,MATCH('F0, F1, F2, ...'!$C442,'HD cty 2024'!B:B,0))</f>
        <v>#N/A</v>
      </c>
      <c r="C442" s="49">
        <v>562.0</v>
      </c>
      <c r="D442" s="50">
        <v>45602.0</v>
      </c>
      <c r="E442" s="51">
        <v>1.27226344E8</v>
      </c>
      <c r="F442" s="51">
        <v>1.0178108E7</v>
      </c>
      <c r="G442" s="51">
        <v>1.37404452E8</v>
      </c>
      <c r="H442" s="49" t="s">
        <v>414</v>
      </c>
      <c r="I442" s="52" t="s">
        <v>3879</v>
      </c>
      <c r="J442" s="50">
        <v>45807.0</v>
      </c>
      <c r="K442" s="51">
        <v>1.4928378E7</v>
      </c>
      <c r="L442" s="51">
        <v>1194270.0</v>
      </c>
      <c r="M442" s="51">
        <v>1.6122648E7</v>
      </c>
      <c r="N442" s="49"/>
      <c r="O442" s="52"/>
      <c r="P442" s="50"/>
      <c r="Q442" s="51"/>
      <c r="R442" s="51"/>
      <c r="S442" s="51"/>
      <c r="T442" s="49"/>
      <c r="U442" s="52"/>
      <c r="V442" s="50"/>
      <c r="W442" s="51"/>
      <c r="X442" s="51"/>
      <c r="Y442" s="51"/>
      <c r="Z442" s="51">
        <v>1.42154722E8</v>
      </c>
      <c r="AA442" s="51">
        <v>1.1372378E7</v>
      </c>
      <c r="AB442" s="51">
        <v>1.535271E8</v>
      </c>
      <c r="AC442" s="47"/>
      <c r="AD442" s="47" t="s">
        <v>3880</v>
      </c>
      <c r="AE442" s="48"/>
      <c r="AF442" s="50"/>
      <c r="AG442" s="51">
        <v>-1.4928378E7</v>
      </c>
      <c r="AH442" s="51">
        <v>-1194270.0</v>
      </c>
      <c r="AI442" s="51">
        <v>-1.6122648E7</v>
      </c>
      <c r="AJ442" s="47" t="s">
        <v>3881</v>
      </c>
      <c r="AK442" s="48"/>
      <c r="AL442" s="50"/>
      <c r="AM442" s="51">
        <v>-1.27226344E8</v>
      </c>
      <c r="AN442" s="51">
        <v>-1.0178108E7</v>
      </c>
      <c r="AO442" s="51">
        <v>-1.37404452E8</v>
      </c>
      <c r="AP442" s="47"/>
      <c r="AQ442" s="48"/>
      <c r="AR442" s="50"/>
      <c r="AS442" s="51"/>
      <c r="AT442" s="51"/>
      <c r="AU442" s="51"/>
      <c r="AV442" s="47"/>
      <c r="AW442" s="48"/>
      <c r="AX442" s="50"/>
      <c r="AY442" s="51"/>
      <c r="AZ442" s="51"/>
      <c r="BA442" s="51"/>
      <c r="BB442" s="51">
        <f t="shared" ref="BB442:BD442" si="440">IF(AND(ISNUMBER(Z442),COUNT(AG442,AM442,AS442,AY442)=2),Z442+SUM(AG442,AM442,AS442,AY442),"")</f>
        <v>0</v>
      </c>
      <c r="BC442" s="51">
        <f t="shared" si="440"/>
        <v>0</v>
      </c>
      <c r="BD442" s="51">
        <f t="shared" si="440"/>
        <v>0</v>
      </c>
    </row>
    <row r="443" ht="48.0" customHeight="1">
      <c r="A443" s="49" t="s">
        <v>40</v>
      </c>
      <c r="B443" s="49" t="str">
        <f t="array" ref="B443">INDEX('HD cty 2024'!B:B,MATCH('F0, F1, F2, ...'!$C443,'HD cty 2024'!B:B,0))</f>
        <v>#N/A</v>
      </c>
      <c r="C443" s="49">
        <v>565.0</v>
      </c>
      <c r="D443" s="50">
        <v>45604.0</v>
      </c>
      <c r="E443" s="51">
        <v>1.28220023E8</v>
      </c>
      <c r="F443" s="51">
        <v>1.0257602E7</v>
      </c>
      <c r="G443" s="51">
        <v>1.38477625E8</v>
      </c>
      <c r="H443" s="49" t="s">
        <v>414</v>
      </c>
      <c r="I443" s="52" t="s">
        <v>3882</v>
      </c>
      <c r="J443" s="50">
        <v>45807.0</v>
      </c>
      <c r="K443" s="51">
        <v>1.5255347E7</v>
      </c>
      <c r="L443" s="51">
        <v>1220428.0</v>
      </c>
      <c r="M443" s="51">
        <v>1.6475775E7</v>
      </c>
      <c r="N443" s="49"/>
      <c r="O443" s="52"/>
      <c r="P443" s="50"/>
      <c r="Q443" s="51"/>
      <c r="R443" s="51"/>
      <c r="S443" s="51"/>
      <c r="T443" s="49"/>
      <c r="U443" s="52"/>
      <c r="V443" s="50"/>
      <c r="W443" s="51"/>
      <c r="X443" s="51"/>
      <c r="Y443" s="51"/>
      <c r="Z443" s="51">
        <v>1.4347537E8</v>
      </c>
      <c r="AA443" s="51">
        <v>1.147803E7</v>
      </c>
      <c r="AB443" s="51">
        <v>1.549534E8</v>
      </c>
      <c r="AC443" s="47"/>
      <c r="AD443" s="47" t="s">
        <v>3883</v>
      </c>
      <c r="AE443" s="48"/>
      <c r="AF443" s="50"/>
      <c r="AG443" s="51">
        <v>-1.5255347E7</v>
      </c>
      <c r="AH443" s="51">
        <v>-1220428.0</v>
      </c>
      <c r="AI443" s="51">
        <v>-1.6475775E7</v>
      </c>
      <c r="AJ443" s="47" t="s">
        <v>3884</v>
      </c>
      <c r="AK443" s="48"/>
      <c r="AL443" s="50"/>
      <c r="AM443" s="51">
        <v>-1.28220023E8</v>
      </c>
      <c r="AN443" s="51">
        <v>-1.0257602E7</v>
      </c>
      <c r="AO443" s="51">
        <v>-1.38477625E8</v>
      </c>
      <c r="AP443" s="47"/>
      <c r="AQ443" s="48"/>
      <c r="AR443" s="50"/>
      <c r="AS443" s="51"/>
      <c r="AT443" s="51"/>
      <c r="AU443" s="51"/>
      <c r="AV443" s="47"/>
      <c r="AW443" s="48"/>
      <c r="AX443" s="50"/>
      <c r="AY443" s="51"/>
      <c r="AZ443" s="51"/>
      <c r="BA443" s="51"/>
      <c r="BB443" s="51">
        <f t="shared" ref="BB443:BD443" si="441">IF(AND(ISNUMBER(Z443),COUNT(AG443,AM443,AS443,AY443)=2),Z443+SUM(AG443,AM443,AS443,AY443),"")</f>
        <v>0</v>
      </c>
      <c r="BC443" s="51">
        <f t="shared" si="441"/>
        <v>0</v>
      </c>
      <c r="BD443" s="51">
        <f t="shared" si="441"/>
        <v>0</v>
      </c>
    </row>
    <row r="444" ht="48.0" customHeight="1">
      <c r="A444" s="49" t="s">
        <v>40</v>
      </c>
      <c r="B444" s="49" t="str">
        <f t="array" ref="B444">INDEX('HD cty 2024'!B:B,MATCH('F0, F1, F2, ...'!$C444,'HD cty 2024'!B:B,0))</f>
        <v>#N/A</v>
      </c>
      <c r="C444" s="49">
        <v>571.0</v>
      </c>
      <c r="D444" s="50">
        <v>45610.0</v>
      </c>
      <c r="E444" s="51">
        <v>2979630.0</v>
      </c>
      <c r="F444" s="51">
        <v>238370.0</v>
      </c>
      <c r="G444" s="51">
        <v>3218000.0</v>
      </c>
      <c r="H444" s="49" t="s">
        <v>414</v>
      </c>
      <c r="I444" s="52" t="s">
        <v>3885</v>
      </c>
      <c r="J444" s="50">
        <v>45808.0</v>
      </c>
      <c r="K444" s="51">
        <v>-1055556.0</v>
      </c>
      <c r="L444" s="51">
        <v>-84444.0</v>
      </c>
      <c r="M444" s="51">
        <v>-1140000.0</v>
      </c>
      <c r="N444" s="49"/>
      <c r="O444" s="52"/>
      <c r="P444" s="50"/>
      <c r="Q444" s="51"/>
      <c r="R444" s="51"/>
      <c r="S444" s="51"/>
      <c r="T444" s="49"/>
      <c r="U444" s="52"/>
      <c r="V444" s="50"/>
      <c r="W444" s="51"/>
      <c r="X444" s="51"/>
      <c r="Y444" s="51"/>
      <c r="Z444" s="51">
        <v>1924074.0</v>
      </c>
      <c r="AA444" s="51">
        <v>153926.0</v>
      </c>
      <c r="AB444" s="51">
        <v>2078000.0</v>
      </c>
      <c r="AC444" s="47"/>
      <c r="AD444" s="47" t="s">
        <v>3886</v>
      </c>
      <c r="AE444" s="48"/>
      <c r="AF444" s="50"/>
      <c r="AG444" s="51">
        <v>1055556.0</v>
      </c>
      <c r="AH444" s="51">
        <v>84444.0</v>
      </c>
      <c r="AI444" s="51">
        <v>1140000.0</v>
      </c>
      <c r="AJ444" s="47" t="s">
        <v>3887</v>
      </c>
      <c r="AK444" s="48"/>
      <c r="AL444" s="50"/>
      <c r="AM444" s="51">
        <v>-2979630.0</v>
      </c>
      <c r="AN444" s="51">
        <v>-238370.0</v>
      </c>
      <c r="AO444" s="51">
        <v>-3218000.0</v>
      </c>
      <c r="AP444" s="47"/>
      <c r="AQ444" s="48"/>
      <c r="AR444" s="50"/>
      <c r="AS444" s="51"/>
      <c r="AT444" s="51"/>
      <c r="AU444" s="51"/>
      <c r="AV444" s="47"/>
      <c r="AW444" s="48"/>
      <c r="AX444" s="50"/>
      <c r="AY444" s="51"/>
      <c r="AZ444" s="51"/>
      <c r="BA444" s="51"/>
      <c r="BB444" s="51">
        <f t="shared" ref="BB444:BD444" si="442">IF(AND(ISNUMBER(Z444),COUNT(AG444,AM444,AS444,AY444)=2),Z444+SUM(AG444,AM444,AS444,AY444),"")</f>
        <v>0</v>
      </c>
      <c r="BC444" s="51">
        <f t="shared" si="442"/>
        <v>0</v>
      </c>
      <c r="BD444" s="51">
        <f t="shared" si="442"/>
        <v>0</v>
      </c>
    </row>
    <row r="445" ht="48.0" customHeight="1">
      <c r="A445" s="49" t="s">
        <v>40</v>
      </c>
      <c r="B445" s="49" t="str">
        <f t="array" ref="B445">INDEX('HD cty 2024'!B:B,MATCH('F0, F1, F2, ...'!$C445,'HD cty 2024'!B:B,0))</f>
        <v>#N/A</v>
      </c>
      <c r="C445" s="49">
        <v>573.0</v>
      </c>
      <c r="D445" s="50">
        <v>45611.0</v>
      </c>
      <c r="E445" s="51">
        <v>509259.0</v>
      </c>
      <c r="F445" s="51">
        <v>40741.0</v>
      </c>
      <c r="G445" s="51">
        <v>550000.0</v>
      </c>
      <c r="H445" s="49" t="s">
        <v>414</v>
      </c>
      <c r="I445" s="52" t="s">
        <v>3888</v>
      </c>
      <c r="J445" s="50">
        <v>45807.0</v>
      </c>
      <c r="K445" s="51">
        <v>-46296.0</v>
      </c>
      <c r="L445" s="51">
        <v>-3704.0</v>
      </c>
      <c r="M445" s="51">
        <v>-50000.0</v>
      </c>
      <c r="N445" s="49"/>
      <c r="O445" s="52"/>
      <c r="P445" s="50"/>
      <c r="Q445" s="51"/>
      <c r="R445" s="51"/>
      <c r="S445" s="51"/>
      <c r="T445" s="49"/>
      <c r="U445" s="52"/>
      <c r="V445" s="50"/>
      <c r="W445" s="51"/>
      <c r="X445" s="51"/>
      <c r="Y445" s="51"/>
      <c r="Z445" s="51">
        <v>462963.0</v>
      </c>
      <c r="AA445" s="51">
        <v>37037.0</v>
      </c>
      <c r="AB445" s="51">
        <v>500000.0</v>
      </c>
      <c r="AC445" s="47"/>
      <c r="AD445" s="47" t="s">
        <v>3889</v>
      </c>
      <c r="AE445" s="48"/>
      <c r="AF445" s="50"/>
      <c r="AG445" s="51">
        <v>46296.0</v>
      </c>
      <c r="AH445" s="51">
        <v>3704.0</v>
      </c>
      <c r="AI445" s="51">
        <v>50000.0</v>
      </c>
      <c r="AJ445" s="47" t="s">
        <v>3890</v>
      </c>
      <c r="AK445" s="48"/>
      <c r="AL445" s="50"/>
      <c r="AM445" s="51">
        <v>-509259.0</v>
      </c>
      <c r="AN445" s="51">
        <v>-40741.0</v>
      </c>
      <c r="AO445" s="51">
        <v>-550000.0</v>
      </c>
      <c r="AP445" s="47"/>
      <c r="AQ445" s="48"/>
      <c r="AR445" s="50"/>
      <c r="AS445" s="51"/>
      <c r="AT445" s="51"/>
      <c r="AU445" s="51"/>
      <c r="AV445" s="47"/>
      <c r="AW445" s="48"/>
      <c r="AX445" s="50"/>
      <c r="AY445" s="51"/>
      <c r="AZ445" s="51"/>
      <c r="BA445" s="51"/>
      <c r="BB445" s="51">
        <f t="shared" ref="BB445:BD445" si="443">IF(AND(ISNUMBER(Z445),COUNT(AG445,AM445,AS445,AY445)=2),Z445+SUM(AG445,AM445,AS445,AY445),"")</f>
        <v>0</v>
      </c>
      <c r="BC445" s="51">
        <f t="shared" si="443"/>
        <v>0</v>
      </c>
      <c r="BD445" s="51">
        <f t="shared" si="443"/>
        <v>0</v>
      </c>
    </row>
    <row r="446" ht="129.75" customHeight="1">
      <c r="A446" s="49" t="s">
        <v>40</v>
      </c>
      <c r="B446" s="49" t="str">
        <f t="array" ref="B446">INDEX('HD cty 2024'!B:B,MATCH('F0, F1, F2, ...'!$C446,'HD cty 2024'!B:B,0))</f>
        <v>#N/A</v>
      </c>
      <c r="C446" s="49">
        <v>574.0</v>
      </c>
      <c r="D446" s="50">
        <v>45611.0</v>
      </c>
      <c r="E446" s="51">
        <v>0.0</v>
      </c>
      <c r="F446" s="51">
        <v>0.0</v>
      </c>
      <c r="G446" s="51"/>
      <c r="H446" s="49" t="s">
        <v>414</v>
      </c>
      <c r="I446" s="52" t="s">
        <v>3891</v>
      </c>
      <c r="J446" s="50">
        <v>45807.0</v>
      </c>
      <c r="K446" s="51">
        <v>1702778.0</v>
      </c>
      <c r="L446" s="51">
        <v>136222.0</v>
      </c>
      <c r="M446" s="51">
        <v>1839000.0</v>
      </c>
      <c r="N446" s="49"/>
      <c r="O446" s="52"/>
      <c r="P446" s="50"/>
      <c r="Q446" s="51"/>
      <c r="R446" s="51"/>
      <c r="S446" s="51"/>
      <c r="T446" s="49"/>
      <c r="U446" s="52"/>
      <c r="V446" s="50"/>
      <c r="W446" s="51"/>
      <c r="X446" s="51"/>
      <c r="Y446" s="51"/>
      <c r="Z446" s="51">
        <v>1702778.0</v>
      </c>
      <c r="AA446" s="51">
        <v>136222.0</v>
      </c>
      <c r="AB446" s="51">
        <v>1839000.0</v>
      </c>
      <c r="AC446" s="47" t="s">
        <v>3892</v>
      </c>
      <c r="AD446" s="47" t="s">
        <v>3893</v>
      </c>
      <c r="AE446" s="48"/>
      <c r="AF446" s="50">
        <v>46314.0</v>
      </c>
      <c r="AG446" s="51">
        <v>0.0</v>
      </c>
      <c r="AH446" s="51">
        <v>0.0</v>
      </c>
      <c r="AI446" s="51">
        <v>0.0</v>
      </c>
      <c r="AJ446" s="47" t="s">
        <v>3894</v>
      </c>
      <c r="AK446" s="48"/>
      <c r="AL446" s="50">
        <v>46314.0</v>
      </c>
      <c r="AM446" s="51">
        <v>-1702778.0</v>
      </c>
      <c r="AN446" s="51">
        <v>-136222.0</v>
      </c>
      <c r="AO446" s="51">
        <v>-1839000.0</v>
      </c>
      <c r="AP446" s="47"/>
      <c r="AQ446" s="48"/>
      <c r="AR446" s="50"/>
      <c r="AS446" s="51"/>
      <c r="AT446" s="51"/>
      <c r="AU446" s="51"/>
      <c r="AV446" s="47"/>
      <c r="AW446" s="48"/>
      <c r="AX446" s="50"/>
      <c r="AY446" s="51"/>
      <c r="AZ446" s="51"/>
      <c r="BA446" s="51"/>
      <c r="BB446" s="51">
        <f t="shared" ref="BB446:BD446" si="444">SUM(Z446,AG446,AM446,AS446,AY446)</f>
        <v>0</v>
      </c>
      <c r="BC446" s="51">
        <f t="shared" si="444"/>
        <v>0</v>
      </c>
      <c r="BD446" s="51">
        <f t="shared" si="444"/>
        <v>0</v>
      </c>
    </row>
    <row r="447" ht="102.0" customHeight="1">
      <c r="A447" s="49" t="s">
        <v>40</v>
      </c>
      <c r="B447" s="49" t="str">
        <f t="array" ref="B447">INDEX('HD cty 2024'!B:B,MATCH('F0, F1, F2, ...'!$C447,'HD cty 2024'!B:B,0))</f>
        <v>#N/A</v>
      </c>
      <c r="C447" s="49">
        <v>575.0</v>
      </c>
      <c r="D447" s="50">
        <v>45611.0</v>
      </c>
      <c r="E447" s="51">
        <v>665740.0</v>
      </c>
      <c r="F447" s="51">
        <v>53259.0</v>
      </c>
      <c r="G447" s="51">
        <v>718999.0</v>
      </c>
      <c r="H447" s="49" t="s">
        <v>414</v>
      </c>
      <c r="I447" s="52" t="s">
        <v>3895</v>
      </c>
      <c r="J447" s="50">
        <v>45807.0</v>
      </c>
      <c r="K447" s="51">
        <v>-665740.0</v>
      </c>
      <c r="L447" s="51">
        <v>-53259.0</v>
      </c>
      <c r="M447" s="51">
        <v>-718999.0</v>
      </c>
      <c r="N447" s="49"/>
      <c r="O447" s="52"/>
      <c r="P447" s="50"/>
      <c r="Q447" s="51"/>
      <c r="R447" s="51"/>
      <c r="S447" s="51"/>
      <c r="T447" s="49"/>
      <c r="U447" s="52"/>
      <c r="V447" s="50"/>
      <c r="W447" s="51"/>
      <c r="X447" s="51"/>
      <c r="Y447" s="51"/>
      <c r="Z447" s="51">
        <v>0.0</v>
      </c>
      <c r="AA447" s="51">
        <v>0.0</v>
      </c>
      <c r="AB447" s="51">
        <v>0.0</v>
      </c>
      <c r="AC447" s="47" t="s">
        <v>3896</v>
      </c>
      <c r="AD447" s="47" t="s">
        <v>3897</v>
      </c>
      <c r="AE447" s="48"/>
      <c r="AF447" s="50">
        <v>46304.0</v>
      </c>
      <c r="AG447" s="51">
        <v>665740.0</v>
      </c>
      <c r="AH447" s="51">
        <v>53259.0</v>
      </c>
      <c r="AI447" s="51">
        <v>718999.0</v>
      </c>
      <c r="AJ447" s="47" t="s">
        <v>3898</v>
      </c>
      <c r="AK447" s="48"/>
      <c r="AL447" s="50">
        <v>46304.0</v>
      </c>
      <c r="AM447" s="51">
        <v>-665740.0</v>
      </c>
      <c r="AN447" s="51">
        <v>-53259.0</v>
      </c>
      <c r="AO447" s="51">
        <v>-718999.0</v>
      </c>
      <c r="AP447" s="47"/>
      <c r="AQ447" s="48"/>
      <c r="AR447" s="50"/>
      <c r="AS447" s="51"/>
      <c r="AT447" s="51"/>
      <c r="AU447" s="51"/>
      <c r="AV447" s="47"/>
      <c r="AW447" s="48"/>
      <c r="AX447" s="50"/>
      <c r="AY447" s="51"/>
      <c r="AZ447" s="51"/>
      <c r="BA447" s="51"/>
      <c r="BB447" s="51">
        <f t="shared" ref="BB447:BD447" si="445">IF(AND(ISNUMBER(Z447),COUNT(AG447,AM447,AS447,AY447)=2),Z447+SUM(AG447,AM447,AS447,AY447),"")</f>
        <v>0</v>
      </c>
      <c r="BC447" s="51">
        <f t="shared" si="445"/>
        <v>0</v>
      </c>
      <c r="BD447" s="51">
        <f t="shared" si="445"/>
        <v>0</v>
      </c>
    </row>
    <row r="448" ht="48.0" customHeight="1">
      <c r="A448" s="49" t="s">
        <v>40</v>
      </c>
      <c r="B448" s="49" t="str">
        <f t="array" ref="B448">INDEX('HD cty 2024'!B:B,MATCH('F0, F1, F2, ...'!$C448,'HD cty 2024'!B:B,0))</f>
        <v>#N/A</v>
      </c>
      <c r="C448" s="49">
        <v>576.0</v>
      </c>
      <c r="D448" s="50">
        <v>45611.0</v>
      </c>
      <c r="E448" s="51">
        <v>7.9354195E7</v>
      </c>
      <c r="F448" s="51">
        <v>6348336.0</v>
      </c>
      <c r="G448" s="51">
        <v>8.5702531E7</v>
      </c>
      <c r="H448" s="49" t="s">
        <v>414</v>
      </c>
      <c r="I448" s="52" t="s">
        <v>3899</v>
      </c>
      <c r="J448" s="50">
        <v>45807.0</v>
      </c>
      <c r="K448" s="51">
        <v>-152343.0</v>
      </c>
      <c r="L448" s="51">
        <v>-12187.0</v>
      </c>
      <c r="M448" s="51">
        <v>-164530.0</v>
      </c>
      <c r="N448" s="49"/>
      <c r="O448" s="52"/>
      <c r="P448" s="50"/>
      <c r="Q448" s="51"/>
      <c r="R448" s="51"/>
      <c r="S448" s="51"/>
      <c r="T448" s="49"/>
      <c r="U448" s="52"/>
      <c r="V448" s="50"/>
      <c r="W448" s="51"/>
      <c r="X448" s="51"/>
      <c r="Y448" s="51"/>
      <c r="Z448" s="51">
        <v>7.9201852E7</v>
      </c>
      <c r="AA448" s="51">
        <v>6336149.0</v>
      </c>
      <c r="AB448" s="51">
        <v>8.5538001E7</v>
      </c>
      <c r="AC448" s="47"/>
      <c r="AD448" s="47" t="s">
        <v>3900</v>
      </c>
      <c r="AE448" s="48"/>
      <c r="AF448" s="50"/>
      <c r="AG448" s="51">
        <v>152343.0</v>
      </c>
      <c r="AH448" s="51">
        <v>12187.0</v>
      </c>
      <c r="AI448" s="51">
        <v>164530.0</v>
      </c>
      <c r="AJ448" s="47" t="s">
        <v>3901</v>
      </c>
      <c r="AK448" s="48"/>
      <c r="AL448" s="50"/>
      <c r="AM448" s="51">
        <v>-7.9354195E7</v>
      </c>
      <c r="AN448" s="51">
        <v>-6348336.0</v>
      </c>
      <c r="AO448" s="51">
        <v>-8.5702531E7</v>
      </c>
      <c r="AP448" s="47"/>
      <c r="AQ448" s="48"/>
      <c r="AR448" s="50"/>
      <c r="AS448" s="51"/>
      <c r="AT448" s="51"/>
      <c r="AU448" s="51"/>
      <c r="AV448" s="47"/>
      <c r="AW448" s="48"/>
      <c r="AX448" s="50"/>
      <c r="AY448" s="51"/>
      <c r="AZ448" s="51"/>
      <c r="BA448" s="51"/>
      <c r="BB448" s="51">
        <f t="shared" ref="BB448:BD448" si="446">IF(AND(ISNUMBER(Z448),COUNT(AG448,AM448,AS448,AY448)=2),Z448+SUM(AG448,AM448,AS448,AY448),"")</f>
        <v>0</v>
      </c>
      <c r="BC448" s="51">
        <f t="shared" si="446"/>
        <v>0</v>
      </c>
      <c r="BD448" s="51">
        <f t="shared" si="446"/>
        <v>0</v>
      </c>
    </row>
    <row r="449" ht="48.0" customHeight="1">
      <c r="A449" s="49" t="s">
        <v>40</v>
      </c>
      <c r="B449" s="49" t="str">
        <f t="array" ref="B449">INDEX('HD cty 2024'!B:B,MATCH('F0, F1, F2, ...'!$C449,'HD cty 2024'!B:B,0))</f>
        <v>#N/A</v>
      </c>
      <c r="C449" s="49">
        <v>577.0</v>
      </c>
      <c r="D449" s="50">
        <v>45611.0</v>
      </c>
      <c r="E449" s="51">
        <v>2250278.0</v>
      </c>
      <c r="F449" s="51">
        <v>180022.0</v>
      </c>
      <c r="G449" s="51">
        <v>2430300.0</v>
      </c>
      <c r="H449" s="49" t="s">
        <v>414</v>
      </c>
      <c r="I449" s="52" t="s">
        <v>3902</v>
      </c>
      <c r="J449" s="50">
        <v>45807.0</v>
      </c>
      <c r="K449" s="51">
        <v>27870.0</v>
      </c>
      <c r="L449" s="51">
        <v>2230.0</v>
      </c>
      <c r="M449" s="51">
        <v>30100.0</v>
      </c>
      <c r="N449" s="49"/>
      <c r="O449" s="52"/>
      <c r="P449" s="50"/>
      <c r="Q449" s="51"/>
      <c r="R449" s="51"/>
      <c r="S449" s="51"/>
      <c r="T449" s="49"/>
      <c r="U449" s="52"/>
      <c r="V449" s="50"/>
      <c r="W449" s="51"/>
      <c r="X449" s="51"/>
      <c r="Y449" s="51"/>
      <c r="Z449" s="51">
        <v>2278148.0</v>
      </c>
      <c r="AA449" s="51">
        <v>182252.0</v>
      </c>
      <c r="AB449" s="51">
        <v>2460400.0</v>
      </c>
      <c r="AC449" s="47"/>
      <c r="AD449" s="47" t="s">
        <v>3903</v>
      </c>
      <c r="AE449" s="48"/>
      <c r="AF449" s="50"/>
      <c r="AG449" s="51">
        <v>-27870.0</v>
      </c>
      <c r="AH449" s="51">
        <v>-2230.0</v>
      </c>
      <c r="AI449" s="51">
        <v>-30100.0</v>
      </c>
      <c r="AJ449" s="47" t="s">
        <v>3904</v>
      </c>
      <c r="AK449" s="48"/>
      <c r="AL449" s="50"/>
      <c r="AM449" s="51">
        <v>-2250278.0</v>
      </c>
      <c r="AN449" s="51">
        <v>-180022.0</v>
      </c>
      <c r="AO449" s="51">
        <v>-2430300.0</v>
      </c>
      <c r="AP449" s="47"/>
      <c r="AQ449" s="48"/>
      <c r="AR449" s="50"/>
      <c r="AS449" s="51"/>
      <c r="AT449" s="51"/>
      <c r="AU449" s="51"/>
      <c r="AV449" s="47"/>
      <c r="AW449" s="48"/>
      <c r="AX449" s="50"/>
      <c r="AY449" s="51"/>
      <c r="AZ449" s="51"/>
      <c r="BA449" s="51"/>
      <c r="BB449" s="51">
        <f t="shared" ref="BB449:BD449" si="447">IF(AND(ISNUMBER(Z449),COUNT(AG449,AM449,AS449,AY449)=2),Z449+SUM(AG449,AM449,AS449,AY449),"")</f>
        <v>0</v>
      </c>
      <c r="BC449" s="51">
        <f t="shared" si="447"/>
        <v>0</v>
      </c>
      <c r="BD449" s="51">
        <f t="shared" si="447"/>
        <v>0</v>
      </c>
    </row>
    <row r="450" ht="48.0" customHeight="1">
      <c r="A450" s="49" t="s">
        <v>40</v>
      </c>
      <c r="B450" s="49" t="str">
        <f t="array" ref="B450">INDEX('HD cty 2024'!B:B,MATCH('F0, F1, F2, ...'!$C450,'HD cty 2024'!B:B,0))</f>
        <v>#N/A</v>
      </c>
      <c r="C450" s="49">
        <v>578.0</v>
      </c>
      <c r="D450" s="50">
        <v>45611.0</v>
      </c>
      <c r="E450" s="51">
        <v>1.26590949E8</v>
      </c>
      <c r="F450" s="51">
        <v>1.0127276E7</v>
      </c>
      <c r="G450" s="51">
        <v>1.36718225E8</v>
      </c>
      <c r="H450" s="49" t="s">
        <v>414</v>
      </c>
      <c r="I450" s="52" t="s">
        <v>3905</v>
      </c>
      <c r="J450" s="50">
        <v>45807.0</v>
      </c>
      <c r="K450" s="51">
        <v>1.5832199E7</v>
      </c>
      <c r="L450" s="51">
        <v>1266576.0</v>
      </c>
      <c r="M450" s="51">
        <v>1.7098775E7</v>
      </c>
      <c r="N450" s="49"/>
      <c r="O450" s="52"/>
      <c r="P450" s="50"/>
      <c r="Q450" s="51"/>
      <c r="R450" s="51"/>
      <c r="S450" s="51"/>
      <c r="T450" s="49"/>
      <c r="U450" s="52"/>
      <c r="V450" s="50"/>
      <c r="W450" s="51"/>
      <c r="X450" s="51"/>
      <c r="Y450" s="51"/>
      <c r="Z450" s="51">
        <v>1.42423148E8</v>
      </c>
      <c r="AA450" s="51">
        <v>1.1393852E7</v>
      </c>
      <c r="AB450" s="51">
        <v>1.53817E8</v>
      </c>
      <c r="AC450" s="47"/>
      <c r="AD450" s="47" t="s">
        <v>3906</v>
      </c>
      <c r="AE450" s="48"/>
      <c r="AF450" s="50"/>
      <c r="AG450" s="51">
        <v>-1.5832199E7</v>
      </c>
      <c r="AH450" s="51">
        <v>-1266576.0</v>
      </c>
      <c r="AI450" s="51">
        <v>-1.7098775E7</v>
      </c>
      <c r="AJ450" s="47" t="s">
        <v>3907</v>
      </c>
      <c r="AK450" s="48"/>
      <c r="AL450" s="50"/>
      <c r="AM450" s="51">
        <v>-1.26590949E8</v>
      </c>
      <c r="AN450" s="51">
        <v>-1.0127276E7</v>
      </c>
      <c r="AO450" s="51">
        <v>-1.36718225E8</v>
      </c>
      <c r="AP450" s="47"/>
      <c r="AQ450" s="48"/>
      <c r="AR450" s="50"/>
      <c r="AS450" s="51"/>
      <c r="AT450" s="51"/>
      <c r="AU450" s="51"/>
      <c r="AV450" s="47"/>
      <c r="AW450" s="48"/>
      <c r="AX450" s="50"/>
      <c r="AY450" s="51"/>
      <c r="AZ450" s="51"/>
      <c r="BA450" s="51"/>
      <c r="BB450" s="51">
        <f t="shared" ref="BB450:BD450" si="448">IF(AND(ISNUMBER(Z450),COUNT(AG450,AM450,AS450,AY450)=2),Z450+SUM(AG450,AM450,AS450,AY450),"")</f>
        <v>0</v>
      </c>
      <c r="BC450" s="51">
        <f t="shared" si="448"/>
        <v>0</v>
      </c>
      <c r="BD450" s="51">
        <f t="shared" si="448"/>
        <v>0</v>
      </c>
    </row>
    <row r="451" ht="48.0" customHeight="1">
      <c r="A451" s="49" t="s">
        <v>40</v>
      </c>
      <c r="B451" s="49" t="str">
        <f t="array" ref="B451">INDEX('HD cty 2024'!B:B,MATCH('F0, F1, F2, ...'!$C451,'HD cty 2024'!B:B,0))</f>
        <v>#N/A</v>
      </c>
      <c r="C451" s="49">
        <v>580.0</v>
      </c>
      <c r="D451" s="50">
        <v>45615.0</v>
      </c>
      <c r="E451" s="51">
        <v>3.3162594E7</v>
      </c>
      <c r="F451" s="51">
        <v>2653008.0</v>
      </c>
      <c r="G451" s="51">
        <v>3.5815602E7</v>
      </c>
      <c r="H451" s="49" t="s">
        <v>414</v>
      </c>
      <c r="I451" s="52" t="s">
        <v>3908</v>
      </c>
      <c r="J451" s="50">
        <v>45807.0</v>
      </c>
      <c r="K451" s="51">
        <v>6636480.0</v>
      </c>
      <c r="L451" s="51">
        <v>530918.0</v>
      </c>
      <c r="M451" s="51">
        <v>7167398.0</v>
      </c>
      <c r="N451" s="49"/>
      <c r="O451" s="52"/>
      <c r="P451" s="50"/>
      <c r="Q451" s="51"/>
      <c r="R451" s="51"/>
      <c r="S451" s="51"/>
      <c r="T451" s="49"/>
      <c r="U451" s="52"/>
      <c r="V451" s="50"/>
      <c r="W451" s="51"/>
      <c r="X451" s="51"/>
      <c r="Y451" s="51"/>
      <c r="Z451" s="51">
        <v>3.9799074E7</v>
      </c>
      <c r="AA451" s="51">
        <v>3183926.0</v>
      </c>
      <c r="AB451" s="51">
        <v>4.2983E7</v>
      </c>
      <c r="AC451" s="47"/>
      <c r="AD451" s="47" t="s">
        <v>3909</v>
      </c>
      <c r="AE451" s="48"/>
      <c r="AF451" s="50"/>
      <c r="AG451" s="51">
        <v>-6636480.0</v>
      </c>
      <c r="AH451" s="51">
        <v>-530918.0</v>
      </c>
      <c r="AI451" s="51">
        <v>-7167398.0</v>
      </c>
      <c r="AJ451" s="47" t="s">
        <v>3910</v>
      </c>
      <c r="AK451" s="48"/>
      <c r="AL451" s="50"/>
      <c r="AM451" s="51">
        <v>-3.3162594E7</v>
      </c>
      <c r="AN451" s="51">
        <v>-2653008.0</v>
      </c>
      <c r="AO451" s="51">
        <v>-3.5815602E7</v>
      </c>
      <c r="AP451" s="47"/>
      <c r="AQ451" s="48"/>
      <c r="AR451" s="50"/>
      <c r="AS451" s="51"/>
      <c r="AT451" s="51"/>
      <c r="AU451" s="51"/>
      <c r="AV451" s="47"/>
      <c r="AW451" s="48"/>
      <c r="AX451" s="50"/>
      <c r="AY451" s="51"/>
      <c r="AZ451" s="51"/>
      <c r="BA451" s="51"/>
      <c r="BB451" s="51">
        <f t="shared" ref="BB451:BD451" si="449">IF(AND(ISNUMBER(Z451),COUNT(AG451,AM451,AS451,AY451)=2),Z451+SUM(AG451,AM451,AS451,AY451),"")</f>
        <v>0</v>
      </c>
      <c r="BC451" s="51">
        <f t="shared" si="449"/>
        <v>0</v>
      </c>
      <c r="BD451" s="51">
        <f t="shared" si="449"/>
        <v>0</v>
      </c>
    </row>
    <row r="452" ht="48.0" customHeight="1">
      <c r="A452" s="49" t="s">
        <v>40</v>
      </c>
      <c r="B452" s="49" t="str">
        <f t="array" ref="B452">INDEX('HD cty 2024'!B:B,MATCH('F0, F1, F2, ...'!$C452,'HD cty 2024'!B:B,0))</f>
        <v>#N/A</v>
      </c>
      <c r="C452" s="49">
        <v>581.0</v>
      </c>
      <c r="D452" s="50">
        <v>45615.0</v>
      </c>
      <c r="E452" s="51">
        <v>2.8548969E7</v>
      </c>
      <c r="F452" s="51">
        <v>2283918.0</v>
      </c>
      <c r="G452" s="51">
        <v>3.0832887E7</v>
      </c>
      <c r="H452" s="49" t="s">
        <v>414</v>
      </c>
      <c r="I452" s="52" t="s">
        <v>3911</v>
      </c>
      <c r="J452" s="50">
        <v>45807.0</v>
      </c>
      <c r="K452" s="51">
        <v>-1087858.0</v>
      </c>
      <c r="L452" s="51">
        <v>-87029.0</v>
      </c>
      <c r="M452" s="51">
        <v>-1174887.0</v>
      </c>
      <c r="N452" s="49"/>
      <c r="O452" s="52"/>
      <c r="P452" s="50"/>
      <c r="Q452" s="51"/>
      <c r="R452" s="51"/>
      <c r="S452" s="51"/>
      <c r="T452" s="49"/>
      <c r="U452" s="52"/>
      <c r="V452" s="50"/>
      <c r="W452" s="51"/>
      <c r="X452" s="51"/>
      <c r="Y452" s="51"/>
      <c r="Z452" s="51">
        <v>2.7461111E7</v>
      </c>
      <c r="AA452" s="51">
        <v>2196889.0</v>
      </c>
      <c r="AB452" s="51">
        <v>2.9658E7</v>
      </c>
      <c r="AC452" s="47"/>
      <c r="AD452" s="47" t="s">
        <v>3912</v>
      </c>
      <c r="AE452" s="48"/>
      <c r="AF452" s="50"/>
      <c r="AG452" s="51">
        <v>1087858.0</v>
      </c>
      <c r="AH452" s="51">
        <v>87029.0</v>
      </c>
      <c r="AI452" s="51">
        <v>1174887.0</v>
      </c>
      <c r="AJ452" s="47" t="s">
        <v>3913</v>
      </c>
      <c r="AK452" s="48"/>
      <c r="AL452" s="50"/>
      <c r="AM452" s="51">
        <v>-2.8548969E7</v>
      </c>
      <c r="AN452" s="51">
        <v>-2283918.0</v>
      </c>
      <c r="AO452" s="51">
        <v>-3.0832887E7</v>
      </c>
      <c r="AP452" s="47"/>
      <c r="AQ452" s="48"/>
      <c r="AR452" s="50"/>
      <c r="AS452" s="51"/>
      <c r="AT452" s="51"/>
      <c r="AU452" s="51"/>
      <c r="AV452" s="47"/>
      <c r="AW452" s="48"/>
      <c r="AX452" s="50"/>
      <c r="AY452" s="51"/>
      <c r="AZ452" s="51"/>
      <c r="BA452" s="51"/>
      <c r="BB452" s="51">
        <f t="shared" ref="BB452:BD452" si="450">IF(AND(ISNUMBER(Z452),COUNT(AG452,AM452,AS452,AY452)=2),Z452+SUM(AG452,AM452,AS452,AY452),"")</f>
        <v>0</v>
      </c>
      <c r="BC452" s="51">
        <f t="shared" si="450"/>
        <v>0</v>
      </c>
      <c r="BD452" s="51">
        <f t="shared" si="450"/>
        <v>0</v>
      </c>
    </row>
    <row r="453" ht="48.0" customHeight="1">
      <c r="A453" s="49" t="s">
        <v>40</v>
      </c>
      <c r="B453" s="49" t="str">
        <f t="array" ref="B453">INDEX('HD cty 2024'!B:B,MATCH('F0, F1, F2, ...'!$C453,'HD cty 2024'!B:B,0))</f>
        <v>#N/A</v>
      </c>
      <c r="C453" s="49">
        <v>582.0</v>
      </c>
      <c r="D453" s="50">
        <v>45615.0</v>
      </c>
      <c r="E453" s="51">
        <v>1.0652446E7</v>
      </c>
      <c r="F453" s="51">
        <v>852196.0</v>
      </c>
      <c r="G453" s="51">
        <v>1.1504642E7</v>
      </c>
      <c r="H453" s="49" t="s">
        <v>414</v>
      </c>
      <c r="I453" s="52" t="s">
        <v>3914</v>
      </c>
      <c r="J453" s="50">
        <v>45807.0</v>
      </c>
      <c r="K453" s="51">
        <v>283004.0</v>
      </c>
      <c r="L453" s="51">
        <v>22640.0</v>
      </c>
      <c r="M453" s="51">
        <v>305644.0</v>
      </c>
      <c r="N453" s="49"/>
      <c r="O453" s="52"/>
      <c r="P453" s="50"/>
      <c r="Q453" s="51"/>
      <c r="R453" s="51"/>
      <c r="S453" s="51"/>
      <c r="T453" s="49"/>
      <c r="U453" s="52"/>
      <c r="V453" s="50"/>
      <c r="W453" s="51"/>
      <c r="X453" s="51"/>
      <c r="Y453" s="51"/>
      <c r="Z453" s="51">
        <v>1.093545E7</v>
      </c>
      <c r="AA453" s="51">
        <v>874836.0</v>
      </c>
      <c r="AB453" s="51">
        <v>1.1810286E7</v>
      </c>
      <c r="AC453" s="47"/>
      <c r="AD453" s="47" t="s">
        <v>3915</v>
      </c>
      <c r="AE453" s="48"/>
      <c r="AF453" s="50"/>
      <c r="AG453" s="51">
        <v>-283004.0</v>
      </c>
      <c r="AH453" s="51">
        <v>-22640.0</v>
      </c>
      <c r="AI453" s="51">
        <v>-305644.0</v>
      </c>
      <c r="AJ453" s="47" t="s">
        <v>3916</v>
      </c>
      <c r="AK453" s="48"/>
      <c r="AL453" s="50"/>
      <c r="AM453" s="51">
        <v>-1.0652446E7</v>
      </c>
      <c r="AN453" s="51">
        <v>-852196.0</v>
      </c>
      <c r="AO453" s="51">
        <v>-1.1504642E7</v>
      </c>
      <c r="AP453" s="47"/>
      <c r="AQ453" s="48"/>
      <c r="AR453" s="50"/>
      <c r="AS453" s="51"/>
      <c r="AT453" s="51"/>
      <c r="AU453" s="51"/>
      <c r="AV453" s="47"/>
      <c r="AW453" s="48"/>
      <c r="AX453" s="50"/>
      <c r="AY453" s="51"/>
      <c r="AZ453" s="51"/>
      <c r="BA453" s="51"/>
      <c r="BB453" s="51">
        <f t="shared" ref="BB453:BD453" si="451">IF(AND(ISNUMBER(Z453),COUNT(AG453,AM453,AS453,AY453)=2),Z453+SUM(AG453,AM453,AS453,AY453),"")</f>
        <v>0</v>
      </c>
      <c r="BC453" s="51">
        <f t="shared" si="451"/>
        <v>0</v>
      </c>
      <c r="BD453" s="51">
        <f t="shared" si="451"/>
        <v>0</v>
      </c>
    </row>
    <row r="454" ht="48.0" customHeight="1">
      <c r="A454" s="49" t="s">
        <v>40</v>
      </c>
      <c r="B454" s="49" t="str">
        <f t="array" ref="B454">INDEX('HD cty 2024'!B:B,MATCH('F0, F1, F2, ...'!$C454,'HD cty 2024'!B:B,0))</f>
        <v>#N/A</v>
      </c>
      <c r="C454" s="49">
        <v>583.0</v>
      </c>
      <c r="D454" s="50">
        <v>45615.0</v>
      </c>
      <c r="E454" s="51">
        <v>2.43843515E8</v>
      </c>
      <c r="F454" s="51">
        <v>1.9507481E7</v>
      </c>
      <c r="G454" s="51">
        <v>2.63350996E8</v>
      </c>
      <c r="H454" s="49" t="s">
        <v>414</v>
      </c>
      <c r="I454" s="52" t="s">
        <v>3917</v>
      </c>
      <c r="J454" s="50">
        <v>45808.0</v>
      </c>
      <c r="K454" s="51">
        <v>5.2499957E7</v>
      </c>
      <c r="L454" s="51">
        <v>4199997.0</v>
      </c>
      <c r="M454" s="51">
        <v>5.6699954E7</v>
      </c>
      <c r="N454" s="49"/>
      <c r="O454" s="52"/>
      <c r="P454" s="50"/>
      <c r="Q454" s="51"/>
      <c r="R454" s="51"/>
      <c r="S454" s="51"/>
      <c r="T454" s="49"/>
      <c r="U454" s="52"/>
      <c r="V454" s="50"/>
      <c r="W454" s="51"/>
      <c r="X454" s="51"/>
      <c r="Y454" s="51"/>
      <c r="Z454" s="51">
        <v>2.96343472E8</v>
      </c>
      <c r="AA454" s="51">
        <v>2.3707478E7</v>
      </c>
      <c r="AB454" s="51">
        <v>3.2005095E8</v>
      </c>
      <c r="AC454" s="47"/>
      <c r="AD454" s="47" t="s">
        <v>3918</v>
      </c>
      <c r="AE454" s="48"/>
      <c r="AF454" s="50"/>
      <c r="AG454" s="51">
        <v>-5.2499957E7</v>
      </c>
      <c r="AH454" s="51">
        <v>-4199997.0</v>
      </c>
      <c r="AI454" s="51">
        <v>-5.6699954E7</v>
      </c>
      <c r="AJ454" s="47" t="s">
        <v>3919</v>
      </c>
      <c r="AK454" s="48"/>
      <c r="AL454" s="50"/>
      <c r="AM454" s="51">
        <v>-2.43843515E8</v>
      </c>
      <c r="AN454" s="51">
        <v>-1.9507481E7</v>
      </c>
      <c r="AO454" s="51">
        <v>-2.63350996E8</v>
      </c>
      <c r="AP454" s="47"/>
      <c r="AQ454" s="48"/>
      <c r="AR454" s="50"/>
      <c r="AS454" s="51"/>
      <c r="AT454" s="51"/>
      <c r="AU454" s="51"/>
      <c r="AV454" s="47"/>
      <c r="AW454" s="48"/>
      <c r="AX454" s="50"/>
      <c r="AY454" s="51"/>
      <c r="AZ454" s="51"/>
      <c r="BA454" s="51"/>
      <c r="BB454" s="51">
        <f t="shared" ref="BB454:BD454" si="452">IF(AND(ISNUMBER(Z454),COUNT(AG454,AM454,AS454,AY454)=2),Z454+SUM(AG454,AM454,AS454,AY454),"")</f>
        <v>0</v>
      </c>
      <c r="BC454" s="51">
        <f t="shared" si="452"/>
        <v>0</v>
      </c>
      <c r="BD454" s="51">
        <f t="shared" si="452"/>
        <v>0</v>
      </c>
    </row>
    <row r="455" ht="48.0" customHeight="1">
      <c r="A455" s="49" t="s">
        <v>40</v>
      </c>
      <c r="B455" s="49" t="str">
        <f t="array" ref="B455">INDEX('HD cty 2024'!B:B,MATCH('F0, F1, F2, ...'!$C455,'HD cty 2024'!B:B,0))</f>
        <v>#N/A</v>
      </c>
      <c r="C455" s="49">
        <v>584.0</v>
      </c>
      <c r="D455" s="50">
        <v>45615.0</v>
      </c>
      <c r="E455" s="51">
        <v>7.0004074E7</v>
      </c>
      <c r="F455" s="51">
        <v>5600326.0</v>
      </c>
      <c r="G455" s="51">
        <v>7.56044E7</v>
      </c>
      <c r="H455" s="49" t="s">
        <v>414</v>
      </c>
      <c r="I455" s="52" t="s">
        <v>3920</v>
      </c>
      <c r="J455" s="50">
        <v>45807.0</v>
      </c>
      <c r="K455" s="51">
        <v>1.227E7</v>
      </c>
      <c r="L455" s="51">
        <v>981600.0</v>
      </c>
      <c r="M455" s="51">
        <v>1.32516E7</v>
      </c>
      <c r="N455" s="49"/>
      <c r="O455" s="52"/>
      <c r="P455" s="50"/>
      <c r="Q455" s="51"/>
      <c r="R455" s="51"/>
      <c r="S455" s="51"/>
      <c r="T455" s="49"/>
      <c r="U455" s="52"/>
      <c r="V455" s="50"/>
      <c r="W455" s="51"/>
      <c r="X455" s="51"/>
      <c r="Y455" s="51"/>
      <c r="Z455" s="51">
        <v>8.2274074E7</v>
      </c>
      <c r="AA455" s="51">
        <v>6581926.0</v>
      </c>
      <c r="AB455" s="51">
        <v>8.8856E7</v>
      </c>
      <c r="AC455" s="47"/>
      <c r="AD455" s="47" t="s">
        <v>3921</v>
      </c>
      <c r="AE455" s="48"/>
      <c r="AF455" s="50"/>
      <c r="AG455" s="51">
        <v>-1.227E7</v>
      </c>
      <c r="AH455" s="51">
        <v>-981600.0</v>
      </c>
      <c r="AI455" s="51">
        <v>-1.32516E7</v>
      </c>
      <c r="AJ455" s="47" t="s">
        <v>3922</v>
      </c>
      <c r="AK455" s="48"/>
      <c r="AL455" s="50"/>
      <c r="AM455" s="51">
        <v>-7.0004074E7</v>
      </c>
      <c r="AN455" s="51">
        <v>-5600326.0</v>
      </c>
      <c r="AO455" s="51">
        <v>-7.56044E7</v>
      </c>
      <c r="AP455" s="47"/>
      <c r="AQ455" s="48"/>
      <c r="AR455" s="50"/>
      <c r="AS455" s="51"/>
      <c r="AT455" s="51"/>
      <c r="AU455" s="51"/>
      <c r="AV455" s="47"/>
      <c r="AW455" s="48"/>
      <c r="AX455" s="50"/>
      <c r="AY455" s="51"/>
      <c r="AZ455" s="51"/>
      <c r="BA455" s="51"/>
      <c r="BB455" s="51">
        <f t="shared" ref="BB455:BD455" si="453">IF(AND(ISNUMBER(Z455),COUNT(AG455,AM455,AS455,AY455)=2),Z455+SUM(AG455,AM455,AS455,AY455),"")</f>
        <v>0</v>
      </c>
      <c r="BC455" s="51">
        <f t="shared" si="453"/>
        <v>0</v>
      </c>
      <c r="BD455" s="51">
        <f t="shared" si="453"/>
        <v>0</v>
      </c>
    </row>
    <row r="456" ht="48.0" customHeight="1">
      <c r="A456" s="49" t="s">
        <v>40</v>
      </c>
      <c r="B456" s="49" t="str">
        <f t="array" ref="B456">INDEX('HD cty 2024'!B:B,MATCH('F0, F1, F2, ...'!$C456,'HD cty 2024'!B:B,0))</f>
        <v>#N/A</v>
      </c>
      <c r="C456" s="49">
        <v>587.0</v>
      </c>
      <c r="D456" s="50">
        <v>45617.0</v>
      </c>
      <c r="E456" s="51">
        <v>509259.0</v>
      </c>
      <c r="F456" s="51">
        <v>40741.0</v>
      </c>
      <c r="G456" s="51">
        <v>550000.0</v>
      </c>
      <c r="H456" s="49" t="s">
        <v>414</v>
      </c>
      <c r="I456" s="52" t="s">
        <v>3923</v>
      </c>
      <c r="J456" s="50">
        <v>45807.0</v>
      </c>
      <c r="K456" s="51">
        <v>-46296.0</v>
      </c>
      <c r="L456" s="51">
        <v>-3704.0</v>
      </c>
      <c r="M456" s="51">
        <v>-50000.0</v>
      </c>
      <c r="N456" s="49"/>
      <c r="O456" s="52"/>
      <c r="P456" s="50"/>
      <c r="Q456" s="51"/>
      <c r="R456" s="51"/>
      <c r="S456" s="51"/>
      <c r="T456" s="49"/>
      <c r="U456" s="52"/>
      <c r="V456" s="50"/>
      <c r="W456" s="51"/>
      <c r="X456" s="51"/>
      <c r="Y456" s="51"/>
      <c r="Z456" s="51">
        <v>462963.0</v>
      </c>
      <c r="AA456" s="51">
        <v>37037.0</v>
      </c>
      <c r="AB456" s="51">
        <v>500000.0</v>
      </c>
      <c r="AC456" s="47"/>
      <c r="AD456" s="47" t="s">
        <v>3924</v>
      </c>
      <c r="AE456" s="48"/>
      <c r="AF456" s="50"/>
      <c r="AG456" s="51">
        <v>46296.0</v>
      </c>
      <c r="AH456" s="51">
        <v>3704.0</v>
      </c>
      <c r="AI456" s="51">
        <v>50000.0</v>
      </c>
      <c r="AJ456" s="47" t="s">
        <v>3925</v>
      </c>
      <c r="AK456" s="48"/>
      <c r="AL456" s="50"/>
      <c r="AM456" s="51">
        <v>-509259.0</v>
      </c>
      <c r="AN456" s="51">
        <v>-40741.0</v>
      </c>
      <c r="AO456" s="51">
        <v>-550000.0</v>
      </c>
      <c r="AP456" s="47"/>
      <c r="AQ456" s="48"/>
      <c r="AR456" s="50"/>
      <c r="AS456" s="51"/>
      <c r="AT456" s="51"/>
      <c r="AU456" s="51"/>
      <c r="AV456" s="47"/>
      <c r="AW456" s="48"/>
      <c r="AX456" s="50"/>
      <c r="AY456" s="51"/>
      <c r="AZ456" s="51"/>
      <c r="BA456" s="51"/>
      <c r="BB456" s="51">
        <f t="shared" ref="BB456:BD456" si="454">IF(AND(ISNUMBER(Z456),COUNT(AG456,AM456,AS456,AY456)=2),Z456+SUM(AG456,AM456,AS456,AY456),"")</f>
        <v>0</v>
      </c>
      <c r="BC456" s="51">
        <f t="shared" si="454"/>
        <v>0</v>
      </c>
      <c r="BD456" s="51">
        <f t="shared" si="454"/>
        <v>0</v>
      </c>
    </row>
    <row r="457" ht="48.0" customHeight="1">
      <c r="A457" s="49" t="s">
        <v>40</v>
      </c>
      <c r="B457" s="49" t="str">
        <f t="array" ref="B457">INDEX('HD cty 2024'!B:B,MATCH('F0, F1, F2, ...'!$C457,'HD cty 2024'!B:B,0))</f>
        <v>#N/A</v>
      </c>
      <c r="C457" s="49">
        <v>588.0</v>
      </c>
      <c r="D457" s="50">
        <v>45617.0</v>
      </c>
      <c r="E457" s="51">
        <v>509259.0</v>
      </c>
      <c r="F457" s="51">
        <v>40741.0</v>
      </c>
      <c r="G457" s="51">
        <v>550000.0</v>
      </c>
      <c r="H457" s="49" t="s">
        <v>414</v>
      </c>
      <c r="I457" s="52" t="s">
        <v>3926</v>
      </c>
      <c r="J457" s="50">
        <v>45807.0</v>
      </c>
      <c r="K457" s="51">
        <v>-46296.0</v>
      </c>
      <c r="L457" s="51">
        <v>-3704.0</v>
      </c>
      <c r="M457" s="51">
        <v>-50000.0</v>
      </c>
      <c r="N457" s="49"/>
      <c r="O457" s="52"/>
      <c r="P457" s="50"/>
      <c r="Q457" s="51"/>
      <c r="R457" s="51"/>
      <c r="S457" s="51"/>
      <c r="T457" s="49"/>
      <c r="U457" s="52"/>
      <c r="V457" s="50"/>
      <c r="W457" s="51"/>
      <c r="X457" s="51"/>
      <c r="Y457" s="51"/>
      <c r="Z457" s="51">
        <v>462963.0</v>
      </c>
      <c r="AA457" s="51">
        <v>37037.0</v>
      </c>
      <c r="AB457" s="51">
        <v>500000.0</v>
      </c>
      <c r="AC457" s="47"/>
      <c r="AD457" s="47" t="s">
        <v>3927</v>
      </c>
      <c r="AE457" s="48"/>
      <c r="AF457" s="50"/>
      <c r="AG457" s="51">
        <v>46296.0</v>
      </c>
      <c r="AH457" s="51">
        <v>3704.0</v>
      </c>
      <c r="AI457" s="51">
        <v>50000.0</v>
      </c>
      <c r="AJ457" s="47" t="s">
        <v>3928</v>
      </c>
      <c r="AK457" s="48"/>
      <c r="AL457" s="50"/>
      <c r="AM457" s="51">
        <v>-509259.0</v>
      </c>
      <c r="AN457" s="51">
        <v>-40741.0</v>
      </c>
      <c r="AO457" s="51">
        <v>-550000.0</v>
      </c>
      <c r="AP457" s="47"/>
      <c r="AQ457" s="48"/>
      <c r="AR457" s="50"/>
      <c r="AS457" s="51"/>
      <c r="AT457" s="51"/>
      <c r="AU457" s="51"/>
      <c r="AV457" s="47"/>
      <c r="AW457" s="48"/>
      <c r="AX457" s="50"/>
      <c r="AY457" s="51"/>
      <c r="AZ457" s="51"/>
      <c r="BA457" s="51"/>
      <c r="BB457" s="51">
        <f t="shared" ref="BB457:BD457" si="455">IF(AND(ISNUMBER(Z457),COUNT(AG457,AM457,AS457,AY457)=2),Z457+SUM(AG457,AM457,AS457,AY457),"")</f>
        <v>0</v>
      </c>
      <c r="BC457" s="51">
        <f t="shared" si="455"/>
        <v>0</v>
      </c>
      <c r="BD457" s="51">
        <f t="shared" si="455"/>
        <v>0</v>
      </c>
    </row>
    <row r="458" ht="48.0" customHeight="1">
      <c r="A458" s="49" t="s">
        <v>40</v>
      </c>
      <c r="B458" s="49" t="str">
        <f t="array" ref="B458">INDEX('HD cty 2024'!B:B,MATCH('F0, F1, F2, ...'!$C458,'HD cty 2024'!B:B,0))</f>
        <v>#N/A</v>
      </c>
      <c r="C458" s="49">
        <v>596.0</v>
      </c>
      <c r="D458" s="50">
        <v>45617.0</v>
      </c>
      <c r="E458" s="51">
        <v>2573148.0</v>
      </c>
      <c r="F458" s="51">
        <v>205852.0</v>
      </c>
      <c r="G458" s="51">
        <v>2779000.0</v>
      </c>
      <c r="H458" s="49" t="s">
        <v>414</v>
      </c>
      <c r="I458" s="52" t="s">
        <v>3929</v>
      </c>
      <c r="J458" s="50">
        <v>45807.0</v>
      </c>
      <c r="K458" s="51">
        <v>-909815.0</v>
      </c>
      <c r="L458" s="51">
        <v>-72785.0</v>
      </c>
      <c r="M458" s="51">
        <v>-982600.0</v>
      </c>
      <c r="N458" s="49"/>
      <c r="O458" s="52"/>
      <c r="P458" s="50"/>
      <c r="Q458" s="51"/>
      <c r="R458" s="51"/>
      <c r="S458" s="51"/>
      <c r="T458" s="49"/>
      <c r="U458" s="52"/>
      <c r="V458" s="50"/>
      <c r="W458" s="51"/>
      <c r="X458" s="51"/>
      <c r="Y458" s="51"/>
      <c r="Z458" s="51">
        <v>1663333.0</v>
      </c>
      <c r="AA458" s="51">
        <v>133067.0</v>
      </c>
      <c r="AB458" s="51">
        <v>1796400.0</v>
      </c>
      <c r="AC458" s="47"/>
      <c r="AD458" s="47" t="s">
        <v>3930</v>
      </c>
      <c r="AE458" s="48"/>
      <c r="AF458" s="50"/>
      <c r="AG458" s="51">
        <v>909815.0</v>
      </c>
      <c r="AH458" s="51">
        <v>72785.0</v>
      </c>
      <c r="AI458" s="51">
        <v>982600.0</v>
      </c>
      <c r="AJ458" s="47" t="s">
        <v>3931</v>
      </c>
      <c r="AK458" s="48"/>
      <c r="AL458" s="50"/>
      <c r="AM458" s="51">
        <v>-2573148.0</v>
      </c>
      <c r="AN458" s="51">
        <v>-205852.0</v>
      </c>
      <c r="AO458" s="51">
        <v>-2779000.0</v>
      </c>
      <c r="AP458" s="47"/>
      <c r="AQ458" s="48"/>
      <c r="AR458" s="50"/>
      <c r="AS458" s="51"/>
      <c r="AT458" s="51"/>
      <c r="AU458" s="51"/>
      <c r="AV458" s="47"/>
      <c r="AW458" s="48"/>
      <c r="AX458" s="50"/>
      <c r="AY458" s="51"/>
      <c r="AZ458" s="51"/>
      <c r="BA458" s="51"/>
      <c r="BB458" s="51">
        <f t="shared" ref="BB458:BD458" si="456">IF(AND(ISNUMBER(Z458),COUNT(AG458,AM458,AS458,AY458)=2),Z458+SUM(AG458,AM458,AS458,AY458),"")</f>
        <v>0</v>
      </c>
      <c r="BC458" s="51">
        <f t="shared" si="456"/>
        <v>0</v>
      </c>
      <c r="BD458" s="51">
        <f t="shared" si="456"/>
        <v>0</v>
      </c>
    </row>
    <row r="459" ht="48.0" customHeight="1">
      <c r="A459" s="49" t="s">
        <v>40</v>
      </c>
      <c r="B459" s="49" t="str">
        <f t="array" ref="B459">INDEX('HD cty 2024'!B:B,MATCH('F0, F1, F2, ...'!$C459,'HD cty 2024'!B:B,0))</f>
        <v>#N/A</v>
      </c>
      <c r="C459" s="49">
        <v>597.0</v>
      </c>
      <c r="D459" s="50">
        <v>45617.0</v>
      </c>
      <c r="E459" s="51">
        <v>509259.0</v>
      </c>
      <c r="F459" s="51">
        <v>40741.0</v>
      </c>
      <c r="G459" s="51">
        <v>550000.0</v>
      </c>
      <c r="H459" s="49" t="s">
        <v>414</v>
      </c>
      <c r="I459" s="52" t="s">
        <v>3932</v>
      </c>
      <c r="J459" s="50">
        <v>45807.0</v>
      </c>
      <c r="K459" s="51">
        <v>-46296.0</v>
      </c>
      <c r="L459" s="51">
        <v>-3704.0</v>
      </c>
      <c r="M459" s="51">
        <v>-50000.0</v>
      </c>
      <c r="N459" s="49"/>
      <c r="O459" s="52"/>
      <c r="P459" s="50"/>
      <c r="Q459" s="51"/>
      <c r="R459" s="51"/>
      <c r="S459" s="51"/>
      <c r="T459" s="49"/>
      <c r="U459" s="52"/>
      <c r="V459" s="50"/>
      <c r="W459" s="51"/>
      <c r="X459" s="51"/>
      <c r="Y459" s="51"/>
      <c r="Z459" s="51">
        <v>462963.0</v>
      </c>
      <c r="AA459" s="51">
        <v>37037.0</v>
      </c>
      <c r="AB459" s="51">
        <v>500000.0</v>
      </c>
      <c r="AC459" s="47"/>
      <c r="AD459" s="47" t="s">
        <v>3933</v>
      </c>
      <c r="AE459" s="48"/>
      <c r="AF459" s="50"/>
      <c r="AG459" s="51">
        <v>46296.0</v>
      </c>
      <c r="AH459" s="51">
        <v>3704.0</v>
      </c>
      <c r="AI459" s="51">
        <v>50000.0</v>
      </c>
      <c r="AJ459" s="47" t="s">
        <v>3934</v>
      </c>
      <c r="AK459" s="48"/>
      <c r="AL459" s="50"/>
      <c r="AM459" s="51">
        <v>-509259.0</v>
      </c>
      <c r="AN459" s="51">
        <v>-40741.0</v>
      </c>
      <c r="AO459" s="51">
        <v>-550000.0</v>
      </c>
      <c r="AP459" s="47"/>
      <c r="AQ459" s="48"/>
      <c r="AR459" s="50"/>
      <c r="AS459" s="51"/>
      <c r="AT459" s="51"/>
      <c r="AU459" s="51"/>
      <c r="AV459" s="47"/>
      <c r="AW459" s="48"/>
      <c r="AX459" s="50"/>
      <c r="AY459" s="51"/>
      <c r="AZ459" s="51"/>
      <c r="BA459" s="51"/>
      <c r="BB459" s="51">
        <f t="shared" ref="BB459:BD459" si="457">IF(AND(ISNUMBER(Z459),COUNT(AG459,AM459,AS459,AY459)=2),Z459+SUM(AG459,AM459,AS459,AY459),"")</f>
        <v>0</v>
      </c>
      <c r="BC459" s="51">
        <f t="shared" si="457"/>
        <v>0</v>
      </c>
      <c r="BD459" s="51">
        <f t="shared" si="457"/>
        <v>0</v>
      </c>
    </row>
    <row r="460" ht="48.0" customHeight="1">
      <c r="A460" s="49" t="s">
        <v>40</v>
      </c>
      <c r="B460" s="49" t="str">
        <f t="array" ref="B460">INDEX('HD cty 2024'!B:B,MATCH('F0, F1, F2, ...'!$C460,'HD cty 2024'!B:B,0))</f>
        <v>#N/A</v>
      </c>
      <c r="C460" s="49">
        <v>600.0</v>
      </c>
      <c r="D460" s="50">
        <v>45621.0</v>
      </c>
      <c r="E460" s="51">
        <v>6.1468136E7</v>
      </c>
      <c r="F460" s="51">
        <v>4917451.0</v>
      </c>
      <c r="G460" s="51">
        <v>6.6385587E7</v>
      </c>
      <c r="H460" s="49" t="s">
        <v>414</v>
      </c>
      <c r="I460" s="52" t="s">
        <v>3935</v>
      </c>
      <c r="J460" s="50">
        <v>45807.0</v>
      </c>
      <c r="K460" s="51">
        <v>6706864.0</v>
      </c>
      <c r="L460" s="51">
        <v>536549.0</v>
      </c>
      <c r="M460" s="51">
        <v>7243413.0</v>
      </c>
      <c r="N460" s="49"/>
      <c r="O460" s="52"/>
      <c r="P460" s="50"/>
      <c r="Q460" s="51"/>
      <c r="R460" s="51"/>
      <c r="S460" s="51"/>
      <c r="T460" s="49"/>
      <c r="U460" s="52"/>
      <c r="V460" s="50"/>
      <c r="W460" s="51"/>
      <c r="X460" s="51"/>
      <c r="Y460" s="51"/>
      <c r="Z460" s="51">
        <v>6.8175E7</v>
      </c>
      <c r="AA460" s="51">
        <v>5454000.0</v>
      </c>
      <c r="AB460" s="51">
        <v>7.3629E7</v>
      </c>
      <c r="AC460" s="47"/>
      <c r="AD460" s="47" t="s">
        <v>3936</v>
      </c>
      <c r="AE460" s="48"/>
      <c r="AF460" s="50"/>
      <c r="AG460" s="51">
        <v>-6706864.0</v>
      </c>
      <c r="AH460" s="51">
        <v>-536549.0</v>
      </c>
      <c r="AI460" s="51">
        <v>-7243413.0</v>
      </c>
      <c r="AJ460" s="47" t="s">
        <v>3937</v>
      </c>
      <c r="AK460" s="48"/>
      <c r="AL460" s="50"/>
      <c r="AM460" s="51">
        <v>-6.1468136E7</v>
      </c>
      <c r="AN460" s="51">
        <v>-4917451.0</v>
      </c>
      <c r="AO460" s="51">
        <v>-6.6385587E7</v>
      </c>
      <c r="AP460" s="47"/>
      <c r="AQ460" s="48"/>
      <c r="AR460" s="50"/>
      <c r="AS460" s="51"/>
      <c r="AT460" s="51"/>
      <c r="AU460" s="51"/>
      <c r="AV460" s="47"/>
      <c r="AW460" s="48"/>
      <c r="AX460" s="50"/>
      <c r="AY460" s="51"/>
      <c r="AZ460" s="51"/>
      <c r="BA460" s="51"/>
      <c r="BB460" s="51">
        <f t="shared" ref="BB460:BD460" si="458">IF(AND(ISNUMBER(Z460),COUNT(AG460,AM460,AS460,AY460)=2),Z460+SUM(AG460,AM460,AS460,AY460),"")</f>
        <v>0</v>
      </c>
      <c r="BC460" s="51">
        <f t="shared" si="458"/>
        <v>0</v>
      </c>
      <c r="BD460" s="51">
        <f t="shared" si="458"/>
        <v>0</v>
      </c>
    </row>
    <row r="461" ht="48.0" customHeight="1">
      <c r="A461" s="49" t="s">
        <v>40</v>
      </c>
      <c r="B461" s="49" t="str">
        <f t="array" ref="B461">INDEX('HD cty 2024'!B:B,MATCH('F0, F1, F2, ...'!$C461,'HD cty 2024'!B:B,0))</f>
        <v>#N/A</v>
      </c>
      <c r="C461" s="49">
        <v>601.0</v>
      </c>
      <c r="D461" s="50">
        <v>45621.0</v>
      </c>
      <c r="E461" s="51">
        <v>1.60976789E8</v>
      </c>
      <c r="F461" s="51">
        <v>1.2878143E7</v>
      </c>
      <c r="G461" s="51">
        <v>1.73854932E8</v>
      </c>
      <c r="H461" s="49" t="s">
        <v>414</v>
      </c>
      <c r="I461" s="52" t="s">
        <v>3938</v>
      </c>
      <c r="J461" s="50">
        <v>45807.0</v>
      </c>
      <c r="K461" s="51">
        <v>1.5531544E7</v>
      </c>
      <c r="L461" s="51">
        <v>1242524.0</v>
      </c>
      <c r="M461" s="51">
        <v>1.6774068E7</v>
      </c>
      <c r="N461" s="49"/>
      <c r="O461" s="52"/>
      <c r="P461" s="50"/>
      <c r="Q461" s="51"/>
      <c r="R461" s="51"/>
      <c r="S461" s="51"/>
      <c r="T461" s="49"/>
      <c r="U461" s="52"/>
      <c r="V461" s="50"/>
      <c r="W461" s="51"/>
      <c r="X461" s="51"/>
      <c r="Y461" s="51"/>
      <c r="Z461" s="51">
        <v>1.76508333E8</v>
      </c>
      <c r="AA461" s="51">
        <v>1.4120667E7</v>
      </c>
      <c r="AB461" s="51">
        <v>1.90629E8</v>
      </c>
      <c r="AC461" s="47"/>
      <c r="AD461" s="47" t="s">
        <v>3939</v>
      </c>
      <c r="AE461" s="48"/>
      <c r="AF461" s="50"/>
      <c r="AG461" s="51">
        <v>-1.5531544E7</v>
      </c>
      <c r="AH461" s="51">
        <v>-1242524.0</v>
      </c>
      <c r="AI461" s="51">
        <v>-1.6774068E7</v>
      </c>
      <c r="AJ461" s="47" t="s">
        <v>3940</v>
      </c>
      <c r="AK461" s="48"/>
      <c r="AL461" s="50"/>
      <c r="AM461" s="51">
        <v>-1.60976789E8</v>
      </c>
      <c r="AN461" s="51">
        <v>-1.2878143E7</v>
      </c>
      <c r="AO461" s="51">
        <v>-1.73854932E8</v>
      </c>
      <c r="AP461" s="47"/>
      <c r="AQ461" s="48"/>
      <c r="AR461" s="50"/>
      <c r="AS461" s="51"/>
      <c r="AT461" s="51"/>
      <c r="AU461" s="51"/>
      <c r="AV461" s="47"/>
      <c r="AW461" s="48"/>
      <c r="AX461" s="50"/>
      <c r="AY461" s="51"/>
      <c r="AZ461" s="51"/>
      <c r="BA461" s="51"/>
      <c r="BB461" s="51">
        <f t="shared" ref="BB461:BD461" si="459">IF(AND(ISNUMBER(Z461),COUNT(AG461,AM461,AS461,AY461)=2),Z461+SUM(AG461,AM461,AS461,AY461),"")</f>
        <v>0</v>
      </c>
      <c r="BC461" s="51">
        <f t="shared" si="459"/>
        <v>0</v>
      </c>
      <c r="BD461" s="51">
        <f t="shared" si="459"/>
        <v>0</v>
      </c>
    </row>
    <row r="462" ht="48.0" customHeight="1">
      <c r="A462" s="49" t="s">
        <v>40</v>
      </c>
      <c r="B462" s="49" t="str">
        <f t="array" ref="B462">INDEX('HD cty 2024'!B:B,MATCH('F0, F1, F2, ...'!$C462,'HD cty 2024'!B:B,0))</f>
        <v>#N/A</v>
      </c>
      <c r="C462" s="49">
        <v>602.0</v>
      </c>
      <c r="D462" s="50">
        <v>45622.0</v>
      </c>
      <c r="E462" s="51">
        <v>2.1032584E8</v>
      </c>
      <c r="F462" s="51">
        <v>1.6826067E7</v>
      </c>
      <c r="G462" s="51">
        <v>2.27151907E8</v>
      </c>
      <c r="H462" s="49" t="s">
        <v>414</v>
      </c>
      <c r="I462" s="52" t="s">
        <v>3941</v>
      </c>
      <c r="J462" s="50">
        <v>45807.0</v>
      </c>
      <c r="K462" s="51">
        <v>1.7170724E7</v>
      </c>
      <c r="L462" s="51">
        <v>1373658.0</v>
      </c>
      <c r="M462" s="51">
        <v>1.8544382E7</v>
      </c>
      <c r="N462" s="49"/>
      <c r="O462" s="52"/>
      <c r="P462" s="50"/>
      <c r="Q462" s="51"/>
      <c r="R462" s="51"/>
      <c r="S462" s="51"/>
      <c r="T462" s="49"/>
      <c r="U462" s="52"/>
      <c r="V462" s="50"/>
      <c r="W462" s="51"/>
      <c r="X462" s="51"/>
      <c r="Y462" s="51"/>
      <c r="Z462" s="51">
        <v>2.27496564E8</v>
      </c>
      <c r="AA462" s="51">
        <v>1.8199725E7</v>
      </c>
      <c r="AB462" s="51">
        <v>2.45696289E8</v>
      </c>
      <c r="AC462" s="47"/>
      <c r="AD462" s="47" t="s">
        <v>3942</v>
      </c>
      <c r="AE462" s="48"/>
      <c r="AF462" s="50"/>
      <c r="AG462" s="51">
        <v>-1.7170724E7</v>
      </c>
      <c r="AH462" s="51">
        <v>-1373658.0</v>
      </c>
      <c r="AI462" s="51">
        <v>-1.8544382E7</v>
      </c>
      <c r="AJ462" s="47" t="s">
        <v>3943</v>
      </c>
      <c r="AK462" s="48"/>
      <c r="AL462" s="50"/>
      <c r="AM462" s="51">
        <v>-2.1032584E8</v>
      </c>
      <c r="AN462" s="51">
        <v>-1.6826067E7</v>
      </c>
      <c r="AO462" s="51">
        <v>-2.27151907E8</v>
      </c>
      <c r="AP462" s="47"/>
      <c r="AQ462" s="48"/>
      <c r="AR462" s="50"/>
      <c r="AS462" s="51"/>
      <c r="AT462" s="51"/>
      <c r="AU462" s="51"/>
      <c r="AV462" s="47"/>
      <c r="AW462" s="48"/>
      <c r="AX462" s="50"/>
      <c r="AY462" s="51"/>
      <c r="AZ462" s="51"/>
      <c r="BA462" s="51"/>
      <c r="BB462" s="51">
        <f t="shared" ref="BB462:BD462" si="460">IF(AND(ISNUMBER(Z462),COUNT(AG462,AM462,AS462,AY462)=2),Z462+SUM(AG462,AM462,AS462,AY462),"")</f>
        <v>0</v>
      </c>
      <c r="BC462" s="51">
        <f t="shared" si="460"/>
        <v>0</v>
      </c>
      <c r="BD462" s="51">
        <f t="shared" si="460"/>
        <v>0</v>
      </c>
    </row>
    <row r="463" ht="48.0" customHeight="1">
      <c r="A463" s="49" t="s">
        <v>40</v>
      </c>
      <c r="B463" s="49" t="str">
        <f t="array" ref="B463">INDEX('HD cty 2024'!B:B,MATCH('F0, F1, F2, ...'!$C463,'HD cty 2024'!B:B,0))</f>
        <v>#N/A</v>
      </c>
      <c r="C463" s="49">
        <v>604.0</v>
      </c>
      <c r="D463" s="50">
        <v>45622.0</v>
      </c>
      <c r="E463" s="51">
        <v>1149167.0</v>
      </c>
      <c r="F463" s="51">
        <v>91933.0</v>
      </c>
      <c r="G463" s="51">
        <v>1241100.0</v>
      </c>
      <c r="H463" s="49" t="s">
        <v>414</v>
      </c>
      <c r="I463" s="52" t="s">
        <v>3944</v>
      </c>
      <c r="J463" s="50">
        <v>45807.0</v>
      </c>
      <c r="K463" s="51">
        <v>127685.0</v>
      </c>
      <c r="L463" s="51">
        <v>10215.0</v>
      </c>
      <c r="M463" s="51">
        <v>137900.0</v>
      </c>
      <c r="N463" s="49"/>
      <c r="O463" s="52"/>
      <c r="P463" s="50"/>
      <c r="Q463" s="51"/>
      <c r="R463" s="51"/>
      <c r="S463" s="51"/>
      <c r="T463" s="49"/>
      <c r="U463" s="52"/>
      <c r="V463" s="50"/>
      <c r="W463" s="51"/>
      <c r="X463" s="51"/>
      <c r="Y463" s="51"/>
      <c r="Z463" s="51">
        <v>1276852.0</v>
      </c>
      <c r="AA463" s="51">
        <v>102148.0</v>
      </c>
      <c r="AB463" s="51">
        <v>1379000.0</v>
      </c>
      <c r="AC463" s="47"/>
      <c r="AD463" s="47" t="s">
        <v>3945</v>
      </c>
      <c r="AE463" s="48"/>
      <c r="AF463" s="50"/>
      <c r="AG463" s="51">
        <v>-127685.0</v>
      </c>
      <c r="AH463" s="51">
        <v>-10215.0</v>
      </c>
      <c r="AI463" s="51">
        <v>-137900.0</v>
      </c>
      <c r="AJ463" s="47" t="s">
        <v>3946</v>
      </c>
      <c r="AK463" s="48"/>
      <c r="AL463" s="50"/>
      <c r="AM463" s="51">
        <v>-1149167.0</v>
      </c>
      <c r="AN463" s="51">
        <v>-91933.0</v>
      </c>
      <c r="AO463" s="51">
        <v>-1241100.0</v>
      </c>
      <c r="AP463" s="47"/>
      <c r="AQ463" s="48"/>
      <c r="AR463" s="50"/>
      <c r="AS463" s="51"/>
      <c r="AT463" s="51"/>
      <c r="AU463" s="51"/>
      <c r="AV463" s="47"/>
      <c r="AW463" s="48"/>
      <c r="AX463" s="50"/>
      <c r="AY463" s="51"/>
      <c r="AZ463" s="51"/>
      <c r="BA463" s="51"/>
      <c r="BB463" s="51">
        <f t="shared" ref="BB463:BD463" si="461">IF(AND(ISNUMBER(Z463),COUNT(AG463,AM463,AS463,AY463)=2),Z463+SUM(AG463,AM463,AS463,AY463),"")</f>
        <v>0</v>
      </c>
      <c r="BC463" s="51">
        <f t="shared" si="461"/>
        <v>0</v>
      </c>
      <c r="BD463" s="51">
        <f t="shared" si="461"/>
        <v>0</v>
      </c>
    </row>
    <row r="464" ht="48.0" customHeight="1">
      <c r="A464" s="49" t="s">
        <v>40</v>
      </c>
      <c r="B464" s="49" t="str">
        <f t="array" ref="B464">INDEX('HD cty 2024'!B:B,MATCH('F0, F1, F2, ...'!$C464,'HD cty 2024'!B:B,0))</f>
        <v>#N/A</v>
      </c>
      <c r="C464" s="49">
        <v>605.0</v>
      </c>
      <c r="D464" s="50">
        <v>45622.0</v>
      </c>
      <c r="E464" s="51">
        <v>1.49999547E8</v>
      </c>
      <c r="F464" s="51">
        <v>1.1999964E7</v>
      </c>
      <c r="G464" s="51">
        <v>1.61999511E8</v>
      </c>
      <c r="H464" s="49" t="s">
        <v>414</v>
      </c>
      <c r="I464" s="52" t="s">
        <v>3947</v>
      </c>
      <c r="J464" s="50">
        <v>45807.0</v>
      </c>
      <c r="K464" s="51">
        <v>1.9549527E7</v>
      </c>
      <c r="L464" s="51">
        <v>1563962.0</v>
      </c>
      <c r="M464" s="51">
        <v>2.1113489E7</v>
      </c>
      <c r="N464" s="49"/>
      <c r="O464" s="52"/>
      <c r="P464" s="50"/>
      <c r="Q464" s="51"/>
      <c r="R464" s="51"/>
      <c r="S464" s="51"/>
      <c r="T464" s="49"/>
      <c r="U464" s="52"/>
      <c r="V464" s="50"/>
      <c r="W464" s="51"/>
      <c r="X464" s="51"/>
      <c r="Y464" s="51"/>
      <c r="Z464" s="51">
        <v>1.69549074E8</v>
      </c>
      <c r="AA464" s="51">
        <v>1.3563926E7</v>
      </c>
      <c r="AB464" s="51">
        <v>1.83113E8</v>
      </c>
      <c r="AC464" s="47"/>
      <c r="AD464" s="47" t="s">
        <v>3948</v>
      </c>
      <c r="AE464" s="48"/>
      <c r="AF464" s="50"/>
      <c r="AG464" s="51">
        <v>-1.9549527E7</v>
      </c>
      <c r="AH464" s="51">
        <v>-1563962.0</v>
      </c>
      <c r="AI464" s="51">
        <v>-2.1113489E7</v>
      </c>
      <c r="AJ464" s="47" t="s">
        <v>3949</v>
      </c>
      <c r="AK464" s="48"/>
      <c r="AL464" s="50"/>
      <c r="AM464" s="51">
        <v>-1.49999547E8</v>
      </c>
      <c r="AN464" s="51">
        <v>-1.1999964E7</v>
      </c>
      <c r="AO464" s="51">
        <v>-1.61999511E8</v>
      </c>
      <c r="AP464" s="47"/>
      <c r="AQ464" s="48"/>
      <c r="AR464" s="50"/>
      <c r="AS464" s="51"/>
      <c r="AT464" s="51"/>
      <c r="AU464" s="51"/>
      <c r="AV464" s="47"/>
      <c r="AW464" s="48"/>
      <c r="AX464" s="50"/>
      <c r="AY464" s="51"/>
      <c r="AZ464" s="51"/>
      <c r="BA464" s="51"/>
      <c r="BB464" s="51">
        <f t="shared" ref="BB464:BD464" si="462">IF(AND(ISNUMBER(Z464),COUNT(AG464,AM464,AS464,AY464)=2),Z464+SUM(AG464,AM464,AS464,AY464),"")</f>
        <v>0</v>
      </c>
      <c r="BC464" s="51">
        <f t="shared" si="462"/>
        <v>0</v>
      </c>
      <c r="BD464" s="51">
        <f t="shared" si="462"/>
        <v>0</v>
      </c>
    </row>
    <row r="465" ht="48.0" customHeight="1">
      <c r="A465" s="49" t="s">
        <v>40</v>
      </c>
      <c r="B465" s="49" t="str">
        <f t="array" ref="B465">INDEX('HD cty 2024'!B:B,MATCH('F0, F1, F2, ...'!$C465,'HD cty 2024'!B:B,0))</f>
        <v>#N/A</v>
      </c>
      <c r="C465" s="49">
        <v>606.0</v>
      </c>
      <c r="D465" s="50">
        <v>45622.0</v>
      </c>
      <c r="E465" s="51">
        <v>2799741.0</v>
      </c>
      <c r="F465" s="51">
        <v>223979.0</v>
      </c>
      <c r="G465" s="51">
        <v>3023720.0</v>
      </c>
      <c r="H465" s="49" t="s">
        <v>414</v>
      </c>
      <c r="I465" s="52" t="s">
        <v>3950</v>
      </c>
      <c r="J465" s="50">
        <v>45807.0</v>
      </c>
      <c r="K465" s="51">
        <v>20815.0</v>
      </c>
      <c r="L465" s="51">
        <v>1665.0</v>
      </c>
      <c r="M465" s="51">
        <v>22480.0</v>
      </c>
      <c r="N465" s="49"/>
      <c r="O465" s="52"/>
      <c r="P465" s="50"/>
      <c r="Q465" s="51"/>
      <c r="R465" s="51"/>
      <c r="S465" s="51"/>
      <c r="T465" s="49"/>
      <c r="U465" s="52"/>
      <c r="V465" s="50"/>
      <c r="W465" s="51"/>
      <c r="X465" s="51"/>
      <c r="Y465" s="51"/>
      <c r="Z465" s="51">
        <v>2820556.0</v>
      </c>
      <c r="AA465" s="51">
        <v>225644.0</v>
      </c>
      <c r="AB465" s="51">
        <v>3046200.0</v>
      </c>
      <c r="AC465" s="47"/>
      <c r="AD465" s="47" t="s">
        <v>3951</v>
      </c>
      <c r="AE465" s="48"/>
      <c r="AF465" s="50"/>
      <c r="AG465" s="51">
        <v>-20815.0</v>
      </c>
      <c r="AH465" s="51">
        <v>-1665.0</v>
      </c>
      <c r="AI465" s="51">
        <v>-22480.0</v>
      </c>
      <c r="AJ465" s="47" t="s">
        <v>3952</v>
      </c>
      <c r="AK465" s="48"/>
      <c r="AL465" s="50"/>
      <c r="AM465" s="51">
        <v>-2799741.0</v>
      </c>
      <c r="AN465" s="51">
        <v>-223979.0</v>
      </c>
      <c r="AO465" s="51">
        <v>-3023720.0</v>
      </c>
      <c r="AP465" s="47"/>
      <c r="AQ465" s="48"/>
      <c r="AR465" s="50"/>
      <c r="AS465" s="51"/>
      <c r="AT465" s="51"/>
      <c r="AU465" s="51"/>
      <c r="AV465" s="47"/>
      <c r="AW465" s="48"/>
      <c r="AX465" s="50"/>
      <c r="AY465" s="51"/>
      <c r="AZ465" s="51"/>
      <c r="BA465" s="51"/>
      <c r="BB465" s="51">
        <f t="shared" ref="BB465:BD465" si="463">IF(AND(ISNUMBER(Z465),COUNT(AG465,AM465,AS465,AY465)=2),Z465+SUM(AG465,AM465,AS465,AY465),"")</f>
        <v>0</v>
      </c>
      <c r="BC465" s="51">
        <f t="shared" si="463"/>
        <v>0</v>
      </c>
      <c r="BD465" s="51">
        <f t="shared" si="463"/>
        <v>0</v>
      </c>
    </row>
    <row r="466" ht="48.0" customHeight="1">
      <c r="A466" s="49" t="s">
        <v>40</v>
      </c>
      <c r="B466" s="49" t="str">
        <f t="array" ref="B466">INDEX('HD cty 2024'!B:B,MATCH('F0, F1, F2, ...'!$C466,'HD cty 2024'!B:B,0))</f>
        <v>#N/A</v>
      </c>
      <c r="C466" s="49">
        <v>607.0</v>
      </c>
      <c r="D466" s="50">
        <v>45622.0</v>
      </c>
      <c r="E466" s="51">
        <v>1.06034362E8</v>
      </c>
      <c r="F466" s="51">
        <v>8482749.0</v>
      </c>
      <c r="G466" s="51">
        <v>1.14517111E8</v>
      </c>
      <c r="H466" s="49" t="s">
        <v>414</v>
      </c>
      <c r="I466" s="52" t="s">
        <v>3953</v>
      </c>
      <c r="J466" s="50">
        <v>45807.0</v>
      </c>
      <c r="K466" s="51">
        <v>1.2894342E7</v>
      </c>
      <c r="L466" s="51">
        <v>1031547.0</v>
      </c>
      <c r="M466" s="51">
        <v>1.3925889E7</v>
      </c>
      <c r="N466" s="49"/>
      <c r="O466" s="52"/>
      <c r="P466" s="50"/>
      <c r="Q466" s="51"/>
      <c r="R466" s="51"/>
      <c r="S466" s="51"/>
      <c r="T466" s="49"/>
      <c r="U466" s="52"/>
      <c r="V466" s="50"/>
      <c r="W466" s="51"/>
      <c r="X466" s="51"/>
      <c r="Y466" s="51"/>
      <c r="Z466" s="51">
        <v>1.18928704E8</v>
      </c>
      <c r="AA466" s="51">
        <v>9514296.0</v>
      </c>
      <c r="AB466" s="51">
        <v>1.28443E8</v>
      </c>
      <c r="AC466" s="47"/>
      <c r="AD466" s="47" t="s">
        <v>3954</v>
      </c>
      <c r="AE466" s="48"/>
      <c r="AF466" s="50"/>
      <c r="AG466" s="51">
        <v>-1.2894342E7</v>
      </c>
      <c r="AH466" s="51">
        <v>-1031547.0</v>
      </c>
      <c r="AI466" s="51">
        <v>-1.3925889E7</v>
      </c>
      <c r="AJ466" s="47" t="s">
        <v>3955</v>
      </c>
      <c r="AK466" s="48"/>
      <c r="AL466" s="50"/>
      <c r="AM466" s="51">
        <v>-1.06034362E8</v>
      </c>
      <c r="AN466" s="51">
        <v>-8482749.0</v>
      </c>
      <c r="AO466" s="51">
        <v>-1.14517111E8</v>
      </c>
      <c r="AP466" s="47"/>
      <c r="AQ466" s="48"/>
      <c r="AR466" s="50"/>
      <c r="AS466" s="51"/>
      <c r="AT466" s="51"/>
      <c r="AU466" s="51"/>
      <c r="AV466" s="47"/>
      <c r="AW466" s="48"/>
      <c r="AX466" s="50"/>
      <c r="AY466" s="51"/>
      <c r="AZ466" s="51"/>
      <c r="BA466" s="51"/>
      <c r="BB466" s="51">
        <f t="shared" ref="BB466:BD466" si="464">IF(AND(ISNUMBER(Z466),COUNT(AG466,AM466,AS466,AY466)=2),Z466+SUM(AG466,AM466,AS466,AY466),"")</f>
        <v>0</v>
      </c>
      <c r="BC466" s="51">
        <f t="shared" si="464"/>
        <v>0</v>
      </c>
      <c r="BD466" s="51">
        <f t="shared" si="464"/>
        <v>0</v>
      </c>
    </row>
    <row r="467" ht="102.0" customHeight="1">
      <c r="A467" s="49" t="s">
        <v>40</v>
      </c>
      <c r="B467" s="49" t="str">
        <f t="array" ref="B467">INDEX('HD cty 2024'!B:B,MATCH('F0, F1, F2, ...'!$C467,'HD cty 2024'!B:B,0))</f>
        <v>#N/A</v>
      </c>
      <c r="C467" s="49">
        <v>608.0</v>
      </c>
      <c r="D467" s="50">
        <v>45623.0</v>
      </c>
      <c r="E467" s="51">
        <v>4359704.0</v>
      </c>
      <c r="F467" s="51">
        <v>348776.0</v>
      </c>
      <c r="G467" s="51">
        <v>4708480.0</v>
      </c>
      <c r="H467" s="49" t="s">
        <v>414</v>
      </c>
      <c r="I467" s="52" t="s">
        <v>3956</v>
      </c>
      <c r="J467" s="50">
        <v>45807.0</v>
      </c>
      <c r="K467" s="51">
        <v>-4359704.0</v>
      </c>
      <c r="L467" s="51">
        <v>-348776.0</v>
      </c>
      <c r="M467" s="51">
        <v>-4708480.0</v>
      </c>
      <c r="N467" s="49"/>
      <c r="O467" s="52"/>
      <c r="P467" s="50"/>
      <c r="Q467" s="51"/>
      <c r="R467" s="51"/>
      <c r="S467" s="51"/>
      <c r="T467" s="49"/>
      <c r="U467" s="52"/>
      <c r="V467" s="50"/>
      <c r="W467" s="51"/>
      <c r="X467" s="51"/>
      <c r="Y467" s="51"/>
      <c r="Z467" s="51">
        <v>0.0</v>
      </c>
      <c r="AA467" s="51">
        <v>0.0</v>
      </c>
      <c r="AB467" s="51">
        <v>0.0</v>
      </c>
      <c r="AC467" s="47" t="s">
        <v>3957</v>
      </c>
      <c r="AD467" s="47" t="s">
        <v>3958</v>
      </c>
      <c r="AE467" s="48"/>
      <c r="AF467" s="50">
        <v>46304.0</v>
      </c>
      <c r="AG467" s="51">
        <v>4359704.0</v>
      </c>
      <c r="AH467" s="51">
        <v>348776.0</v>
      </c>
      <c r="AI467" s="51">
        <v>4708480.0</v>
      </c>
      <c r="AJ467" s="47" t="s">
        <v>3959</v>
      </c>
      <c r="AK467" s="48"/>
      <c r="AL467" s="50">
        <v>46304.0</v>
      </c>
      <c r="AM467" s="51">
        <v>-4359704.0</v>
      </c>
      <c r="AN467" s="51">
        <v>-348776.0</v>
      </c>
      <c r="AO467" s="51">
        <v>-4708480.0</v>
      </c>
      <c r="AP467" s="47"/>
      <c r="AQ467" s="48"/>
      <c r="AR467" s="50"/>
      <c r="AS467" s="51"/>
      <c r="AT467" s="51"/>
      <c r="AU467" s="51"/>
      <c r="AV467" s="47"/>
      <c r="AW467" s="48"/>
      <c r="AX467" s="50"/>
      <c r="AY467" s="51"/>
      <c r="AZ467" s="51"/>
      <c r="BA467" s="51"/>
      <c r="BB467" s="51">
        <f t="shared" ref="BB467:BD467" si="465">IF(AND(ISNUMBER(Z467),COUNT(AG467,AM467,AS467,AY467)=2),Z467+SUM(AG467,AM467,AS467,AY467),"")</f>
        <v>0</v>
      </c>
      <c r="BC467" s="51">
        <f t="shared" si="465"/>
        <v>0</v>
      </c>
      <c r="BD467" s="51">
        <f t="shared" si="465"/>
        <v>0</v>
      </c>
    </row>
    <row r="468" ht="48.0" customHeight="1">
      <c r="A468" s="49" t="s">
        <v>40</v>
      </c>
      <c r="B468" s="49" t="str">
        <f t="array" ref="B468">INDEX('HD cty 2024'!B:B,MATCH('F0, F1, F2, ...'!$C468,'HD cty 2024'!B:B,0))</f>
        <v>#N/A</v>
      </c>
      <c r="C468" s="49">
        <v>615.0</v>
      </c>
      <c r="D468" s="50">
        <v>45623.0</v>
      </c>
      <c r="E468" s="51">
        <v>509259.0</v>
      </c>
      <c r="F468" s="51">
        <v>40741.0</v>
      </c>
      <c r="G468" s="51">
        <v>550000.0</v>
      </c>
      <c r="H468" s="49" t="s">
        <v>414</v>
      </c>
      <c r="I468" s="52" t="s">
        <v>3960</v>
      </c>
      <c r="J468" s="50">
        <v>45807.0</v>
      </c>
      <c r="K468" s="51">
        <v>-47222.0</v>
      </c>
      <c r="L468" s="51">
        <v>-3778.0</v>
      </c>
      <c r="M468" s="51">
        <v>-51000.0</v>
      </c>
      <c r="N468" s="49"/>
      <c r="O468" s="52"/>
      <c r="P468" s="50"/>
      <c r="Q468" s="51"/>
      <c r="R468" s="51"/>
      <c r="S468" s="51"/>
      <c r="T468" s="49"/>
      <c r="U468" s="52"/>
      <c r="V468" s="50"/>
      <c r="W468" s="51"/>
      <c r="X468" s="51"/>
      <c r="Y468" s="51"/>
      <c r="Z468" s="51">
        <v>462037.0</v>
      </c>
      <c r="AA468" s="51">
        <v>36963.0</v>
      </c>
      <c r="AB468" s="51">
        <v>499000.0</v>
      </c>
      <c r="AC468" s="47"/>
      <c r="AD468" s="47" t="s">
        <v>3961</v>
      </c>
      <c r="AE468" s="48"/>
      <c r="AF468" s="50"/>
      <c r="AG468" s="51">
        <v>47222.0</v>
      </c>
      <c r="AH468" s="51">
        <v>3778.0</v>
      </c>
      <c r="AI468" s="51">
        <v>51000.0</v>
      </c>
      <c r="AJ468" s="47" t="s">
        <v>3962</v>
      </c>
      <c r="AK468" s="48"/>
      <c r="AL468" s="50"/>
      <c r="AM468" s="51">
        <v>-509259.0</v>
      </c>
      <c r="AN468" s="51">
        <v>-40741.0</v>
      </c>
      <c r="AO468" s="51">
        <v>-550000.0</v>
      </c>
      <c r="AP468" s="47"/>
      <c r="AQ468" s="48"/>
      <c r="AR468" s="50"/>
      <c r="AS468" s="51"/>
      <c r="AT468" s="51"/>
      <c r="AU468" s="51"/>
      <c r="AV468" s="47"/>
      <c r="AW468" s="48"/>
      <c r="AX468" s="50"/>
      <c r="AY468" s="51"/>
      <c r="AZ468" s="51"/>
      <c r="BA468" s="51"/>
      <c r="BB468" s="51">
        <f t="shared" ref="BB468:BD468" si="466">IF(AND(ISNUMBER(Z468),COUNT(AG468,AM468,AS468,AY468)=2),Z468+SUM(AG468,AM468,AS468,AY468),"")</f>
        <v>0</v>
      </c>
      <c r="BC468" s="51">
        <f t="shared" si="466"/>
        <v>0</v>
      </c>
      <c r="BD468" s="51">
        <f t="shared" si="466"/>
        <v>0</v>
      </c>
    </row>
    <row r="469" ht="48.0" customHeight="1">
      <c r="A469" s="49" t="s">
        <v>40</v>
      </c>
      <c r="B469" s="49" t="str">
        <f t="array" ref="B469">INDEX('HD cty 2024'!B:B,MATCH('F0, F1, F2, ...'!$C469,'HD cty 2024'!B:B,0))</f>
        <v>#N/A</v>
      </c>
      <c r="C469" s="49">
        <v>616.0</v>
      </c>
      <c r="D469" s="50">
        <v>45623.0</v>
      </c>
      <c r="E469" s="51">
        <v>1702778.0</v>
      </c>
      <c r="F469" s="51">
        <v>136222.0</v>
      </c>
      <c r="G469" s="51">
        <v>1839000.0</v>
      </c>
      <c r="H469" s="49" t="s">
        <v>414</v>
      </c>
      <c r="I469" s="52" t="s">
        <v>3963</v>
      </c>
      <c r="J469" s="50">
        <v>45807.0</v>
      </c>
      <c r="K469" s="51">
        <v>-425926.0</v>
      </c>
      <c r="L469" s="51">
        <v>-34074.0</v>
      </c>
      <c r="M469" s="51">
        <v>-460000.0</v>
      </c>
      <c r="N469" s="49"/>
      <c r="O469" s="52"/>
      <c r="P469" s="50"/>
      <c r="Q469" s="51"/>
      <c r="R469" s="51"/>
      <c r="S469" s="51"/>
      <c r="T469" s="49"/>
      <c r="U469" s="52"/>
      <c r="V469" s="50"/>
      <c r="W469" s="51"/>
      <c r="X469" s="51"/>
      <c r="Y469" s="51"/>
      <c r="Z469" s="51">
        <v>1276852.0</v>
      </c>
      <c r="AA469" s="51">
        <v>102148.0</v>
      </c>
      <c r="AB469" s="51">
        <v>1379000.0</v>
      </c>
      <c r="AC469" s="47"/>
      <c r="AD469" s="47" t="s">
        <v>3964</v>
      </c>
      <c r="AE469" s="48"/>
      <c r="AF469" s="50"/>
      <c r="AG469" s="51">
        <v>425926.0</v>
      </c>
      <c r="AH469" s="51">
        <v>34074.0</v>
      </c>
      <c r="AI469" s="51">
        <v>460000.0</v>
      </c>
      <c r="AJ469" s="47" t="s">
        <v>3965</v>
      </c>
      <c r="AK469" s="48"/>
      <c r="AL469" s="50"/>
      <c r="AM469" s="51">
        <v>-1702778.0</v>
      </c>
      <c r="AN469" s="51">
        <v>-136222.0</v>
      </c>
      <c r="AO469" s="51">
        <v>-1839000.0</v>
      </c>
      <c r="AP469" s="47"/>
      <c r="AQ469" s="48"/>
      <c r="AR469" s="50"/>
      <c r="AS469" s="51"/>
      <c r="AT469" s="51"/>
      <c r="AU469" s="51"/>
      <c r="AV469" s="47"/>
      <c r="AW469" s="48"/>
      <c r="AX469" s="50"/>
      <c r="AY469" s="51"/>
      <c r="AZ469" s="51"/>
      <c r="BA469" s="51"/>
      <c r="BB469" s="51">
        <f t="shared" ref="BB469:BD469" si="467">IF(AND(ISNUMBER(Z469),COUNT(AG469,AM469,AS469,AY469)=2),Z469+SUM(AG469,AM469,AS469,AY469),"")</f>
        <v>0</v>
      </c>
      <c r="BC469" s="51">
        <f t="shared" si="467"/>
        <v>0</v>
      </c>
      <c r="BD469" s="51">
        <f t="shared" si="467"/>
        <v>0</v>
      </c>
    </row>
    <row r="470" ht="48.0" customHeight="1">
      <c r="A470" s="49" t="s">
        <v>40</v>
      </c>
      <c r="B470" s="49" t="str">
        <f t="array" ref="B470">INDEX('HD cty 2024'!B:B,MATCH('F0, F1, F2, ...'!$C470,'HD cty 2024'!B:B,0))</f>
        <v>#N/A</v>
      </c>
      <c r="C470" s="49">
        <v>617.0</v>
      </c>
      <c r="D470" s="50">
        <v>45623.0</v>
      </c>
      <c r="E470" s="51">
        <v>509259.0</v>
      </c>
      <c r="F470" s="51">
        <v>40741.0</v>
      </c>
      <c r="G470" s="51">
        <v>550000.0</v>
      </c>
      <c r="H470" s="49" t="s">
        <v>414</v>
      </c>
      <c r="I470" s="52" t="s">
        <v>3966</v>
      </c>
      <c r="J470" s="50">
        <v>45807.0</v>
      </c>
      <c r="K470" s="51">
        <v>-47222.0</v>
      </c>
      <c r="L470" s="51">
        <v>-3778.0</v>
      </c>
      <c r="M470" s="51">
        <v>-51000.0</v>
      </c>
      <c r="N470" s="49"/>
      <c r="O470" s="52"/>
      <c r="P470" s="50"/>
      <c r="Q470" s="51"/>
      <c r="R470" s="51"/>
      <c r="S470" s="51"/>
      <c r="T470" s="49"/>
      <c r="U470" s="52"/>
      <c r="V470" s="50"/>
      <c r="W470" s="51"/>
      <c r="X470" s="51"/>
      <c r="Y470" s="51"/>
      <c r="Z470" s="51">
        <v>462037.0</v>
      </c>
      <c r="AA470" s="51">
        <v>36963.0</v>
      </c>
      <c r="AB470" s="51">
        <v>499000.0</v>
      </c>
      <c r="AC470" s="47"/>
      <c r="AD470" s="47" t="s">
        <v>3967</v>
      </c>
      <c r="AE470" s="48"/>
      <c r="AF470" s="50"/>
      <c r="AG470" s="51">
        <v>47222.0</v>
      </c>
      <c r="AH470" s="51">
        <v>3778.0</v>
      </c>
      <c r="AI470" s="51">
        <v>51000.0</v>
      </c>
      <c r="AJ470" s="47" t="s">
        <v>3968</v>
      </c>
      <c r="AK470" s="48"/>
      <c r="AL470" s="50"/>
      <c r="AM470" s="51">
        <v>-509259.0</v>
      </c>
      <c r="AN470" s="51">
        <v>-40741.0</v>
      </c>
      <c r="AO470" s="51">
        <v>-550000.0</v>
      </c>
      <c r="AP470" s="47"/>
      <c r="AQ470" s="48"/>
      <c r="AR470" s="50"/>
      <c r="AS470" s="51"/>
      <c r="AT470" s="51"/>
      <c r="AU470" s="51"/>
      <c r="AV470" s="47"/>
      <c r="AW470" s="48"/>
      <c r="AX470" s="50"/>
      <c r="AY470" s="51"/>
      <c r="AZ470" s="51"/>
      <c r="BA470" s="51"/>
      <c r="BB470" s="51">
        <f t="shared" ref="BB470:BD470" si="468">IF(AND(ISNUMBER(Z470),COUNT(AG470,AM470,AS470,AY470)=2),Z470+SUM(AG470,AM470,AS470,AY470),"")</f>
        <v>0</v>
      </c>
      <c r="BC470" s="51">
        <f t="shared" si="468"/>
        <v>0</v>
      </c>
      <c r="BD470" s="51">
        <f t="shared" si="468"/>
        <v>0</v>
      </c>
    </row>
    <row r="471" ht="48.0" customHeight="1">
      <c r="A471" s="49" t="s">
        <v>40</v>
      </c>
      <c r="B471" s="49" t="str">
        <f t="array" ref="B471">INDEX('HD cty 2024'!B:B,MATCH('F0, F1, F2, ...'!$C471,'HD cty 2024'!B:B,0))</f>
        <v>#N/A</v>
      </c>
      <c r="C471" s="49">
        <v>618.0</v>
      </c>
      <c r="D471" s="50">
        <v>45623.0</v>
      </c>
      <c r="E471" s="51">
        <v>6073714.0</v>
      </c>
      <c r="F471" s="51">
        <v>485897.0</v>
      </c>
      <c r="G471" s="51">
        <v>6559611.0</v>
      </c>
      <c r="H471" s="49" t="s">
        <v>414</v>
      </c>
      <c r="I471" s="52" t="s">
        <v>3969</v>
      </c>
      <c r="J471" s="50">
        <v>45807.0</v>
      </c>
      <c r="K471" s="51">
        <v>-509302.0</v>
      </c>
      <c r="L471" s="51">
        <v>-40744.0</v>
      </c>
      <c r="M471" s="51">
        <v>-550046.0</v>
      </c>
      <c r="N471" s="49"/>
      <c r="O471" s="52"/>
      <c r="P471" s="50"/>
      <c r="Q471" s="51"/>
      <c r="R471" s="51"/>
      <c r="S471" s="51"/>
      <c r="T471" s="49"/>
      <c r="U471" s="52"/>
      <c r="V471" s="50"/>
      <c r="W471" s="51"/>
      <c r="X471" s="51"/>
      <c r="Y471" s="51"/>
      <c r="Z471" s="51">
        <v>5564412.0</v>
      </c>
      <c r="AA471" s="51">
        <v>445153.0</v>
      </c>
      <c r="AB471" s="51">
        <v>6009565.0</v>
      </c>
      <c r="AC471" s="47"/>
      <c r="AD471" s="47" t="s">
        <v>3970</v>
      </c>
      <c r="AE471" s="48"/>
      <c r="AF471" s="50"/>
      <c r="AG471" s="51">
        <v>509302.0</v>
      </c>
      <c r="AH471" s="51">
        <v>40744.0</v>
      </c>
      <c r="AI471" s="51">
        <v>550046.0</v>
      </c>
      <c r="AJ471" s="47" t="s">
        <v>3971</v>
      </c>
      <c r="AK471" s="48"/>
      <c r="AL471" s="50"/>
      <c r="AM471" s="51">
        <v>-6073714.0</v>
      </c>
      <c r="AN471" s="51">
        <v>-485897.0</v>
      </c>
      <c r="AO471" s="51">
        <v>-6559611.0</v>
      </c>
      <c r="AP471" s="47"/>
      <c r="AQ471" s="48"/>
      <c r="AR471" s="50"/>
      <c r="AS471" s="51"/>
      <c r="AT471" s="51"/>
      <c r="AU471" s="51"/>
      <c r="AV471" s="47"/>
      <c r="AW471" s="48"/>
      <c r="AX471" s="50"/>
      <c r="AY471" s="51"/>
      <c r="AZ471" s="51"/>
      <c r="BA471" s="51"/>
      <c r="BB471" s="51">
        <f t="shared" ref="BB471:BD471" si="469">IF(AND(ISNUMBER(Z471),COUNT(AG471,AM471,AS471,AY471)=2),Z471+SUM(AG471,AM471,AS471,AY471),"")</f>
        <v>0</v>
      </c>
      <c r="BC471" s="51">
        <f t="shared" si="469"/>
        <v>0</v>
      </c>
      <c r="BD471" s="51">
        <f t="shared" si="469"/>
        <v>0</v>
      </c>
    </row>
    <row r="472" ht="48.0" customHeight="1">
      <c r="A472" s="49" t="s">
        <v>40</v>
      </c>
      <c r="B472" s="49" t="str">
        <f t="array" ref="B472">INDEX('HD cty 2024'!B:B,MATCH('F0, F1, F2, ...'!$C472,'HD cty 2024'!B:B,0))</f>
        <v>#N/A</v>
      </c>
      <c r="C472" s="49">
        <v>619.0</v>
      </c>
      <c r="D472" s="50">
        <v>45623.0</v>
      </c>
      <c r="E472" s="51">
        <v>1.24451359E8</v>
      </c>
      <c r="F472" s="51">
        <v>9956109.0</v>
      </c>
      <c r="G472" s="51">
        <v>1.34407468E8</v>
      </c>
      <c r="H472" s="49" t="s">
        <v>414</v>
      </c>
      <c r="I472" s="52" t="s">
        <v>3972</v>
      </c>
      <c r="J472" s="50">
        <v>45807.0</v>
      </c>
      <c r="K472" s="51">
        <v>8932345.0</v>
      </c>
      <c r="L472" s="51">
        <v>714588.0</v>
      </c>
      <c r="M472" s="51">
        <v>9646933.0</v>
      </c>
      <c r="N472" s="49"/>
      <c r="O472" s="52"/>
      <c r="P472" s="50"/>
      <c r="Q472" s="51"/>
      <c r="R472" s="51"/>
      <c r="S472" s="51"/>
      <c r="T472" s="49"/>
      <c r="U472" s="52"/>
      <c r="V472" s="50"/>
      <c r="W472" s="51"/>
      <c r="X472" s="51"/>
      <c r="Y472" s="51"/>
      <c r="Z472" s="51">
        <v>1.33383704E8</v>
      </c>
      <c r="AA472" s="51">
        <v>1.0670697E7</v>
      </c>
      <c r="AB472" s="51">
        <v>1.44054401E8</v>
      </c>
      <c r="AC472" s="47"/>
      <c r="AD472" s="47" t="s">
        <v>3973</v>
      </c>
      <c r="AE472" s="48"/>
      <c r="AF472" s="50"/>
      <c r="AG472" s="51">
        <v>-8932345.0</v>
      </c>
      <c r="AH472" s="51">
        <v>-714588.0</v>
      </c>
      <c r="AI472" s="51">
        <v>-9646933.0</v>
      </c>
      <c r="AJ472" s="47" t="s">
        <v>3974</v>
      </c>
      <c r="AK472" s="48"/>
      <c r="AL472" s="50"/>
      <c r="AM472" s="51">
        <v>-1.24451359E8</v>
      </c>
      <c r="AN472" s="51">
        <v>-9956109.0</v>
      </c>
      <c r="AO472" s="51">
        <v>-1.34407468E8</v>
      </c>
      <c r="AP472" s="47"/>
      <c r="AQ472" s="48"/>
      <c r="AR472" s="50"/>
      <c r="AS472" s="51"/>
      <c r="AT472" s="51"/>
      <c r="AU472" s="51"/>
      <c r="AV472" s="47"/>
      <c r="AW472" s="48"/>
      <c r="AX472" s="50"/>
      <c r="AY472" s="51"/>
      <c r="AZ472" s="51"/>
      <c r="BA472" s="51"/>
      <c r="BB472" s="51">
        <f t="shared" ref="BB472:BD472" si="470">IF(AND(ISNUMBER(Z472),COUNT(AG472,AM472,AS472,AY472)=2),Z472+SUM(AG472,AM472,AS472,AY472),"")</f>
        <v>0</v>
      </c>
      <c r="BC472" s="51">
        <f t="shared" si="470"/>
        <v>0</v>
      </c>
      <c r="BD472" s="51">
        <f t="shared" si="470"/>
        <v>0</v>
      </c>
    </row>
    <row r="473" ht="48.0" customHeight="1">
      <c r="A473" s="49" t="s">
        <v>40</v>
      </c>
      <c r="B473" s="49" t="str">
        <f t="array" ref="B473">INDEX('HD cty 2024'!B:B,MATCH('F0, F1, F2, ...'!$C473,'HD cty 2024'!B:B,0))</f>
        <v>#N/A</v>
      </c>
      <c r="C473" s="49">
        <v>620.0</v>
      </c>
      <c r="D473" s="50">
        <v>45623.0</v>
      </c>
      <c r="E473" s="51">
        <v>8.1318479E7</v>
      </c>
      <c r="F473" s="51">
        <v>6505478.0</v>
      </c>
      <c r="G473" s="51">
        <v>8.7823957E7</v>
      </c>
      <c r="H473" s="49" t="s">
        <v>414</v>
      </c>
      <c r="I473" s="52" t="s">
        <v>3975</v>
      </c>
      <c r="J473" s="50">
        <v>45807.0</v>
      </c>
      <c r="K473" s="51">
        <v>6598743.0</v>
      </c>
      <c r="L473" s="51">
        <v>527899.0</v>
      </c>
      <c r="M473" s="51">
        <v>7126642.0</v>
      </c>
      <c r="N473" s="49"/>
      <c r="O473" s="52"/>
      <c r="P473" s="50"/>
      <c r="Q473" s="51"/>
      <c r="R473" s="51"/>
      <c r="S473" s="51"/>
      <c r="T473" s="49"/>
      <c r="U473" s="52"/>
      <c r="V473" s="50"/>
      <c r="W473" s="51"/>
      <c r="X473" s="51"/>
      <c r="Y473" s="51"/>
      <c r="Z473" s="51">
        <v>8.7917222E7</v>
      </c>
      <c r="AA473" s="51">
        <v>7033377.0</v>
      </c>
      <c r="AB473" s="51">
        <v>9.4950599E7</v>
      </c>
      <c r="AC473" s="47"/>
      <c r="AD473" s="47" t="s">
        <v>3976</v>
      </c>
      <c r="AE473" s="48"/>
      <c r="AF473" s="50"/>
      <c r="AG473" s="51">
        <v>-6598743.0</v>
      </c>
      <c r="AH473" s="51">
        <v>-527899.0</v>
      </c>
      <c r="AI473" s="51">
        <v>-7126642.0</v>
      </c>
      <c r="AJ473" s="47" t="s">
        <v>3977</v>
      </c>
      <c r="AK473" s="48"/>
      <c r="AL473" s="50"/>
      <c r="AM473" s="51">
        <v>-8.1318479E7</v>
      </c>
      <c r="AN473" s="51">
        <v>-6505478.0</v>
      </c>
      <c r="AO473" s="51">
        <v>-8.7823957E7</v>
      </c>
      <c r="AP473" s="47"/>
      <c r="AQ473" s="48"/>
      <c r="AR473" s="50"/>
      <c r="AS473" s="51"/>
      <c r="AT473" s="51"/>
      <c r="AU473" s="51"/>
      <c r="AV473" s="47"/>
      <c r="AW473" s="48"/>
      <c r="AX473" s="50"/>
      <c r="AY473" s="51"/>
      <c r="AZ473" s="51"/>
      <c r="BA473" s="51"/>
      <c r="BB473" s="51">
        <f t="shared" ref="BB473:BD473" si="471">IF(AND(ISNUMBER(Z473),COUNT(AG473,AM473,AS473,AY473)=2),Z473+SUM(AG473,AM473,AS473,AY473),"")</f>
        <v>0</v>
      </c>
      <c r="BC473" s="51">
        <f t="shared" si="471"/>
        <v>0</v>
      </c>
      <c r="BD473" s="51">
        <f t="shared" si="471"/>
        <v>0</v>
      </c>
    </row>
    <row r="474" ht="48.0" customHeight="1">
      <c r="A474" s="49" t="s">
        <v>40</v>
      </c>
      <c r="B474" s="49" t="str">
        <f t="array" ref="B474">INDEX('HD cty 2024'!B:B,MATCH('F0, F1, F2, ...'!$C474,'HD cty 2024'!B:B,0))</f>
        <v>#N/A</v>
      </c>
      <c r="C474" s="49">
        <v>621.0</v>
      </c>
      <c r="D474" s="50">
        <v>45623.0</v>
      </c>
      <c r="E474" s="51">
        <v>1.46006248E8</v>
      </c>
      <c r="F474" s="51">
        <v>1.16805E7</v>
      </c>
      <c r="G474" s="51">
        <v>1.57686748E8</v>
      </c>
      <c r="H474" s="49" t="s">
        <v>414</v>
      </c>
      <c r="I474" s="52" t="s">
        <v>3978</v>
      </c>
      <c r="J474" s="50">
        <v>45807.0</v>
      </c>
      <c r="K474" s="51">
        <v>1.3866159E7</v>
      </c>
      <c r="L474" s="51">
        <v>1109293.0</v>
      </c>
      <c r="M474" s="51">
        <v>1.4975452E7</v>
      </c>
      <c r="N474" s="49"/>
      <c r="O474" s="52"/>
      <c r="P474" s="50"/>
      <c r="Q474" s="51"/>
      <c r="R474" s="51"/>
      <c r="S474" s="51"/>
      <c r="T474" s="49"/>
      <c r="U474" s="52"/>
      <c r="V474" s="50"/>
      <c r="W474" s="51"/>
      <c r="X474" s="51"/>
      <c r="Y474" s="51"/>
      <c r="Z474" s="51">
        <v>1.59872407E8</v>
      </c>
      <c r="AA474" s="51">
        <v>1.2789793E7</v>
      </c>
      <c r="AB474" s="51">
        <v>1.726622E8</v>
      </c>
      <c r="AC474" s="47"/>
      <c r="AD474" s="47" t="s">
        <v>3979</v>
      </c>
      <c r="AE474" s="48"/>
      <c r="AF474" s="50"/>
      <c r="AG474" s="51">
        <v>-1.3866159E7</v>
      </c>
      <c r="AH474" s="51">
        <v>-1109293.0</v>
      </c>
      <c r="AI474" s="51">
        <v>-1.4975452E7</v>
      </c>
      <c r="AJ474" s="47" t="s">
        <v>3980</v>
      </c>
      <c r="AK474" s="48"/>
      <c r="AL474" s="50"/>
      <c r="AM474" s="51">
        <v>-1.46006248E8</v>
      </c>
      <c r="AN474" s="51">
        <v>-1.16805E7</v>
      </c>
      <c r="AO474" s="51">
        <v>-1.57686748E8</v>
      </c>
      <c r="AP474" s="47"/>
      <c r="AQ474" s="48"/>
      <c r="AR474" s="50"/>
      <c r="AS474" s="51"/>
      <c r="AT474" s="51"/>
      <c r="AU474" s="51"/>
      <c r="AV474" s="47"/>
      <c r="AW474" s="48"/>
      <c r="AX474" s="50"/>
      <c r="AY474" s="51"/>
      <c r="AZ474" s="51"/>
      <c r="BA474" s="51"/>
      <c r="BB474" s="51">
        <f t="shared" ref="BB474:BD474" si="472">IF(AND(ISNUMBER(Z474),COUNT(AG474,AM474,AS474,AY474)=2),Z474+SUM(AG474,AM474,AS474,AY474),"")</f>
        <v>0</v>
      </c>
      <c r="BC474" s="51">
        <f t="shared" si="472"/>
        <v>0</v>
      </c>
      <c r="BD474" s="51">
        <f t="shared" si="472"/>
        <v>0</v>
      </c>
    </row>
    <row r="475" ht="48.0" customHeight="1">
      <c r="A475" s="49" t="s">
        <v>40</v>
      </c>
      <c r="B475" s="49" t="str">
        <f t="array" ref="B475">INDEX('HD cty 2024'!B:B,MATCH('F0, F1, F2, ...'!$C475,'HD cty 2024'!B:B,0))</f>
        <v>#N/A</v>
      </c>
      <c r="C475" s="49">
        <v>622.0</v>
      </c>
      <c r="D475" s="50">
        <v>45624.0</v>
      </c>
      <c r="E475" s="51">
        <v>1.40458428E8</v>
      </c>
      <c r="F475" s="51">
        <v>1.1236674E7</v>
      </c>
      <c r="G475" s="51">
        <v>1.51695102E8</v>
      </c>
      <c r="H475" s="49" t="s">
        <v>414</v>
      </c>
      <c r="I475" s="52" t="s">
        <v>3981</v>
      </c>
      <c r="J475" s="50">
        <v>45807.0</v>
      </c>
      <c r="K475" s="51">
        <v>1.3459165E7</v>
      </c>
      <c r="L475" s="51">
        <v>1076733.0</v>
      </c>
      <c r="M475" s="51">
        <v>1.4535898E7</v>
      </c>
      <c r="N475" s="49"/>
      <c r="O475" s="52"/>
      <c r="P475" s="50"/>
      <c r="Q475" s="51"/>
      <c r="R475" s="51"/>
      <c r="S475" s="51"/>
      <c r="T475" s="49"/>
      <c r="U475" s="52"/>
      <c r="V475" s="50"/>
      <c r="W475" s="51"/>
      <c r="X475" s="51"/>
      <c r="Y475" s="51"/>
      <c r="Z475" s="51">
        <v>1.53917593E8</v>
      </c>
      <c r="AA475" s="51">
        <v>1.2313407E7</v>
      </c>
      <c r="AB475" s="51">
        <v>1.66231E8</v>
      </c>
      <c r="AC475" s="47"/>
      <c r="AD475" s="47" t="s">
        <v>3982</v>
      </c>
      <c r="AE475" s="48"/>
      <c r="AF475" s="50"/>
      <c r="AG475" s="51">
        <v>-1.3459165E7</v>
      </c>
      <c r="AH475" s="51">
        <v>-1076733.0</v>
      </c>
      <c r="AI475" s="51">
        <v>-1.4535898E7</v>
      </c>
      <c r="AJ475" s="47" t="s">
        <v>3983</v>
      </c>
      <c r="AK475" s="48"/>
      <c r="AL475" s="50"/>
      <c r="AM475" s="51">
        <v>-1.40458428E8</v>
      </c>
      <c r="AN475" s="51">
        <v>-1.1236674E7</v>
      </c>
      <c r="AO475" s="51">
        <v>-1.51695102E8</v>
      </c>
      <c r="AP475" s="47"/>
      <c r="AQ475" s="48"/>
      <c r="AR475" s="50"/>
      <c r="AS475" s="51"/>
      <c r="AT475" s="51"/>
      <c r="AU475" s="51"/>
      <c r="AV475" s="47"/>
      <c r="AW475" s="48"/>
      <c r="AX475" s="50"/>
      <c r="AY475" s="51"/>
      <c r="AZ475" s="51"/>
      <c r="BA475" s="51"/>
      <c r="BB475" s="51">
        <f t="shared" ref="BB475:BD475" si="473">IF(AND(ISNUMBER(Z475),COUNT(AG475,AM475,AS475,AY475)=2),Z475+SUM(AG475,AM475,AS475,AY475),"")</f>
        <v>0</v>
      </c>
      <c r="BC475" s="51">
        <f t="shared" si="473"/>
        <v>0</v>
      </c>
      <c r="BD475" s="51">
        <f t="shared" si="473"/>
        <v>0</v>
      </c>
    </row>
    <row r="476" ht="48.0" customHeight="1">
      <c r="A476" s="49" t="s">
        <v>40</v>
      </c>
      <c r="B476" s="49" t="str">
        <f t="array" ref="B476">INDEX('HD cty 2024'!B:B,MATCH('F0, F1, F2, ...'!$C476,'HD cty 2024'!B:B,0))</f>
        <v>#N/A</v>
      </c>
      <c r="C476" s="49">
        <v>623.0</v>
      </c>
      <c r="D476" s="50">
        <v>45624.0</v>
      </c>
      <c r="E476" s="51">
        <v>1.72507059E8</v>
      </c>
      <c r="F476" s="51">
        <v>1.3800565E7</v>
      </c>
      <c r="G476" s="51">
        <v>1.86307624E8</v>
      </c>
      <c r="H476" s="49" t="s">
        <v>414</v>
      </c>
      <c r="I476" s="52" t="s">
        <v>3984</v>
      </c>
      <c r="J476" s="50">
        <v>45807.0</v>
      </c>
      <c r="K476" s="51">
        <v>1.6520348E7</v>
      </c>
      <c r="L476" s="51">
        <v>1321628.0</v>
      </c>
      <c r="M476" s="51">
        <v>1.7841976E7</v>
      </c>
      <c r="N476" s="49"/>
      <c r="O476" s="52"/>
      <c r="P476" s="50"/>
      <c r="Q476" s="51"/>
      <c r="R476" s="51"/>
      <c r="S476" s="51"/>
      <c r="T476" s="49"/>
      <c r="U476" s="52"/>
      <c r="V476" s="50"/>
      <c r="W476" s="51"/>
      <c r="X476" s="51"/>
      <c r="Y476" s="51"/>
      <c r="Z476" s="51">
        <v>1.89027407E8</v>
      </c>
      <c r="AA476" s="51">
        <v>1.5122193E7</v>
      </c>
      <c r="AB476" s="51">
        <v>2.041496E8</v>
      </c>
      <c r="AC476" s="47"/>
      <c r="AD476" s="47" t="s">
        <v>3985</v>
      </c>
      <c r="AE476" s="48"/>
      <c r="AF476" s="50"/>
      <c r="AG476" s="51">
        <v>-1.6520348E7</v>
      </c>
      <c r="AH476" s="51">
        <v>-1321628.0</v>
      </c>
      <c r="AI476" s="51">
        <v>-1.7841976E7</v>
      </c>
      <c r="AJ476" s="47" t="s">
        <v>3986</v>
      </c>
      <c r="AK476" s="48"/>
      <c r="AL476" s="50"/>
      <c r="AM476" s="51">
        <v>-1.72507059E8</v>
      </c>
      <c r="AN476" s="51">
        <v>-1.3800565E7</v>
      </c>
      <c r="AO476" s="51">
        <v>-1.86307624E8</v>
      </c>
      <c r="AP476" s="47"/>
      <c r="AQ476" s="48"/>
      <c r="AR476" s="50"/>
      <c r="AS476" s="51"/>
      <c r="AT476" s="51"/>
      <c r="AU476" s="51"/>
      <c r="AV476" s="47"/>
      <c r="AW476" s="48"/>
      <c r="AX476" s="50"/>
      <c r="AY476" s="51"/>
      <c r="AZ476" s="51"/>
      <c r="BA476" s="51"/>
      <c r="BB476" s="51">
        <f t="shared" ref="BB476:BD476" si="474">IF(AND(ISNUMBER(Z476),COUNT(AG476,AM476,AS476,AY476)=2),Z476+SUM(AG476,AM476,AS476,AY476),"")</f>
        <v>0</v>
      </c>
      <c r="BC476" s="51">
        <f t="shared" si="474"/>
        <v>0</v>
      </c>
      <c r="BD476" s="51">
        <f t="shared" si="474"/>
        <v>0</v>
      </c>
    </row>
    <row r="477" ht="48.0" customHeight="1">
      <c r="A477" s="49" t="s">
        <v>40</v>
      </c>
      <c r="B477" s="49" t="str">
        <f t="array" ref="B477">INDEX('HD cty 2024'!B:B,MATCH('F0, F1, F2, ...'!$C477,'HD cty 2024'!B:B,0))</f>
        <v>#N/A</v>
      </c>
      <c r="C477" s="49">
        <v>624.0</v>
      </c>
      <c r="D477" s="50">
        <v>45624.0</v>
      </c>
      <c r="E477" s="51">
        <v>1.50837801E8</v>
      </c>
      <c r="F477" s="51">
        <v>1.2067024E7</v>
      </c>
      <c r="G477" s="51">
        <v>1.62904825E8</v>
      </c>
      <c r="H477" s="49" t="s">
        <v>414</v>
      </c>
      <c r="I477" s="52" t="s">
        <v>3987</v>
      </c>
      <c r="J477" s="50">
        <v>45807.0</v>
      </c>
      <c r="K477" s="51">
        <v>9614801.0</v>
      </c>
      <c r="L477" s="51">
        <v>769184.0</v>
      </c>
      <c r="M477" s="51">
        <v>1.0383985E7</v>
      </c>
      <c r="N477" s="49"/>
      <c r="O477" s="52"/>
      <c r="P477" s="50"/>
      <c r="Q477" s="51"/>
      <c r="R477" s="51"/>
      <c r="S477" s="51"/>
      <c r="T477" s="49"/>
      <c r="U477" s="52"/>
      <c r="V477" s="50"/>
      <c r="W477" s="51"/>
      <c r="X477" s="51"/>
      <c r="Y477" s="51"/>
      <c r="Z477" s="51">
        <v>1.60452602E8</v>
      </c>
      <c r="AA477" s="51">
        <v>1.2836208E7</v>
      </c>
      <c r="AB477" s="51">
        <v>1.7328881E8</v>
      </c>
      <c r="AC477" s="47"/>
      <c r="AD477" s="47" t="s">
        <v>3988</v>
      </c>
      <c r="AE477" s="48"/>
      <c r="AF477" s="50"/>
      <c r="AG477" s="51">
        <v>-9614801.0</v>
      </c>
      <c r="AH477" s="51">
        <v>-769184.0</v>
      </c>
      <c r="AI477" s="51">
        <v>-1.0383985E7</v>
      </c>
      <c r="AJ477" s="47" t="s">
        <v>3989</v>
      </c>
      <c r="AK477" s="48"/>
      <c r="AL477" s="50"/>
      <c r="AM477" s="51">
        <v>-1.50837801E8</v>
      </c>
      <c r="AN477" s="51">
        <v>-1.2067024E7</v>
      </c>
      <c r="AO477" s="51">
        <v>-1.62904825E8</v>
      </c>
      <c r="AP477" s="47"/>
      <c r="AQ477" s="48"/>
      <c r="AR477" s="50"/>
      <c r="AS477" s="51"/>
      <c r="AT477" s="51"/>
      <c r="AU477" s="51"/>
      <c r="AV477" s="47"/>
      <c r="AW477" s="48"/>
      <c r="AX477" s="50"/>
      <c r="AY477" s="51"/>
      <c r="AZ477" s="51"/>
      <c r="BA477" s="51"/>
      <c r="BB477" s="51">
        <f t="shared" ref="BB477:BD477" si="475">IF(AND(ISNUMBER(Z477),COUNT(AG477,AM477,AS477,AY477)=2),Z477+SUM(AG477,AM477,AS477,AY477),"")</f>
        <v>0</v>
      </c>
      <c r="BC477" s="51">
        <f t="shared" si="475"/>
        <v>0</v>
      </c>
      <c r="BD477" s="51">
        <f t="shared" si="475"/>
        <v>0</v>
      </c>
    </row>
    <row r="478" ht="48.0" customHeight="1">
      <c r="A478" s="49" t="s">
        <v>40</v>
      </c>
      <c r="B478" s="49" t="str">
        <f t="array" ref="B478">INDEX('HD cty 2024'!B:B,MATCH('F0, F1, F2, ...'!$C478,'HD cty 2024'!B:B,0))</f>
        <v>#N/A</v>
      </c>
      <c r="C478" s="49">
        <v>625.0</v>
      </c>
      <c r="D478" s="50">
        <v>45626.0</v>
      </c>
      <c r="E478" s="51">
        <v>8.4084493E7</v>
      </c>
      <c r="F478" s="51">
        <v>6726759.0</v>
      </c>
      <c r="G478" s="51">
        <v>9.0811252E7</v>
      </c>
      <c r="H478" s="49" t="s">
        <v>414</v>
      </c>
      <c r="I478" s="52" t="s">
        <v>3990</v>
      </c>
      <c r="J478" s="50">
        <v>45807.0</v>
      </c>
      <c r="K478" s="51">
        <v>7958479.0</v>
      </c>
      <c r="L478" s="51">
        <v>636678.0</v>
      </c>
      <c r="M478" s="51">
        <v>8595157.0</v>
      </c>
      <c r="N478" s="49"/>
      <c r="O478" s="52"/>
      <c r="P478" s="50"/>
      <c r="Q478" s="51"/>
      <c r="R478" s="51"/>
      <c r="S478" s="51"/>
      <c r="T478" s="49"/>
      <c r="U478" s="52"/>
      <c r="V478" s="50"/>
      <c r="W478" s="51"/>
      <c r="X478" s="51"/>
      <c r="Y478" s="51"/>
      <c r="Z478" s="51">
        <v>9.2042972E7</v>
      </c>
      <c r="AA478" s="51">
        <v>7363437.0</v>
      </c>
      <c r="AB478" s="51">
        <v>9.9406409E7</v>
      </c>
      <c r="AC478" s="47"/>
      <c r="AD478" s="47" t="s">
        <v>3991</v>
      </c>
      <c r="AE478" s="48"/>
      <c r="AF478" s="50"/>
      <c r="AG478" s="51">
        <v>-7958479.0</v>
      </c>
      <c r="AH478" s="51">
        <v>-636678.0</v>
      </c>
      <c r="AI478" s="51">
        <v>-8595157.0</v>
      </c>
      <c r="AJ478" s="47" t="s">
        <v>3992</v>
      </c>
      <c r="AK478" s="48"/>
      <c r="AL478" s="50"/>
      <c r="AM478" s="51">
        <v>-8.4084493E7</v>
      </c>
      <c r="AN478" s="51">
        <v>-6726759.0</v>
      </c>
      <c r="AO478" s="51">
        <v>-9.0811252E7</v>
      </c>
      <c r="AP478" s="47"/>
      <c r="AQ478" s="48"/>
      <c r="AR478" s="50"/>
      <c r="AS478" s="51"/>
      <c r="AT478" s="51"/>
      <c r="AU478" s="51"/>
      <c r="AV478" s="47"/>
      <c r="AW478" s="48"/>
      <c r="AX478" s="50"/>
      <c r="AY478" s="51"/>
      <c r="AZ478" s="51"/>
      <c r="BA478" s="51"/>
      <c r="BB478" s="51">
        <f t="shared" ref="BB478:BD478" si="476">IF(AND(ISNUMBER(Z478),COUNT(AG478,AM478,AS478,AY478)=2),Z478+SUM(AG478,AM478,AS478,AY478),"")</f>
        <v>0</v>
      </c>
      <c r="BC478" s="51">
        <f t="shared" si="476"/>
        <v>0</v>
      </c>
      <c r="BD478" s="51">
        <f t="shared" si="476"/>
        <v>0</v>
      </c>
    </row>
    <row r="479" ht="48.0" customHeight="1">
      <c r="A479" s="49" t="s">
        <v>40</v>
      </c>
      <c r="B479" s="49" t="str">
        <f t="array" ref="B479">INDEX('HD cty 2024'!B:B,MATCH('F0, F1, F2, ...'!$C479,'HD cty 2024'!B:B,0))</f>
        <v>#N/A</v>
      </c>
      <c r="C479" s="49">
        <v>626.0</v>
      </c>
      <c r="D479" s="50">
        <v>45626.0</v>
      </c>
      <c r="E479" s="51">
        <v>1.0178932E8</v>
      </c>
      <c r="F479" s="51">
        <v>8143146.0</v>
      </c>
      <c r="G479" s="51">
        <v>1.09932466E8</v>
      </c>
      <c r="H479" s="49" t="s">
        <v>414</v>
      </c>
      <c r="I479" s="52" t="s">
        <v>3993</v>
      </c>
      <c r="J479" s="50">
        <v>45807.0</v>
      </c>
      <c r="K479" s="51">
        <v>8938087.0</v>
      </c>
      <c r="L479" s="51">
        <v>715047.0</v>
      </c>
      <c r="M479" s="51">
        <v>9653134.0</v>
      </c>
      <c r="N479" s="49"/>
      <c r="O479" s="52"/>
      <c r="P479" s="50"/>
      <c r="Q479" s="51"/>
      <c r="R479" s="51"/>
      <c r="S479" s="51"/>
      <c r="T479" s="49"/>
      <c r="U479" s="52"/>
      <c r="V479" s="50"/>
      <c r="W479" s="51"/>
      <c r="X479" s="51"/>
      <c r="Y479" s="51"/>
      <c r="Z479" s="51">
        <v>1.10727407E8</v>
      </c>
      <c r="AA479" s="51">
        <v>8858193.0</v>
      </c>
      <c r="AB479" s="51">
        <v>1.195856E8</v>
      </c>
      <c r="AC479" s="47"/>
      <c r="AD479" s="47" t="s">
        <v>3994</v>
      </c>
      <c r="AE479" s="48"/>
      <c r="AF479" s="50"/>
      <c r="AG479" s="51">
        <v>-8938087.0</v>
      </c>
      <c r="AH479" s="51">
        <v>-715047.0</v>
      </c>
      <c r="AI479" s="51">
        <v>-9653134.0</v>
      </c>
      <c r="AJ479" s="47" t="s">
        <v>3995</v>
      </c>
      <c r="AK479" s="48"/>
      <c r="AL479" s="50"/>
      <c r="AM479" s="51">
        <v>-1.0178932E8</v>
      </c>
      <c r="AN479" s="51">
        <v>-8143146.0</v>
      </c>
      <c r="AO479" s="51">
        <v>-1.09932466E8</v>
      </c>
      <c r="AP479" s="47"/>
      <c r="AQ479" s="48"/>
      <c r="AR479" s="50"/>
      <c r="AS479" s="51"/>
      <c r="AT479" s="51"/>
      <c r="AU479" s="51"/>
      <c r="AV479" s="47"/>
      <c r="AW479" s="48"/>
      <c r="AX479" s="50"/>
      <c r="AY479" s="51"/>
      <c r="AZ479" s="51"/>
      <c r="BA479" s="51"/>
      <c r="BB479" s="51">
        <f t="shared" ref="BB479:BD479" si="477">IF(AND(ISNUMBER(Z479),COUNT(AG479,AM479,AS479,AY479)=2),Z479+SUM(AG479,AM479,AS479,AY479),"")</f>
        <v>0</v>
      </c>
      <c r="BC479" s="51">
        <f t="shared" si="477"/>
        <v>0</v>
      </c>
      <c r="BD479" s="51">
        <f t="shared" si="477"/>
        <v>0</v>
      </c>
    </row>
    <row r="480" ht="48.0" customHeight="1">
      <c r="A480" s="49" t="s">
        <v>40</v>
      </c>
      <c r="B480" s="49" t="str">
        <f t="array" ref="B480">INDEX('HD cty 2024'!B:B,MATCH('F0, F1, F2, ...'!$C480,'HD cty 2024'!B:B,0))</f>
        <v>#N/A</v>
      </c>
      <c r="C480" s="49">
        <v>627.0</v>
      </c>
      <c r="D480" s="50">
        <v>45626.0</v>
      </c>
      <c r="E480" s="51">
        <v>6.9488787E7</v>
      </c>
      <c r="F480" s="51">
        <v>5559103.0</v>
      </c>
      <c r="G480" s="51">
        <v>7.504789E7</v>
      </c>
      <c r="H480" s="49" t="s">
        <v>414</v>
      </c>
      <c r="I480" s="52" t="s">
        <v>3996</v>
      </c>
      <c r="J480" s="50">
        <v>45807.0</v>
      </c>
      <c r="K480" s="51">
        <v>4582509.0</v>
      </c>
      <c r="L480" s="51">
        <v>366601.0</v>
      </c>
      <c r="M480" s="51">
        <v>4949110.0</v>
      </c>
      <c r="N480" s="49"/>
      <c r="O480" s="52"/>
      <c r="P480" s="50"/>
      <c r="Q480" s="51"/>
      <c r="R480" s="51"/>
      <c r="S480" s="51"/>
      <c r="T480" s="49"/>
      <c r="U480" s="52"/>
      <c r="V480" s="50"/>
      <c r="W480" s="51"/>
      <c r="X480" s="51"/>
      <c r="Y480" s="51"/>
      <c r="Z480" s="51">
        <v>7.4071296E7</v>
      </c>
      <c r="AA480" s="51">
        <v>5925704.0</v>
      </c>
      <c r="AB480" s="51">
        <v>7.9997E7</v>
      </c>
      <c r="AC480" s="47"/>
      <c r="AD480" s="47" t="s">
        <v>3997</v>
      </c>
      <c r="AE480" s="48"/>
      <c r="AF480" s="50"/>
      <c r="AG480" s="51">
        <v>-4582509.0</v>
      </c>
      <c r="AH480" s="51">
        <v>-366601.0</v>
      </c>
      <c r="AI480" s="51">
        <v>-4949110.0</v>
      </c>
      <c r="AJ480" s="47" t="s">
        <v>3998</v>
      </c>
      <c r="AK480" s="48"/>
      <c r="AL480" s="50"/>
      <c r="AM480" s="51">
        <v>-6.9488787E7</v>
      </c>
      <c r="AN480" s="51">
        <v>-5559103.0</v>
      </c>
      <c r="AO480" s="51">
        <v>-7.504789E7</v>
      </c>
      <c r="AP480" s="47"/>
      <c r="AQ480" s="48"/>
      <c r="AR480" s="50"/>
      <c r="AS480" s="51"/>
      <c r="AT480" s="51"/>
      <c r="AU480" s="51"/>
      <c r="AV480" s="47"/>
      <c r="AW480" s="48"/>
      <c r="AX480" s="50"/>
      <c r="AY480" s="51"/>
      <c r="AZ480" s="51"/>
      <c r="BA480" s="51"/>
      <c r="BB480" s="51">
        <f t="shared" ref="BB480:BD480" si="478">IF(AND(ISNUMBER(Z480),COUNT(AG480,AM480,AS480,AY480)=2),Z480+SUM(AG480,AM480,AS480,AY480),"")</f>
        <v>0</v>
      </c>
      <c r="BC480" s="51">
        <f t="shared" si="478"/>
        <v>0</v>
      </c>
      <c r="BD480" s="51">
        <f t="shared" si="478"/>
        <v>0</v>
      </c>
    </row>
    <row r="481" ht="48.0" customHeight="1">
      <c r="A481" s="49" t="s">
        <v>40</v>
      </c>
      <c r="B481" s="49" t="str">
        <f t="array" ref="B481">INDEX('HD cty 2024'!B:B,MATCH('F0, F1, F2, ...'!$C481,'HD cty 2024'!B:B,0))</f>
        <v>#N/A</v>
      </c>
      <c r="C481" s="49">
        <v>628.0</v>
      </c>
      <c r="D481" s="50">
        <v>45626.0</v>
      </c>
      <c r="E481" s="51">
        <v>1.71610812E8</v>
      </c>
      <c r="F481" s="51">
        <v>1.3728865E7</v>
      </c>
      <c r="G481" s="51">
        <v>1.85339677E8</v>
      </c>
      <c r="H481" s="49" t="s">
        <v>414</v>
      </c>
      <c r="I481" s="52" t="s">
        <v>3999</v>
      </c>
      <c r="J481" s="50">
        <v>45807.0</v>
      </c>
      <c r="K481" s="51">
        <v>2.8899373E7</v>
      </c>
      <c r="L481" s="51">
        <v>2311950.0</v>
      </c>
      <c r="M481" s="51">
        <v>3.1211323E7</v>
      </c>
      <c r="N481" s="49"/>
      <c r="O481" s="52"/>
      <c r="P481" s="50"/>
      <c r="Q481" s="51"/>
      <c r="R481" s="51"/>
      <c r="S481" s="51"/>
      <c r="T481" s="49"/>
      <c r="U481" s="52"/>
      <c r="V481" s="50"/>
      <c r="W481" s="51"/>
      <c r="X481" s="51"/>
      <c r="Y481" s="51"/>
      <c r="Z481" s="51">
        <v>2.00510185E8</v>
      </c>
      <c r="AA481" s="51">
        <v>1.6040815E7</v>
      </c>
      <c r="AB481" s="51">
        <v>2.16551E8</v>
      </c>
      <c r="AC481" s="47"/>
      <c r="AD481" s="47" t="s">
        <v>4000</v>
      </c>
      <c r="AE481" s="48"/>
      <c r="AF481" s="50"/>
      <c r="AG481" s="51">
        <v>-2.8899373E7</v>
      </c>
      <c r="AH481" s="51">
        <v>-2311950.0</v>
      </c>
      <c r="AI481" s="51">
        <v>-3.1211323E7</v>
      </c>
      <c r="AJ481" s="47" t="s">
        <v>4001</v>
      </c>
      <c r="AK481" s="48"/>
      <c r="AL481" s="50"/>
      <c r="AM481" s="51">
        <v>-1.71610812E8</v>
      </c>
      <c r="AN481" s="51">
        <v>-1.3728865E7</v>
      </c>
      <c r="AO481" s="51">
        <v>-1.85339677E8</v>
      </c>
      <c r="AP481" s="47"/>
      <c r="AQ481" s="48"/>
      <c r="AR481" s="50"/>
      <c r="AS481" s="51"/>
      <c r="AT481" s="51"/>
      <c r="AU481" s="51"/>
      <c r="AV481" s="47"/>
      <c r="AW481" s="48"/>
      <c r="AX481" s="50"/>
      <c r="AY481" s="51"/>
      <c r="AZ481" s="51"/>
      <c r="BA481" s="51"/>
      <c r="BB481" s="51">
        <f t="shared" ref="BB481:BD481" si="479">IF(AND(ISNUMBER(Z481),COUNT(AG481,AM481,AS481,AY481)=2),Z481+SUM(AG481,AM481,AS481,AY481),"")</f>
        <v>0</v>
      </c>
      <c r="BC481" s="51">
        <f t="shared" si="479"/>
        <v>0</v>
      </c>
      <c r="BD481" s="51">
        <f t="shared" si="479"/>
        <v>0</v>
      </c>
    </row>
    <row r="482" ht="48.0" customHeight="1">
      <c r="A482" s="49" t="s">
        <v>40</v>
      </c>
      <c r="B482" s="49" t="str">
        <f t="array" ref="B482">INDEX('HD cty 2024'!B:B,MATCH('F0, F1, F2, ...'!$C482,'HD cty 2024'!B:B,0))</f>
        <v>#N/A</v>
      </c>
      <c r="C482" s="49">
        <v>629.0</v>
      </c>
      <c r="D482" s="50">
        <v>45626.0</v>
      </c>
      <c r="E482" s="51">
        <v>1.89397972E8</v>
      </c>
      <c r="F482" s="51">
        <v>1.5151838E7</v>
      </c>
      <c r="G482" s="51">
        <v>2.0454981E8</v>
      </c>
      <c r="H482" s="49" t="s">
        <v>414</v>
      </c>
      <c r="I482" s="52" t="s">
        <v>4002</v>
      </c>
      <c r="J482" s="50">
        <v>45807.0</v>
      </c>
      <c r="K482" s="51">
        <v>1.2619991E7</v>
      </c>
      <c r="L482" s="51">
        <v>1009599.0</v>
      </c>
      <c r="M482" s="51">
        <v>1.362959E7</v>
      </c>
      <c r="N482" s="49"/>
      <c r="O482" s="52"/>
      <c r="P482" s="50"/>
      <c r="Q482" s="51"/>
      <c r="R482" s="51"/>
      <c r="S482" s="51"/>
      <c r="T482" s="49"/>
      <c r="U482" s="52"/>
      <c r="V482" s="50"/>
      <c r="W482" s="51"/>
      <c r="X482" s="51"/>
      <c r="Y482" s="51"/>
      <c r="Z482" s="51">
        <v>2.02017963E8</v>
      </c>
      <c r="AA482" s="51">
        <v>1.6161437E7</v>
      </c>
      <c r="AB482" s="51">
        <v>2.181794E8</v>
      </c>
      <c r="AC482" s="47"/>
      <c r="AD482" s="47" t="s">
        <v>4003</v>
      </c>
      <c r="AE482" s="48"/>
      <c r="AF482" s="50"/>
      <c r="AG482" s="51">
        <v>-1.2619991E7</v>
      </c>
      <c r="AH482" s="51">
        <v>-1009599.0</v>
      </c>
      <c r="AI482" s="51">
        <v>-1.362959E7</v>
      </c>
      <c r="AJ482" s="47" t="s">
        <v>4004</v>
      </c>
      <c r="AK482" s="48"/>
      <c r="AL482" s="50"/>
      <c r="AM482" s="51">
        <v>-1.89397972E8</v>
      </c>
      <c r="AN482" s="51">
        <v>-1.5151838E7</v>
      </c>
      <c r="AO482" s="51">
        <v>-2.0454981E8</v>
      </c>
      <c r="AP482" s="47"/>
      <c r="AQ482" s="48"/>
      <c r="AR482" s="50"/>
      <c r="AS482" s="51"/>
      <c r="AT482" s="51"/>
      <c r="AU482" s="51"/>
      <c r="AV482" s="47"/>
      <c r="AW482" s="48"/>
      <c r="AX482" s="50"/>
      <c r="AY482" s="51"/>
      <c r="AZ482" s="51"/>
      <c r="BA482" s="51"/>
      <c r="BB482" s="51">
        <f t="shared" ref="BB482:BD482" si="480">IF(AND(ISNUMBER(Z482),COUNT(AG482,AM482,AS482,AY482)=2),Z482+SUM(AG482,AM482,AS482,AY482),"")</f>
        <v>0</v>
      </c>
      <c r="BC482" s="51">
        <f t="shared" si="480"/>
        <v>0</v>
      </c>
      <c r="BD482" s="51">
        <f t="shared" si="480"/>
        <v>0</v>
      </c>
    </row>
    <row r="483" ht="48.0" customHeight="1">
      <c r="A483" s="49" t="s">
        <v>40</v>
      </c>
      <c r="B483" s="49" t="str">
        <f t="array" ref="B483">INDEX('HD cty 2024'!B:B,MATCH('F0, F1, F2, ...'!$C483,'HD cty 2024'!B:B,0))</f>
        <v>#N/A</v>
      </c>
      <c r="C483" s="49">
        <v>630.0</v>
      </c>
      <c r="D483" s="50">
        <v>45626.0</v>
      </c>
      <c r="E483" s="51">
        <v>1.09941787E8</v>
      </c>
      <c r="F483" s="51">
        <v>8795343.0</v>
      </c>
      <c r="G483" s="51">
        <v>1.1873713E8</v>
      </c>
      <c r="H483" s="49" t="s">
        <v>414</v>
      </c>
      <c r="I483" s="52" t="s">
        <v>4005</v>
      </c>
      <c r="J483" s="50">
        <v>45807.0</v>
      </c>
      <c r="K483" s="51">
        <v>5249176.0</v>
      </c>
      <c r="L483" s="51">
        <v>419934.0</v>
      </c>
      <c r="M483" s="51">
        <v>5669110.0</v>
      </c>
      <c r="N483" s="49"/>
      <c r="O483" s="52"/>
      <c r="P483" s="50"/>
      <c r="Q483" s="51"/>
      <c r="R483" s="51"/>
      <c r="S483" s="51"/>
      <c r="T483" s="49"/>
      <c r="U483" s="52"/>
      <c r="V483" s="50"/>
      <c r="W483" s="51"/>
      <c r="X483" s="51"/>
      <c r="Y483" s="51"/>
      <c r="Z483" s="51">
        <v>1.15190963E8</v>
      </c>
      <c r="AA483" s="51">
        <v>9215277.0</v>
      </c>
      <c r="AB483" s="51">
        <v>1.2440624E8</v>
      </c>
      <c r="AC483" s="47"/>
      <c r="AD483" s="47" t="s">
        <v>4006</v>
      </c>
      <c r="AE483" s="48"/>
      <c r="AF483" s="50"/>
      <c r="AG483" s="51">
        <v>-5249176.0</v>
      </c>
      <c r="AH483" s="51">
        <v>-419934.0</v>
      </c>
      <c r="AI483" s="51">
        <v>-5669110.0</v>
      </c>
      <c r="AJ483" s="47" t="s">
        <v>4007</v>
      </c>
      <c r="AK483" s="48"/>
      <c r="AL483" s="50"/>
      <c r="AM483" s="51">
        <v>-1.09941787E8</v>
      </c>
      <c r="AN483" s="51">
        <v>-8795343.0</v>
      </c>
      <c r="AO483" s="51">
        <v>-1.1873713E8</v>
      </c>
      <c r="AP483" s="47"/>
      <c r="AQ483" s="48"/>
      <c r="AR483" s="50"/>
      <c r="AS483" s="51"/>
      <c r="AT483" s="51"/>
      <c r="AU483" s="51"/>
      <c r="AV483" s="47"/>
      <c r="AW483" s="48"/>
      <c r="AX483" s="50"/>
      <c r="AY483" s="51"/>
      <c r="AZ483" s="51"/>
      <c r="BA483" s="51"/>
      <c r="BB483" s="51">
        <f t="shared" ref="BB483:BD483" si="481">IF(AND(ISNUMBER(Z483),COUNT(AG483,AM483,AS483,AY483)=2),Z483+SUM(AG483,AM483,AS483,AY483),"")</f>
        <v>0</v>
      </c>
      <c r="BC483" s="51">
        <f t="shared" si="481"/>
        <v>0</v>
      </c>
      <c r="BD483" s="51">
        <f t="shared" si="481"/>
        <v>0</v>
      </c>
    </row>
    <row r="484" ht="48.0" customHeight="1">
      <c r="A484" s="49" t="s">
        <v>40</v>
      </c>
      <c r="B484" s="49" t="str">
        <f t="array" ref="B484">INDEX('HD cty 2024'!B:B,MATCH('F0, F1, F2, ...'!$C484,'HD cty 2024'!B:B,0))</f>
        <v>#N/A</v>
      </c>
      <c r="C484" s="49">
        <v>631.0</v>
      </c>
      <c r="D484" s="50">
        <v>45626.0</v>
      </c>
      <c r="E484" s="51">
        <v>8.9754409E7</v>
      </c>
      <c r="F484" s="51">
        <v>7180353.0</v>
      </c>
      <c r="G484" s="51">
        <v>9.6934762E7</v>
      </c>
      <c r="H484" s="49" t="s">
        <v>414</v>
      </c>
      <c r="I484" s="52" t="s">
        <v>4008</v>
      </c>
      <c r="J484" s="50">
        <v>45807.0</v>
      </c>
      <c r="K484" s="51">
        <v>8211582.0</v>
      </c>
      <c r="L484" s="51">
        <v>656927.0</v>
      </c>
      <c r="M484" s="51">
        <v>8868509.0</v>
      </c>
      <c r="N484" s="49"/>
      <c r="O484" s="52"/>
      <c r="P484" s="50"/>
      <c r="Q484" s="51"/>
      <c r="R484" s="51"/>
      <c r="S484" s="51"/>
      <c r="T484" s="49"/>
      <c r="U484" s="52"/>
      <c r="V484" s="50"/>
      <c r="W484" s="51"/>
      <c r="X484" s="51"/>
      <c r="Y484" s="51"/>
      <c r="Z484" s="51">
        <v>9.7965991E7</v>
      </c>
      <c r="AA484" s="51">
        <v>7837280.0</v>
      </c>
      <c r="AB484" s="51">
        <v>1.05803271E8</v>
      </c>
      <c r="AC484" s="47"/>
      <c r="AD484" s="47" t="s">
        <v>4009</v>
      </c>
      <c r="AE484" s="48"/>
      <c r="AF484" s="50"/>
      <c r="AG484" s="51">
        <v>-8211582.0</v>
      </c>
      <c r="AH484" s="51">
        <v>-656927.0</v>
      </c>
      <c r="AI484" s="51">
        <v>-8868509.0</v>
      </c>
      <c r="AJ484" s="47" t="s">
        <v>4010</v>
      </c>
      <c r="AK484" s="48"/>
      <c r="AL484" s="50"/>
      <c r="AM484" s="51">
        <v>-8.9754409E7</v>
      </c>
      <c r="AN484" s="51">
        <v>-7180353.0</v>
      </c>
      <c r="AO484" s="51">
        <v>-9.6934762E7</v>
      </c>
      <c r="AP484" s="47"/>
      <c r="AQ484" s="48"/>
      <c r="AR484" s="50"/>
      <c r="AS484" s="51"/>
      <c r="AT484" s="51"/>
      <c r="AU484" s="51"/>
      <c r="AV484" s="47"/>
      <c r="AW484" s="48"/>
      <c r="AX484" s="50"/>
      <c r="AY484" s="51"/>
      <c r="AZ484" s="51"/>
      <c r="BA484" s="51"/>
      <c r="BB484" s="51">
        <f t="shared" ref="BB484:BD484" si="482">IF(AND(ISNUMBER(Z484),COUNT(AG484,AM484,AS484,AY484)=2),Z484+SUM(AG484,AM484,AS484,AY484),"")</f>
        <v>0</v>
      </c>
      <c r="BC484" s="51">
        <f t="shared" si="482"/>
        <v>0</v>
      </c>
      <c r="BD484" s="51">
        <f t="shared" si="482"/>
        <v>0</v>
      </c>
    </row>
    <row r="485" ht="48.0" customHeight="1">
      <c r="A485" s="49" t="s">
        <v>40</v>
      </c>
      <c r="B485" s="49" t="str">
        <f t="array" ref="B485">INDEX('HD cty 2024'!B:B,MATCH('F0, F1, F2, ...'!$C485,'HD cty 2024'!B:B,0))</f>
        <v>#N/A</v>
      </c>
      <c r="C485" s="49">
        <v>632.0</v>
      </c>
      <c r="D485" s="50">
        <v>45626.0</v>
      </c>
      <c r="E485" s="51">
        <v>7.9247139E7</v>
      </c>
      <c r="F485" s="51">
        <v>6339771.0</v>
      </c>
      <c r="G485" s="51">
        <v>8.558691E7</v>
      </c>
      <c r="H485" s="49" t="s">
        <v>414</v>
      </c>
      <c r="I485" s="52" t="s">
        <v>4011</v>
      </c>
      <c r="J485" s="50">
        <v>45807.0</v>
      </c>
      <c r="K485" s="51">
        <v>6313092.0</v>
      </c>
      <c r="L485" s="51">
        <v>505047.0</v>
      </c>
      <c r="M485" s="51">
        <v>6818139.0</v>
      </c>
      <c r="N485" s="49"/>
      <c r="O485" s="52"/>
      <c r="P485" s="50"/>
      <c r="Q485" s="51"/>
      <c r="R485" s="51"/>
      <c r="S485" s="51"/>
      <c r="T485" s="49"/>
      <c r="U485" s="52"/>
      <c r="V485" s="50"/>
      <c r="W485" s="51"/>
      <c r="X485" s="51"/>
      <c r="Y485" s="51"/>
      <c r="Z485" s="51">
        <v>8.5560231E7</v>
      </c>
      <c r="AA485" s="51">
        <v>6844818.0</v>
      </c>
      <c r="AB485" s="51">
        <v>9.2405049E7</v>
      </c>
      <c r="AC485" s="47"/>
      <c r="AD485" s="47" t="s">
        <v>4012</v>
      </c>
      <c r="AE485" s="48"/>
      <c r="AF485" s="50"/>
      <c r="AG485" s="51">
        <v>-6313092.0</v>
      </c>
      <c r="AH485" s="51">
        <v>-505047.0</v>
      </c>
      <c r="AI485" s="51">
        <v>-6818139.0</v>
      </c>
      <c r="AJ485" s="47" t="s">
        <v>4013</v>
      </c>
      <c r="AK485" s="48"/>
      <c r="AL485" s="50"/>
      <c r="AM485" s="51">
        <v>-7.9247139E7</v>
      </c>
      <c r="AN485" s="51">
        <v>-6339771.0</v>
      </c>
      <c r="AO485" s="51">
        <v>-8.558691E7</v>
      </c>
      <c r="AP485" s="47"/>
      <c r="AQ485" s="48"/>
      <c r="AR485" s="50"/>
      <c r="AS485" s="51"/>
      <c r="AT485" s="51"/>
      <c r="AU485" s="51"/>
      <c r="AV485" s="47"/>
      <c r="AW485" s="48"/>
      <c r="AX485" s="50"/>
      <c r="AY485" s="51"/>
      <c r="AZ485" s="51"/>
      <c r="BA485" s="51"/>
      <c r="BB485" s="51">
        <f t="shared" ref="BB485:BD485" si="483">IF(AND(ISNUMBER(Z485),COUNT(AG485,AM485,AS485,AY485)=2),Z485+SUM(AG485,AM485,AS485,AY485),"")</f>
        <v>0</v>
      </c>
      <c r="BC485" s="51">
        <f t="shared" si="483"/>
        <v>0</v>
      </c>
      <c r="BD485" s="51">
        <f t="shared" si="483"/>
        <v>0</v>
      </c>
    </row>
    <row r="486" ht="48.0" customHeight="1">
      <c r="A486" s="49" t="s">
        <v>40</v>
      </c>
      <c r="B486" s="49" t="str">
        <f t="array" ref="B486">INDEX('HD cty 2024'!B:B,MATCH('F0, F1, F2, ...'!$C486,'HD cty 2024'!B:B,0))</f>
        <v>#N/A</v>
      </c>
      <c r="C486" s="49">
        <v>633.0</v>
      </c>
      <c r="D486" s="50">
        <v>45626.0</v>
      </c>
      <c r="E486" s="51">
        <v>1.32411213E8</v>
      </c>
      <c r="F486" s="51">
        <v>1.0592897E7</v>
      </c>
      <c r="G486" s="51">
        <v>1.4300411E8</v>
      </c>
      <c r="H486" s="49" t="s">
        <v>414</v>
      </c>
      <c r="I486" s="52" t="s">
        <v>4014</v>
      </c>
      <c r="J486" s="50">
        <v>45807.0</v>
      </c>
      <c r="K486" s="51">
        <v>7351472.0</v>
      </c>
      <c r="L486" s="51">
        <v>588118.0</v>
      </c>
      <c r="M486" s="51">
        <v>7939590.0</v>
      </c>
      <c r="N486" s="49"/>
      <c r="O486" s="52"/>
      <c r="P486" s="50"/>
      <c r="Q486" s="51"/>
      <c r="R486" s="51"/>
      <c r="S486" s="51"/>
      <c r="T486" s="49"/>
      <c r="U486" s="52"/>
      <c r="V486" s="50"/>
      <c r="W486" s="51"/>
      <c r="X486" s="51"/>
      <c r="Y486" s="51"/>
      <c r="Z486" s="51">
        <v>1.39762685E8</v>
      </c>
      <c r="AA486" s="51">
        <v>1.1181015E7</v>
      </c>
      <c r="AB486" s="51">
        <v>1.509437E8</v>
      </c>
      <c r="AC486" s="47"/>
      <c r="AD486" s="47" t="s">
        <v>4015</v>
      </c>
      <c r="AE486" s="48"/>
      <c r="AF486" s="50"/>
      <c r="AG486" s="51">
        <v>-7351472.0</v>
      </c>
      <c r="AH486" s="51">
        <v>-588118.0</v>
      </c>
      <c r="AI486" s="51">
        <v>-7939590.0</v>
      </c>
      <c r="AJ486" s="47" t="s">
        <v>4016</v>
      </c>
      <c r="AK486" s="48"/>
      <c r="AL486" s="50"/>
      <c r="AM486" s="51">
        <v>-1.32411213E8</v>
      </c>
      <c r="AN486" s="51">
        <v>-1.0592897E7</v>
      </c>
      <c r="AO486" s="51">
        <v>-1.4300411E8</v>
      </c>
      <c r="AP486" s="47"/>
      <c r="AQ486" s="48"/>
      <c r="AR486" s="50"/>
      <c r="AS486" s="51"/>
      <c r="AT486" s="51"/>
      <c r="AU486" s="51"/>
      <c r="AV486" s="47"/>
      <c r="AW486" s="48"/>
      <c r="AX486" s="50"/>
      <c r="AY486" s="51"/>
      <c r="AZ486" s="51"/>
      <c r="BA486" s="51"/>
      <c r="BB486" s="51">
        <f t="shared" ref="BB486:BD486" si="484">IF(AND(ISNUMBER(Z486),COUNT(AG486,AM486,AS486,AY486)=2),Z486+SUM(AG486,AM486,AS486,AY486),"")</f>
        <v>0</v>
      </c>
      <c r="BC486" s="51">
        <f t="shared" si="484"/>
        <v>0</v>
      </c>
      <c r="BD486" s="51">
        <f t="shared" si="484"/>
        <v>0</v>
      </c>
    </row>
    <row r="487" ht="48.0" customHeight="1">
      <c r="A487" s="49" t="s">
        <v>40</v>
      </c>
      <c r="B487" s="49" t="str">
        <f t="array" ref="B487">INDEX('HD cty 2024'!B:B,MATCH('F0, F1, F2, ...'!$C487,'HD cty 2024'!B:B,0))</f>
        <v>#N/A</v>
      </c>
      <c r="C487" s="49">
        <v>635.0</v>
      </c>
      <c r="D487" s="50">
        <v>45629.0</v>
      </c>
      <c r="E487" s="51">
        <v>1.01745645E8</v>
      </c>
      <c r="F487" s="51">
        <v>8139652.0</v>
      </c>
      <c r="G487" s="51">
        <v>1.09885297E8</v>
      </c>
      <c r="H487" s="49" t="s">
        <v>414</v>
      </c>
      <c r="I487" s="52" t="s">
        <v>4017</v>
      </c>
      <c r="J487" s="50">
        <v>45807.0</v>
      </c>
      <c r="K487" s="51">
        <v>4088067.0</v>
      </c>
      <c r="L487" s="51">
        <v>327045.0</v>
      </c>
      <c r="M487" s="51">
        <v>4415112.0</v>
      </c>
      <c r="N487" s="49"/>
      <c r="O487" s="52"/>
      <c r="P487" s="50"/>
      <c r="Q487" s="51"/>
      <c r="R487" s="51"/>
      <c r="S487" s="51"/>
      <c r="T487" s="49"/>
      <c r="U487" s="52"/>
      <c r="V487" s="50"/>
      <c r="W487" s="51"/>
      <c r="X487" s="51"/>
      <c r="Y487" s="51"/>
      <c r="Z487" s="51">
        <v>1.05833712E8</v>
      </c>
      <c r="AA487" s="51">
        <v>8466697.0</v>
      </c>
      <c r="AB487" s="51">
        <v>1.14300409E8</v>
      </c>
      <c r="AC487" s="47"/>
      <c r="AD487" s="47" t="s">
        <v>4018</v>
      </c>
      <c r="AE487" s="48"/>
      <c r="AF487" s="50"/>
      <c r="AG487" s="51">
        <v>-4088067.0</v>
      </c>
      <c r="AH487" s="51">
        <v>-327045.0</v>
      </c>
      <c r="AI487" s="51">
        <v>-4415112.0</v>
      </c>
      <c r="AJ487" s="47" t="s">
        <v>4019</v>
      </c>
      <c r="AK487" s="48"/>
      <c r="AL487" s="50"/>
      <c r="AM487" s="51">
        <v>-1.01745645E8</v>
      </c>
      <c r="AN487" s="51">
        <v>-8139652.0</v>
      </c>
      <c r="AO487" s="51">
        <v>-1.09885297E8</v>
      </c>
      <c r="AP487" s="47"/>
      <c r="AQ487" s="48"/>
      <c r="AR487" s="50"/>
      <c r="AS487" s="51"/>
      <c r="AT487" s="51"/>
      <c r="AU487" s="51"/>
      <c r="AV487" s="47"/>
      <c r="AW487" s="48"/>
      <c r="AX487" s="50"/>
      <c r="AY487" s="51"/>
      <c r="AZ487" s="51"/>
      <c r="BA487" s="51"/>
      <c r="BB487" s="51">
        <f t="shared" ref="BB487:BD487" si="485">IF(AND(ISNUMBER(Z487),COUNT(AG487,AM487,AS487,AY487)=2),Z487+SUM(AG487,AM487,AS487,AY487),"")</f>
        <v>0</v>
      </c>
      <c r="BC487" s="51">
        <f t="shared" si="485"/>
        <v>0</v>
      </c>
      <c r="BD487" s="51">
        <f t="shared" si="485"/>
        <v>0</v>
      </c>
    </row>
    <row r="488" ht="48.0" customHeight="1">
      <c r="A488" s="49" t="s">
        <v>40</v>
      </c>
      <c r="B488" s="49" t="str">
        <f t="array" ref="B488">INDEX('HD cty 2024'!B:B,MATCH('F0, F1, F2, ...'!$C488,'HD cty 2024'!B:B,0))</f>
        <v>#N/A</v>
      </c>
      <c r="C488" s="49">
        <v>636.0</v>
      </c>
      <c r="D488" s="50">
        <v>45629.0</v>
      </c>
      <c r="E488" s="51">
        <v>1.25348629E8</v>
      </c>
      <c r="F488" s="51">
        <v>1.002789E7</v>
      </c>
      <c r="G488" s="51">
        <v>1.35376519E8</v>
      </c>
      <c r="H488" s="49" t="s">
        <v>414</v>
      </c>
      <c r="I488" s="52" t="s">
        <v>4020</v>
      </c>
      <c r="J488" s="50">
        <v>45807.0</v>
      </c>
      <c r="K488" s="51">
        <v>9107341.0</v>
      </c>
      <c r="L488" s="51">
        <v>728587.0</v>
      </c>
      <c r="M488" s="51">
        <v>9835928.0</v>
      </c>
      <c r="N488" s="49"/>
      <c r="O488" s="52"/>
      <c r="P488" s="50"/>
      <c r="Q488" s="51"/>
      <c r="R488" s="51"/>
      <c r="S488" s="51"/>
      <c r="T488" s="49"/>
      <c r="U488" s="52"/>
      <c r="V488" s="50"/>
      <c r="W488" s="51"/>
      <c r="X488" s="51"/>
      <c r="Y488" s="51"/>
      <c r="Z488" s="51">
        <v>1.3445597E8</v>
      </c>
      <c r="AA488" s="51">
        <v>1.0756477E7</v>
      </c>
      <c r="AB488" s="51">
        <v>1.45212447E8</v>
      </c>
      <c r="AC488" s="47"/>
      <c r="AD488" s="47" t="s">
        <v>4021</v>
      </c>
      <c r="AE488" s="48"/>
      <c r="AF488" s="50"/>
      <c r="AG488" s="51">
        <v>-9107341.0</v>
      </c>
      <c r="AH488" s="51">
        <v>-728587.0</v>
      </c>
      <c r="AI488" s="51">
        <v>-9835928.0</v>
      </c>
      <c r="AJ488" s="47" t="s">
        <v>4022</v>
      </c>
      <c r="AK488" s="48"/>
      <c r="AL488" s="50"/>
      <c r="AM488" s="51">
        <v>-1.25348629E8</v>
      </c>
      <c r="AN488" s="51">
        <v>-1.002789E7</v>
      </c>
      <c r="AO488" s="51">
        <v>-1.35376519E8</v>
      </c>
      <c r="AP488" s="47"/>
      <c r="AQ488" s="48"/>
      <c r="AR488" s="50"/>
      <c r="AS488" s="51"/>
      <c r="AT488" s="51"/>
      <c r="AU488" s="51"/>
      <c r="AV488" s="47"/>
      <c r="AW488" s="48"/>
      <c r="AX488" s="50"/>
      <c r="AY488" s="51"/>
      <c r="AZ488" s="51"/>
      <c r="BA488" s="51"/>
      <c r="BB488" s="51">
        <f t="shared" ref="BB488:BD488" si="486">IF(AND(ISNUMBER(Z488),COUNT(AG488,AM488,AS488,AY488)=2),Z488+SUM(AG488,AM488,AS488,AY488),"")</f>
        <v>0</v>
      </c>
      <c r="BC488" s="51">
        <f t="shared" si="486"/>
        <v>0</v>
      </c>
      <c r="BD488" s="51">
        <f t="shared" si="486"/>
        <v>0</v>
      </c>
    </row>
    <row r="489" ht="48.0" customHeight="1">
      <c r="A489" s="49" t="s">
        <v>40</v>
      </c>
      <c r="B489" s="49" t="str">
        <f t="array" ref="B489">INDEX('HD cty 2024'!B:B,MATCH('F0, F1, F2, ...'!$C489,'HD cty 2024'!B:B,0))</f>
        <v>#N/A</v>
      </c>
      <c r="C489" s="49">
        <v>637.0</v>
      </c>
      <c r="D489" s="50">
        <v>45629.0</v>
      </c>
      <c r="E489" s="51">
        <v>1.69630994E8</v>
      </c>
      <c r="F489" s="51">
        <v>1.357048E7</v>
      </c>
      <c r="G489" s="51">
        <v>1.83201474E8</v>
      </c>
      <c r="H489" s="49" t="s">
        <v>414</v>
      </c>
      <c r="I489" s="52" t="s">
        <v>4023</v>
      </c>
      <c r="J489" s="50">
        <v>45807.0</v>
      </c>
      <c r="K489" s="51">
        <v>1.4944696E7</v>
      </c>
      <c r="L489" s="51">
        <v>1195576.0</v>
      </c>
      <c r="M489" s="51">
        <v>1.6140272E7</v>
      </c>
      <c r="N489" s="49"/>
      <c r="O489" s="52"/>
      <c r="P489" s="50"/>
      <c r="Q489" s="51"/>
      <c r="R489" s="51"/>
      <c r="S489" s="51"/>
      <c r="T489" s="49"/>
      <c r="U489" s="52"/>
      <c r="V489" s="50"/>
      <c r="W489" s="51"/>
      <c r="X489" s="51"/>
      <c r="Y489" s="51"/>
      <c r="Z489" s="51">
        <v>1.8457569E8</v>
      </c>
      <c r="AA489" s="51">
        <v>1.4766056E7</v>
      </c>
      <c r="AB489" s="51">
        <v>1.99341746E8</v>
      </c>
      <c r="AC489" s="47"/>
      <c r="AD489" s="47" t="s">
        <v>4024</v>
      </c>
      <c r="AE489" s="48"/>
      <c r="AF489" s="50"/>
      <c r="AG489" s="51">
        <v>-1.4944696E7</v>
      </c>
      <c r="AH489" s="51">
        <v>-1195576.0</v>
      </c>
      <c r="AI489" s="51">
        <v>-1.6140272E7</v>
      </c>
      <c r="AJ489" s="47" t="s">
        <v>4025</v>
      </c>
      <c r="AK489" s="48"/>
      <c r="AL489" s="50"/>
      <c r="AM489" s="51">
        <v>-1.69630994E8</v>
      </c>
      <c r="AN489" s="51">
        <v>-1.357048E7</v>
      </c>
      <c r="AO489" s="51">
        <v>-1.83201474E8</v>
      </c>
      <c r="AP489" s="47"/>
      <c r="AQ489" s="48"/>
      <c r="AR489" s="50"/>
      <c r="AS489" s="51"/>
      <c r="AT489" s="51"/>
      <c r="AU489" s="51"/>
      <c r="AV489" s="47"/>
      <c r="AW489" s="48"/>
      <c r="AX489" s="50"/>
      <c r="AY489" s="51"/>
      <c r="AZ489" s="51"/>
      <c r="BA489" s="51"/>
      <c r="BB489" s="51">
        <f t="shared" ref="BB489:BD489" si="487">IF(AND(ISNUMBER(Z489),COUNT(AG489,AM489,AS489,AY489)=2),Z489+SUM(AG489,AM489,AS489,AY489),"")</f>
        <v>0</v>
      </c>
      <c r="BC489" s="51">
        <f t="shared" si="487"/>
        <v>0</v>
      </c>
      <c r="BD489" s="51">
        <f t="shared" si="487"/>
        <v>0</v>
      </c>
    </row>
    <row r="490" ht="48.0" customHeight="1">
      <c r="A490" s="49" t="s">
        <v>40</v>
      </c>
      <c r="B490" s="49" t="str">
        <f t="array" ref="B490">INDEX('HD cty 2024'!B:B,MATCH('F0, F1, F2, ...'!$C490,'HD cty 2024'!B:B,0))</f>
        <v>#N/A</v>
      </c>
      <c r="C490" s="49">
        <v>638.0</v>
      </c>
      <c r="D490" s="50">
        <v>45629.0</v>
      </c>
      <c r="E490" s="51">
        <v>1.37399135E8</v>
      </c>
      <c r="F490" s="51">
        <v>1.0991931E7</v>
      </c>
      <c r="G490" s="51">
        <v>1.48391066E8</v>
      </c>
      <c r="H490" s="49" t="s">
        <v>414</v>
      </c>
      <c r="I490" s="52" t="s">
        <v>4026</v>
      </c>
      <c r="J490" s="50">
        <v>45807.0</v>
      </c>
      <c r="K490" s="51">
        <v>1.4529716E7</v>
      </c>
      <c r="L490" s="51">
        <v>1162377.0</v>
      </c>
      <c r="M490" s="51">
        <v>1.5692093E7</v>
      </c>
      <c r="N490" s="49"/>
      <c r="O490" s="52"/>
      <c r="P490" s="50"/>
      <c r="Q490" s="51"/>
      <c r="R490" s="51"/>
      <c r="S490" s="51"/>
      <c r="T490" s="49"/>
      <c r="U490" s="52"/>
      <c r="V490" s="50"/>
      <c r="W490" s="51"/>
      <c r="X490" s="51"/>
      <c r="Y490" s="51"/>
      <c r="Z490" s="51">
        <v>1.51928851E8</v>
      </c>
      <c r="AA490" s="51">
        <v>1.2154308E7</v>
      </c>
      <c r="AB490" s="51">
        <v>1.64083159E8</v>
      </c>
      <c r="AC490" s="47"/>
      <c r="AD490" s="47" t="s">
        <v>4027</v>
      </c>
      <c r="AE490" s="48"/>
      <c r="AF490" s="50"/>
      <c r="AG490" s="51">
        <v>-1.4529716E7</v>
      </c>
      <c r="AH490" s="51">
        <v>-1162377.0</v>
      </c>
      <c r="AI490" s="51">
        <v>-1.5692093E7</v>
      </c>
      <c r="AJ490" s="47" t="s">
        <v>4028</v>
      </c>
      <c r="AK490" s="48"/>
      <c r="AL490" s="50"/>
      <c r="AM490" s="51">
        <v>-1.37399135E8</v>
      </c>
      <c r="AN490" s="51">
        <v>-1.0991931E7</v>
      </c>
      <c r="AO490" s="51">
        <v>-1.48391066E8</v>
      </c>
      <c r="AP490" s="47"/>
      <c r="AQ490" s="48"/>
      <c r="AR490" s="50"/>
      <c r="AS490" s="51"/>
      <c r="AT490" s="51"/>
      <c r="AU490" s="51"/>
      <c r="AV490" s="47"/>
      <c r="AW490" s="48"/>
      <c r="AX490" s="50"/>
      <c r="AY490" s="51"/>
      <c r="AZ490" s="51"/>
      <c r="BA490" s="51"/>
      <c r="BB490" s="51">
        <f t="shared" ref="BB490:BD490" si="488">IF(AND(ISNUMBER(Z490),COUNT(AG490,AM490,AS490,AY490)=2),Z490+SUM(AG490,AM490,AS490,AY490),"")</f>
        <v>0</v>
      </c>
      <c r="BC490" s="51">
        <f t="shared" si="488"/>
        <v>0</v>
      </c>
      <c r="BD490" s="51">
        <f t="shared" si="488"/>
        <v>0</v>
      </c>
    </row>
    <row r="491" ht="48.0" customHeight="1">
      <c r="A491" s="49" t="s">
        <v>40</v>
      </c>
      <c r="B491" s="49" t="str">
        <f t="array" ref="B491">INDEX('HD cty 2024'!B:B,MATCH('F0, F1, F2, ...'!$C491,'HD cty 2024'!B:B,0))</f>
        <v>#N/A</v>
      </c>
      <c r="C491" s="49">
        <v>639.0</v>
      </c>
      <c r="D491" s="50">
        <v>45629.0</v>
      </c>
      <c r="E491" s="51">
        <v>1.42089603E8</v>
      </c>
      <c r="F491" s="51">
        <v>1.1367168E7</v>
      </c>
      <c r="G491" s="51">
        <v>1.53456771E8</v>
      </c>
      <c r="H491" s="49" t="s">
        <v>414</v>
      </c>
      <c r="I491" s="52" t="s">
        <v>4029</v>
      </c>
      <c r="J491" s="50">
        <v>45807.0</v>
      </c>
      <c r="K491" s="51">
        <v>1.7989101E7</v>
      </c>
      <c r="L491" s="51">
        <v>1439128.0</v>
      </c>
      <c r="M491" s="51">
        <v>1.9428229E7</v>
      </c>
      <c r="N491" s="49"/>
      <c r="O491" s="52"/>
      <c r="P491" s="50"/>
      <c r="Q491" s="51"/>
      <c r="R491" s="51"/>
      <c r="S491" s="51"/>
      <c r="T491" s="49"/>
      <c r="U491" s="52"/>
      <c r="V491" s="50"/>
      <c r="W491" s="51"/>
      <c r="X491" s="51"/>
      <c r="Y491" s="51"/>
      <c r="Z491" s="51">
        <v>1.60078704E8</v>
      </c>
      <c r="AA491" s="51">
        <v>1.2806296E7</v>
      </c>
      <c r="AB491" s="51">
        <v>1.72885E8</v>
      </c>
      <c r="AC491" s="47"/>
      <c r="AD491" s="47" t="s">
        <v>4030</v>
      </c>
      <c r="AE491" s="48"/>
      <c r="AF491" s="50"/>
      <c r="AG491" s="51">
        <v>-1.7989101E7</v>
      </c>
      <c r="AH491" s="51">
        <v>-1439128.0</v>
      </c>
      <c r="AI491" s="51">
        <v>-1.9428229E7</v>
      </c>
      <c r="AJ491" s="47" t="s">
        <v>4031</v>
      </c>
      <c r="AK491" s="48"/>
      <c r="AL491" s="50"/>
      <c r="AM491" s="51">
        <v>-1.42089603E8</v>
      </c>
      <c r="AN491" s="51">
        <v>-1.1367168E7</v>
      </c>
      <c r="AO491" s="51">
        <v>-1.53456771E8</v>
      </c>
      <c r="AP491" s="47"/>
      <c r="AQ491" s="48"/>
      <c r="AR491" s="50"/>
      <c r="AS491" s="51"/>
      <c r="AT491" s="51"/>
      <c r="AU491" s="51"/>
      <c r="AV491" s="47"/>
      <c r="AW491" s="48"/>
      <c r="AX491" s="50"/>
      <c r="AY491" s="51"/>
      <c r="AZ491" s="51"/>
      <c r="BA491" s="51"/>
      <c r="BB491" s="51">
        <f t="shared" ref="BB491:BD491" si="489">IF(AND(ISNUMBER(Z491),COUNT(AG491,AM491,AS491,AY491)=2),Z491+SUM(AG491,AM491,AS491,AY491),"")</f>
        <v>0</v>
      </c>
      <c r="BC491" s="51">
        <f t="shared" si="489"/>
        <v>0</v>
      </c>
      <c r="BD491" s="51">
        <f t="shared" si="489"/>
        <v>0</v>
      </c>
    </row>
    <row r="492" ht="48.0" customHeight="1">
      <c r="A492" s="49" t="s">
        <v>40</v>
      </c>
      <c r="B492" s="49" t="str">
        <f t="array" ref="B492">INDEX('HD cty 2024'!B:B,MATCH('F0, F1, F2, ...'!$C492,'HD cty 2024'!B:B,0))</f>
        <v>#N/A</v>
      </c>
      <c r="C492" s="49">
        <v>640.0</v>
      </c>
      <c r="D492" s="50">
        <v>45630.0</v>
      </c>
      <c r="E492" s="51">
        <v>1.92459298E8</v>
      </c>
      <c r="F492" s="51">
        <v>1.5396744E7</v>
      </c>
      <c r="G492" s="51">
        <v>2.07856042E8</v>
      </c>
      <c r="H492" s="49" t="s">
        <v>414</v>
      </c>
      <c r="I492" s="52" t="s">
        <v>4032</v>
      </c>
      <c r="J492" s="50">
        <v>45807.0</v>
      </c>
      <c r="K492" s="51">
        <v>1.5883237E7</v>
      </c>
      <c r="L492" s="51">
        <v>1270659.0</v>
      </c>
      <c r="M492" s="51">
        <v>1.7153896E7</v>
      </c>
      <c r="N492" s="49"/>
      <c r="O492" s="52"/>
      <c r="P492" s="50"/>
      <c r="Q492" s="51"/>
      <c r="R492" s="51"/>
      <c r="S492" s="51"/>
      <c r="T492" s="49"/>
      <c r="U492" s="52"/>
      <c r="V492" s="50"/>
      <c r="W492" s="51"/>
      <c r="X492" s="51"/>
      <c r="Y492" s="51"/>
      <c r="Z492" s="51">
        <v>2.08342535E8</v>
      </c>
      <c r="AA492" s="51">
        <v>1.6667403E7</v>
      </c>
      <c r="AB492" s="51">
        <v>2.25009938E8</v>
      </c>
      <c r="AC492" s="47"/>
      <c r="AD492" s="47" t="s">
        <v>4033</v>
      </c>
      <c r="AE492" s="48"/>
      <c r="AF492" s="50"/>
      <c r="AG492" s="51">
        <v>-1.5883237E7</v>
      </c>
      <c r="AH492" s="51">
        <v>-1270659.0</v>
      </c>
      <c r="AI492" s="51">
        <v>-1.7153896E7</v>
      </c>
      <c r="AJ492" s="47" t="s">
        <v>4034</v>
      </c>
      <c r="AK492" s="48"/>
      <c r="AL492" s="50"/>
      <c r="AM492" s="51">
        <v>-1.92459298E8</v>
      </c>
      <c r="AN492" s="51">
        <v>-1.5396744E7</v>
      </c>
      <c r="AO492" s="51">
        <v>-2.07856042E8</v>
      </c>
      <c r="AP492" s="47"/>
      <c r="AQ492" s="48"/>
      <c r="AR492" s="50"/>
      <c r="AS492" s="51"/>
      <c r="AT492" s="51"/>
      <c r="AU492" s="51"/>
      <c r="AV492" s="47"/>
      <c r="AW492" s="48"/>
      <c r="AX492" s="50"/>
      <c r="AY492" s="51"/>
      <c r="AZ492" s="51"/>
      <c r="BA492" s="51"/>
      <c r="BB492" s="51">
        <f t="shared" ref="BB492:BD492" si="490">IF(AND(ISNUMBER(Z492),COUNT(AG492,AM492,AS492,AY492)=2),Z492+SUM(AG492,AM492,AS492,AY492),"")</f>
        <v>0</v>
      </c>
      <c r="BC492" s="51">
        <f t="shared" si="490"/>
        <v>0</v>
      </c>
      <c r="BD492" s="51">
        <f t="shared" si="490"/>
        <v>0</v>
      </c>
    </row>
    <row r="493" ht="48.0" customHeight="1">
      <c r="A493" s="49" t="s">
        <v>40</v>
      </c>
      <c r="B493" s="49" t="str">
        <f t="array" ref="B493">INDEX('HD cty 2024'!B:B,MATCH('F0, F1, F2, ...'!$C493,'HD cty 2024'!B:B,0))</f>
        <v>#N/A</v>
      </c>
      <c r="C493" s="49">
        <v>641.0</v>
      </c>
      <c r="D493" s="50">
        <v>45630.0</v>
      </c>
      <c r="E493" s="51">
        <v>6874968.0</v>
      </c>
      <c r="F493" s="51">
        <v>549997.0</v>
      </c>
      <c r="G493" s="51">
        <v>7424965.0</v>
      </c>
      <c r="H493" s="49" t="s">
        <v>414</v>
      </c>
      <c r="I493" s="52" t="s">
        <v>4035</v>
      </c>
      <c r="J493" s="50">
        <v>45807.0</v>
      </c>
      <c r="K493" s="51">
        <v>-1952774.0</v>
      </c>
      <c r="L493" s="51">
        <v>-156222.0</v>
      </c>
      <c r="M493" s="51">
        <v>-2108996.0</v>
      </c>
      <c r="N493" s="49"/>
      <c r="O493" s="52"/>
      <c r="P493" s="50"/>
      <c r="Q493" s="51"/>
      <c r="R493" s="51"/>
      <c r="S493" s="51"/>
      <c r="T493" s="49"/>
      <c r="U493" s="52"/>
      <c r="V493" s="50"/>
      <c r="W493" s="51"/>
      <c r="X493" s="51"/>
      <c r="Y493" s="51"/>
      <c r="Z493" s="51">
        <v>4922194.0</v>
      </c>
      <c r="AA493" s="51">
        <v>393775.0</v>
      </c>
      <c r="AB493" s="51">
        <v>5315969.0</v>
      </c>
      <c r="AC493" s="47"/>
      <c r="AD493" s="47" t="s">
        <v>4036</v>
      </c>
      <c r="AE493" s="48"/>
      <c r="AF493" s="50"/>
      <c r="AG493" s="51">
        <v>1952774.0</v>
      </c>
      <c r="AH493" s="51">
        <v>156222.0</v>
      </c>
      <c r="AI493" s="51">
        <v>2108996.0</v>
      </c>
      <c r="AJ493" s="47" t="s">
        <v>4037</v>
      </c>
      <c r="AK493" s="48"/>
      <c r="AL493" s="50"/>
      <c r="AM493" s="51">
        <v>-6874968.0</v>
      </c>
      <c r="AN493" s="51">
        <v>-549997.0</v>
      </c>
      <c r="AO493" s="51">
        <v>-7424965.0</v>
      </c>
      <c r="AP493" s="47"/>
      <c r="AQ493" s="48"/>
      <c r="AR493" s="50"/>
      <c r="AS493" s="51"/>
      <c r="AT493" s="51"/>
      <c r="AU493" s="51"/>
      <c r="AV493" s="47"/>
      <c r="AW493" s="48"/>
      <c r="AX493" s="50"/>
      <c r="AY493" s="51"/>
      <c r="AZ493" s="51"/>
      <c r="BA493" s="51"/>
      <c r="BB493" s="51">
        <f t="shared" ref="BB493:BD493" si="491">IF(AND(ISNUMBER(Z493),COUNT(AG493,AM493,AS493,AY493)=2),Z493+SUM(AG493,AM493,AS493,AY493),"")</f>
        <v>0</v>
      </c>
      <c r="BC493" s="51">
        <f t="shared" si="491"/>
        <v>0</v>
      </c>
      <c r="BD493" s="51">
        <f t="shared" si="491"/>
        <v>0</v>
      </c>
    </row>
    <row r="494" ht="48.0" customHeight="1">
      <c r="A494" s="49" t="s">
        <v>40</v>
      </c>
      <c r="B494" s="49" t="str">
        <f t="array" ref="B494">INDEX('HD cty 2024'!B:B,MATCH('F0, F1, F2, ...'!$C494,'HD cty 2024'!B:B,0))</f>
        <v>#N/A</v>
      </c>
      <c r="C494" s="49">
        <v>643.0</v>
      </c>
      <c r="D494" s="50">
        <v>45630.0</v>
      </c>
      <c r="E494" s="51">
        <v>4.3807783E7</v>
      </c>
      <c r="F494" s="51">
        <v>3504623.0</v>
      </c>
      <c r="G494" s="51">
        <v>4.7312406E7</v>
      </c>
      <c r="H494" s="49" t="s">
        <v>414</v>
      </c>
      <c r="I494" s="52" t="s">
        <v>4038</v>
      </c>
      <c r="J494" s="50">
        <v>45808.0</v>
      </c>
      <c r="K494" s="51">
        <v>7539439.0</v>
      </c>
      <c r="L494" s="51">
        <v>603155.0</v>
      </c>
      <c r="M494" s="51">
        <v>8142594.0</v>
      </c>
      <c r="N494" s="49"/>
      <c r="O494" s="52"/>
      <c r="P494" s="50"/>
      <c r="Q494" s="51"/>
      <c r="R494" s="51"/>
      <c r="S494" s="51"/>
      <c r="T494" s="49"/>
      <c r="U494" s="52"/>
      <c r="V494" s="50"/>
      <c r="W494" s="51"/>
      <c r="X494" s="51"/>
      <c r="Y494" s="51"/>
      <c r="Z494" s="51">
        <v>5.1347222E7</v>
      </c>
      <c r="AA494" s="51">
        <v>4107778.0</v>
      </c>
      <c r="AB494" s="51">
        <v>5.5455E7</v>
      </c>
      <c r="AC494" s="47"/>
      <c r="AD494" s="47" t="s">
        <v>4039</v>
      </c>
      <c r="AE494" s="48"/>
      <c r="AF494" s="50"/>
      <c r="AG494" s="51">
        <v>-7539439.0</v>
      </c>
      <c r="AH494" s="51">
        <v>-603155.0</v>
      </c>
      <c r="AI494" s="51">
        <v>-8142594.0</v>
      </c>
      <c r="AJ494" s="47" t="s">
        <v>4040</v>
      </c>
      <c r="AK494" s="48"/>
      <c r="AL494" s="50"/>
      <c r="AM494" s="51">
        <v>-4.3807783E7</v>
      </c>
      <c r="AN494" s="51">
        <v>-3504623.0</v>
      </c>
      <c r="AO494" s="51">
        <v>-4.7312406E7</v>
      </c>
      <c r="AP494" s="47"/>
      <c r="AQ494" s="48"/>
      <c r="AR494" s="50"/>
      <c r="AS494" s="51"/>
      <c r="AT494" s="51"/>
      <c r="AU494" s="51"/>
      <c r="AV494" s="47"/>
      <c r="AW494" s="48"/>
      <c r="AX494" s="50"/>
      <c r="AY494" s="51"/>
      <c r="AZ494" s="51"/>
      <c r="BA494" s="51"/>
      <c r="BB494" s="51">
        <f t="shared" ref="BB494:BD494" si="492">IF(AND(ISNUMBER(Z494),COUNT(AG494,AM494,AS494,AY494)=2),Z494+SUM(AG494,AM494,AS494,AY494),"")</f>
        <v>0</v>
      </c>
      <c r="BC494" s="51">
        <f t="shared" si="492"/>
        <v>0</v>
      </c>
      <c r="BD494" s="51">
        <f t="shared" si="492"/>
        <v>0</v>
      </c>
    </row>
    <row r="495" ht="48.0" customHeight="1">
      <c r="A495" s="49" t="s">
        <v>40</v>
      </c>
      <c r="B495" s="49" t="str">
        <f t="array" ref="B495">INDEX('HD cty 2024'!B:B,MATCH('F0, F1, F2, ...'!$C495,'HD cty 2024'!B:B,0))</f>
        <v>#N/A</v>
      </c>
      <c r="C495" s="49">
        <v>648.0</v>
      </c>
      <c r="D495" s="50">
        <v>45630.0</v>
      </c>
      <c r="E495" s="51">
        <v>509259.0</v>
      </c>
      <c r="F495" s="51">
        <v>40741.0</v>
      </c>
      <c r="G495" s="51">
        <v>550000.0</v>
      </c>
      <c r="H495" s="49" t="s">
        <v>414</v>
      </c>
      <c r="I495" s="52" t="s">
        <v>4041</v>
      </c>
      <c r="J495" s="50">
        <v>45807.0</v>
      </c>
      <c r="K495" s="51">
        <v>-47222.0</v>
      </c>
      <c r="L495" s="51">
        <v>-3778.0</v>
      </c>
      <c r="M495" s="51">
        <v>-51000.0</v>
      </c>
      <c r="N495" s="49"/>
      <c r="O495" s="52"/>
      <c r="P495" s="50"/>
      <c r="Q495" s="51"/>
      <c r="R495" s="51"/>
      <c r="S495" s="51"/>
      <c r="T495" s="49"/>
      <c r="U495" s="52"/>
      <c r="V495" s="50"/>
      <c r="W495" s="51"/>
      <c r="X495" s="51"/>
      <c r="Y495" s="51"/>
      <c r="Z495" s="51">
        <v>462037.0</v>
      </c>
      <c r="AA495" s="51">
        <v>36963.0</v>
      </c>
      <c r="AB495" s="51">
        <v>499000.0</v>
      </c>
      <c r="AC495" s="47"/>
      <c r="AD495" s="47" t="s">
        <v>4042</v>
      </c>
      <c r="AE495" s="48"/>
      <c r="AF495" s="50"/>
      <c r="AG495" s="51">
        <v>47222.0</v>
      </c>
      <c r="AH495" s="51">
        <v>3778.0</v>
      </c>
      <c r="AI495" s="51">
        <v>51000.0</v>
      </c>
      <c r="AJ495" s="47" t="s">
        <v>4043</v>
      </c>
      <c r="AK495" s="48"/>
      <c r="AL495" s="50"/>
      <c r="AM495" s="51">
        <v>-509259.0</v>
      </c>
      <c r="AN495" s="51">
        <v>-40741.0</v>
      </c>
      <c r="AO495" s="51">
        <v>-550000.0</v>
      </c>
      <c r="AP495" s="47"/>
      <c r="AQ495" s="48"/>
      <c r="AR495" s="50"/>
      <c r="AS495" s="51"/>
      <c r="AT495" s="51"/>
      <c r="AU495" s="51"/>
      <c r="AV495" s="47"/>
      <c r="AW495" s="48"/>
      <c r="AX495" s="50"/>
      <c r="AY495" s="51"/>
      <c r="AZ495" s="51"/>
      <c r="BA495" s="51"/>
      <c r="BB495" s="51">
        <f t="shared" ref="BB495:BD495" si="493">IF(AND(ISNUMBER(Z495),COUNT(AG495,AM495,AS495,AY495)=2),Z495+SUM(AG495,AM495,AS495,AY495),"")</f>
        <v>0</v>
      </c>
      <c r="BC495" s="51">
        <f t="shared" si="493"/>
        <v>0</v>
      </c>
      <c r="BD495" s="51">
        <f t="shared" si="493"/>
        <v>0</v>
      </c>
    </row>
    <row r="496" ht="48.0" customHeight="1">
      <c r="A496" s="49" t="s">
        <v>40</v>
      </c>
      <c r="B496" s="49" t="str">
        <f t="array" ref="B496">INDEX('HD cty 2024'!B:B,MATCH('F0, F1, F2, ...'!$C496,'HD cty 2024'!B:B,0))</f>
        <v>#N/A</v>
      </c>
      <c r="C496" s="49">
        <v>652.0</v>
      </c>
      <c r="D496" s="50">
        <v>45635.0</v>
      </c>
      <c r="E496" s="51">
        <v>1112256.0</v>
      </c>
      <c r="F496" s="51">
        <v>88980.0</v>
      </c>
      <c r="G496" s="51">
        <v>1201236.0</v>
      </c>
      <c r="H496" s="49" t="s">
        <v>414</v>
      </c>
      <c r="I496" s="52" t="s">
        <v>4044</v>
      </c>
      <c r="J496" s="50">
        <v>45807.0</v>
      </c>
      <c r="K496" s="51">
        <v>137292.0</v>
      </c>
      <c r="L496" s="51">
        <v>10983.0</v>
      </c>
      <c r="M496" s="51">
        <v>148275.0</v>
      </c>
      <c r="N496" s="49"/>
      <c r="O496" s="52"/>
      <c r="P496" s="50"/>
      <c r="Q496" s="51"/>
      <c r="R496" s="51"/>
      <c r="S496" s="51"/>
      <c r="T496" s="49"/>
      <c r="U496" s="52"/>
      <c r="V496" s="50"/>
      <c r="W496" s="51"/>
      <c r="X496" s="51"/>
      <c r="Y496" s="51"/>
      <c r="Z496" s="51">
        <v>1249548.0</v>
      </c>
      <c r="AA496" s="51">
        <v>99963.0</v>
      </c>
      <c r="AB496" s="51">
        <v>1349511.0</v>
      </c>
      <c r="AC496" s="47"/>
      <c r="AD496" s="47" t="s">
        <v>4045</v>
      </c>
      <c r="AE496" s="48"/>
      <c r="AF496" s="50"/>
      <c r="AG496" s="51">
        <v>-137292.0</v>
      </c>
      <c r="AH496" s="51">
        <v>-10983.0</v>
      </c>
      <c r="AI496" s="51">
        <v>-148275.0</v>
      </c>
      <c r="AJ496" s="47" t="s">
        <v>4046</v>
      </c>
      <c r="AK496" s="48"/>
      <c r="AL496" s="50"/>
      <c r="AM496" s="51">
        <v>-1112256.0</v>
      </c>
      <c r="AN496" s="51">
        <v>-88980.0</v>
      </c>
      <c r="AO496" s="51">
        <v>-1201236.0</v>
      </c>
      <c r="AP496" s="47"/>
      <c r="AQ496" s="48"/>
      <c r="AR496" s="50"/>
      <c r="AS496" s="51"/>
      <c r="AT496" s="51"/>
      <c r="AU496" s="51"/>
      <c r="AV496" s="47"/>
      <c r="AW496" s="48"/>
      <c r="AX496" s="50"/>
      <c r="AY496" s="51"/>
      <c r="AZ496" s="51"/>
      <c r="BA496" s="51"/>
      <c r="BB496" s="51">
        <f t="shared" ref="BB496:BD496" si="494">IF(AND(ISNUMBER(Z496),COUNT(AG496,AM496,AS496,AY496)=2),Z496+SUM(AG496,AM496,AS496,AY496),"")</f>
        <v>0</v>
      </c>
      <c r="BC496" s="51">
        <f t="shared" si="494"/>
        <v>0</v>
      </c>
      <c r="BD496" s="51">
        <f t="shared" si="494"/>
        <v>0</v>
      </c>
    </row>
    <row r="497" ht="87.0" customHeight="1">
      <c r="A497" s="49" t="s">
        <v>40</v>
      </c>
      <c r="B497" s="49" t="str">
        <f t="array" ref="B497">INDEX('HD cty 2024'!B:B,MATCH('F0, F1, F2, ...'!$C497,'HD cty 2024'!B:B,0))</f>
        <v>#N/A</v>
      </c>
      <c r="C497" s="49">
        <v>653.0</v>
      </c>
      <c r="D497" s="50">
        <v>45635.0</v>
      </c>
      <c r="E497" s="51">
        <v>1517592.0</v>
      </c>
      <c r="F497" s="51">
        <v>121407.0</v>
      </c>
      <c r="G497" s="51">
        <v>1638999.0</v>
      </c>
      <c r="H497" s="49" t="s">
        <v>414</v>
      </c>
      <c r="I497" s="52" t="s">
        <v>4047</v>
      </c>
      <c r="J497" s="50">
        <v>45807.0</v>
      </c>
      <c r="K497" s="51">
        <v>-1517592.0</v>
      </c>
      <c r="L497" s="51">
        <v>-121407.0</v>
      </c>
      <c r="M497" s="51">
        <v>-1638999.0</v>
      </c>
      <c r="N497" s="49"/>
      <c r="O497" s="52"/>
      <c r="P497" s="50"/>
      <c r="Q497" s="51"/>
      <c r="R497" s="51"/>
      <c r="S497" s="51"/>
      <c r="T497" s="49"/>
      <c r="U497" s="52"/>
      <c r="V497" s="50"/>
      <c r="W497" s="51"/>
      <c r="X497" s="51"/>
      <c r="Y497" s="51"/>
      <c r="Z497" s="51">
        <v>0.0</v>
      </c>
      <c r="AA497" s="51">
        <v>0.0</v>
      </c>
      <c r="AB497" s="51">
        <v>0.0</v>
      </c>
      <c r="AC497" s="47" t="s">
        <v>4048</v>
      </c>
      <c r="AD497" s="47" t="s">
        <v>4049</v>
      </c>
      <c r="AE497" s="48"/>
      <c r="AF497" s="50">
        <v>46304.0</v>
      </c>
      <c r="AG497" s="51">
        <v>1517592.0</v>
      </c>
      <c r="AH497" s="51">
        <v>121407.0</v>
      </c>
      <c r="AI497" s="51">
        <v>1638999.0</v>
      </c>
      <c r="AJ497" s="47" t="s">
        <v>4050</v>
      </c>
      <c r="AK497" s="48"/>
      <c r="AL497" s="50">
        <v>46304.0</v>
      </c>
      <c r="AM497" s="51">
        <v>-1517592.0</v>
      </c>
      <c r="AN497" s="51">
        <v>-121407.0</v>
      </c>
      <c r="AO497" s="51">
        <v>-1638999.0</v>
      </c>
      <c r="AP497" s="47"/>
      <c r="AQ497" s="48"/>
      <c r="AR497" s="50"/>
      <c r="AS497" s="51"/>
      <c r="AT497" s="51"/>
      <c r="AU497" s="51"/>
      <c r="AV497" s="47"/>
      <c r="AW497" s="48"/>
      <c r="AX497" s="50"/>
      <c r="AY497" s="51"/>
      <c r="AZ497" s="51"/>
      <c r="BA497" s="51"/>
      <c r="BB497" s="51">
        <f t="shared" ref="BB497:BD497" si="495">IF(AND(ISNUMBER(Z497),COUNT(AG497,AM497,AS497,AY497)=2),Z497+SUM(AG497,AM497,AS497,AY497),"")</f>
        <v>0</v>
      </c>
      <c r="BC497" s="51">
        <f t="shared" si="495"/>
        <v>0</v>
      </c>
      <c r="BD497" s="51">
        <f t="shared" si="495"/>
        <v>0</v>
      </c>
    </row>
    <row r="498" ht="48.0" customHeight="1">
      <c r="A498" s="49" t="s">
        <v>40</v>
      </c>
      <c r="B498" s="49" t="str">
        <f t="array" ref="B498">INDEX('HD cty 2024'!B:B,MATCH('F0, F1, F2, ...'!$C498,'HD cty 2024'!B:B,0))</f>
        <v>#N/A</v>
      </c>
      <c r="C498" s="49">
        <v>654.0</v>
      </c>
      <c r="D498" s="50">
        <v>45635.0</v>
      </c>
      <c r="E498" s="51">
        <v>1.14816735E8</v>
      </c>
      <c r="F498" s="51">
        <v>9185339.0</v>
      </c>
      <c r="G498" s="51">
        <v>1.24002074E8</v>
      </c>
      <c r="H498" s="49" t="s">
        <v>414</v>
      </c>
      <c r="I498" s="52" t="s">
        <v>4051</v>
      </c>
      <c r="J498" s="50">
        <v>45808.0</v>
      </c>
      <c r="K498" s="51">
        <v>1.6047154E7</v>
      </c>
      <c r="L498" s="51">
        <v>1283772.0</v>
      </c>
      <c r="M498" s="51">
        <v>1.7330926E7</v>
      </c>
      <c r="N498" s="49"/>
      <c r="O498" s="52"/>
      <c r="P498" s="50"/>
      <c r="Q498" s="51"/>
      <c r="R498" s="51"/>
      <c r="S498" s="51"/>
      <c r="T498" s="49"/>
      <c r="U498" s="52"/>
      <c r="V498" s="50"/>
      <c r="W498" s="51"/>
      <c r="X498" s="51"/>
      <c r="Y498" s="51"/>
      <c r="Z498" s="51">
        <v>1.30863889E8</v>
      </c>
      <c r="AA498" s="51">
        <v>1.0469111E7</v>
      </c>
      <c r="AB498" s="51">
        <v>1.41333E8</v>
      </c>
      <c r="AC498" s="47"/>
      <c r="AD498" s="47" t="s">
        <v>4052</v>
      </c>
      <c r="AE498" s="48"/>
      <c r="AF498" s="50"/>
      <c r="AG498" s="51">
        <v>-1.6047154E7</v>
      </c>
      <c r="AH498" s="51">
        <v>-1283772.0</v>
      </c>
      <c r="AI498" s="51">
        <v>-1.7330926E7</v>
      </c>
      <c r="AJ498" s="47" t="s">
        <v>4053</v>
      </c>
      <c r="AK498" s="48"/>
      <c r="AL498" s="50"/>
      <c r="AM498" s="51">
        <v>-1.14816735E8</v>
      </c>
      <c r="AN498" s="51">
        <v>-9185339.0</v>
      </c>
      <c r="AO498" s="51">
        <v>-1.24002074E8</v>
      </c>
      <c r="AP498" s="47"/>
      <c r="AQ498" s="48"/>
      <c r="AR498" s="50"/>
      <c r="AS498" s="51"/>
      <c r="AT498" s="51"/>
      <c r="AU498" s="51"/>
      <c r="AV498" s="47"/>
      <c r="AW498" s="48"/>
      <c r="AX498" s="50"/>
      <c r="AY498" s="51"/>
      <c r="AZ498" s="51"/>
      <c r="BA498" s="51"/>
      <c r="BB498" s="51">
        <f t="shared" ref="BB498:BD498" si="496">IF(AND(ISNUMBER(Z498),COUNT(AG498,AM498,AS498,AY498)=2),Z498+SUM(AG498,AM498,AS498,AY498),"")</f>
        <v>0</v>
      </c>
      <c r="BC498" s="51">
        <f t="shared" si="496"/>
        <v>0</v>
      </c>
      <c r="BD498" s="51">
        <f t="shared" si="496"/>
        <v>0</v>
      </c>
    </row>
    <row r="499" ht="48.0" customHeight="1">
      <c r="A499" s="49" t="s">
        <v>40</v>
      </c>
      <c r="B499" s="49" t="str">
        <f t="array" ref="B499">INDEX('HD cty 2024'!B:B,MATCH('F0, F1, F2, ...'!$C499,'HD cty 2024'!B:B,0))</f>
        <v>#N/A</v>
      </c>
      <c r="C499" s="49">
        <v>655.0</v>
      </c>
      <c r="D499" s="50">
        <v>45635.0</v>
      </c>
      <c r="E499" s="51">
        <v>5236897.0</v>
      </c>
      <c r="F499" s="51">
        <v>418952.0</v>
      </c>
      <c r="G499" s="51">
        <v>5655849.0</v>
      </c>
      <c r="H499" s="49" t="s">
        <v>414</v>
      </c>
      <c r="I499" s="52" t="s">
        <v>4054</v>
      </c>
      <c r="J499" s="50">
        <v>45807.0</v>
      </c>
      <c r="K499" s="51">
        <v>160973.0</v>
      </c>
      <c r="L499" s="51">
        <v>12878.0</v>
      </c>
      <c r="M499" s="51">
        <v>173851.0</v>
      </c>
      <c r="N499" s="49"/>
      <c r="O499" s="52"/>
      <c r="P499" s="50"/>
      <c r="Q499" s="51"/>
      <c r="R499" s="51"/>
      <c r="S499" s="51"/>
      <c r="T499" s="49"/>
      <c r="U499" s="52"/>
      <c r="V499" s="50"/>
      <c r="W499" s="51"/>
      <c r="X499" s="51"/>
      <c r="Y499" s="51"/>
      <c r="Z499" s="51">
        <v>5397870.0</v>
      </c>
      <c r="AA499" s="51">
        <v>431830.0</v>
      </c>
      <c r="AB499" s="51">
        <v>5829700.0</v>
      </c>
      <c r="AC499" s="47"/>
      <c r="AD499" s="47" t="s">
        <v>4055</v>
      </c>
      <c r="AE499" s="48"/>
      <c r="AF499" s="50"/>
      <c r="AG499" s="51">
        <v>-160973.0</v>
      </c>
      <c r="AH499" s="51">
        <v>-12878.0</v>
      </c>
      <c r="AI499" s="51">
        <v>-173851.0</v>
      </c>
      <c r="AJ499" s="47" t="s">
        <v>4056</v>
      </c>
      <c r="AK499" s="48"/>
      <c r="AL499" s="50"/>
      <c r="AM499" s="51">
        <v>-5236897.0</v>
      </c>
      <c r="AN499" s="51">
        <v>-418952.0</v>
      </c>
      <c r="AO499" s="51">
        <v>-5655849.0</v>
      </c>
      <c r="AP499" s="47"/>
      <c r="AQ499" s="48"/>
      <c r="AR499" s="50"/>
      <c r="AS499" s="51"/>
      <c r="AT499" s="51"/>
      <c r="AU499" s="51"/>
      <c r="AV499" s="47"/>
      <c r="AW499" s="48"/>
      <c r="AX499" s="50"/>
      <c r="AY499" s="51"/>
      <c r="AZ499" s="51"/>
      <c r="BA499" s="51"/>
      <c r="BB499" s="51">
        <f t="shared" ref="BB499:BD499" si="497">IF(AND(ISNUMBER(Z499),COUNT(AG499,AM499,AS499,AY499)=2),Z499+SUM(AG499,AM499,AS499,AY499),"")</f>
        <v>0</v>
      </c>
      <c r="BC499" s="51">
        <f t="shared" si="497"/>
        <v>0</v>
      </c>
      <c r="BD499" s="51">
        <f t="shared" si="497"/>
        <v>0</v>
      </c>
    </row>
    <row r="500" ht="48.0" customHeight="1">
      <c r="A500" s="49" t="s">
        <v>40</v>
      </c>
      <c r="B500" s="49" t="str">
        <f t="array" ref="B500">INDEX('HD cty 2024'!B:B,MATCH('F0, F1, F2, ...'!$C500,'HD cty 2024'!B:B,0))</f>
        <v>#N/A</v>
      </c>
      <c r="C500" s="49">
        <v>656.0</v>
      </c>
      <c r="D500" s="50">
        <v>45635.0</v>
      </c>
      <c r="E500" s="51">
        <v>1702778.0</v>
      </c>
      <c r="F500" s="51">
        <v>136222.0</v>
      </c>
      <c r="G500" s="51">
        <v>1839000.0</v>
      </c>
      <c r="H500" s="49" t="s">
        <v>414</v>
      </c>
      <c r="I500" s="52" t="s">
        <v>4057</v>
      </c>
      <c r="J500" s="50">
        <v>45807.0</v>
      </c>
      <c r="K500" s="51">
        <v>-740742.0</v>
      </c>
      <c r="L500" s="51">
        <v>-59259.0</v>
      </c>
      <c r="M500" s="51">
        <v>-800001.0</v>
      </c>
      <c r="N500" s="49"/>
      <c r="O500" s="52"/>
      <c r="P500" s="50"/>
      <c r="Q500" s="51"/>
      <c r="R500" s="51"/>
      <c r="S500" s="51"/>
      <c r="T500" s="49"/>
      <c r="U500" s="52"/>
      <c r="V500" s="50"/>
      <c r="W500" s="51"/>
      <c r="X500" s="51"/>
      <c r="Y500" s="51"/>
      <c r="Z500" s="51">
        <v>962036.0</v>
      </c>
      <c r="AA500" s="51">
        <v>76963.0</v>
      </c>
      <c r="AB500" s="51">
        <v>1038999.0</v>
      </c>
      <c r="AC500" s="47"/>
      <c r="AD500" s="47" t="s">
        <v>4058</v>
      </c>
      <c r="AE500" s="48"/>
      <c r="AF500" s="50"/>
      <c r="AG500" s="51">
        <v>740742.0</v>
      </c>
      <c r="AH500" s="51">
        <v>59259.0</v>
      </c>
      <c r="AI500" s="51">
        <v>800001.0</v>
      </c>
      <c r="AJ500" s="47" t="s">
        <v>4059</v>
      </c>
      <c r="AK500" s="48"/>
      <c r="AL500" s="50"/>
      <c r="AM500" s="51">
        <v>-1702778.0</v>
      </c>
      <c r="AN500" s="51">
        <v>-136222.0</v>
      </c>
      <c r="AO500" s="51">
        <v>-1839000.0</v>
      </c>
      <c r="AP500" s="47"/>
      <c r="AQ500" s="48"/>
      <c r="AR500" s="50"/>
      <c r="AS500" s="51"/>
      <c r="AT500" s="51"/>
      <c r="AU500" s="51"/>
      <c r="AV500" s="47"/>
      <c r="AW500" s="48"/>
      <c r="AX500" s="50"/>
      <c r="AY500" s="51"/>
      <c r="AZ500" s="51"/>
      <c r="BA500" s="51"/>
      <c r="BB500" s="51">
        <f t="shared" ref="BB500:BD500" si="498">IF(AND(ISNUMBER(Z500),COUNT(AG500,AM500,AS500,AY500)=2),Z500+SUM(AG500,AM500,AS500,AY500),"")</f>
        <v>0</v>
      </c>
      <c r="BC500" s="51">
        <f t="shared" si="498"/>
        <v>0</v>
      </c>
      <c r="BD500" s="51">
        <f t="shared" si="498"/>
        <v>0</v>
      </c>
    </row>
    <row r="501" ht="48.0" customHeight="1">
      <c r="A501" s="49" t="s">
        <v>40</v>
      </c>
      <c r="B501" s="49" t="str">
        <f t="array" ref="B501">INDEX('HD cty 2024'!B:B,MATCH('F0, F1, F2, ...'!$C501,'HD cty 2024'!B:B,0))</f>
        <v>#N/A</v>
      </c>
      <c r="C501" s="49">
        <v>662.0</v>
      </c>
      <c r="D501" s="50">
        <v>45642.0</v>
      </c>
      <c r="E501" s="51">
        <v>1.6858684E7</v>
      </c>
      <c r="F501" s="51">
        <v>1348695.0</v>
      </c>
      <c r="G501" s="51">
        <v>1.8207379E7</v>
      </c>
      <c r="H501" s="49" t="s">
        <v>414</v>
      </c>
      <c r="I501" s="52" t="s">
        <v>4060</v>
      </c>
      <c r="J501" s="50">
        <v>45807.0</v>
      </c>
      <c r="K501" s="51">
        <v>4739464.0</v>
      </c>
      <c r="L501" s="51">
        <v>379157.0</v>
      </c>
      <c r="M501" s="51">
        <v>5118621.0</v>
      </c>
      <c r="N501" s="49"/>
      <c r="O501" s="52"/>
      <c r="P501" s="50"/>
      <c r="Q501" s="51"/>
      <c r="R501" s="51"/>
      <c r="S501" s="51"/>
      <c r="T501" s="49"/>
      <c r="U501" s="52"/>
      <c r="V501" s="50"/>
      <c r="W501" s="51"/>
      <c r="X501" s="51"/>
      <c r="Y501" s="51"/>
      <c r="Z501" s="51">
        <v>2.1598148E7</v>
      </c>
      <c r="AA501" s="51">
        <v>1727852.0</v>
      </c>
      <c r="AB501" s="51">
        <v>2.3326E7</v>
      </c>
      <c r="AC501" s="47"/>
      <c r="AD501" s="47" t="s">
        <v>4061</v>
      </c>
      <c r="AE501" s="48"/>
      <c r="AF501" s="50"/>
      <c r="AG501" s="51">
        <v>-4739464.0</v>
      </c>
      <c r="AH501" s="51">
        <v>-379157.0</v>
      </c>
      <c r="AI501" s="51">
        <v>-5118621.0</v>
      </c>
      <c r="AJ501" s="47" t="s">
        <v>4062</v>
      </c>
      <c r="AK501" s="48"/>
      <c r="AL501" s="50"/>
      <c r="AM501" s="51">
        <v>-1.6858684E7</v>
      </c>
      <c r="AN501" s="51">
        <v>-1348695.0</v>
      </c>
      <c r="AO501" s="51">
        <v>-1.8207379E7</v>
      </c>
      <c r="AP501" s="47"/>
      <c r="AQ501" s="48"/>
      <c r="AR501" s="50"/>
      <c r="AS501" s="51"/>
      <c r="AT501" s="51"/>
      <c r="AU501" s="51"/>
      <c r="AV501" s="47"/>
      <c r="AW501" s="48"/>
      <c r="AX501" s="50"/>
      <c r="AY501" s="51"/>
      <c r="AZ501" s="51"/>
      <c r="BA501" s="51"/>
      <c r="BB501" s="51">
        <f t="shared" ref="BB501:BD501" si="499">IF(AND(ISNUMBER(Z501),COUNT(AG501,AM501,AS501,AY501)=2),Z501+SUM(AG501,AM501,AS501,AY501),"")</f>
        <v>0</v>
      </c>
      <c r="BC501" s="51">
        <f t="shared" si="499"/>
        <v>0</v>
      </c>
      <c r="BD501" s="51">
        <f t="shared" si="499"/>
        <v>0</v>
      </c>
    </row>
    <row r="502" ht="48.0" customHeight="1">
      <c r="A502" s="49" t="s">
        <v>40</v>
      </c>
      <c r="B502" s="49" t="str">
        <f t="array" ref="B502">INDEX('HD cty 2024'!B:B,MATCH('F0, F1, F2, ...'!$C502,'HD cty 2024'!B:B,0))</f>
        <v>#N/A</v>
      </c>
      <c r="C502" s="49">
        <v>663.0</v>
      </c>
      <c r="D502" s="50">
        <v>45642.0</v>
      </c>
      <c r="E502" s="51">
        <v>1563889.0</v>
      </c>
      <c r="F502" s="51">
        <v>125111.0</v>
      </c>
      <c r="G502" s="51">
        <v>1689000.0</v>
      </c>
      <c r="H502" s="49" t="s">
        <v>414</v>
      </c>
      <c r="I502" s="52" t="s">
        <v>4063</v>
      </c>
      <c r="J502" s="50">
        <v>45807.0</v>
      </c>
      <c r="K502" s="51">
        <v>138889.0</v>
      </c>
      <c r="L502" s="51">
        <v>11111.0</v>
      </c>
      <c r="M502" s="51">
        <v>150000.0</v>
      </c>
      <c r="N502" s="49"/>
      <c r="O502" s="52"/>
      <c r="P502" s="50"/>
      <c r="Q502" s="51"/>
      <c r="R502" s="51"/>
      <c r="S502" s="51"/>
      <c r="T502" s="49"/>
      <c r="U502" s="52"/>
      <c r="V502" s="50"/>
      <c r="W502" s="51"/>
      <c r="X502" s="51"/>
      <c r="Y502" s="51"/>
      <c r="Z502" s="51">
        <v>1702778.0</v>
      </c>
      <c r="AA502" s="51">
        <v>136222.0</v>
      </c>
      <c r="AB502" s="51">
        <v>1839000.0</v>
      </c>
      <c r="AC502" s="47"/>
      <c r="AD502" s="47" t="s">
        <v>4064</v>
      </c>
      <c r="AE502" s="48"/>
      <c r="AF502" s="50"/>
      <c r="AG502" s="51">
        <v>-138889.0</v>
      </c>
      <c r="AH502" s="51">
        <v>-11111.0</v>
      </c>
      <c r="AI502" s="51">
        <v>-150000.0</v>
      </c>
      <c r="AJ502" s="47" t="s">
        <v>4065</v>
      </c>
      <c r="AK502" s="48"/>
      <c r="AL502" s="50"/>
      <c r="AM502" s="51">
        <v>-1563889.0</v>
      </c>
      <c r="AN502" s="51">
        <v>-125111.0</v>
      </c>
      <c r="AO502" s="51">
        <v>-1689000.0</v>
      </c>
      <c r="AP502" s="47"/>
      <c r="AQ502" s="48"/>
      <c r="AR502" s="50"/>
      <c r="AS502" s="51"/>
      <c r="AT502" s="51"/>
      <c r="AU502" s="51"/>
      <c r="AV502" s="47"/>
      <c r="AW502" s="48"/>
      <c r="AX502" s="50"/>
      <c r="AY502" s="51"/>
      <c r="AZ502" s="51"/>
      <c r="BA502" s="51"/>
      <c r="BB502" s="51">
        <f t="shared" ref="BB502:BD502" si="500">IF(AND(ISNUMBER(Z502),COUNT(AG502,AM502,AS502,AY502)=2),Z502+SUM(AG502,AM502,AS502,AY502),"")</f>
        <v>0</v>
      </c>
      <c r="BC502" s="51">
        <f t="shared" si="500"/>
        <v>0</v>
      </c>
      <c r="BD502" s="51">
        <f t="shared" si="500"/>
        <v>0</v>
      </c>
    </row>
    <row r="503" ht="48.0" customHeight="1">
      <c r="A503" s="49" t="s">
        <v>40</v>
      </c>
      <c r="B503" s="49" t="str">
        <f t="array" ref="B503">INDEX('HD cty 2024'!B:B,MATCH('F0, F1, F2, ...'!$C503,'HD cty 2024'!B:B,0))</f>
        <v>#N/A</v>
      </c>
      <c r="C503" s="49">
        <v>664.0</v>
      </c>
      <c r="D503" s="50">
        <v>45642.0</v>
      </c>
      <c r="E503" s="51">
        <v>1.3351275E8</v>
      </c>
      <c r="F503" s="51">
        <v>1.068102E7</v>
      </c>
      <c r="G503" s="51">
        <v>1.4419377E8</v>
      </c>
      <c r="H503" s="49" t="s">
        <v>414</v>
      </c>
      <c r="I503" s="52" t="s">
        <v>4066</v>
      </c>
      <c r="J503" s="50">
        <v>45807.0</v>
      </c>
      <c r="K503" s="51">
        <v>1.2543731E7</v>
      </c>
      <c r="L503" s="51">
        <v>1003498.0</v>
      </c>
      <c r="M503" s="51">
        <v>1.3547229E7</v>
      </c>
      <c r="N503" s="49"/>
      <c r="O503" s="52"/>
      <c r="P503" s="50"/>
      <c r="Q503" s="51"/>
      <c r="R503" s="51"/>
      <c r="S503" s="51"/>
      <c r="T503" s="49"/>
      <c r="U503" s="52"/>
      <c r="V503" s="50"/>
      <c r="W503" s="51"/>
      <c r="X503" s="51"/>
      <c r="Y503" s="51"/>
      <c r="Z503" s="51">
        <v>1.46056481E8</v>
      </c>
      <c r="AA503" s="51">
        <v>1.1684518E7</v>
      </c>
      <c r="AB503" s="51">
        <v>1.57740999E8</v>
      </c>
      <c r="AC503" s="47"/>
      <c r="AD503" s="47" t="s">
        <v>4067</v>
      </c>
      <c r="AE503" s="48"/>
      <c r="AF503" s="50"/>
      <c r="AG503" s="51">
        <v>-1.2543731E7</v>
      </c>
      <c r="AH503" s="51">
        <v>-1003498.0</v>
      </c>
      <c r="AI503" s="51">
        <v>-1.3547229E7</v>
      </c>
      <c r="AJ503" s="47" t="s">
        <v>4068</v>
      </c>
      <c r="AK503" s="48"/>
      <c r="AL503" s="50"/>
      <c r="AM503" s="51">
        <v>-1.3351275E8</v>
      </c>
      <c r="AN503" s="51">
        <v>-1.068102E7</v>
      </c>
      <c r="AO503" s="51">
        <v>-1.4419377E8</v>
      </c>
      <c r="AP503" s="47"/>
      <c r="AQ503" s="48"/>
      <c r="AR503" s="50"/>
      <c r="AS503" s="51"/>
      <c r="AT503" s="51"/>
      <c r="AU503" s="51"/>
      <c r="AV503" s="47"/>
      <c r="AW503" s="48"/>
      <c r="AX503" s="50"/>
      <c r="AY503" s="51"/>
      <c r="AZ503" s="51"/>
      <c r="BA503" s="51"/>
      <c r="BB503" s="51">
        <f t="shared" ref="BB503:BD503" si="501">IF(AND(ISNUMBER(Z503),COUNT(AG503,AM503,AS503,AY503)=2),Z503+SUM(AG503,AM503,AS503,AY503),"")</f>
        <v>0</v>
      </c>
      <c r="BC503" s="51">
        <f t="shared" si="501"/>
        <v>0</v>
      </c>
      <c r="BD503" s="51">
        <f t="shared" si="501"/>
        <v>0</v>
      </c>
    </row>
    <row r="504" ht="48.0" customHeight="1">
      <c r="A504" s="49" t="s">
        <v>40</v>
      </c>
      <c r="B504" s="49" t="str">
        <f t="array" ref="B504">INDEX('HD cty 2024'!B:B,MATCH('F0, F1, F2, ...'!$C504,'HD cty 2024'!B:B,0))</f>
        <v>#N/A</v>
      </c>
      <c r="C504" s="49">
        <v>665.0</v>
      </c>
      <c r="D504" s="50">
        <v>45643.0</v>
      </c>
      <c r="E504" s="51">
        <v>1600259.0</v>
      </c>
      <c r="F504" s="51">
        <v>128021.0</v>
      </c>
      <c r="G504" s="51">
        <v>1728280.0</v>
      </c>
      <c r="H504" s="49" t="s">
        <v>414</v>
      </c>
      <c r="I504" s="52" t="s">
        <v>4069</v>
      </c>
      <c r="J504" s="50">
        <v>45807.0</v>
      </c>
      <c r="K504" s="51">
        <v>139556.0</v>
      </c>
      <c r="L504" s="51">
        <v>11164.0</v>
      </c>
      <c r="M504" s="51">
        <v>150720.0</v>
      </c>
      <c r="N504" s="49"/>
      <c r="O504" s="52"/>
      <c r="P504" s="50"/>
      <c r="Q504" s="51"/>
      <c r="R504" s="51"/>
      <c r="S504" s="51"/>
      <c r="T504" s="49"/>
      <c r="U504" s="52"/>
      <c r="V504" s="50"/>
      <c r="W504" s="51"/>
      <c r="X504" s="51"/>
      <c r="Y504" s="51"/>
      <c r="Z504" s="51">
        <v>1739815.0</v>
      </c>
      <c r="AA504" s="51">
        <v>139185.0</v>
      </c>
      <c r="AB504" s="51">
        <v>1879000.0</v>
      </c>
      <c r="AC504" s="47"/>
      <c r="AD504" s="47" t="s">
        <v>4070</v>
      </c>
      <c r="AE504" s="48"/>
      <c r="AF504" s="50"/>
      <c r="AG504" s="51">
        <v>-139556.0</v>
      </c>
      <c r="AH504" s="51">
        <v>-11164.0</v>
      </c>
      <c r="AI504" s="51">
        <v>-150720.0</v>
      </c>
      <c r="AJ504" s="47" t="s">
        <v>4071</v>
      </c>
      <c r="AK504" s="48"/>
      <c r="AL504" s="50"/>
      <c r="AM504" s="51">
        <v>-1600259.0</v>
      </c>
      <c r="AN504" s="51">
        <v>-128021.0</v>
      </c>
      <c r="AO504" s="51">
        <v>-1728280.0</v>
      </c>
      <c r="AP504" s="47"/>
      <c r="AQ504" s="48"/>
      <c r="AR504" s="50"/>
      <c r="AS504" s="51"/>
      <c r="AT504" s="51"/>
      <c r="AU504" s="51"/>
      <c r="AV504" s="47"/>
      <c r="AW504" s="48"/>
      <c r="AX504" s="50"/>
      <c r="AY504" s="51"/>
      <c r="AZ504" s="51"/>
      <c r="BA504" s="51"/>
      <c r="BB504" s="51">
        <f t="shared" ref="BB504:BD504" si="502">IF(AND(ISNUMBER(Z504),COUNT(AG504,AM504,AS504,AY504)=2),Z504+SUM(AG504,AM504,AS504,AY504),"")</f>
        <v>0</v>
      </c>
      <c r="BC504" s="51">
        <f t="shared" si="502"/>
        <v>0</v>
      </c>
      <c r="BD504" s="51">
        <f t="shared" si="502"/>
        <v>0</v>
      </c>
    </row>
    <row r="505" ht="48.0" customHeight="1">
      <c r="A505" s="49" t="s">
        <v>40</v>
      </c>
      <c r="B505" s="49" t="str">
        <f t="array" ref="B505">INDEX('HD cty 2024'!B:B,MATCH('F0, F1, F2, ...'!$C505,'HD cty 2024'!B:B,0))</f>
        <v>#N/A</v>
      </c>
      <c r="C505" s="49">
        <v>666.0</v>
      </c>
      <c r="D505" s="50">
        <v>45643.0</v>
      </c>
      <c r="E505" s="51">
        <v>1563889.0</v>
      </c>
      <c r="F505" s="51">
        <v>125111.0</v>
      </c>
      <c r="G505" s="51">
        <v>1689000.0</v>
      </c>
      <c r="H505" s="49" t="s">
        <v>414</v>
      </c>
      <c r="I505" s="52" t="s">
        <v>4072</v>
      </c>
      <c r="J505" s="50">
        <v>45807.0</v>
      </c>
      <c r="K505" s="51">
        <v>138889.0</v>
      </c>
      <c r="L505" s="51">
        <v>11111.0</v>
      </c>
      <c r="M505" s="51">
        <v>150000.0</v>
      </c>
      <c r="N505" s="49"/>
      <c r="O505" s="52"/>
      <c r="P505" s="50"/>
      <c r="Q505" s="51"/>
      <c r="R505" s="51"/>
      <c r="S505" s="51"/>
      <c r="T505" s="49"/>
      <c r="U505" s="52"/>
      <c r="V505" s="50"/>
      <c r="W505" s="51"/>
      <c r="X505" s="51"/>
      <c r="Y505" s="51"/>
      <c r="Z505" s="51">
        <v>1702778.0</v>
      </c>
      <c r="AA505" s="51">
        <v>136222.0</v>
      </c>
      <c r="AB505" s="51">
        <v>1839000.0</v>
      </c>
      <c r="AC505" s="47"/>
      <c r="AD505" s="47" t="s">
        <v>4073</v>
      </c>
      <c r="AE505" s="48"/>
      <c r="AF505" s="50"/>
      <c r="AG505" s="51">
        <v>-138889.0</v>
      </c>
      <c r="AH505" s="51">
        <v>-11111.0</v>
      </c>
      <c r="AI505" s="51">
        <v>-150000.0</v>
      </c>
      <c r="AJ505" s="47" t="s">
        <v>4074</v>
      </c>
      <c r="AK505" s="48"/>
      <c r="AL505" s="50"/>
      <c r="AM505" s="51">
        <v>-1563889.0</v>
      </c>
      <c r="AN505" s="51">
        <v>-125111.0</v>
      </c>
      <c r="AO505" s="51">
        <v>-1689000.0</v>
      </c>
      <c r="AP505" s="47"/>
      <c r="AQ505" s="48"/>
      <c r="AR505" s="50"/>
      <c r="AS505" s="51"/>
      <c r="AT505" s="51"/>
      <c r="AU505" s="51"/>
      <c r="AV505" s="47"/>
      <c r="AW505" s="48"/>
      <c r="AX505" s="50"/>
      <c r="AY505" s="51"/>
      <c r="AZ505" s="51"/>
      <c r="BA505" s="51"/>
      <c r="BB505" s="51">
        <f t="shared" ref="BB505:BD505" si="503">IF(AND(ISNUMBER(Z505),COUNT(AG505,AM505,AS505,AY505)=2),Z505+SUM(AG505,AM505,AS505,AY505),"")</f>
        <v>0</v>
      </c>
      <c r="BC505" s="51">
        <f t="shared" si="503"/>
        <v>0</v>
      </c>
      <c r="BD505" s="51">
        <f t="shared" si="503"/>
        <v>0</v>
      </c>
    </row>
    <row r="506" ht="48.0" customHeight="1">
      <c r="A506" s="49" t="s">
        <v>40</v>
      </c>
      <c r="B506" s="49" t="str">
        <f t="array" ref="B506">INDEX('HD cty 2024'!B:B,MATCH('F0, F1, F2, ...'!$C506,'HD cty 2024'!B:B,0))</f>
        <v>#N/A</v>
      </c>
      <c r="C506" s="49">
        <v>667.0</v>
      </c>
      <c r="D506" s="50">
        <v>45643.0</v>
      </c>
      <c r="E506" s="51">
        <v>7.5576851E7</v>
      </c>
      <c r="F506" s="51">
        <v>6046148.0</v>
      </c>
      <c r="G506" s="51">
        <v>8.1622999E7</v>
      </c>
      <c r="H506" s="49" t="s">
        <v>414</v>
      </c>
      <c r="I506" s="52" t="s">
        <v>4075</v>
      </c>
      <c r="J506" s="50">
        <v>45807.0</v>
      </c>
      <c r="K506" s="51">
        <v>9826853.0</v>
      </c>
      <c r="L506" s="51">
        <v>786148.0</v>
      </c>
      <c r="M506" s="51">
        <v>1.0613001E7</v>
      </c>
      <c r="N506" s="49"/>
      <c r="O506" s="52"/>
      <c r="P506" s="50"/>
      <c r="Q506" s="51"/>
      <c r="R506" s="51"/>
      <c r="S506" s="51"/>
      <c r="T506" s="49"/>
      <c r="U506" s="52"/>
      <c r="V506" s="50"/>
      <c r="W506" s="51"/>
      <c r="X506" s="51"/>
      <c r="Y506" s="51"/>
      <c r="Z506" s="51">
        <v>8.5403704E7</v>
      </c>
      <c r="AA506" s="51">
        <v>6832296.0</v>
      </c>
      <c r="AB506" s="51">
        <v>9.2236E7</v>
      </c>
      <c r="AC506" s="47"/>
      <c r="AD506" s="47" t="s">
        <v>4076</v>
      </c>
      <c r="AE506" s="48"/>
      <c r="AF506" s="50"/>
      <c r="AG506" s="51">
        <v>-9826853.0</v>
      </c>
      <c r="AH506" s="51">
        <v>-786148.0</v>
      </c>
      <c r="AI506" s="51">
        <v>-1.0613001E7</v>
      </c>
      <c r="AJ506" s="47" t="s">
        <v>4077</v>
      </c>
      <c r="AK506" s="48"/>
      <c r="AL506" s="50"/>
      <c r="AM506" s="51">
        <v>-7.5576851E7</v>
      </c>
      <c r="AN506" s="51">
        <v>-6046148.0</v>
      </c>
      <c r="AO506" s="51">
        <v>-8.1622999E7</v>
      </c>
      <c r="AP506" s="47"/>
      <c r="AQ506" s="48"/>
      <c r="AR506" s="50"/>
      <c r="AS506" s="51"/>
      <c r="AT506" s="51"/>
      <c r="AU506" s="51"/>
      <c r="AV506" s="47"/>
      <c r="AW506" s="48"/>
      <c r="AX506" s="50"/>
      <c r="AY506" s="51"/>
      <c r="AZ506" s="51"/>
      <c r="BA506" s="51"/>
      <c r="BB506" s="51">
        <f t="shared" ref="BB506:BD506" si="504">IF(AND(ISNUMBER(Z506),COUNT(AG506,AM506,AS506,AY506)=2),Z506+SUM(AG506,AM506,AS506,AY506),"")</f>
        <v>0</v>
      </c>
      <c r="BC506" s="51">
        <f t="shared" si="504"/>
        <v>0</v>
      </c>
      <c r="BD506" s="51">
        <f t="shared" si="504"/>
        <v>0</v>
      </c>
    </row>
    <row r="507" ht="102.0" customHeight="1">
      <c r="A507" s="49" t="s">
        <v>40</v>
      </c>
      <c r="B507" s="49" t="str">
        <f t="array" ref="B507">INDEX('HD cty 2024'!B:B,MATCH('F0, F1, F2, ...'!$C507,'HD cty 2024'!B:B,0))</f>
        <v>#N/A</v>
      </c>
      <c r="C507" s="49">
        <v>669.0</v>
      </c>
      <c r="D507" s="50">
        <v>45643.0</v>
      </c>
      <c r="E507" s="51">
        <v>2210519.0</v>
      </c>
      <c r="F507" s="51">
        <v>176842.0</v>
      </c>
      <c r="G507" s="51">
        <v>2387361.0</v>
      </c>
      <c r="H507" s="49" t="s">
        <v>414</v>
      </c>
      <c r="I507" s="52" t="s">
        <v>4078</v>
      </c>
      <c r="J507" s="50">
        <v>45807.0</v>
      </c>
      <c r="K507" s="51">
        <v>-2210519.0</v>
      </c>
      <c r="L507" s="51">
        <v>-176842.0</v>
      </c>
      <c r="M507" s="51">
        <v>-2387361.0</v>
      </c>
      <c r="N507" s="49"/>
      <c r="O507" s="52"/>
      <c r="P507" s="50"/>
      <c r="Q507" s="51"/>
      <c r="R507" s="51"/>
      <c r="S507" s="51"/>
      <c r="T507" s="49"/>
      <c r="U507" s="52"/>
      <c r="V507" s="50"/>
      <c r="W507" s="51"/>
      <c r="X507" s="51"/>
      <c r="Y507" s="51"/>
      <c r="Z507" s="51">
        <v>0.0</v>
      </c>
      <c r="AA507" s="51">
        <v>0.0</v>
      </c>
      <c r="AB507" s="51">
        <v>0.0</v>
      </c>
      <c r="AC507" s="47" t="s">
        <v>4079</v>
      </c>
      <c r="AD507" s="47" t="s">
        <v>4080</v>
      </c>
      <c r="AE507" s="48"/>
      <c r="AF507" s="50">
        <v>46304.0</v>
      </c>
      <c r="AG507" s="51">
        <v>2210519.0</v>
      </c>
      <c r="AH507" s="51">
        <v>176842.0</v>
      </c>
      <c r="AI507" s="51">
        <v>2387361.0</v>
      </c>
      <c r="AJ507" s="47" t="s">
        <v>4081</v>
      </c>
      <c r="AK507" s="48"/>
      <c r="AL507" s="50">
        <v>46304.0</v>
      </c>
      <c r="AM507" s="51">
        <v>-2210519.0</v>
      </c>
      <c r="AN507" s="51">
        <v>-176842.0</v>
      </c>
      <c r="AO507" s="51">
        <v>-2387361.0</v>
      </c>
      <c r="AP507" s="47"/>
      <c r="AQ507" s="48"/>
      <c r="AR507" s="50"/>
      <c r="AS507" s="51"/>
      <c r="AT507" s="51"/>
      <c r="AU507" s="51"/>
      <c r="AV507" s="47"/>
      <c r="AW507" s="48"/>
      <c r="AX507" s="50"/>
      <c r="AY507" s="51"/>
      <c r="AZ507" s="51"/>
      <c r="BA507" s="51"/>
      <c r="BB507" s="51">
        <f t="shared" ref="BB507:BD507" si="505">IF(AND(ISNUMBER(Z507),COUNT(AG507,AM507,AS507,AY507)=2),Z507+SUM(AG507,AM507,AS507,AY507),"")</f>
        <v>0</v>
      </c>
      <c r="BC507" s="51">
        <f t="shared" si="505"/>
        <v>0</v>
      </c>
      <c r="BD507" s="51">
        <f t="shared" si="505"/>
        <v>0</v>
      </c>
    </row>
    <row r="508" ht="48.0" customHeight="1">
      <c r="A508" s="49" t="s">
        <v>40</v>
      </c>
      <c r="B508" s="49" t="str">
        <f t="array" ref="B508">INDEX('HD cty 2024'!B:B,MATCH('F0, F1, F2, ...'!$C508,'HD cty 2024'!B:B,0))</f>
        <v>#N/A</v>
      </c>
      <c r="C508" s="49">
        <v>670.0</v>
      </c>
      <c r="D508" s="50">
        <v>45643.0</v>
      </c>
      <c r="E508" s="51">
        <v>5225924.0</v>
      </c>
      <c r="F508" s="51">
        <v>418074.0</v>
      </c>
      <c r="G508" s="51">
        <v>5643998.0</v>
      </c>
      <c r="H508" s="49" t="s">
        <v>414</v>
      </c>
      <c r="I508" s="52" t="s">
        <v>4082</v>
      </c>
      <c r="J508" s="50">
        <v>45807.0</v>
      </c>
      <c r="K508" s="51">
        <v>982111.0</v>
      </c>
      <c r="L508" s="51">
        <v>78569.0</v>
      </c>
      <c r="M508" s="51">
        <v>1060680.0</v>
      </c>
      <c r="N508" s="49"/>
      <c r="O508" s="52"/>
      <c r="P508" s="50"/>
      <c r="Q508" s="51"/>
      <c r="R508" s="51"/>
      <c r="S508" s="51"/>
      <c r="T508" s="49"/>
      <c r="U508" s="52"/>
      <c r="V508" s="50"/>
      <c r="W508" s="51"/>
      <c r="X508" s="51"/>
      <c r="Y508" s="51"/>
      <c r="Z508" s="51">
        <v>6208035.0</v>
      </c>
      <c r="AA508" s="51">
        <v>496643.0</v>
      </c>
      <c r="AB508" s="51">
        <v>6704678.0</v>
      </c>
      <c r="AC508" s="47"/>
      <c r="AD508" s="47" t="s">
        <v>4083</v>
      </c>
      <c r="AE508" s="48"/>
      <c r="AF508" s="50"/>
      <c r="AG508" s="51">
        <v>-982111.0</v>
      </c>
      <c r="AH508" s="51">
        <v>-78569.0</v>
      </c>
      <c r="AI508" s="51">
        <v>-1060680.0</v>
      </c>
      <c r="AJ508" s="47" t="s">
        <v>4084</v>
      </c>
      <c r="AK508" s="48"/>
      <c r="AL508" s="50"/>
      <c r="AM508" s="51">
        <v>-5225924.0</v>
      </c>
      <c r="AN508" s="51">
        <v>-418074.0</v>
      </c>
      <c r="AO508" s="51">
        <v>-5643998.0</v>
      </c>
      <c r="AP508" s="47"/>
      <c r="AQ508" s="48"/>
      <c r="AR508" s="50"/>
      <c r="AS508" s="51"/>
      <c r="AT508" s="51"/>
      <c r="AU508" s="51"/>
      <c r="AV508" s="47"/>
      <c r="AW508" s="48"/>
      <c r="AX508" s="50"/>
      <c r="AY508" s="51"/>
      <c r="AZ508" s="51"/>
      <c r="BA508" s="51"/>
      <c r="BB508" s="51">
        <f t="shared" ref="BB508:BD508" si="506">IF(AND(ISNUMBER(Z508),COUNT(AG508,AM508,AS508,AY508)=2),Z508+SUM(AG508,AM508,AS508,AY508),"")</f>
        <v>0</v>
      </c>
      <c r="BC508" s="51">
        <f t="shared" si="506"/>
        <v>0</v>
      </c>
      <c r="BD508" s="51">
        <f t="shared" si="506"/>
        <v>0</v>
      </c>
    </row>
    <row r="509" ht="48.0" customHeight="1">
      <c r="A509" s="49" t="s">
        <v>40</v>
      </c>
      <c r="B509" s="49" t="str">
        <f t="array" ref="B509">INDEX('HD cty 2024'!B:B,MATCH('F0, F1, F2, ...'!$C509,'HD cty 2024'!B:B,0))</f>
        <v>#N/A</v>
      </c>
      <c r="C509" s="49">
        <v>672.0</v>
      </c>
      <c r="D509" s="50">
        <v>45643.0</v>
      </c>
      <c r="E509" s="51">
        <v>1018519.0</v>
      </c>
      <c r="F509" s="51">
        <v>81482.0</v>
      </c>
      <c r="G509" s="51">
        <v>1100001.0</v>
      </c>
      <c r="H509" s="49" t="s">
        <v>414</v>
      </c>
      <c r="I509" s="52" t="s">
        <v>4085</v>
      </c>
      <c r="J509" s="50">
        <v>45807.0</v>
      </c>
      <c r="K509" s="51">
        <v>-93519.0</v>
      </c>
      <c r="L509" s="51">
        <v>-7482.0</v>
      </c>
      <c r="M509" s="51">
        <v>-101001.0</v>
      </c>
      <c r="N509" s="49"/>
      <c r="O509" s="52"/>
      <c r="P509" s="50"/>
      <c r="Q509" s="51"/>
      <c r="R509" s="51"/>
      <c r="S509" s="51"/>
      <c r="T509" s="49"/>
      <c r="U509" s="52"/>
      <c r="V509" s="50"/>
      <c r="W509" s="51"/>
      <c r="X509" s="51"/>
      <c r="Y509" s="51"/>
      <c r="Z509" s="51">
        <v>925000.0</v>
      </c>
      <c r="AA509" s="51">
        <v>74000.0</v>
      </c>
      <c r="AB509" s="51">
        <v>999000.0</v>
      </c>
      <c r="AC509" s="47"/>
      <c r="AD509" s="47" t="s">
        <v>4086</v>
      </c>
      <c r="AE509" s="48"/>
      <c r="AF509" s="50"/>
      <c r="AG509" s="51">
        <v>93519.0</v>
      </c>
      <c r="AH509" s="51">
        <v>7482.0</v>
      </c>
      <c r="AI509" s="51">
        <v>101001.0</v>
      </c>
      <c r="AJ509" s="47" t="s">
        <v>4087</v>
      </c>
      <c r="AK509" s="48"/>
      <c r="AL509" s="50"/>
      <c r="AM509" s="51">
        <v>-1018519.0</v>
      </c>
      <c r="AN509" s="51">
        <v>-81482.0</v>
      </c>
      <c r="AO509" s="51">
        <v>-1100001.0</v>
      </c>
      <c r="AP509" s="47"/>
      <c r="AQ509" s="48"/>
      <c r="AR509" s="50"/>
      <c r="AS509" s="51"/>
      <c r="AT509" s="51"/>
      <c r="AU509" s="51"/>
      <c r="AV509" s="47"/>
      <c r="AW509" s="48"/>
      <c r="AX509" s="50"/>
      <c r="AY509" s="51"/>
      <c r="AZ509" s="51"/>
      <c r="BA509" s="51"/>
      <c r="BB509" s="51">
        <f t="shared" ref="BB509:BD509" si="507">IF(AND(ISNUMBER(Z509),COUNT(AG509,AM509,AS509,AY509)=2),Z509+SUM(AG509,AM509,AS509,AY509),"")</f>
        <v>0</v>
      </c>
      <c r="BC509" s="51">
        <f t="shared" si="507"/>
        <v>0</v>
      </c>
      <c r="BD509" s="51">
        <f t="shared" si="507"/>
        <v>0</v>
      </c>
    </row>
    <row r="510" ht="48.0" customHeight="1">
      <c r="A510" s="49" t="s">
        <v>40</v>
      </c>
      <c r="B510" s="49" t="str">
        <f t="array" ref="B510">INDEX('HD cty 2024'!B:B,MATCH('F0, F1, F2, ...'!$C510,'HD cty 2024'!B:B,0))</f>
        <v>#N/A</v>
      </c>
      <c r="C510" s="49">
        <v>673.0</v>
      </c>
      <c r="D510" s="50">
        <v>45643.0</v>
      </c>
      <c r="E510" s="51">
        <v>2573148.0</v>
      </c>
      <c r="F510" s="51">
        <v>205852.0</v>
      </c>
      <c r="G510" s="51">
        <v>2779000.0</v>
      </c>
      <c r="H510" s="49" t="s">
        <v>414</v>
      </c>
      <c r="I510" s="52" t="s">
        <v>4088</v>
      </c>
      <c r="J510" s="50">
        <v>45807.0</v>
      </c>
      <c r="K510" s="51">
        <v>-870370.0</v>
      </c>
      <c r="L510" s="51">
        <v>-69630.0</v>
      </c>
      <c r="M510" s="51">
        <v>-940000.0</v>
      </c>
      <c r="N510" s="49"/>
      <c r="O510" s="52"/>
      <c r="P510" s="50"/>
      <c r="Q510" s="51"/>
      <c r="R510" s="51"/>
      <c r="S510" s="51"/>
      <c r="T510" s="49"/>
      <c r="U510" s="52"/>
      <c r="V510" s="50"/>
      <c r="W510" s="51"/>
      <c r="X510" s="51"/>
      <c r="Y510" s="51"/>
      <c r="Z510" s="51">
        <v>1702778.0</v>
      </c>
      <c r="AA510" s="51">
        <v>136222.0</v>
      </c>
      <c r="AB510" s="51">
        <v>1839000.0</v>
      </c>
      <c r="AC510" s="47"/>
      <c r="AD510" s="47" t="s">
        <v>4089</v>
      </c>
      <c r="AE510" s="48"/>
      <c r="AF510" s="50"/>
      <c r="AG510" s="51">
        <v>870370.0</v>
      </c>
      <c r="AH510" s="51">
        <v>69630.0</v>
      </c>
      <c r="AI510" s="51">
        <v>940000.0</v>
      </c>
      <c r="AJ510" s="47" t="s">
        <v>4090</v>
      </c>
      <c r="AK510" s="48"/>
      <c r="AL510" s="50"/>
      <c r="AM510" s="51">
        <v>-2573148.0</v>
      </c>
      <c r="AN510" s="51">
        <v>-205852.0</v>
      </c>
      <c r="AO510" s="51">
        <v>-2779000.0</v>
      </c>
      <c r="AP510" s="47"/>
      <c r="AQ510" s="48"/>
      <c r="AR510" s="50"/>
      <c r="AS510" s="51"/>
      <c r="AT510" s="51"/>
      <c r="AU510" s="51"/>
      <c r="AV510" s="47"/>
      <c r="AW510" s="48"/>
      <c r="AX510" s="50"/>
      <c r="AY510" s="51"/>
      <c r="AZ510" s="51"/>
      <c r="BA510" s="51"/>
      <c r="BB510" s="51">
        <f t="shared" ref="BB510:BD510" si="508">IF(AND(ISNUMBER(Z510),COUNT(AG510,AM510,AS510,AY510)=2),Z510+SUM(AG510,AM510,AS510,AY510),"")</f>
        <v>0</v>
      </c>
      <c r="BC510" s="51">
        <f t="shared" si="508"/>
        <v>0</v>
      </c>
      <c r="BD510" s="51">
        <f t="shared" si="508"/>
        <v>0</v>
      </c>
    </row>
    <row r="511" ht="48.0" customHeight="1">
      <c r="A511" s="49" t="s">
        <v>40</v>
      </c>
      <c r="B511" s="49" t="str">
        <f t="array" ref="B511">INDEX('HD cty 2024'!B:B,MATCH('F0, F1, F2, ...'!$C511,'HD cty 2024'!B:B,0))</f>
        <v>#N/A</v>
      </c>
      <c r="C511" s="49">
        <v>683.0</v>
      </c>
      <c r="D511" s="50">
        <v>45643.0</v>
      </c>
      <c r="E511" s="51">
        <v>1.08398066E8</v>
      </c>
      <c r="F511" s="51">
        <v>8671845.0</v>
      </c>
      <c r="G511" s="51">
        <v>1.17069911E8</v>
      </c>
      <c r="H511" s="49" t="s">
        <v>414</v>
      </c>
      <c r="I511" s="52" t="s">
        <v>4091</v>
      </c>
      <c r="J511" s="50">
        <v>45807.0</v>
      </c>
      <c r="K511" s="51">
        <v>1.6750082E7</v>
      </c>
      <c r="L511" s="51">
        <v>1340007.0</v>
      </c>
      <c r="M511" s="51">
        <v>1.8090089E7</v>
      </c>
      <c r="N511" s="49"/>
      <c r="O511" s="52"/>
      <c r="P511" s="50"/>
      <c r="Q511" s="51"/>
      <c r="R511" s="51"/>
      <c r="S511" s="51"/>
      <c r="T511" s="49"/>
      <c r="U511" s="52"/>
      <c r="V511" s="50"/>
      <c r="W511" s="51"/>
      <c r="X511" s="51"/>
      <c r="Y511" s="51"/>
      <c r="Z511" s="51">
        <v>1.25148148E8</v>
      </c>
      <c r="AA511" s="51">
        <v>1.0011852E7</v>
      </c>
      <c r="AB511" s="51">
        <v>1.3516E8</v>
      </c>
      <c r="AC511" s="47"/>
      <c r="AD511" s="47" t="s">
        <v>4092</v>
      </c>
      <c r="AE511" s="48"/>
      <c r="AF511" s="50"/>
      <c r="AG511" s="51">
        <v>-1.6750082E7</v>
      </c>
      <c r="AH511" s="51">
        <v>-1340007.0</v>
      </c>
      <c r="AI511" s="51">
        <v>-1.8090089E7</v>
      </c>
      <c r="AJ511" s="47" t="s">
        <v>4093</v>
      </c>
      <c r="AK511" s="48"/>
      <c r="AL511" s="50"/>
      <c r="AM511" s="51">
        <v>-1.08398066E8</v>
      </c>
      <c r="AN511" s="51">
        <v>-8671845.0</v>
      </c>
      <c r="AO511" s="51">
        <v>-1.17069911E8</v>
      </c>
      <c r="AP511" s="47"/>
      <c r="AQ511" s="48"/>
      <c r="AR511" s="50"/>
      <c r="AS511" s="51"/>
      <c r="AT511" s="51"/>
      <c r="AU511" s="51"/>
      <c r="AV511" s="47"/>
      <c r="AW511" s="48"/>
      <c r="AX511" s="50"/>
      <c r="AY511" s="51"/>
      <c r="AZ511" s="51"/>
      <c r="BA511" s="51"/>
      <c r="BB511" s="51">
        <f t="shared" ref="BB511:BD511" si="509">IF(AND(ISNUMBER(Z511),COUNT(AG511,AM511,AS511,AY511)=2),Z511+SUM(AG511,AM511,AS511,AY511),"")</f>
        <v>0</v>
      </c>
      <c r="BC511" s="51">
        <f t="shared" si="509"/>
        <v>0</v>
      </c>
      <c r="BD511" s="51">
        <f t="shared" si="509"/>
        <v>0</v>
      </c>
    </row>
    <row r="512" ht="48.0" customHeight="1">
      <c r="A512" s="49" t="s">
        <v>40</v>
      </c>
      <c r="B512" s="49" t="str">
        <f t="array" ref="B512">INDEX('HD cty 2024'!B:B,MATCH('F0, F1, F2, ...'!$C512,'HD cty 2024'!B:B,0))</f>
        <v>#N/A</v>
      </c>
      <c r="C512" s="49">
        <v>685.0</v>
      </c>
      <c r="D512" s="50">
        <v>45645.0</v>
      </c>
      <c r="E512" s="51">
        <v>1.5099182E7</v>
      </c>
      <c r="F512" s="51">
        <v>1207935.0</v>
      </c>
      <c r="G512" s="51">
        <v>1.6307117E7</v>
      </c>
      <c r="H512" s="49" t="s">
        <v>414</v>
      </c>
      <c r="I512" s="52" t="s">
        <v>4094</v>
      </c>
      <c r="J512" s="50">
        <v>45808.0</v>
      </c>
      <c r="K512" s="51">
        <v>-1202494.0</v>
      </c>
      <c r="L512" s="51">
        <v>-96200.0</v>
      </c>
      <c r="M512" s="51">
        <v>-1298694.0</v>
      </c>
      <c r="N512" s="49"/>
      <c r="O512" s="52"/>
      <c r="P512" s="50"/>
      <c r="Q512" s="51"/>
      <c r="R512" s="51"/>
      <c r="S512" s="51"/>
      <c r="T512" s="49"/>
      <c r="U512" s="52"/>
      <c r="V512" s="50"/>
      <c r="W512" s="51"/>
      <c r="X512" s="51"/>
      <c r="Y512" s="51"/>
      <c r="Z512" s="51">
        <v>1.3896688E7</v>
      </c>
      <c r="AA512" s="51">
        <v>1111735.0</v>
      </c>
      <c r="AB512" s="51">
        <v>1.5008423E7</v>
      </c>
      <c r="AC512" s="47"/>
      <c r="AD512" s="47" t="s">
        <v>4095</v>
      </c>
      <c r="AE512" s="48"/>
      <c r="AF512" s="50"/>
      <c r="AG512" s="51">
        <v>1202494.0</v>
      </c>
      <c r="AH512" s="51">
        <v>96200.0</v>
      </c>
      <c r="AI512" s="51">
        <v>1298694.0</v>
      </c>
      <c r="AJ512" s="47" t="s">
        <v>4096</v>
      </c>
      <c r="AK512" s="48"/>
      <c r="AL512" s="50"/>
      <c r="AM512" s="51">
        <v>-1.5099182E7</v>
      </c>
      <c r="AN512" s="51">
        <v>-1207935.0</v>
      </c>
      <c r="AO512" s="51">
        <v>-1.6307117E7</v>
      </c>
      <c r="AP512" s="47"/>
      <c r="AQ512" s="48"/>
      <c r="AR512" s="50"/>
      <c r="AS512" s="51"/>
      <c r="AT512" s="51"/>
      <c r="AU512" s="51"/>
      <c r="AV512" s="47"/>
      <c r="AW512" s="48"/>
      <c r="AX512" s="50"/>
      <c r="AY512" s="51"/>
      <c r="AZ512" s="51"/>
      <c r="BA512" s="51"/>
      <c r="BB512" s="51">
        <f t="shared" ref="BB512:BD512" si="510">IF(AND(ISNUMBER(Z512),COUNT(AG512,AM512,AS512,AY512)=2),Z512+SUM(AG512,AM512,AS512,AY512),"")</f>
        <v>0</v>
      </c>
      <c r="BC512" s="51">
        <f t="shared" si="510"/>
        <v>0</v>
      </c>
      <c r="BD512" s="51">
        <f t="shared" si="510"/>
        <v>0</v>
      </c>
    </row>
    <row r="513" ht="48.0" customHeight="1">
      <c r="A513" s="49" t="s">
        <v>40</v>
      </c>
      <c r="B513" s="49" t="str">
        <f t="array" ref="B513">INDEX('HD cty 2024'!B:B,MATCH('F0, F1, F2, ...'!$C513,'HD cty 2024'!B:B,0))</f>
        <v>#N/A</v>
      </c>
      <c r="C513" s="49">
        <v>687.0</v>
      </c>
      <c r="D513" s="50">
        <v>45645.0</v>
      </c>
      <c r="E513" s="51">
        <v>2.6106168E7</v>
      </c>
      <c r="F513" s="51">
        <v>2088493.0</v>
      </c>
      <c r="G513" s="51">
        <v>2.8194661E7</v>
      </c>
      <c r="H513" s="49" t="s">
        <v>414</v>
      </c>
      <c r="I513" s="52" t="s">
        <v>4097</v>
      </c>
      <c r="J513" s="50">
        <v>45807.0</v>
      </c>
      <c r="K513" s="51">
        <v>3158647.0</v>
      </c>
      <c r="L513" s="51">
        <v>252692.0</v>
      </c>
      <c r="M513" s="51">
        <v>3411339.0</v>
      </c>
      <c r="N513" s="49"/>
      <c r="O513" s="52"/>
      <c r="P513" s="50"/>
      <c r="Q513" s="51"/>
      <c r="R513" s="51"/>
      <c r="S513" s="51"/>
      <c r="T513" s="49"/>
      <c r="U513" s="52"/>
      <c r="V513" s="50"/>
      <c r="W513" s="51"/>
      <c r="X513" s="51"/>
      <c r="Y513" s="51"/>
      <c r="Z513" s="51">
        <v>2.9264815E7</v>
      </c>
      <c r="AA513" s="51">
        <v>2341185.0</v>
      </c>
      <c r="AB513" s="51">
        <v>3.1606E7</v>
      </c>
      <c r="AC513" s="47"/>
      <c r="AD513" s="47" t="s">
        <v>4098</v>
      </c>
      <c r="AE513" s="48"/>
      <c r="AF513" s="50"/>
      <c r="AG513" s="51">
        <v>-3158647.0</v>
      </c>
      <c r="AH513" s="51">
        <v>-252692.0</v>
      </c>
      <c r="AI513" s="51">
        <v>-3411339.0</v>
      </c>
      <c r="AJ513" s="47" t="s">
        <v>4099</v>
      </c>
      <c r="AK513" s="48"/>
      <c r="AL513" s="50"/>
      <c r="AM513" s="51">
        <v>-2.6106168E7</v>
      </c>
      <c r="AN513" s="51">
        <v>-2088493.0</v>
      </c>
      <c r="AO513" s="51">
        <v>-2.8194661E7</v>
      </c>
      <c r="AP513" s="47"/>
      <c r="AQ513" s="48"/>
      <c r="AR513" s="50"/>
      <c r="AS513" s="51"/>
      <c r="AT513" s="51"/>
      <c r="AU513" s="51"/>
      <c r="AV513" s="47"/>
      <c r="AW513" s="48"/>
      <c r="AX513" s="50"/>
      <c r="AY513" s="51"/>
      <c r="AZ513" s="51"/>
      <c r="BA513" s="51"/>
      <c r="BB513" s="51">
        <f t="shared" ref="BB513:BD513" si="511">IF(AND(ISNUMBER(Z513),COUNT(AG513,AM513,AS513,AY513)=2),Z513+SUM(AG513,AM513,AS513,AY513),"")</f>
        <v>0</v>
      </c>
      <c r="BC513" s="51">
        <f t="shared" si="511"/>
        <v>0</v>
      </c>
      <c r="BD513" s="51">
        <f t="shared" si="511"/>
        <v>0</v>
      </c>
    </row>
    <row r="514" ht="48.0" customHeight="1">
      <c r="A514" s="49" t="s">
        <v>40</v>
      </c>
      <c r="B514" s="49" t="str">
        <f t="array" ref="B514">INDEX('HD cty 2024'!B:B,MATCH('F0, F1, F2, ...'!$C514,'HD cty 2024'!B:B,0))</f>
        <v>#N/A</v>
      </c>
      <c r="C514" s="49">
        <v>688.0</v>
      </c>
      <c r="D514" s="50">
        <v>45645.0</v>
      </c>
      <c r="E514" s="51">
        <v>1.66255502E8</v>
      </c>
      <c r="F514" s="51">
        <v>1.330044E7</v>
      </c>
      <c r="G514" s="51">
        <v>1.79555942E8</v>
      </c>
      <c r="H514" s="49" t="s">
        <v>414</v>
      </c>
      <c r="I514" s="52" t="s">
        <v>4100</v>
      </c>
      <c r="J514" s="50">
        <v>45807.0</v>
      </c>
      <c r="K514" s="51">
        <v>1.463972E7</v>
      </c>
      <c r="L514" s="51">
        <v>1171178.0</v>
      </c>
      <c r="M514" s="51">
        <v>1.5810898E7</v>
      </c>
      <c r="N514" s="49"/>
      <c r="O514" s="52"/>
      <c r="P514" s="50"/>
      <c r="Q514" s="51"/>
      <c r="R514" s="51"/>
      <c r="S514" s="51"/>
      <c r="T514" s="49"/>
      <c r="U514" s="52"/>
      <c r="V514" s="50"/>
      <c r="W514" s="51"/>
      <c r="X514" s="51"/>
      <c r="Y514" s="51"/>
      <c r="Z514" s="51">
        <v>1.80895222E8</v>
      </c>
      <c r="AA514" s="51">
        <v>1.4471618E7</v>
      </c>
      <c r="AB514" s="51">
        <v>1.9536684E8</v>
      </c>
      <c r="AC514" s="47"/>
      <c r="AD514" s="47" t="s">
        <v>4101</v>
      </c>
      <c r="AE514" s="48"/>
      <c r="AF514" s="50"/>
      <c r="AG514" s="51">
        <v>-1.463972E7</v>
      </c>
      <c r="AH514" s="51">
        <v>-1171178.0</v>
      </c>
      <c r="AI514" s="51">
        <v>-1.5810898E7</v>
      </c>
      <c r="AJ514" s="47" t="s">
        <v>4102</v>
      </c>
      <c r="AK514" s="48"/>
      <c r="AL514" s="50"/>
      <c r="AM514" s="51">
        <v>-1.66255502E8</v>
      </c>
      <c r="AN514" s="51">
        <v>-1.330044E7</v>
      </c>
      <c r="AO514" s="51">
        <v>-1.79555942E8</v>
      </c>
      <c r="AP514" s="47"/>
      <c r="AQ514" s="48"/>
      <c r="AR514" s="50"/>
      <c r="AS514" s="51"/>
      <c r="AT514" s="51"/>
      <c r="AU514" s="51"/>
      <c r="AV514" s="47"/>
      <c r="AW514" s="48"/>
      <c r="AX514" s="50"/>
      <c r="AY514" s="51"/>
      <c r="AZ514" s="51"/>
      <c r="BA514" s="51"/>
      <c r="BB514" s="51">
        <f t="shared" ref="BB514:BD514" si="512">IF(AND(ISNUMBER(Z514),COUNT(AG514,AM514,AS514,AY514)=2),Z514+SUM(AG514,AM514,AS514,AY514),"")</f>
        <v>0</v>
      </c>
      <c r="BC514" s="51">
        <f t="shared" si="512"/>
        <v>0</v>
      </c>
      <c r="BD514" s="51">
        <f t="shared" si="512"/>
        <v>0</v>
      </c>
    </row>
    <row r="515" ht="48.0" customHeight="1">
      <c r="A515" s="49" t="s">
        <v>40</v>
      </c>
      <c r="B515" s="49" t="str">
        <f t="array" ref="B515">INDEX('HD cty 2024'!B:B,MATCH('F0, F1, F2, ...'!$C515,'HD cty 2024'!B:B,0))</f>
        <v>#N/A</v>
      </c>
      <c r="C515" s="49">
        <v>689.0</v>
      </c>
      <c r="D515" s="50">
        <v>45645.0</v>
      </c>
      <c r="E515" s="51">
        <v>3.8040486E7</v>
      </c>
      <c r="F515" s="51">
        <v>3043239.0</v>
      </c>
      <c r="G515" s="51">
        <v>4.1083725E7</v>
      </c>
      <c r="H515" s="49" t="s">
        <v>414</v>
      </c>
      <c r="I515" s="52" t="s">
        <v>4103</v>
      </c>
      <c r="J515" s="50">
        <v>45807.0</v>
      </c>
      <c r="K515" s="51">
        <v>3249523.0</v>
      </c>
      <c r="L515" s="51">
        <v>259962.0</v>
      </c>
      <c r="M515" s="51">
        <v>3509485.0</v>
      </c>
      <c r="N515" s="49"/>
      <c r="O515" s="52"/>
      <c r="P515" s="50"/>
      <c r="Q515" s="51"/>
      <c r="R515" s="51"/>
      <c r="S515" s="51"/>
      <c r="T515" s="49"/>
      <c r="U515" s="52"/>
      <c r="V515" s="50"/>
      <c r="W515" s="51"/>
      <c r="X515" s="51"/>
      <c r="Y515" s="51"/>
      <c r="Z515" s="51">
        <v>4.1290009E7</v>
      </c>
      <c r="AA515" s="51">
        <v>3303201.0</v>
      </c>
      <c r="AB515" s="51">
        <v>4.459321E7</v>
      </c>
      <c r="AC515" s="47"/>
      <c r="AD515" s="47" t="s">
        <v>4104</v>
      </c>
      <c r="AE515" s="48"/>
      <c r="AF515" s="50"/>
      <c r="AG515" s="51">
        <v>-3249523.0</v>
      </c>
      <c r="AH515" s="51">
        <v>-259962.0</v>
      </c>
      <c r="AI515" s="51">
        <v>-3509485.0</v>
      </c>
      <c r="AJ515" s="47" t="s">
        <v>4105</v>
      </c>
      <c r="AK515" s="48"/>
      <c r="AL515" s="50"/>
      <c r="AM515" s="51">
        <v>-3.8040486E7</v>
      </c>
      <c r="AN515" s="51">
        <v>-3043239.0</v>
      </c>
      <c r="AO515" s="51">
        <v>-4.1083725E7</v>
      </c>
      <c r="AP515" s="47"/>
      <c r="AQ515" s="48"/>
      <c r="AR515" s="50"/>
      <c r="AS515" s="51"/>
      <c r="AT515" s="51"/>
      <c r="AU515" s="51"/>
      <c r="AV515" s="47"/>
      <c r="AW515" s="48"/>
      <c r="AX515" s="50"/>
      <c r="AY515" s="51"/>
      <c r="AZ515" s="51"/>
      <c r="BA515" s="51"/>
      <c r="BB515" s="51">
        <f t="shared" ref="BB515:BD515" si="513">IF(AND(ISNUMBER(Z515),COUNT(AG515,AM515,AS515,AY515)=2),Z515+SUM(AG515,AM515,AS515,AY515),"")</f>
        <v>0</v>
      </c>
      <c r="BC515" s="51">
        <f t="shared" si="513"/>
        <v>0</v>
      </c>
      <c r="BD515" s="51">
        <f t="shared" si="513"/>
        <v>0</v>
      </c>
    </row>
    <row r="516" ht="48.0" customHeight="1">
      <c r="A516" s="49" t="s">
        <v>40</v>
      </c>
      <c r="B516" s="49" t="str">
        <f t="array" ref="B516">INDEX('HD cty 2024'!B:B,MATCH('F0, F1, F2, ...'!$C516,'HD cty 2024'!B:B,0))</f>
        <v>#N/A</v>
      </c>
      <c r="C516" s="49">
        <v>690.0</v>
      </c>
      <c r="D516" s="50">
        <v>45645.0</v>
      </c>
      <c r="E516" s="51">
        <v>5.4448621E7</v>
      </c>
      <c r="F516" s="51">
        <v>4355890.0</v>
      </c>
      <c r="G516" s="51">
        <v>5.8804511E7</v>
      </c>
      <c r="H516" s="49" t="s">
        <v>414</v>
      </c>
      <c r="I516" s="52" t="s">
        <v>4106</v>
      </c>
      <c r="J516" s="50">
        <v>45807.0</v>
      </c>
      <c r="K516" s="51">
        <v>6061564.0</v>
      </c>
      <c r="L516" s="51">
        <v>484925.0</v>
      </c>
      <c r="M516" s="51">
        <v>6546489.0</v>
      </c>
      <c r="N516" s="49"/>
      <c r="O516" s="52"/>
      <c r="P516" s="50"/>
      <c r="Q516" s="51"/>
      <c r="R516" s="51"/>
      <c r="S516" s="51"/>
      <c r="T516" s="49"/>
      <c r="U516" s="52"/>
      <c r="V516" s="50"/>
      <c r="W516" s="51"/>
      <c r="X516" s="51"/>
      <c r="Y516" s="51"/>
      <c r="Z516" s="51">
        <v>6.0510185E7</v>
      </c>
      <c r="AA516" s="51">
        <v>4840815.0</v>
      </c>
      <c r="AB516" s="51">
        <v>6.5351E7</v>
      </c>
      <c r="AC516" s="47"/>
      <c r="AD516" s="47" t="s">
        <v>4107</v>
      </c>
      <c r="AE516" s="48"/>
      <c r="AF516" s="50"/>
      <c r="AG516" s="51">
        <v>-6061564.0</v>
      </c>
      <c r="AH516" s="51">
        <v>-484925.0</v>
      </c>
      <c r="AI516" s="51">
        <v>-6546489.0</v>
      </c>
      <c r="AJ516" s="47" t="s">
        <v>4108</v>
      </c>
      <c r="AK516" s="48"/>
      <c r="AL516" s="50"/>
      <c r="AM516" s="51">
        <v>-5.4448621E7</v>
      </c>
      <c r="AN516" s="51">
        <v>-4355890.0</v>
      </c>
      <c r="AO516" s="51">
        <v>-5.8804511E7</v>
      </c>
      <c r="AP516" s="47"/>
      <c r="AQ516" s="48"/>
      <c r="AR516" s="50"/>
      <c r="AS516" s="51"/>
      <c r="AT516" s="51"/>
      <c r="AU516" s="51"/>
      <c r="AV516" s="47"/>
      <c r="AW516" s="48"/>
      <c r="AX516" s="50"/>
      <c r="AY516" s="51"/>
      <c r="AZ516" s="51"/>
      <c r="BA516" s="51"/>
      <c r="BB516" s="51">
        <f t="shared" ref="BB516:BD516" si="514">IF(AND(ISNUMBER(Z516),COUNT(AG516,AM516,AS516,AY516)=2),Z516+SUM(AG516,AM516,AS516,AY516),"")</f>
        <v>0</v>
      </c>
      <c r="BC516" s="51">
        <f t="shared" si="514"/>
        <v>0</v>
      </c>
      <c r="BD516" s="51">
        <f t="shared" si="514"/>
        <v>0</v>
      </c>
    </row>
    <row r="517" ht="48.0" customHeight="1">
      <c r="A517" s="49" t="s">
        <v>40</v>
      </c>
      <c r="B517" s="49" t="str">
        <f t="array" ref="B517">INDEX('HD cty 2024'!B:B,MATCH('F0, F1, F2, ...'!$C517,'HD cty 2024'!B:B,0))</f>
        <v>#N/A</v>
      </c>
      <c r="C517" s="49">
        <v>691.0</v>
      </c>
      <c r="D517" s="50">
        <v>45645.0</v>
      </c>
      <c r="E517" s="51">
        <v>1.19585563E8</v>
      </c>
      <c r="F517" s="51">
        <v>9566845.0</v>
      </c>
      <c r="G517" s="51">
        <v>1.29152408E8</v>
      </c>
      <c r="H517" s="49" t="s">
        <v>414</v>
      </c>
      <c r="I517" s="52" t="s">
        <v>4109</v>
      </c>
      <c r="J517" s="50">
        <v>45807.0</v>
      </c>
      <c r="K517" s="51">
        <v>7791844.0</v>
      </c>
      <c r="L517" s="51">
        <v>623348.0</v>
      </c>
      <c r="M517" s="51">
        <v>8415192.0</v>
      </c>
      <c r="N517" s="49"/>
      <c r="O517" s="52"/>
      <c r="P517" s="50"/>
      <c r="Q517" s="51"/>
      <c r="R517" s="51"/>
      <c r="S517" s="51"/>
      <c r="T517" s="49"/>
      <c r="U517" s="52"/>
      <c r="V517" s="50"/>
      <c r="W517" s="51"/>
      <c r="X517" s="51"/>
      <c r="Y517" s="51"/>
      <c r="Z517" s="51">
        <v>1.27377407E8</v>
      </c>
      <c r="AA517" s="51">
        <v>1.0190193E7</v>
      </c>
      <c r="AB517" s="51">
        <v>1.375676E8</v>
      </c>
      <c r="AC517" s="47"/>
      <c r="AD517" s="47" t="s">
        <v>4110</v>
      </c>
      <c r="AE517" s="48"/>
      <c r="AF517" s="50"/>
      <c r="AG517" s="51">
        <v>-7791844.0</v>
      </c>
      <c r="AH517" s="51">
        <v>-623348.0</v>
      </c>
      <c r="AI517" s="51">
        <v>-8415192.0</v>
      </c>
      <c r="AJ517" s="47" t="s">
        <v>4111</v>
      </c>
      <c r="AK517" s="48"/>
      <c r="AL517" s="50"/>
      <c r="AM517" s="51">
        <v>-1.19585563E8</v>
      </c>
      <c r="AN517" s="51">
        <v>-9566845.0</v>
      </c>
      <c r="AO517" s="51">
        <v>-1.29152408E8</v>
      </c>
      <c r="AP517" s="47"/>
      <c r="AQ517" s="48"/>
      <c r="AR517" s="50"/>
      <c r="AS517" s="51"/>
      <c r="AT517" s="51"/>
      <c r="AU517" s="51"/>
      <c r="AV517" s="47"/>
      <c r="AW517" s="48"/>
      <c r="AX517" s="50"/>
      <c r="AY517" s="51"/>
      <c r="AZ517" s="51"/>
      <c r="BA517" s="51"/>
      <c r="BB517" s="51">
        <f t="shared" ref="BB517:BD517" si="515">IF(AND(ISNUMBER(Z517),COUNT(AG517,AM517,AS517,AY517)=2),Z517+SUM(AG517,AM517,AS517,AY517),"")</f>
        <v>0</v>
      </c>
      <c r="BC517" s="51">
        <f t="shared" si="515"/>
        <v>0</v>
      </c>
      <c r="BD517" s="51">
        <f t="shared" si="515"/>
        <v>0</v>
      </c>
    </row>
    <row r="518" ht="48.0" customHeight="1">
      <c r="A518" s="49" t="s">
        <v>40</v>
      </c>
      <c r="B518" s="49" t="str">
        <f t="array" ref="B518">INDEX('HD cty 2024'!B:B,MATCH('F0, F1, F2, ...'!$C518,'HD cty 2024'!B:B,0))</f>
        <v>#N/A</v>
      </c>
      <c r="C518" s="49">
        <v>692.0</v>
      </c>
      <c r="D518" s="50">
        <v>45646.0</v>
      </c>
      <c r="E518" s="51">
        <v>1.74205317E8</v>
      </c>
      <c r="F518" s="51">
        <v>1.3936425E7</v>
      </c>
      <c r="G518" s="51">
        <v>1.88141742E8</v>
      </c>
      <c r="H518" s="49" t="s">
        <v>414</v>
      </c>
      <c r="I518" s="52" t="s">
        <v>4112</v>
      </c>
      <c r="J518" s="50">
        <v>45807.0</v>
      </c>
      <c r="K518" s="51">
        <v>1.804172E7</v>
      </c>
      <c r="L518" s="51">
        <v>1443338.0</v>
      </c>
      <c r="M518" s="51">
        <v>1.9485058E7</v>
      </c>
      <c r="N518" s="49"/>
      <c r="O518" s="52"/>
      <c r="P518" s="50"/>
      <c r="Q518" s="51"/>
      <c r="R518" s="51"/>
      <c r="S518" s="51"/>
      <c r="T518" s="49"/>
      <c r="U518" s="52"/>
      <c r="V518" s="50"/>
      <c r="W518" s="51"/>
      <c r="X518" s="51"/>
      <c r="Y518" s="51"/>
      <c r="Z518" s="51">
        <v>1.92247037E8</v>
      </c>
      <c r="AA518" s="51">
        <v>1.5379763E7</v>
      </c>
      <c r="AB518" s="51">
        <v>2.076268E8</v>
      </c>
      <c r="AC518" s="47"/>
      <c r="AD518" s="47" t="s">
        <v>4113</v>
      </c>
      <c r="AE518" s="48"/>
      <c r="AF518" s="50"/>
      <c r="AG518" s="51">
        <v>-1.804172E7</v>
      </c>
      <c r="AH518" s="51">
        <v>-1443338.0</v>
      </c>
      <c r="AI518" s="51">
        <v>-1.9485058E7</v>
      </c>
      <c r="AJ518" s="47" t="s">
        <v>4114</v>
      </c>
      <c r="AK518" s="48"/>
      <c r="AL518" s="50"/>
      <c r="AM518" s="51">
        <v>-1.74205317E8</v>
      </c>
      <c r="AN518" s="51">
        <v>-1.3936425E7</v>
      </c>
      <c r="AO518" s="51">
        <v>-1.88141742E8</v>
      </c>
      <c r="AP518" s="47"/>
      <c r="AQ518" s="48"/>
      <c r="AR518" s="50"/>
      <c r="AS518" s="51"/>
      <c r="AT518" s="51"/>
      <c r="AU518" s="51"/>
      <c r="AV518" s="47"/>
      <c r="AW518" s="48"/>
      <c r="AX518" s="50"/>
      <c r="AY518" s="51"/>
      <c r="AZ518" s="51"/>
      <c r="BA518" s="51"/>
      <c r="BB518" s="51">
        <f t="shared" ref="BB518:BD518" si="516">IF(AND(ISNUMBER(Z518),COUNT(AG518,AM518,AS518,AY518)=2),Z518+SUM(AG518,AM518,AS518,AY518),"")</f>
        <v>0</v>
      </c>
      <c r="BC518" s="51">
        <f t="shared" si="516"/>
        <v>0</v>
      </c>
      <c r="BD518" s="51">
        <f t="shared" si="516"/>
        <v>0</v>
      </c>
    </row>
    <row r="519" ht="48.0" customHeight="1">
      <c r="A519" s="49" t="s">
        <v>40</v>
      </c>
      <c r="B519" s="49" t="str">
        <f t="array" ref="B519">INDEX('HD cty 2024'!B:B,MATCH('F0, F1, F2, ...'!$C519,'HD cty 2024'!B:B,0))</f>
        <v>#N/A</v>
      </c>
      <c r="C519" s="49">
        <v>693.0</v>
      </c>
      <c r="D519" s="50">
        <v>45646.0</v>
      </c>
      <c r="E519" s="51">
        <v>1.74709532E8</v>
      </c>
      <c r="F519" s="51">
        <v>1.3976763E7</v>
      </c>
      <c r="G519" s="51">
        <v>1.88686295E8</v>
      </c>
      <c r="H519" s="49" t="s">
        <v>414</v>
      </c>
      <c r="I519" s="52" t="s">
        <v>4115</v>
      </c>
      <c r="J519" s="50">
        <v>45807.0</v>
      </c>
      <c r="K519" s="51">
        <v>1.7984209E7</v>
      </c>
      <c r="L519" s="51">
        <v>1438737.0</v>
      </c>
      <c r="M519" s="51">
        <v>1.9422946E7</v>
      </c>
      <c r="N519" s="49"/>
      <c r="O519" s="52"/>
      <c r="P519" s="50"/>
      <c r="Q519" s="51"/>
      <c r="R519" s="51"/>
      <c r="S519" s="51"/>
      <c r="T519" s="49"/>
      <c r="U519" s="52"/>
      <c r="V519" s="50"/>
      <c r="W519" s="51"/>
      <c r="X519" s="51"/>
      <c r="Y519" s="51"/>
      <c r="Z519" s="51">
        <v>1.92693741E8</v>
      </c>
      <c r="AA519" s="51">
        <v>1.54155E7</v>
      </c>
      <c r="AB519" s="51">
        <v>2.08109241E8</v>
      </c>
      <c r="AC519" s="47"/>
      <c r="AD519" s="47" t="s">
        <v>4116</v>
      </c>
      <c r="AE519" s="48"/>
      <c r="AF519" s="50"/>
      <c r="AG519" s="51">
        <v>-1.7984209E7</v>
      </c>
      <c r="AH519" s="51">
        <v>-1438737.0</v>
      </c>
      <c r="AI519" s="51">
        <v>-1.9422946E7</v>
      </c>
      <c r="AJ519" s="47" t="s">
        <v>4117</v>
      </c>
      <c r="AK519" s="48"/>
      <c r="AL519" s="50"/>
      <c r="AM519" s="51">
        <v>-1.74709532E8</v>
      </c>
      <c r="AN519" s="51">
        <v>-1.3976763E7</v>
      </c>
      <c r="AO519" s="51">
        <v>-1.88686295E8</v>
      </c>
      <c r="AP519" s="47"/>
      <c r="AQ519" s="48"/>
      <c r="AR519" s="50"/>
      <c r="AS519" s="51"/>
      <c r="AT519" s="51"/>
      <c r="AU519" s="51"/>
      <c r="AV519" s="47"/>
      <c r="AW519" s="48"/>
      <c r="AX519" s="50"/>
      <c r="AY519" s="51"/>
      <c r="AZ519" s="51"/>
      <c r="BA519" s="51"/>
      <c r="BB519" s="51">
        <f t="shared" ref="BB519:BD519" si="517">IF(AND(ISNUMBER(Z519),COUNT(AG519,AM519,AS519,AY519)=2),Z519+SUM(AG519,AM519,AS519,AY519),"")</f>
        <v>0</v>
      </c>
      <c r="BC519" s="51">
        <f t="shared" si="517"/>
        <v>0</v>
      </c>
      <c r="BD519" s="51">
        <f t="shared" si="517"/>
        <v>0</v>
      </c>
    </row>
    <row r="520" ht="48.0" customHeight="1">
      <c r="A520" s="49" t="s">
        <v>40</v>
      </c>
      <c r="B520" s="49" t="str">
        <f t="array" ref="B520">INDEX('HD cty 2024'!B:B,MATCH('F0, F1, F2, ...'!$C520,'HD cty 2024'!B:B,0))</f>
        <v>#N/A</v>
      </c>
      <c r="C520" s="49">
        <v>694.0</v>
      </c>
      <c r="D520" s="50">
        <v>45646.0</v>
      </c>
      <c r="E520" s="51">
        <v>1.24325834E8</v>
      </c>
      <c r="F520" s="51">
        <v>9946067.0</v>
      </c>
      <c r="G520" s="51">
        <v>1.34271901E8</v>
      </c>
      <c r="H520" s="49" t="s">
        <v>414</v>
      </c>
      <c r="I520" s="52" t="s">
        <v>4118</v>
      </c>
      <c r="J520" s="50">
        <v>45807.0</v>
      </c>
      <c r="K520" s="51">
        <v>1.1494536E7</v>
      </c>
      <c r="L520" s="51">
        <v>919563.0</v>
      </c>
      <c r="M520" s="51">
        <v>1.2414099E7</v>
      </c>
      <c r="N520" s="49"/>
      <c r="O520" s="52"/>
      <c r="P520" s="50"/>
      <c r="Q520" s="51"/>
      <c r="R520" s="51"/>
      <c r="S520" s="51"/>
      <c r="T520" s="49"/>
      <c r="U520" s="52"/>
      <c r="V520" s="50"/>
      <c r="W520" s="51"/>
      <c r="X520" s="51"/>
      <c r="Y520" s="51"/>
      <c r="Z520" s="51">
        <v>1.3582037E8</v>
      </c>
      <c r="AA520" s="51">
        <v>1.086563E7</v>
      </c>
      <c r="AB520" s="51">
        <v>1.46686E8</v>
      </c>
      <c r="AC520" s="47"/>
      <c r="AD520" s="47" t="s">
        <v>4119</v>
      </c>
      <c r="AE520" s="48"/>
      <c r="AF520" s="50"/>
      <c r="AG520" s="51">
        <v>-1.1494536E7</v>
      </c>
      <c r="AH520" s="51">
        <v>-919563.0</v>
      </c>
      <c r="AI520" s="51">
        <v>-1.2414099E7</v>
      </c>
      <c r="AJ520" s="47" t="s">
        <v>4120</v>
      </c>
      <c r="AK520" s="48"/>
      <c r="AL520" s="50"/>
      <c r="AM520" s="51">
        <v>-1.24325834E8</v>
      </c>
      <c r="AN520" s="51">
        <v>-9946067.0</v>
      </c>
      <c r="AO520" s="51">
        <v>-1.34271901E8</v>
      </c>
      <c r="AP520" s="47"/>
      <c r="AQ520" s="48"/>
      <c r="AR520" s="50"/>
      <c r="AS520" s="51"/>
      <c r="AT520" s="51"/>
      <c r="AU520" s="51"/>
      <c r="AV520" s="47"/>
      <c r="AW520" s="48"/>
      <c r="AX520" s="50"/>
      <c r="AY520" s="51"/>
      <c r="AZ520" s="51"/>
      <c r="BA520" s="51"/>
      <c r="BB520" s="51">
        <f t="shared" ref="BB520:BD520" si="518">IF(AND(ISNUMBER(Z520),COUNT(AG520,AM520,AS520,AY520)=2),Z520+SUM(AG520,AM520,AS520,AY520),"")</f>
        <v>0</v>
      </c>
      <c r="BC520" s="51">
        <f t="shared" si="518"/>
        <v>0</v>
      </c>
      <c r="BD520" s="51">
        <f t="shared" si="518"/>
        <v>0</v>
      </c>
    </row>
    <row r="521" ht="48.0" customHeight="1">
      <c r="A521" s="49" t="s">
        <v>40</v>
      </c>
      <c r="B521" s="49" t="str">
        <f t="array" ref="B521">INDEX('HD cty 2024'!B:B,MATCH('F0, F1, F2, ...'!$C521,'HD cty 2024'!B:B,0))</f>
        <v>#N/A</v>
      </c>
      <c r="C521" s="49">
        <v>695.0</v>
      </c>
      <c r="D521" s="50">
        <v>45646.0</v>
      </c>
      <c r="E521" s="51">
        <v>5.8572342E7</v>
      </c>
      <c r="F521" s="51">
        <v>4685787.0</v>
      </c>
      <c r="G521" s="51">
        <v>6.3258129E7</v>
      </c>
      <c r="H521" s="49" t="s">
        <v>414</v>
      </c>
      <c r="I521" s="52" t="s">
        <v>4121</v>
      </c>
      <c r="J521" s="50">
        <v>45807.0</v>
      </c>
      <c r="K521" s="51">
        <v>1946547.0</v>
      </c>
      <c r="L521" s="51">
        <v>155724.0</v>
      </c>
      <c r="M521" s="51">
        <v>2102271.0</v>
      </c>
      <c r="N521" s="49"/>
      <c r="O521" s="52"/>
      <c r="P521" s="50"/>
      <c r="Q521" s="51"/>
      <c r="R521" s="51"/>
      <c r="S521" s="51"/>
      <c r="T521" s="49"/>
      <c r="U521" s="52"/>
      <c r="V521" s="50"/>
      <c r="W521" s="51"/>
      <c r="X521" s="51"/>
      <c r="Y521" s="51"/>
      <c r="Z521" s="51">
        <v>6.0518889E7</v>
      </c>
      <c r="AA521" s="51">
        <v>4841511.0</v>
      </c>
      <c r="AB521" s="51">
        <v>6.53604E7</v>
      </c>
      <c r="AC521" s="47"/>
      <c r="AD521" s="47" t="s">
        <v>4122</v>
      </c>
      <c r="AE521" s="48"/>
      <c r="AF521" s="50"/>
      <c r="AG521" s="51">
        <v>-1946547.0</v>
      </c>
      <c r="AH521" s="51">
        <v>-155724.0</v>
      </c>
      <c r="AI521" s="51">
        <v>-2102271.0</v>
      </c>
      <c r="AJ521" s="47" t="s">
        <v>4123</v>
      </c>
      <c r="AK521" s="48"/>
      <c r="AL521" s="50"/>
      <c r="AM521" s="51">
        <v>-5.8572342E7</v>
      </c>
      <c r="AN521" s="51">
        <v>-4685787.0</v>
      </c>
      <c r="AO521" s="51">
        <v>-6.3258129E7</v>
      </c>
      <c r="AP521" s="47"/>
      <c r="AQ521" s="48"/>
      <c r="AR521" s="50"/>
      <c r="AS521" s="51"/>
      <c r="AT521" s="51"/>
      <c r="AU521" s="51"/>
      <c r="AV521" s="47"/>
      <c r="AW521" s="48"/>
      <c r="AX521" s="50"/>
      <c r="AY521" s="51"/>
      <c r="AZ521" s="51"/>
      <c r="BA521" s="51"/>
      <c r="BB521" s="51">
        <f t="shared" ref="BB521:BD521" si="519">IF(AND(ISNUMBER(Z521),COUNT(AG521,AM521,AS521,AY521)=2),Z521+SUM(AG521,AM521,AS521,AY521),"")</f>
        <v>0</v>
      </c>
      <c r="BC521" s="51">
        <f t="shared" si="519"/>
        <v>0</v>
      </c>
      <c r="BD521" s="51">
        <f t="shared" si="519"/>
        <v>0</v>
      </c>
    </row>
    <row r="522" ht="48.0" customHeight="1">
      <c r="A522" s="49" t="s">
        <v>40</v>
      </c>
      <c r="B522" s="49" t="str">
        <f t="array" ref="B522">INDEX('HD cty 2024'!B:B,MATCH('F0, F1, F2, ...'!$C522,'HD cty 2024'!B:B,0))</f>
        <v>#N/A</v>
      </c>
      <c r="C522" s="49">
        <v>697.0</v>
      </c>
      <c r="D522" s="50">
        <v>45647.0</v>
      </c>
      <c r="E522" s="51">
        <v>6.4528999E7</v>
      </c>
      <c r="F522" s="51">
        <v>5162320.0</v>
      </c>
      <c r="G522" s="51">
        <v>6.9691319E7</v>
      </c>
      <c r="H522" s="49" t="s">
        <v>414</v>
      </c>
      <c r="I522" s="52" t="s">
        <v>4124</v>
      </c>
      <c r="J522" s="50">
        <v>45807.0</v>
      </c>
      <c r="K522" s="51">
        <v>4799705.0</v>
      </c>
      <c r="L522" s="51">
        <v>383976.0</v>
      </c>
      <c r="M522" s="51">
        <v>5183681.0</v>
      </c>
      <c r="N522" s="49"/>
      <c r="O522" s="52"/>
      <c r="P522" s="50"/>
      <c r="Q522" s="51"/>
      <c r="R522" s="51"/>
      <c r="S522" s="51"/>
      <c r="T522" s="49"/>
      <c r="U522" s="52"/>
      <c r="V522" s="50"/>
      <c r="W522" s="51"/>
      <c r="X522" s="51"/>
      <c r="Y522" s="51"/>
      <c r="Z522" s="51">
        <v>6.9328704E7</v>
      </c>
      <c r="AA522" s="51">
        <v>5546296.0</v>
      </c>
      <c r="AB522" s="51">
        <v>7.4875E7</v>
      </c>
      <c r="AC522" s="47"/>
      <c r="AD522" s="47" t="s">
        <v>4125</v>
      </c>
      <c r="AE522" s="48"/>
      <c r="AF522" s="50"/>
      <c r="AG522" s="51">
        <v>-4799705.0</v>
      </c>
      <c r="AH522" s="51">
        <v>-383976.0</v>
      </c>
      <c r="AI522" s="51">
        <v>-5183681.0</v>
      </c>
      <c r="AJ522" s="47" t="s">
        <v>4126</v>
      </c>
      <c r="AK522" s="48"/>
      <c r="AL522" s="50"/>
      <c r="AM522" s="51">
        <v>-6.4528999E7</v>
      </c>
      <c r="AN522" s="51">
        <v>-5162320.0</v>
      </c>
      <c r="AO522" s="51">
        <v>-6.9691319E7</v>
      </c>
      <c r="AP522" s="47"/>
      <c r="AQ522" s="48"/>
      <c r="AR522" s="50"/>
      <c r="AS522" s="51"/>
      <c r="AT522" s="51"/>
      <c r="AU522" s="51"/>
      <c r="AV522" s="47"/>
      <c r="AW522" s="48"/>
      <c r="AX522" s="50"/>
      <c r="AY522" s="51"/>
      <c r="AZ522" s="51"/>
      <c r="BA522" s="51"/>
      <c r="BB522" s="51">
        <f t="shared" ref="BB522:BD522" si="520">IF(AND(ISNUMBER(Z522),COUNT(AG522,AM522,AS522,AY522)=2),Z522+SUM(AG522,AM522,AS522,AY522),"")</f>
        <v>0</v>
      </c>
      <c r="BC522" s="51">
        <f t="shared" si="520"/>
        <v>0</v>
      </c>
      <c r="BD522" s="51">
        <f t="shared" si="520"/>
        <v>0</v>
      </c>
    </row>
    <row r="523" ht="48.0" customHeight="1">
      <c r="A523" s="49" t="s">
        <v>40</v>
      </c>
      <c r="B523" s="49" t="str">
        <f t="array" ref="B523">INDEX('HD cty 2024'!B:B,MATCH('F0, F1, F2, ...'!$C523,'HD cty 2024'!B:B,0))</f>
        <v>#N/A</v>
      </c>
      <c r="C523" s="49">
        <v>699.0</v>
      </c>
      <c r="D523" s="50">
        <v>45647.0</v>
      </c>
      <c r="E523" s="51">
        <v>8.7481502E7</v>
      </c>
      <c r="F523" s="51">
        <v>6998520.0</v>
      </c>
      <c r="G523" s="51">
        <v>9.4480022E7</v>
      </c>
      <c r="H523" s="49" t="s">
        <v>414</v>
      </c>
      <c r="I523" s="52" t="s">
        <v>4127</v>
      </c>
      <c r="J523" s="50">
        <v>45807.0</v>
      </c>
      <c r="K523" s="51">
        <v>6794424.0</v>
      </c>
      <c r="L523" s="51">
        <v>543554.0</v>
      </c>
      <c r="M523" s="51">
        <v>7337978.0</v>
      </c>
      <c r="N523" s="49"/>
      <c r="O523" s="52"/>
      <c r="P523" s="50"/>
      <c r="Q523" s="51"/>
      <c r="R523" s="51"/>
      <c r="S523" s="51"/>
      <c r="T523" s="49"/>
      <c r="U523" s="52"/>
      <c r="V523" s="50"/>
      <c r="W523" s="51"/>
      <c r="X523" s="51"/>
      <c r="Y523" s="51"/>
      <c r="Z523" s="51">
        <v>9.4275926E7</v>
      </c>
      <c r="AA523" s="51">
        <v>7542074.0</v>
      </c>
      <c r="AB523" s="51">
        <v>1.01818E8</v>
      </c>
      <c r="AC523" s="47"/>
      <c r="AD523" s="47" t="s">
        <v>4128</v>
      </c>
      <c r="AE523" s="48"/>
      <c r="AF523" s="50"/>
      <c r="AG523" s="51">
        <v>-6794424.0</v>
      </c>
      <c r="AH523" s="51">
        <v>-543554.0</v>
      </c>
      <c r="AI523" s="51">
        <v>-7337978.0</v>
      </c>
      <c r="AJ523" s="47" t="s">
        <v>4129</v>
      </c>
      <c r="AK523" s="48"/>
      <c r="AL523" s="50"/>
      <c r="AM523" s="51">
        <v>-8.7481502E7</v>
      </c>
      <c r="AN523" s="51">
        <v>-6998520.0</v>
      </c>
      <c r="AO523" s="51">
        <v>-9.4480022E7</v>
      </c>
      <c r="AP523" s="47"/>
      <c r="AQ523" s="48"/>
      <c r="AR523" s="50"/>
      <c r="AS523" s="51"/>
      <c r="AT523" s="51"/>
      <c r="AU523" s="51"/>
      <c r="AV523" s="47"/>
      <c r="AW523" s="48"/>
      <c r="AX523" s="50"/>
      <c r="AY523" s="51"/>
      <c r="AZ523" s="51"/>
      <c r="BA523" s="51"/>
      <c r="BB523" s="51">
        <f t="shared" ref="BB523:BD523" si="521">IF(AND(ISNUMBER(Z523),COUNT(AG523,AM523,AS523,AY523)=2),Z523+SUM(AG523,AM523,AS523,AY523),"")</f>
        <v>0</v>
      </c>
      <c r="BC523" s="51">
        <f t="shared" si="521"/>
        <v>0</v>
      </c>
      <c r="BD523" s="51">
        <f t="shared" si="521"/>
        <v>0</v>
      </c>
    </row>
    <row r="524" ht="48.0" customHeight="1">
      <c r="A524" s="49" t="s">
        <v>40</v>
      </c>
      <c r="B524" s="49" t="str">
        <f t="array" ref="B524">INDEX('HD cty 2024'!B:B,MATCH('F0, F1, F2, ...'!$C524,'HD cty 2024'!B:B,0))</f>
        <v>#N/A</v>
      </c>
      <c r="C524" s="49">
        <v>700.0</v>
      </c>
      <c r="D524" s="50">
        <v>45647.0</v>
      </c>
      <c r="E524" s="51">
        <v>7.3693567E7</v>
      </c>
      <c r="F524" s="51">
        <v>5895485.0</v>
      </c>
      <c r="G524" s="51">
        <v>7.9589052E7</v>
      </c>
      <c r="H524" s="49" t="s">
        <v>414</v>
      </c>
      <c r="I524" s="52" t="s">
        <v>4130</v>
      </c>
      <c r="J524" s="50">
        <v>45807.0</v>
      </c>
      <c r="K524" s="51">
        <v>5499950.0</v>
      </c>
      <c r="L524" s="51">
        <v>439996.0</v>
      </c>
      <c r="M524" s="51">
        <v>5939946.0</v>
      </c>
      <c r="N524" s="49"/>
      <c r="O524" s="52"/>
      <c r="P524" s="50"/>
      <c r="Q524" s="51"/>
      <c r="R524" s="51"/>
      <c r="S524" s="51"/>
      <c r="T524" s="49"/>
      <c r="U524" s="52"/>
      <c r="V524" s="50"/>
      <c r="W524" s="51"/>
      <c r="X524" s="51"/>
      <c r="Y524" s="51"/>
      <c r="Z524" s="51">
        <v>7.9193517E7</v>
      </c>
      <c r="AA524" s="51">
        <v>6335481.0</v>
      </c>
      <c r="AB524" s="51">
        <v>8.5528998E7</v>
      </c>
      <c r="AC524" s="47"/>
      <c r="AD524" s="47" t="s">
        <v>4131</v>
      </c>
      <c r="AE524" s="48"/>
      <c r="AF524" s="50"/>
      <c r="AG524" s="51">
        <v>-5499950.0</v>
      </c>
      <c r="AH524" s="51">
        <v>-439996.0</v>
      </c>
      <c r="AI524" s="51">
        <v>-5939946.0</v>
      </c>
      <c r="AJ524" s="47" t="s">
        <v>4132</v>
      </c>
      <c r="AK524" s="48"/>
      <c r="AL524" s="50"/>
      <c r="AM524" s="51">
        <v>-7.3693567E7</v>
      </c>
      <c r="AN524" s="51">
        <v>-5895485.0</v>
      </c>
      <c r="AO524" s="51">
        <v>-7.9589052E7</v>
      </c>
      <c r="AP524" s="47"/>
      <c r="AQ524" s="48"/>
      <c r="AR524" s="50"/>
      <c r="AS524" s="51"/>
      <c r="AT524" s="51"/>
      <c r="AU524" s="51"/>
      <c r="AV524" s="47"/>
      <c r="AW524" s="48"/>
      <c r="AX524" s="50"/>
      <c r="AY524" s="51"/>
      <c r="AZ524" s="51"/>
      <c r="BA524" s="51"/>
      <c r="BB524" s="51">
        <f t="shared" ref="BB524:BD524" si="522">IF(AND(ISNUMBER(Z524),COUNT(AG524,AM524,AS524,AY524)=2),Z524+SUM(AG524,AM524,AS524,AY524),"")</f>
        <v>0</v>
      </c>
      <c r="BC524" s="51">
        <f t="shared" si="522"/>
        <v>0</v>
      </c>
      <c r="BD524" s="51">
        <f t="shared" si="522"/>
        <v>0</v>
      </c>
    </row>
    <row r="525" ht="48.0" customHeight="1">
      <c r="A525" s="49" t="s">
        <v>40</v>
      </c>
      <c r="B525" s="49" t="str">
        <f t="array" ref="B525">INDEX('HD cty 2024'!B:B,MATCH('F0, F1, F2, ...'!$C525,'HD cty 2024'!B:B,0))</f>
        <v>#N/A</v>
      </c>
      <c r="C525" s="49">
        <v>701.0</v>
      </c>
      <c r="D525" s="50">
        <v>45648.0</v>
      </c>
      <c r="E525" s="51">
        <v>1.03685365E8</v>
      </c>
      <c r="F525" s="51">
        <v>8294829.0</v>
      </c>
      <c r="G525" s="51">
        <v>1.11980194E8</v>
      </c>
      <c r="H525" s="49" t="s">
        <v>414</v>
      </c>
      <c r="I525" s="52" t="s">
        <v>4133</v>
      </c>
      <c r="J525" s="50">
        <v>45807.0</v>
      </c>
      <c r="K525" s="51">
        <v>8375746.0</v>
      </c>
      <c r="L525" s="51">
        <v>670060.0</v>
      </c>
      <c r="M525" s="51">
        <v>9045806.0</v>
      </c>
      <c r="N525" s="49"/>
      <c r="O525" s="52"/>
      <c r="P525" s="50"/>
      <c r="Q525" s="51"/>
      <c r="R525" s="51"/>
      <c r="S525" s="51"/>
      <c r="T525" s="49"/>
      <c r="U525" s="52"/>
      <c r="V525" s="50"/>
      <c r="W525" s="51"/>
      <c r="X525" s="51"/>
      <c r="Y525" s="51"/>
      <c r="Z525" s="51">
        <v>1.12061111E8</v>
      </c>
      <c r="AA525" s="51">
        <v>8964889.0</v>
      </c>
      <c r="AB525" s="51">
        <v>1.21026E8</v>
      </c>
      <c r="AC525" s="47"/>
      <c r="AD525" s="47" t="s">
        <v>4134</v>
      </c>
      <c r="AE525" s="48"/>
      <c r="AF525" s="50"/>
      <c r="AG525" s="51">
        <v>-8375746.0</v>
      </c>
      <c r="AH525" s="51">
        <v>-670060.0</v>
      </c>
      <c r="AI525" s="51">
        <v>-9045806.0</v>
      </c>
      <c r="AJ525" s="47" t="s">
        <v>4135</v>
      </c>
      <c r="AK525" s="48"/>
      <c r="AL525" s="50"/>
      <c r="AM525" s="51">
        <v>-1.03685365E8</v>
      </c>
      <c r="AN525" s="51">
        <v>-8294829.0</v>
      </c>
      <c r="AO525" s="51">
        <v>-1.11980194E8</v>
      </c>
      <c r="AP525" s="47"/>
      <c r="AQ525" s="48"/>
      <c r="AR525" s="50"/>
      <c r="AS525" s="51"/>
      <c r="AT525" s="51"/>
      <c r="AU525" s="51"/>
      <c r="AV525" s="47"/>
      <c r="AW525" s="48"/>
      <c r="AX525" s="50"/>
      <c r="AY525" s="51"/>
      <c r="AZ525" s="51"/>
      <c r="BA525" s="51"/>
      <c r="BB525" s="51">
        <f t="shared" ref="BB525:BD525" si="523">IF(AND(ISNUMBER(Z525),COUNT(AG525,AM525,AS525,AY525)=2),Z525+SUM(AG525,AM525,AS525,AY525),"")</f>
        <v>0</v>
      </c>
      <c r="BC525" s="51">
        <f t="shared" si="523"/>
        <v>0</v>
      </c>
      <c r="BD525" s="51">
        <f t="shared" si="523"/>
        <v>0</v>
      </c>
    </row>
    <row r="526" ht="48.0" customHeight="1">
      <c r="A526" s="49" t="s">
        <v>40</v>
      </c>
      <c r="B526" s="49" t="str">
        <f t="array" ref="B526">INDEX('HD cty 2024'!B:B,MATCH('F0, F1, F2, ...'!$C526,'HD cty 2024'!B:B,0))</f>
        <v>#N/A</v>
      </c>
      <c r="C526" s="49">
        <v>702.0</v>
      </c>
      <c r="D526" s="50">
        <v>45649.0</v>
      </c>
      <c r="E526" s="51">
        <v>4.6700731E7</v>
      </c>
      <c r="F526" s="51">
        <v>3736058.0</v>
      </c>
      <c r="G526" s="51">
        <v>5.0436789E7</v>
      </c>
      <c r="H526" s="49" t="s">
        <v>414</v>
      </c>
      <c r="I526" s="52" t="s">
        <v>4136</v>
      </c>
      <c r="J526" s="50">
        <v>45807.0</v>
      </c>
      <c r="K526" s="51">
        <v>3987232.0</v>
      </c>
      <c r="L526" s="51">
        <v>318979.0</v>
      </c>
      <c r="M526" s="51">
        <v>4306211.0</v>
      </c>
      <c r="N526" s="49"/>
      <c r="O526" s="52"/>
      <c r="P526" s="50"/>
      <c r="Q526" s="51"/>
      <c r="R526" s="51"/>
      <c r="S526" s="51"/>
      <c r="T526" s="49"/>
      <c r="U526" s="52"/>
      <c r="V526" s="50"/>
      <c r="W526" s="51"/>
      <c r="X526" s="51"/>
      <c r="Y526" s="51"/>
      <c r="Z526" s="51">
        <v>5.0687963E7</v>
      </c>
      <c r="AA526" s="51">
        <v>4055037.0</v>
      </c>
      <c r="AB526" s="51">
        <v>5.4743E7</v>
      </c>
      <c r="AC526" s="47"/>
      <c r="AD526" s="47" t="s">
        <v>4137</v>
      </c>
      <c r="AE526" s="48"/>
      <c r="AF526" s="50"/>
      <c r="AG526" s="51">
        <v>-3987232.0</v>
      </c>
      <c r="AH526" s="51">
        <v>-318979.0</v>
      </c>
      <c r="AI526" s="51">
        <v>-4306211.0</v>
      </c>
      <c r="AJ526" s="47" t="s">
        <v>4138</v>
      </c>
      <c r="AK526" s="48"/>
      <c r="AL526" s="50"/>
      <c r="AM526" s="51">
        <v>-4.6700731E7</v>
      </c>
      <c r="AN526" s="51">
        <v>-3736058.0</v>
      </c>
      <c r="AO526" s="51">
        <v>-5.0436789E7</v>
      </c>
      <c r="AP526" s="47"/>
      <c r="AQ526" s="48"/>
      <c r="AR526" s="50"/>
      <c r="AS526" s="51"/>
      <c r="AT526" s="51"/>
      <c r="AU526" s="51"/>
      <c r="AV526" s="47"/>
      <c r="AW526" s="48"/>
      <c r="AX526" s="50"/>
      <c r="AY526" s="51"/>
      <c r="AZ526" s="51"/>
      <c r="BA526" s="51"/>
      <c r="BB526" s="51">
        <f t="shared" ref="BB526:BD526" si="524">IF(AND(ISNUMBER(Z526),COUNT(AG526,AM526,AS526,AY526)=2),Z526+SUM(AG526,AM526,AS526,AY526),"")</f>
        <v>0</v>
      </c>
      <c r="BC526" s="51">
        <f t="shared" si="524"/>
        <v>0</v>
      </c>
      <c r="BD526" s="51">
        <f t="shared" si="524"/>
        <v>0</v>
      </c>
    </row>
    <row r="527" ht="48.0" customHeight="1">
      <c r="A527" s="49" t="s">
        <v>40</v>
      </c>
      <c r="B527" s="49" t="str">
        <f t="array" ref="B527">INDEX('HD cty 2024'!B:B,MATCH('F0, F1, F2, ...'!$C527,'HD cty 2024'!B:B,0))</f>
        <v>#N/A</v>
      </c>
      <c r="C527" s="49">
        <v>703.0</v>
      </c>
      <c r="D527" s="50">
        <v>45649.0</v>
      </c>
      <c r="E527" s="51">
        <v>8.1839837E7</v>
      </c>
      <c r="F527" s="51">
        <v>6547187.0</v>
      </c>
      <c r="G527" s="51">
        <v>8.8387024E7</v>
      </c>
      <c r="H527" s="49" t="s">
        <v>414</v>
      </c>
      <c r="I527" s="52" t="s">
        <v>4139</v>
      </c>
      <c r="J527" s="50">
        <v>45807.0</v>
      </c>
      <c r="K527" s="51">
        <v>7477987.0</v>
      </c>
      <c r="L527" s="51">
        <v>598239.0</v>
      </c>
      <c r="M527" s="51">
        <v>8076226.0</v>
      </c>
      <c r="N527" s="49"/>
      <c r="O527" s="52"/>
      <c r="P527" s="50"/>
      <c r="Q527" s="51"/>
      <c r="R527" s="51"/>
      <c r="S527" s="51"/>
      <c r="T527" s="49"/>
      <c r="U527" s="52"/>
      <c r="V527" s="50"/>
      <c r="W527" s="51"/>
      <c r="X527" s="51"/>
      <c r="Y527" s="51"/>
      <c r="Z527" s="51">
        <v>8.9317824E7</v>
      </c>
      <c r="AA527" s="51">
        <v>7145426.0</v>
      </c>
      <c r="AB527" s="51">
        <v>9.646325E7</v>
      </c>
      <c r="AC527" s="47"/>
      <c r="AD527" s="47" t="s">
        <v>4140</v>
      </c>
      <c r="AE527" s="48"/>
      <c r="AF527" s="50"/>
      <c r="AG527" s="51">
        <v>-7477987.0</v>
      </c>
      <c r="AH527" s="51">
        <v>-598239.0</v>
      </c>
      <c r="AI527" s="51">
        <v>-8076226.0</v>
      </c>
      <c r="AJ527" s="47" t="s">
        <v>4141</v>
      </c>
      <c r="AK527" s="48"/>
      <c r="AL527" s="50"/>
      <c r="AM527" s="51">
        <v>-8.1839837E7</v>
      </c>
      <c r="AN527" s="51">
        <v>-6547187.0</v>
      </c>
      <c r="AO527" s="51">
        <v>-8.8387024E7</v>
      </c>
      <c r="AP527" s="47"/>
      <c r="AQ527" s="48"/>
      <c r="AR527" s="50"/>
      <c r="AS527" s="51"/>
      <c r="AT527" s="51"/>
      <c r="AU527" s="51"/>
      <c r="AV527" s="47"/>
      <c r="AW527" s="48"/>
      <c r="AX527" s="50"/>
      <c r="AY527" s="51"/>
      <c r="AZ527" s="51"/>
      <c r="BA527" s="51"/>
      <c r="BB527" s="51">
        <f t="shared" ref="BB527:BD527" si="525">IF(AND(ISNUMBER(Z527),COUNT(AG527,AM527,AS527,AY527)=2),Z527+SUM(AG527,AM527,AS527,AY527),"")</f>
        <v>0</v>
      </c>
      <c r="BC527" s="51">
        <f t="shared" si="525"/>
        <v>0</v>
      </c>
      <c r="BD527" s="51">
        <f t="shared" si="525"/>
        <v>0</v>
      </c>
    </row>
    <row r="528" ht="48.0" customHeight="1">
      <c r="A528" s="49" t="s">
        <v>40</v>
      </c>
      <c r="B528" s="49" t="str">
        <f t="array" ref="B528">INDEX('HD cty 2024'!B:B,MATCH('F0, F1, F2, ...'!$C528,'HD cty 2024'!B:B,0))</f>
        <v>#N/A</v>
      </c>
      <c r="C528" s="49">
        <v>704.0</v>
      </c>
      <c r="D528" s="50">
        <v>45649.0</v>
      </c>
      <c r="E528" s="51">
        <v>1.00609369E8</v>
      </c>
      <c r="F528" s="51">
        <v>8048750.0</v>
      </c>
      <c r="G528" s="51">
        <v>1.08658119E8</v>
      </c>
      <c r="H528" s="49" t="s">
        <v>414</v>
      </c>
      <c r="I528" s="52" t="s">
        <v>4142</v>
      </c>
      <c r="J528" s="50">
        <v>45807.0</v>
      </c>
      <c r="K528" s="51">
        <v>1.0150315E7</v>
      </c>
      <c r="L528" s="51">
        <v>812025.0</v>
      </c>
      <c r="M528" s="51">
        <v>1.096234E7</v>
      </c>
      <c r="N528" s="49"/>
      <c r="O528" s="52"/>
      <c r="P528" s="50"/>
      <c r="Q528" s="51"/>
      <c r="R528" s="51"/>
      <c r="S528" s="51"/>
      <c r="T528" s="49"/>
      <c r="U528" s="52"/>
      <c r="V528" s="50"/>
      <c r="W528" s="51"/>
      <c r="X528" s="51"/>
      <c r="Y528" s="51"/>
      <c r="Z528" s="51">
        <v>1.10759684E8</v>
      </c>
      <c r="AA528" s="51">
        <v>8860775.0</v>
      </c>
      <c r="AB528" s="51">
        <v>1.19620459E8</v>
      </c>
      <c r="AC528" s="47"/>
      <c r="AD528" s="47" t="s">
        <v>4143</v>
      </c>
      <c r="AE528" s="48"/>
      <c r="AF528" s="50"/>
      <c r="AG528" s="51">
        <v>-1.0150315E7</v>
      </c>
      <c r="AH528" s="51">
        <v>-812025.0</v>
      </c>
      <c r="AI528" s="51">
        <v>-1.096234E7</v>
      </c>
      <c r="AJ528" s="47" t="s">
        <v>4144</v>
      </c>
      <c r="AK528" s="48"/>
      <c r="AL528" s="50"/>
      <c r="AM528" s="51">
        <v>-1.00609369E8</v>
      </c>
      <c r="AN528" s="51">
        <v>-8048750.0</v>
      </c>
      <c r="AO528" s="51">
        <v>-1.08658119E8</v>
      </c>
      <c r="AP528" s="47"/>
      <c r="AQ528" s="48"/>
      <c r="AR528" s="50"/>
      <c r="AS528" s="51"/>
      <c r="AT528" s="51"/>
      <c r="AU528" s="51"/>
      <c r="AV528" s="47"/>
      <c r="AW528" s="48"/>
      <c r="AX528" s="50"/>
      <c r="AY528" s="51"/>
      <c r="AZ528" s="51"/>
      <c r="BA528" s="51"/>
      <c r="BB528" s="51">
        <f t="shared" ref="BB528:BD528" si="526">IF(AND(ISNUMBER(Z528),COUNT(AG528,AM528,AS528,AY528)=2),Z528+SUM(AG528,AM528,AS528,AY528),"")</f>
        <v>0</v>
      </c>
      <c r="BC528" s="51">
        <f t="shared" si="526"/>
        <v>0</v>
      </c>
      <c r="BD528" s="51">
        <f t="shared" si="526"/>
        <v>0</v>
      </c>
    </row>
    <row r="529" ht="48.0" customHeight="1">
      <c r="A529" s="49" t="s">
        <v>40</v>
      </c>
      <c r="B529" s="49" t="str">
        <f t="array" ref="B529">INDEX('HD cty 2024'!B:B,MATCH('F0, F1, F2, ...'!$C529,'HD cty 2024'!B:B,0))</f>
        <v>#N/A</v>
      </c>
      <c r="C529" s="49">
        <v>705.0</v>
      </c>
      <c r="D529" s="50">
        <v>45649.0</v>
      </c>
      <c r="E529" s="51">
        <v>7.9527373E7</v>
      </c>
      <c r="F529" s="51">
        <v>6362190.0</v>
      </c>
      <c r="G529" s="51">
        <v>8.5889563E7</v>
      </c>
      <c r="H529" s="49" t="s">
        <v>414</v>
      </c>
      <c r="I529" s="52" t="s">
        <v>4145</v>
      </c>
      <c r="J529" s="50">
        <v>45807.0</v>
      </c>
      <c r="K529" s="51">
        <v>6474330.0</v>
      </c>
      <c r="L529" s="51">
        <v>517946.0</v>
      </c>
      <c r="M529" s="51">
        <v>6992276.0</v>
      </c>
      <c r="N529" s="49"/>
      <c r="O529" s="52"/>
      <c r="P529" s="50"/>
      <c r="Q529" s="51"/>
      <c r="R529" s="51"/>
      <c r="S529" s="51"/>
      <c r="T529" s="49"/>
      <c r="U529" s="52"/>
      <c r="V529" s="50"/>
      <c r="W529" s="51"/>
      <c r="X529" s="51"/>
      <c r="Y529" s="51"/>
      <c r="Z529" s="51">
        <v>8.6001703E7</v>
      </c>
      <c r="AA529" s="51">
        <v>6880136.0</v>
      </c>
      <c r="AB529" s="51">
        <v>9.2881839E7</v>
      </c>
      <c r="AC529" s="47"/>
      <c r="AD529" s="47" t="s">
        <v>4146</v>
      </c>
      <c r="AE529" s="48"/>
      <c r="AF529" s="50"/>
      <c r="AG529" s="51">
        <v>-6474330.0</v>
      </c>
      <c r="AH529" s="51">
        <v>-517946.0</v>
      </c>
      <c r="AI529" s="51">
        <v>-6992276.0</v>
      </c>
      <c r="AJ529" s="47" t="s">
        <v>4147</v>
      </c>
      <c r="AK529" s="48"/>
      <c r="AL529" s="50"/>
      <c r="AM529" s="51">
        <v>-7.9527373E7</v>
      </c>
      <c r="AN529" s="51">
        <v>-6362190.0</v>
      </c>
      <c r="AO529" s="51">
        <v>-8.5889563E7</v>
      </c>
      <c r="AP529" s="47"/>
      <c r="AQ529" s="48"/>
      <c r="AR529" s="50"/>
      <c r="AS529" s="51"/>
      <c r="AT529" s="51"/>
      <c r="AU529" s="51"/>
      <c r="AV529" s="47"/>
      <c r="AW529" s="48"/>
      <c r="AX529" s="50"/>
      <c r="AY529" s="51"/>
      <c r="AZ529" s="51"/>
      <c r="BA529" s="51"/>
      <c r="BB529" s="51">
        <f t="shared" ref="BB529:BD529" si="527">IF(AND(ISNUMBER(Z529),COUNT(AG529,AM529,AS529,AY529)=2),Z529+SUM(AG529,AM529,AS529,AY529),"")</f>
        <v>0</v>
      </c>
      <c r="BC529" s="51">
        <f t="shared" si="527"/>
        <v>0</v>
      </c>
      <c r="BD529" s="51">
        <f t="shared" si="527"/>
        <v>0</v>
      </c>
    </row>
    <row r="530" ht="48.0" customHeight="1">
      <c r="A530" s="49" t="s">
        <v>40</v>
      </c>
      <c r="B530" s="49" t="str">
        <f t="array" ref="B530">INDEX('HD cty 2024'!B:B,MATCH('F0, F1, F2, ...'!$C530,'HD cty 2024'!B:B,0))</f>
        <v>#N/A</v>
      </c>
      <c r="C530" s="49">
        <v>706.0</v>
      </c>
      <c r="D530" s="50">
        <v>45649.0</v>
      </c>
      <c r="E530" s="51">
        <v>1.51789722E8</v>
      </c>
      <c r="F530" s="51">
        <v>1.2143178E7</v>
      </c>
      <c r="G530" s="51">
        <v>1.639329E8</v>
      </c>
      <c r="H530" s="49" t="s">
        <v>414</v>
      </c>
      <c r="I530" s="52" t="s">
        <v>4148</v>
      </c>
      <c r="J530" s="50">
        <v>45807.0</v>
      </c>
      <c r="K530" s="51">
        <v>1.6390111E7</v>
      </c>
      <c r="L530" s="51">
        <v>1311209.0</v>
      </c>
      <c r="M530" s="51">
        <v>1.770132E7</v>
      </c>
      <c r="N530" s="49"/>
      <c r="O530" s="52"/>
      <c r="P530" s="50"/>
      <c r="Q530" s="51"/>
      <c r="R530" s="51"/>
      <c r="S530" s="51"/>
      <c r="T530" s="49"/>
      <c r="U530" s="52"/>
      <c r="V530" s="50"/>
      <c r="W530" s="51"/>
      <c r="X530" s="51"/>
      <c r="Y530" s="51"/>
      <c r="Z530" s="51">
        <v>1.68179833E8</v>
      </c>
      <c r="AA530" s="51">
        <v>1.3454387E7</v>
      </c>
      <c r="AB530" s="51">
        <v>1.8163422E8</v>
      </c>
      <c r="AC530" s="47"/>
      <c r="AD530" s="47" t="s">
        <v>4149</v>
      </c>
      <c r="AE530" s="48"/>
      <c r="AF530" s="50"/>
      <c r="AG530" s="51">
        <v>-1.6390111E7</v>
      </c>
      <c r="AH530" s="51">
        <v>-1311209.0</v>
      </c>
      <c r="AI530" s="51">
        <v>-1.770132E7</v>
      </c>
      <c r="AJ530" s="47" t="s">
        <v>4150</v>
      </c>
      <c r="AK530" s="48"/>
      <c r="AL530" s="50"/>
      <c r="AM530" s="51">
        <v>-1.51789722E8</v>
      </c>
      <c r="AN530" s="51">
        <v>-1.2143178E7</v>
      </c>
      <c r="AO530" s="51">
        <v>-1.639329E8</v>
      </c>
      <c r="AP530" s="47"/>
      <c r="AQ530" s="48"/>
      <c r="AR530" s="50"/>
      <c r="AS530" s="51"/>
      <c r="AT530" s="51"/>
      <c r="AU530" s="51"/>
      <c r="AV530" s="47"/>
      <c r="AW530" s="48"/>
      <c r="AX530" s="50"/>
      <c r="AY530" s="51"/>
      <c r="AZ530" s="51"/>
      <c r="BA530" s="51"/>
      <c r="BB530" s="51">
        <f t="shared" ref="BB530:BD530" si="528">IF(AND(ISNUMBER(Z530),COUNT(AG530,AM530,AS530,AY530)=2),Z530+SUM(AG530,AM530,AS530,AY530),"")</f>
        <v>0</v>
      </c>
      <c r="BC530" s="51">
        <f t="shared" si="528"/>
        <v>0</v>
      </c>
      <c r="BD530" s="51">
        <f t="shared" si="528"/>
        <v>0</v>
      </c>
    </row>
    <row r="531" ht="48.0" customHeight="1">
      <c r="A531" s="49" t="s">
        <v>40</v>
      </c>
      <c r="B531" s="49" t="str">
        <f t="array" ref="B531">INDEX('HD cty 2024'!B:B,MATCH('F0, F1, F2, ...'!$C531,'HD cty 2024'!B:B,0))</f>
        <v>#N/A</v>
      </c>
      <c r="C531" s="49">
        <v>707.0</v>
      </c>
      <c r="D531" s="50">
        <v>45650.0</v>
      </c>
      <c r="E531" s="51">
        <v>1.08622529E8</v>
      </c>
      <c r="F531" s="51">
        <v>8689802.0</v>
      </c>
      <c r="G531" s="51">
        <v>1.17312331E8</v>
      </c>
      <c r="H531" s="49" t="s">
        <v>414</v>
      </c>
      <c r="I531" s="52" t="s">
        <v>4151</v>
      </c>
      <c r="J531" s="50">
        <v>45807.0</v>
      </c>
      <c r="K531" s="51">
        <v>9143795.0</v>
      </c>
      <c r="L531" s="51">
        <v>731504.0</v>
      </c>
      <c r="M531" s="51">
        <v>9875299.0</v>
      </c>
      <c r="N531" s="49"/>
      <c r="O531" s="52"/>
      <c r="P531" s="50"/>
      <c r="Q531" s="51"/>
      <c r="R531" s="51"/>
      <c r="S531" s="51"/>
      <c r="T531" s="49"/>
      <c r="U531" s="52"/>
      <c r="V531" s="50"/>
      <c r="W531" s="51"/>
      <c r="X531" s="51"/>
      <c r="Y531" s="51"/>
      <c r="Z531" s="51">
        <v>1.17766324E8</v>
      </c>
      <c r="AA531" s="51">
        <v>9421306.0</v>
      </c>
      <c r="AB531" s="51">
        <v>1.2718763E8</v>
      </c>
      <c r="AC531" s="47"/>
      <c r="AD531" s="47" t="s">
        <v>4152</v>
      </c>
      <c r="AE531" s="48"/>
      <c r="AF531" s="50"/>
      <c r="AG531" s="51">
        <v>-9143795.0</v>
      </c>
      <c r="AH531" s="51">
        <v>-731504.0</v>
      </c>
      <c r="AI531" s="51">
        <v>-9875299.0</v>
      </c>
      <c r="AJ531" s="47" t="s">
        <v>4153</v>
      </c>
      <c r="AK531" s="48"/>
      <c r="AL531" s="50"/>
      <c r="AM531" s="51">
        <v>-1.08622529E8</v>
      </c>
      <c r="AN531" s="51">
        <v>-8689802.0</v>
      </c>
      <c r="AO531" s="51">
        <v>-1.17312331E8</v>
      </c>
      <c r="AP531" s="47"/>
      <c r="AQ531" s="48"/>
      <c r="AR531" s="50"/>
      <c r="AS531" s="51"/>
      <c r="AT531" s="51"/>
      <c r="AU531" s="51"/>
      <c r="AV531" s="47"/>
      <c r="AW531" s="48"/>
      <c r="AX531" s="50"/>
      <c r="AY531" s="51"/>
      <c r="AZ531" s="51"/>
      <c r="BA531" s="51"/>
      <c r="BB531" s="51">
        <f t="shared" ref="BB531:BD531" si="529">IF(AND(ISNUMBER(Z531),COUNT(AG531,AM531,AS531,AY531)=2),Z531+SUM(AG531,AM531,AS531,AY531),"")</f>
        <v>0</v>
      </c>
      <c r="BC531" s="51">
        <f t="shared" si="529"/>
        <v>0</v>
      </c>
      <c r="BD531" s="51">
        <f t="shared" si="529"/>
        <v>0</v>
      </c>
    </row>
    <row r="532" ht="48.0" customHeight="1">
      <c r="A532" s="49" t="s">
        <v>40</v>
      </c>
      <c r="B532" s="49" t="str">
        <f t="array" ref="B532">INDEX('HD cty 2024'!B:B,MATCH('F0, F1, F2, ...'!$C532,'HD cty 2024'!B:B,0))</f>
        <v>#N/A</v>
      </c>
      <c r="C532" s="49">
        <v>708.0</v>
      </c>
      <c r="D532" s="50">
        <v>45650.0</v>
      </c>
      <c r="E532" s="51">
        <v>1.29738315E8</v>
      </c>
      <c r="F532" s="51">
        <v>1.0379065E7</v>
      </c>
      <c r="G532" s="51">
        <v>1.4011738E8</v>
      </c>
      <c r="H532" s="49" t="s">
        <v>414</v>
      </c>
      <c r="I532" s="52" t="s">
        <v>4154</v>
      </c>
      <c r="J532" s="50">
        <v>45807.0</v>
      </c>
      <c r="K532" s="51">
        <v>1.1914555E7</v>
      </c>
      <c r="L532" s="51">
        <v>953164.0</v>
      </c>
      <c r="M532" s="51">
        <v>1.2867719E7</v>
      </c>
      <c r="N532" s="49"/>
      <c r="O532" s="52"/>
      <c r="P532" s="50"/>
      <c r="Q532" s="51"/>
      <c r="R532" s="51"/>
      <c r="S532" s="51"/>
      <c r="T532" s="49"/>
      <c r="U532" s="52"/>
      <c r="V532" s="50"/>
      <c r="W532" s="51"/>
      <c r="X532" s="51"/>
      <c r="Y532" s="51"/>
      <c r="Z532" s="51">
        <v>1.4165287E8</v>
      </c>
      <c r="AA532" s="51">
        <v>1.1332229E7</v>
      </c>
      <c r="AB532" s="51">
        <v>1.52985099E8</v>
      </c>
      <c r="AC532" s="47"/>
      <c r="AD532" s="47" t="s">
        <v>4155</v>
      </c>
      <c r="AE532" s="48"/>
      <c r="AF532" s="50"/>
      <c r="AG532" s="51">
        <v>-1.1914555E7</v>
      </c>
      <c r="AH532" s="51">
        <v>-953164.0</v>
      </c>
      <c r="AI532" s="51">
        <v>-1.2867719E7</v>
      </c>
      <c r="AJ532" s="47" t="s">
        <v>4156</v>
      </c>
      <c r="AK532" s="48"/>
      <c r="AL532" s="50"/>
      <c r="AM532" s="51">
        <v>-1.29738315E8</v>
      </c>
      <c r="AN532" s="51">
        <v>-1.0379065E7</v>
      </c>
      <c r="AO532" s="51">
        <v>-1.4011738E8</v>
      </c>
      <c r="AP532" s="47"/>
      <c r="AQ532" s="48"/>
      <c r="AR532" s="50"/>
      <c r="AS532" s="51"/>
      <c r="AT532" s="51"/>
      <c r="AU532" s="51"/>
      <c r="AV532" s="47"/>
      <c r="AW532" s="48"/>
      <c r="AX532" s="50"/>
      <c r="AY532" s="51"/>
      <c r="AZ532" s="51"/>
      <c r="BA532" s="51"/>
      <c r="BB532" s="51">
        <f t="shared" ref="BB532:BD532" si="530">IF(AND(ISNUMBER(Z532),COUNT(AG532,AM532,AS532,AY532)=2),Z532+SUM(AG532,AM532,AS532,AY532),"")</f>
        <v>0</v>
      </c>
      <c r="BC532" s="51">
        <f t="shared" si="530"/>
        <v>0</v>
      </c>
      <c r="BD532" s="51">
        <f t="shared" si="530"/>
        <v>0</v>
      </c>
    </row>
    <row r="533" ht="48.0" customHeight="1">
      <c r="A533" s="49" t="s">
        <v>40</v>
      </c>
      <c r="B533" s="49" t="str">
        <f t="array" ref="B533">INDEX('HD cty 2024'!B:B,MATCH('F0, F1, F2, ...'!$C533,'HD cty 2024'!B:B,0))</f>
        <v>#N/A</v>
      </c>
      <c r="C533" s="49">
        <v>709.0</v>
      </c>
      <c r="D533" s="50">
        <v>45650.0</v>
      </c>
      <c r="E533" s="51">
        <v>1.08977045E8</v>
      </c>
      <c r="F533" s="51">
        <v>8718164.0</v>
      </c>
      <c r="G533" s="51">
        <v>1.17695209E8</v>
      </c>
      <c r="H533" s="49" t="s">
        <v>414</v>
      </c>
      <c r="I533" s="52" t="s">
        <v>4157</v>
      </c>
      <c r="J533" s="50">
        <v>45807.0</v>
      </c>
      <c r="K533" s="51">
        <v>1.0144825E7</v>
      </c>
      <c r="L533" s="51">
        <v>811586.0</v>
      </c>
      <c r="M533" s="51">
        <v>1.0956411E7</v>
      </c>
      <c r="N533" s="49"/>
      <c r="O533" s="52"/>
      <c r="P533" s="50"/>
      <c r="Q533" s="51"/>
      <c r="R533" s="51"/>
      <c r="S533" s="51"/>
      <c r="T533" s="49"/>
      <c r="U533" s="52"/>
      <c r="V533" s="50"/>
      <c r="W533" s="51"/>
      <c r="X533" s="51"/>
      <c r="Y533" s="51"/>
      <c r="Z533" s="51">
        <v>1.1912187E8</v>
      </c>
      <c r="AA533" s="51">
        <v>9529750.0</v>
      </c>
      <c r="AB533" s="51">
        <v>1.2865162E8</v>
      </c>
      <c r="AC533" s="47"/>
      <c r="AD533" s="47" t="s">
        <v>4158</v>
      </c>
      <c r="AE533" s="48"/>
      <c r="AF533" s="50"/>
      <c r="AG533" s="51">
        <v>-1.0144825E7</v>
      </c>
      <c r="AH533" s="51">
        <v>-811586.0</v>
      </c>
      <c r="AI533" s="51">
        <v>-1.0956411E7</v>
      </c>
      <c r="AJ533" s="47" t="s">
        <v>4159</v>
      </c>
      <c r="AK533" s="48"/>
      <c r="AL533" s="50"/>
      <c r="AM533" s="51">
        <v>-1.08977045E8</v>
      </c>
      <c r="AN533" s="51">
        <v>-8718164.0</v>
      </c>
      <c r="AO533" s="51">
        <v>-1.17695209E8</v>
      </c>
      <c r="AP533" s="47"/>
      <c r="AQ533" s="48"/>
      <c r="AR533" s="50"/>
      <c r="AS533" s="51"/>
      <c r="AT533" s="51"/>
      <c r="AU533" s="51"/>
      <c r="AV533" s="47"/>
      <c r="AW533" s="48"/>
      <c r="AX533" s="50"/>
      <c r="AY533" s="51"/>
      <c r="AZ533" s="51"/>
      <c r="BA533" s="51"/>
      <c r="BB533" s="51">
        <f t="shared" ref="BB533:BD533" si="531">IF(AND(ISNUMBER(Z533),COUNT(AG533,AM533,AS533,AY533)=2),Z533+SUM(AG533,AM533,AS533,AY533),"")</f>
        <v>0</v>
      </c>
      <c r="BC533" s="51">
        <f t="shared" si="531"/>
        <v>0</v>
      </c>
      <c r="BD533" s="51">
        <f t="shared" si="531"/>
        <v>0</v>
      </c>
    </row>
    <row r="534" ht="48.0" customHeight="1">
      <c r="A534" s="49" t="s">
        <v>40</v>
      </c>
      <c r="B534" s="49" t="str">
        <f t="array" ref="B534">INDEX('HD cty 2024'!B:B,MATCH('F0, F1, F2, ...'!$C534,'HD cty 2024'!B:B,0))</f>
        <v>#N/A</v>
      </c>
      <c r="C534" s="49">
        <v>710.0</v>
      </c>
      <c r="D534" s="50">
        <v>45650.0</v>
      </c>
      <c r="E534" s="51">
        <v>6.4244145E7</v>
      </c>
      <c r="F534" s="51">
        <v>5139532.0</v>
      </c>
      <c r="G534" s="51">
        <v>6.9383677E7</v>
      </c>
      <c r="H534" s="49" t="s">
        <v>414</v>
      </c>
      <c r="I534" s="52" t="s">
        <v>4160</v>
      </c>
      <c r="J534" s="50">
        <v>45807.0</v>
      </c>
      <c r="K534" s="51">
        <v>5697522.0</v>
      </c>
      <c r="L534" s="51">
        <v>455802.0</v>
      </c>
      <c r="M534" s="51">
        <v>6153324.0</v>
      </c>
      <c r="N534" s="49"/>
      <c r="O534" s="52"/>
      <c r="P534" s="50"/>
      <c r="Q534" s="51"/>
      <c r="R534" s="51"/>
      <c r="S534" s="51"/>
      <c r="T534" s="49"/>
      <c r="U534" s="52"/>
      <c r="V534" s="50"/>
      <c r="W534" s="51"/>
      <c r="X534" s="51"/>
      <c r="Y534" s="51"/>
      <c r="Z534" s="51">
        <v>6.9941667E7</v>
      </c>
      <c r="AA534" s="51">
        <v>5595334.0</v>
      </c>
      <c r="AB534" s="51">
        <v>7.5537001E7</v>
      </c>
      <c r="AC534" s="47"/>
      <c r="AD534" s="47" t="s">
        <v>4161</v>
      </c>
      <c r="AE534" s="48"/>
      <c r="AF534" s="50"/>
      <c r="AG534" s="51">
        <v>-5697522.0</v>
      </c>
      <c r="AH534" s="51">
        <v>-455802.0</v>
      </c>
      <c r="AI534" s="51">
        <v>-6153324.0</v>
      </c>
      <c r="AJ534" s="47" t="s">
        <v>4162</v>
      </c>
      <c r="AK534" s="48"/>
      <c r="AL534" s="50"/>
      <c r="AM534" s="51">
        <v>-6.4244145E7</v>
      </c>
      <c r="AN534" s="51">
        <v>-5139532.0</v>
      </c>
      <c r="AO534" s="51">
        <v>-6.9383677E7</v>
      </c>
      <c r="AP534" s="47"/>
      <c r="AQ534" s="48"/>
      <c r="AR534" s="50"/>
      <c r="AS534" s="51"/>
      <c r="AT534" s="51"/>
      <c r="AU534" s="51"/>
      <c r="AV534" s="47"/>
      <c r="AW534" s="48"/>
      <c r="AX534" s="50"/>
      <c r="AY534" s="51"/>
      <c r="AZ534" s="51"/>
      <c r="BA534" s="51"/>
      <c r="BB534" s="51">
        <f t="shared" ref="BB534:BD534" si="532">IF(AND(ISNUMBER(Z534),COUNT(AG534,AM534,AS534,AY534)=2),Z534+SUM(AG534,AM534,AS534,AY534),"")</f>
        <v>0</v>
      </c>
      <c r="BC534" s="51">
        <f t="shared" si="532"/>
        <v>0</v>
      </c>
      <c r="BD534" s="51">
        <f t="shared" si="532"/>
        <v>0</v>
      </c>
    </row>
    <row r="535" ht="48.0" customHeight="1">
      <c r="A535" s="49" t="s">
        <v>40</v>
      </c>
      <c r="B535" s="49" t="str">
        <f t="array" ref="B535">INDEX('HD cty 2024'!B:B,MATCH('F0, F1, F2, ...'!$C535,'HD cty 2024'!B:B,0))</f>
        <v>#N/A</v>
      </c>
      <c r="C535" s="49">
        <v>711.0</v>
      </c>
      <c r="D535" s="50">
        <v>45650.0</v>
      </c>
      <c r="E535" s="51">
        <v>8.6336195E7</v>
      </c>
      <c r="F535" s="51">
        <v>6906896.0</v>
      </c>
      <c r="G535" s="51">
        <v>9.3243091E7</v>
      </c>
      <c r="H535" s="49" t="s">
        <v>414</v>
      </c>
      <c r="I535" s="52" t="s">
        <v>4163</v>
      </c>
      <c r="J535" s="50">
        <v>45807.0</v>
      </c>
      <c r="K535" s="51">
        <v>6649731.0</v>
      </c>
      <c r="L535" s="51">
        <v>531978.0</v>
      </c>
      <c r="M535" s="51">
        <v>7181709.0</v>
      </c>
      <c r="N535" s="49"/>
      <c r="O535" s="52"/>
      <c r="P535" s="50"/>
      <c r="Q535" s="51"/>
      <c r="R535" s="51"/>
      <c r="S535" s="51"/>
      <c r="T535" s="49"/>
      <c r="U535" s="52"/>
      <c r="V535" s="50"/>
      <c r="W535" s="51"/>
      <c r="X535" s="51"/>
      <c r="Y535" s="51"/>
      <c r="Z535" s="51">
        <v>9.2985926E7</v>
      </c>
      <c r="AA535" s="51">
        <v>7438874.0</v>
      </c>
      <c r="AB535" s="51">
        <v>1.004248E8</v>
      </c>
      <c r="AC535" s="47"/>
      <c r="AD535" s="47" t="s">
        <v>4164</v>
      </c>
      <c r="AE535" s="48"/>
      <c r="AF535" s="50"/>
      <c r="AG535" s="51">
        <v>-6649731.0</v>
      </c>
      <c r="AH535" s="51">
        <v>-531978.0</v>
      </c>
      <c r="AI535" s="51">
        <v>-7181709.0</v>
      </c>
      <c r="AJ535" s="47" t="s">
        <v>4165</v>
      </c>
      <c r="AK535" s="48"/>
      <c r="AL535" s="50"/>
      <c r="AM535" s="51">
        <v>-8.6336195E7</v>
      </c>
      <c r="AN535" s="51">
        <v>-6906896.0</v>
      </c>
      <c r="AO535" s="51">
        <v>-9.3243091E7</v>
      </c>
      <c r="AP535" s="47"/>
      <c r="AQ535" s="48"/>
      <c r="AR535" s="50"/>
      <c r="AS535" s="51"/>
      <c r="AT535" s="51"/>
      <c r="AU535" s="51"/>
      <c r="AV535" s="47"/>
      <c r="AW535" s="48"/>
      <c r="AX535" s="50"/>
      <c r="AY535" s="51"/>
      <c r="AZ535" s="51"/>
      <c r="BA535" s="51"/>
      <c r="BB535" s="51">
        <f t="shared" ref="BB535:BD535" si="533">IF(AND(ISNUMBER(Z535),COUNT(AG535,AM535,AS535,AY535)=2),Z535+SUM(AG535,AM535,AS535,AY535),"")</f>
        <v>0</v>
      </c>
      <c r="BC535" s="51">
        <f t="shared" si="533"/>
        <v>0</v>
      </c>
      <c r="BD535" s="51">
        <f t="shared" si="533"/>
        <v>0</v>
      </c>
    </row>
    <row r="536" ht="48.0" customHeight="1">
      <c r="A536" s="49" t="s">
        <v>40</v>
      </c>
      <c r="B536" s="49" t="str">
        <f t="array" ref="B536">INDEX('HD cty 2024'!B:B,MATCH('F0, F1, F2, ...'!$C536,'HD cty 2024'!B:B,0))</f>
        <v>#N/A</v>
      </c>
      <c r="C536" s="49">
        <v>712.0</v>
      </c>
      <c r="D536" s="50">
        <v>45650.0</v>
      </c>
      <c r="E536" s="51">
        <v>7.2196265E7</v>
      </c>
      <c r="F536" s="51">
        <v>5775701.0</v>
      </c>
      <c r="G536" s="51">
        <v>7.7971966E7</v>
      </c>
      <c r="H536" s="49" t="s">
        <v>414</v>
      </c>
      <c r="I536" s="52" t="s">
        <v>4166</v>
      </c>
      <c r="J536" s="50">
        <v>45807.0</v>
      </c>
      <c r="K536" s="51">
        <v>3261883.0</v>
      </c>
      <c r="L536" s="51">
        <v>260951.0</v>
      </c>
      <c r="M536" s="51">
        <v>3522834.0</v>
      </c>
      <c r="N536" s="49"/>
      <c r="O536" s="52"/>
      <c r="P536" s="50"/>
      <c r="Q536" s="51"/>
      <c r="R536" s="51"/>
      <c r="S536" s="51"/>
      <c r="T536" s="49"/>
      <c r="U536" s="52"/>
      <c r="V536" s="50"/>
      <c r="W536" s="51"/>
      <c r="X536" s="51"/>
      <c r="Y536" s="51"/>
      <c r="Z536" s="51">
        <v>7.5458148E7</v>
      </c>
      <c r="AA536" s="51">
        <v>6036652.0</v>
      </c>
      <c r="AB536" s="51">
        <v>8.14948E7</v>
      </c>
      <c r="AC536" s="47"/>
      <c r="AD536" s="47" t="s">
        <v>4167</v>
      </c>
      <c r="AE536" s="48"/>
      <c r="AF536" s="50"/>
      <c r="AG536" s="51">
        <v>-3261883.0</v>
      </c>
      <c r="AH536" s="51">
        <v>-260951.0</v>
      </c>
      <c r="AI536" s="51">
        <v>-3522834.0</v>
      </c>
      <c r="AJ536" s="47" t="s">
        <v>4168</v>
      </c>
      <c r="AK536" s="48"/>
      <c r="AL536" s="50"/>
      <c r="AM536" s="51">
        <v>-7.2196265E7</v>
      </c>
      <c r="AN536" s="51">
        <v>-5775701.0</v>
      </c>
      <c r="AO536" s="51">
        <v>-7.7971966E7</v>
      </c>
      <c r="AP536" s="47"/>
      <c r="AQ536" s="48"/>
      <c r="AR536" s="50"/>
      <c r="AS536" s="51"/>
      <c r="AT536" s="51"/>
      <c r="AU536" s="51"/>
      <c r="AV536" s="47"/>
      <c r="AW536" s="48"/>
      <c r="AX536" s="50"/>
      <c r="AY536" s="51"/>
      <c r="AZ536" s="51"/>
      <c r="BA536" s="51"/>
      <c r="BB536" s="51">
        <f t="shared" ref="BB536:BD536" si="534">IF(AND(ISNUMBER(Z536),COUNT(AG536,AM536,AS536,AY536)=2),Z536+SUM(AG536,AM536,AS536,AY536),"")</f>
        <v>0</v>
      </c>
      <c r="BC536" s="51">
        <f t="shared" si="534"/>
        <v>0</v>
      </c>
      <c r="BD536" s="51">
        <f t="shared" si="534"/>
        <v>0</v>
      </c>
    </row>
    <row r="537" ht="48.0" customHeight="1">
      <c r="A537" s="49" t="s">
        <v>40</v>
      </c>
      <c r="B537" s="49" t="str">
        <f t="array" ref="B537">INDEX('HD cty 2024'!B:B,MATCH('F0, F1, F2, ...'!$C537,'HD cty 2024'!B:B,0))</f>
        <v>#N/A</v>
      </c>
      <c r="C537" s="49">
        <v>713.0</v>
      </c>
      <c r="D537" s="50">
        <v>45650.0</v>
      </c>
      <c r="E537" s="51">
        <v>5.4566235E7</v>
      </c>
      <c r="F537" s="51">
        <v>4365299.0</v>
      </c>
      <c r="G537" s="51">
        <v>5.8931534E7</v>
      </c>
      <c r="H537" s="49" t="s">
        <v>414</v>
      </c>
      <c r="I537" s="52" t="s">
        <v>4169</v>
      </c>
      <c r="J537" s="50">
        <v>45807.0</v>
      </c>
      <c r="K537" s="51">
        <v>5938532.0</v>
      </c>
      <c r="L537" s="51">
        <v>475083.0</v>
      </c>
      <c r="M537" s="51">
        <v>6413615.0</v>
      </c>
      <c r="N537" s="49"/>
      <c r="O537" s="52"/>
      <c r="P537" s="50"/>
      <c r="Q537" s="51"/>
      <c r="R537" s="51"/>
      <c r="S537" s="51"/>
      <c r="T537" s="49"/>
      <c r="U537" s="52"/>
      <c r="V537" s="50"/>
      <c r="W537" s="51"/>
      <c r="X537" s="51"/>
      <c r="Y537" s="51"/>
      <c r="Z537" s="51">
        <v>6.0504767E7</v>
      </c>
      <c r="AA537" s="51">
        <v>4840382.0</v>
      </c>
      <c r="AB537" s="51">
        <v>6.5345149E7</v>
      </c>
      <c r="AC537" s="47"/>
      <c r="AD537" s="47" t="s">
        <v>4170</v>
      </c>
      <c r="AE537" s="48"/>
      <c r="AF537" s="50"/>
      <c r="AG537" s="51">
        <v>-5938532.0</v>
      </c>
      <c r="AH537" s="51">
        <v>-475083.0</v>
      </c>
      <c r="AI537" s="51">
        <v>-6413615.0</v>
      </c>
      <c r="AJ537" s="47" t="s">
        <v>4171</v>
      </c>
      <c r="AK537" s="48"/>
      <c r="AL537" s="50"/>
      <c r="AM537" s="51">
        <v>-5.4566235E7</v>
      </c>
      <c r="AN537" s="51">
        <v>-4365299.0</v>
      </c>
      <c r="AO537" s="51">
        <v>-5.8931534E7</v>
      </c>
      <c r="AP537" s="47"/>
      <c r="AQ537" s="48"/>
      <c r="AR537" s="50"/>
      <c r="AS537" s="51"/>
      <c r="AT537" s="51"/>
      <c r="AU537" s="51"/>
      <c r="AV537" s="47"/>
      <c r="AW537" s="48"/>
      <c r="AX537" s="50"/>
      <c r="AY537" s="51"/>
      <c r="AZ537" s="51"/>
      <c r="BA537" s="51"/>
      <c r="BB537" s="51">
        <f t="shared" ref="BB537:BD537" si="535">IF(AND(ISNUMBER(Z537),COUNT(AG537,AM537,AS537,AY537)=2),Z537+SUM(AG537,AM537,AS537,AY537),"")</f>
        <v>0</v>
      </c>
      <c r="BC537" s="51">
        <f t="shared" si="535"/>
        <v>0</v>
      </c>
      <c r="BD537" s="51">
        <f t="shared" si="535"/>
        <v>0</v>
      </c>
    </row>
    <row r="538" ht="48.0" customHeight="1">
      <c r="A538" s="49" t="s">
        <v>40</v>
      </c>
      <c r="B538" s="49" t="str">
        <f t="array" ref="B538">INDEX('HD cty 2024'!B:B,MATCH('F0, F1, F2, ...'!$C538,'HD cty 2024'!B:B,0))</f>
        <v>#N/A</v>
      </c>
      <c r="C538" s="49">
        <v>714.0</v>
      </c>
      <c r="D538" s="50">
        <v>45650.0</v>
      </c>
      <c r="E538" s="51">
        <v>1.78428759E8</v>
      </c>
      <c r="F538" s="51">
        <v>1.4274301E7</v>
      </c>
      <c r="G538" s="51">
        <v>1.9270306E8</v>
      </c>
      <c r="H538" s="49" t="s">
        <v>414</v>
      </c>
      <c r="I538" s="52" t="s">
        <v>4172</v>
      </c>
      <c r="J538" s="50">
        <v>45807.0</v>
      </c>
      <c r="K538" s="51">
        <v>1.7122925E7</v>
      </c>
      <c r="L538" s="51">
        <v>1369834.0</v>
      </c>
      <c r="M538" s="51">
        <v>1.8492759E7</v>
      </c>
      <c r="N538" s="49"/>
      <c r="O538" s="52"/>
      <c r="P538" s="50"/>
      <c r="Q538" s="51"/>
      <c r="R538" s="51"/>
      <c r="S538" s="51"/>
      <c r="T538" s="49"/>
      <c r="U538" s="52"/>
      <c r="V538" s="50"/>
      <c r="W538" s="51"/>
      <c r="X538" s="51"/>
      <c r="Y538" s="51"/>
      <c r="Z538" s="51">
        <v>1.95551684E8</v>
      </c>
      <c r="AA538" s="51">
        <v>1.5644135E7</v>
      </c>
      <c r="AB538" s="51">
        <v>2.11195819E8</v>
      </c>
      <c r="AC538" s="47"/>
      <c r="AD538" s="47" t="s">
        <v>4173</v>
      </c>
      <c r="AE538" s="48"/>
      <c r="AF538" s="50"/>
      <c r="AG538" s="51">
        <v>-1.7122925E7</v>
      </c>
      <c r="AH538" s="51">
        <v>-1369834.0</v>
      </c>
      <c r="AI538" s="51">
        <v>-1.8492759E7</v>
      </c>
      <c r="AJ538" s="47" t="s">
        <v>4174</v>
      </c>
      <c r="AK538" s="48"/>
      <c r="AL538" s="50"/>
      <c r="AM538" s="51">
        <v>-1.78428759E8</v>
      </c>
      <c r="AN538" s="51">
        <v>-1.4274301E7</v>
      </c>
      <c r="AO538" s="51">
        <v>-1.9270306E8</v>
      </c>
      <c r="AP538" s="47"/>
      <c r="AQ538" s="48"/>
      <c r="AR538" s="50"/>
      <c r="AS538" s="51"/>
      <c r="AT538" s="51"/>
      <c r="AU538" s="51"/>
      <c r="AV538" s="47"/>
      <c r="AW538" s="48"/>
      <c r="AX538" s="50"/>
      <c r="AY538" s="51"/>
      <c r="AZ538" s="51"/>
      <c r="BA538" s="51"/>
      <c r="BB538" s="51">
        <f t="shared" ref="BB538:BD538" si="536">IF(AND(ISNUMBER(Z538),COUNT(AG538,AM538,AS538,AY538)=2),Z538+SUM(AG538,AM538,AS538,AY538),"")</f>
        <v>0</v>
      </c>
      <c r="BC538" s="51">
        <f t="shared" si="536"/>
        <v>0</v>
      </c>
      <c r="BD538" s="51">
        <f t="shared" si="536"/>
        <v>0</v>
      </c>
    </row>
    <row r="539" ht="48.0" customHeight="1">
      <c r="A539" s="49" t="s">
        <v>40</v>
      </c>
      <c r="B539" s="49" t="str">
        <f t="array" ref="B539">INDEX('HD cty 2024'!B:B,MATCH('F0, F1, F2, ...'!$C539,'HD cty 2024'!B:B,0))</f>
        <v>#N/A</v>
      </c>
      <c r="C539" s="49">
        <v>715.0</v>
      </c>
      <c r="D539" s="50">
        <v>45651.0</v>
      </c>
      <c r="E539" s="51">
        <v>1.10781705E8</v>
      </c>
      <c r="F539" s="51">
        <v>8862536.0</v>
      </c>
      <c r="G539" s="51">
        <v>1.19644241E8</v>
      </c>
      <c r="H539" s="49" t="s">
        <v>414</v>
      </c>
      <c r="I539" s="52" t="s">
        <v>4175</v>
      </c>
      <c r="J539" s="50">
        <v>45807.0</v>
      </c>
      <c r="K539" s="51">
        <v>1.0162433E7</v>
      </c>
      <c r="L539" s="51">
        <v>812995.0</v>
      </c>
      <c r="M539" s="51">
        <v>1.0975428E7</v>
      </c>
      <c r="N539" s="49"/>
      <c r="O539" s="52"/>
      <c r="P539" s="50"/>
      <c r="Q539" s="51"/>
      <c r="R539" s="51"/>
      <c r="S539" s="51"/>
      <c r="T539" s="49"/>
      <c r="U539" s="52"/>
      <c r="V539" s="50"/>
      <c r="W539" s="51"/>
      <c r="X539" s="51"/>
      <c r="Y539" s="51"/>
      <c r="Z539" s="51">
        <v>1.20944138E8</v>
      </c>
      <c r="AA539" s="51">
        <v>9675531.0</v>
      </c>
      <c r="AB539" s="51">
        <v>1.30619669E8</v>
      </c>
      <c r="AC539" s="47"/>
      <c r="AD539" s="47" t="s">
        <v>4176</v>
      </c>
      <c r="AE539" s="48"/>
      <c r="AF539" s="50"/>
      <c r="AG539" s="51">
        <v>-1.0162433E7</v>
      </c>
      <c r="AH539" s="51">
        <v>-812995.0</v>
      </c>
      <c r="AI539" s="51">
        <v>-1.0975428E7</v>
      </c>
      <c r="AJ539" s="47" t="s">
        <v>4177</v>
      </c>
      <c r="AK539" s="48"/>
      <c r="AL539" s="50"/>
      <c r="AM539" s="51">
        <v>-1.10781705E8</v>
      </c>
      <c r="AN539" s="51">
        <v>-8862536.0</v>
      </c>
      <c r="AO539" s="51">
        <v>-1.19644241E8</v>
      </c>
      <c r="AP539" s="47"/>
      <c r="AQ539" s="48"/>
      <c r="AR539" s="50"/>
      <c r="AS539" s="51"/>
      <c r="AT539" s="51"/>
      <c r="AU539" s="51"/>
      <c r="AV539" s="47"/>
      <c r="AW539" s="48"/>
      <c r="AX539" s="50"/>
      <c r="AY539" s="51"/>
      <c r="AZ539" s="51"/>
      <c r="BA539" s="51"/>
      <c r="BB539" s="51">
        <f t="shared" ref="BB539:BD539" si="537">IF(AND(ISNUMBER(Z539),COUNT(AG539,AM539,AS539,AY539)=2),Z539+SUM(AG539,AM539,AS539,AY539),"")</f>
        <v>0</v>
      </c>
      <c r="BC539" s="51">
        <f t="shared" si="537"/>
        <v>0</v>
      </c>
      <c r="BD539" s="51">
        <f t="shared" si="537"/>
        <v>0</v>
      </c>
    </row>
    <row r="540" ht="48.0" customHeight="1">
      <c r="A540" s="49" t="s">
        <v>40</v>
      </c>
      <c r="B540" s="49" t="str">
        <f t="array" ref="B540">INDEX('HD cty 2024'!B:B,MATCH('F0, F1, F2, ...'!$C540,'HD cty 2024'!B:B,0))</f>
        <v>#N/A</v>
      </c>
      <c r="C540" s="49">
        <v>716.0</v>
      </c>
      <c r="D540" s="50">
        <v>45651.0</v>
      </c>
      <c r="E540" s="51">
        <v>1.51912113E8</v>
      </c>
      <c r="F540" s="51">
        <v>1.2152969E7</v>
      </c>
      <c r="G540" s="51">
        <v>1.64065082E8</v>
      </c>
      <c r="H540" s="49" t="s">
        <v>414</v>
      </c>
      <c r="I540" s="52" t="s">
        <v>4178</v>
      </c>
      <c r="J540" s="50">
        <v>45807.0</v>
      </c>
      <c r="K540" s="51">
        <v>1.6330202E7</v>
      </c>
      <c r="L540" s="51">
        <v>1306416.0</v>
      </c>
      <c r="M540" s="51">
        <v>1.7636618E7</v>
      </c>
      <c r="N540" s="49"/>
      <c r="O540" s="52"/>
      <c r="P540" s="50"/>
      <c r="Q540" s="51"/>
      <c r="R540" s="51"/>
      <c r="S540" s="51"/>
      <c r="T540" s="49"/>
      <c r="U540" s="52"/>
      <c r="V540" s="50"/>
      <c r="W540" s="51"/>
      <c r="X540" s="51"/>
      <c r="Y540" s="51"/>
      <c r="Z540" s="51">
        <v>1.68242315E8</v>
      </c>
      <c r="AA540" s="51">
        <v>1.3459385E7</v>
      </c>
      <c r="AB540" s="51">
        <v>1.817017E8</v>
      </c>
      <c r="AC540" s="47"/>
      <c r="AD540" s="47" t="s">
        <v>4179</v>
      </c>
      <c r="AE540" s="48"/>
      <c r="AF540" s="50"/>
      <c r="AG540" s="51">
        <v>-1.6330202E7</v>
      </c>
      <c r="AH540" s="51">
        <v>-1306416.0</v>
      </c>
      <c r="AI540" s="51">
        <v>-1.7636618E7</v>
      </c>
      <c r="AJ540" s="47" t="s">
        <v>4180</v>
      </c>
      <c r="AK540" s="48"/>
      <c r="AL540" s="50"/>
      <c r="AM540" s="51">
        <v>-1.51912113E8</v>
      </c>
      <c r="AN540" s="51">
        <v>-1.2152969E7</v>
      </c>
      <c r="AO540" s="51">
        <v>-1.64065082E8</v>
      </c>
      <c r="AP540" s="47"/>
      <c r="AQ540" s="48"/>
      <c r="AR540" s="50"/>
      <c r="AS540" s="51"/>
      <c r="AT540" s="51"/>
      <c r="AU540" s="51"/>
      <c r="AV540" s="47"/>
      <c r="AW540" s="48"/>
      <c r="AX540" s="50"/>
      <c r="AY540" s="51"/>
      <c r="AZ540" s="51"/>
      <c r="BA540" s="51"/>
      <c r="BB540" s="51">
        <f t="shared" ref="BB540:BD540" si="538">IF(AND(ISNUMBER(Z540),COUNT(AG540,AM540,AS540,AY540)=2),Z540+SUM(AG540,AM540,AS540,AY540),"")</f>
        <v>0</v>
      </c>
      <c r="BC540" s="51">
        <f t="shared" si="538"/>
        <v>0</v>
      </c>
      <c r="BD540" s="51">
        <f t="shared" si="538"/>
        <v>0</v>
      </c>
    </row>
    <row r="541" ht="48.0" customHeight="1">
      <c r="A541" s="49" t="s">
        <v>40</v>
      </c>
      <c r="B541" s="49" t="str">
        <f t="array" ref="B541">INDEX('HD cty 2024'!B:B,MATCH('F0, F1, F2, ...'!$C541,'HD cty 2024'!B:B,0))</f>
        <v>#N/A</v>
      </c>
      <c r="C541" s="49">
        <v>717.0</v>
      </c>
      <c r="D541" s="50">
        <v>45651.0</v>
      </c>
      <c r="E541" s="51">
        <v>8.911647E7</v>
      </c>
      <c r="F541" s="51">
        <v>7129318.0</v>
      </c>
      <c r="G541" s="51">
        <v>9.6245788E7</v>
      </c>
      <c r="H541" s="49" t="s">
        <v>414</v>
      </c>
      <c r="I541" s="52" t="s">
        <v>4181</v>
      </c>
      <c r="J541" s="50">
        <v>45807.0</v>
      </c>
      <c r="K541" s="51">
        <v>6893289.0</v>
      </c>
      <c r="L541" s="51">
        <v>551463.0</v>
      </c>
      <c r="M541" s="51">
        <v>7444752.0</v>
      </c>
      <c r="N541" s="49"/>
      <c r="O541" s="52"/>
      <c r="P541" s="50"/>
      <c r="Q541" s="51"/>
      <c r="R541" s="51"/>
      <c r="S541" s="51"/>
      <c r="T541" s="49"/>
      <c r="U541" s="52"/>
      <c r="V541" s="50"/>
      <c r="W541" s="51"/>
      <c r="X541" s="51"/>
      <c r="Y541" s="51"/>
      <c r="Z541" s="51">
        <v>9.6009759E7</v>
      </c>
      <c r="AA541" s="51">
        <v>7680781.0</v>
      </c>
      <c r="AB541" s="51">
        <v>1.0369054E8</v>
      </c>
      <c r="AC541" s="47"/>
      <c r="AD541" s="47" t="s">
        <v>4182</v>
      </c>
      <c r="AE541" s="48"/>
      <c r="AF541" s="50"/>
      <c r="AG541" s="51">
        <v>-6893289.0</v>
      </c>
      <c r="AH541" s="51">
        <v>-551463.0</v>
      </c>
      <c r="AI541" s="51">
        <v>-7444752.0</v>
      </c>
      <c r="AJ541" s="47" t="s">
        <v>4183</v>
      </c>
      <c r="AK541" s="48"/>
      <c r="AL541" s="50"/>
      <c r="AM541" s="51">
        <v>-8.911647E7</v>
      </c>
      <c r="AN541" s="51">
        <v>-7129318.0</v>
      </c>
      <c r="AO541" s="51">
        <v>-9.6245788E7</v>
      </c>
      <c r="AP541" s="47"/>
      <c r="AQ541" s="48"/>
      <c r="AR541" s="50"/>
      <c r="AS541" s="51"/>
      <c r="AT541" s="51"/>
      <c r="AU541" s="51"/>
      <c r="AV541" s="47"/>
      <c r="AW541" s="48"/>
      <c r="AX541" s="50"/>
      <c r="AY541" s="51"/>
      <c r="AZ541" s="51"/>
      <c r="BA541" s="51"/>
      <c r="BB541" s="51">
        <f t="shared" ref="BB541:BD541" si="539">IF(AND(ISNUMBER(Z541),COUNT(AG541,AM541,AS541,AY541)=2),Z541+SUM(AG541,AM541,AS541,AY541),"")</f>
        <v>0</v>
      </c>
      <c r="BC541" s="51">
        <f t="shared" si="539"/>
        <v>0</v>
      </c>
      <c r="BD541" s="51">
        <f t="shared" si="539"/>
        <v>0</v>
      </c>
    </row>
    <row r="542" ht="48.0" customHeight="1">
      <c r="A542" s="49" t="s">
        <v>40</v>
      </c>
      <c r="B542" s="49" t="str">
        <f t="array" ref="B542">INDEX('HD cty 2024'!B:B,MATCH('F0, F1, F2, ...'!$C542,'HD cty 2024'!B:B,0))</f>
        <v>#N/A</v>
      </c>
      <c r="C542" s="49">
        <v>720.0</v>
      </c>
      <c r="D542" s="50">
        <v>45651.0</v>
      </c>
      <c r="E542" s="51">
        <v>1.34214693E8</v>
      </c>
      <c r="F542" s="51">
        <v>1.0737175E7</v>
      </c>
      <c r="G542" s="51">
        <v>1.44951868E8</v>
      </c>
      <c r="H542" s="49" t="s">
        <v>414</v>
      </c>
      <c r="I542" s="52" t="s">
        <v>4184</v>
      </c>
      <c r="J542" s="50">
        <v>45807.0</v>
      </c>
      <c r="K542" s="51">
        <v>1.3618551E7</v>
      </c>
      <c r="L542" s="51">
        <v>1089484.0</v>
      </c>
      <c r="M542" s="51">
        <v>1.4708035E7</v>
      </c>
      <c r="N542" s="49"/>
      <c r="O542" s="52"/>
      <c r="P542" s="50"/>
      <c r="Q542" s="51"/>
      <c r="R542" s="51"/>
      <c r="S542" s="51"/>
      <c r="T542" s="49"/>
      <c r="U542" s="52"/>
      <c r="V542" s="50"/>
      <c r="W542" s="51"/>
      <c r="X542" s="51"/>
      <c r="Y542" s="51"/>
      <c r="Z542" s="51">
        <v>1.47833244E8</v>
      </c>
      <c r="AA542" s="51">
        <v>1.1826659E7</v>
      </c>
      <c r="AB542" s="51">
        <v>1.59659903E8</v>
      </c>
      <c r="AC542" s="47"/>
      <c r="AD542" s="47" t="s">
        <v>4185</v>
      </c>
      <c r="AE542" s="48"/>
      <c r="AF542" s="50"/>
      <c r="AG542" s="51">
        <v>-1.3618551E7</v>
      </c>
      <c r="AH542" s="51">
        <v>-1089484.0</v>
      </c>
      <c r="AI542" s="51">
        <v>-1.4708035E7</v>
      </c>
      <c r="AJ542" s="47" t="s">
        <v>4186</v>
      </c>
      <c r="AK542" s="48"/>
      <c r="AL542" s="50"/>
      <c r="AM542" s="51">
        <v>-1.34214693E8</v>
      </c>
      <c r="AN542" s="51">
        <v>-1.0737175E7</v>
      </c>
      <c r="AO542" s="51">
        <v>-1.44951868E8</v>
      </c>
      <c r="AP542" s="47"/>
      <c r="AQ542" s="48"/>
      <c r="AR542" s="50"/>
      <c r="AS542" s="51"/>
      <c r="AT542" s="51"/>
      <c r="AU542" s="51"/>
      <c r="AV542" s="47"/>
      <c r="AW542" s="48"/>
      <c r="AX542" s="50"/>
      <c r="AY542" s="51"/>
      <c r="AZ542" s="51"/>
      <c r="BA542" s="51"/>
      <c r="BB542" s="51">
        <f t="shared" ref="BB542:BD542" si="540">IF(AND(ISNUMBER(Z542),COUNT(AG542,AM542,AS542,AY542)=2),Z542+SUM(AG542,AM542,AS542,AY542),"")</f>
        <v>0</v>
      </c>
      <c r="BC542" s="51">
        <f t="shared" si="540"/>
        <v>0</v>
      </c>
      <c r="BD542" s="51">
        <f t="shared" si="540"/>
        <v>0</v>
      </c>
    </row>
    <row r="543" ht="48.0" customHeight="1">
      <c r="A543" s="49" t="s">
        <v>40</v>
      </c>
      <c r="B543" s="49" t="str">
        <f t="array" ref="B543">INDEX('HD cty 2024'!B:B,MATCH('F0, F1, F2, ...'!$C543,'HD cty 2024'!B:B,0))</f>
        <v>#N/A</v>
      </c>
      <c r="C543" s="49">
        <v>721.0</v>
      </c>
      <c r="D543" s="50">
        <v>45651.0</v>
      </c>
      <c r="E543" s="51">
        <v>8.8046569E7</v>
      </c>
      <c r="F543" s="51">
        <v>7043726.0</v>
      </c>
      <c r="G543" s="51">
        <v>9.5090295E7</v>
      </c>
      <c r="H543" s="49" t="s">
        <v>414</v>
      </c>
      <c r="I543" s="52" t="s">
        <v>4187</v>
      </c>
      <c r="J543" s="50">
        <v>45807.0</v>
      </c>
      <c r="K543" s="51">
        <v>8986713.0</v>
      </c>
      <c r="L543" s="51">
        <v>718937.0</v>
      </c>
      <c r="M543" s="51">
        <v>9705650.0</v>
      </c>
      <c r="N543" s="49"/>
      <c r="O543" s="52"/>
      <c r="P543" s="50"/>
      <c r="Q543" s="51"/>
      <c r="R543" s="51"/>
      <c r="S543" s="51"/>
      <c r="T543" s="49"/>
      <c r="U543" s="52"/>
      <c r="V543" s="50"/>
      <c r="W543" s="51"/>
      <c r="X543" s="51"/>
      <c r="Y543" s="51"/>
      <c r="Z543" s="51">
        <v>9.7033282E7</v>
      </c>
      <c r="AA543" s="51">
        <v>7762663.0</v>
      </c>
      <c r="AB543" s="51">
        <v>1.04795945E8</v>
      </c>
      <c r="AC543" s="47"/>
      <c r="AD543" s="47" t="s">
        <v>4188</v>
      </c>
      <c r="AE543" s="48"/>
      <c r="AF543" s="50"/>
      <c r="AG543" s="51">
        <v>-8986713.0</v>
      </c>
      <c r="AH543" s="51">
        <v>-718937.0</v>
      </c>
      <c r="AI543" s="51">
        <v>-9705650.0</v>
      </c>
      <c r="AJ543" s="47" t="s">
        <v>4189</v>
      </c>
      <c r="AK543" s="48"/>
      <c r="AL543" s="50"/>
      <c r="AM543" s="51">
        <v>-8.8046569E7</v>
      </c>
      <c r="AN543" s="51">
        <v>-7043726.0</v>
      </c>
      <c r="AO543" s="51">
        <v>-9.5090295E7</v>
      </c>
      <c r="AP543" s="47"/>
      <c r="AQ543" s="48"/>
      <c r="AR543" s="50"/>
      <c r="AS543" s="51"/>
      <c r="AT543" s="51"/>
      <c r="AU543" s="51"/>
      <c r="AV543" s="47"/>
      <c r="AW543" s="48"/>
      <c r="AX543" s="50"/>
      <c r="AY543" s="51"/>
      <c r="AZ543" s="51"/>
      <c r="BA543" s="51"/>
      <c r="BB543" s="51">
        <f t="shared" ref="BB543:BD543" si="541">IF(AND(ISNUMBER(Z543),COUNT(AG543,AM543,AS543,AY543)=2),Z543+SUM(AG543,AM543,AS543,AY543),"")</f>
        <v>0</v>
      </c>
      <c r="BC543" s="51">
        <f t="shared" si="541"/>
        <v>0</v>
      </c>
      <c r="BD543" s="51">
        <f t="shared" si="541"/>
        <v>0</v>
      </c>
    </row>
    <row r="544" ht="48.0" customHeight="1">
      <c r="A544" s="49" t="s">
        <v>40</v>
      </c>
      <c r="B544" s="49" t="str">
        <f t="array" ref="B544">INDEX('HD cty 2024'!B:B,MATCH('F0, F1, F2, ...'!$C544,'HD cty 2024'!B:B,0))</f>
        <v>#N/A</v>
      </c>
      <c r="C544" s="49">
        <v>722.0</v>
      </c>
      <c r="D544" s="50">
        <v>45651.0</v>
      </c>
      <c r="E544" s="51">
        <v>8.0961031E7</v>
      </c>
      <c r="F544" s="51">
        <v>6476882.0</v>
      </c>
      <c r="G544" s="51">
        <v>8.7437913E7</v>
      </c>
      <c r="H544" s="49" t="s">
        <v>414</v>
      </c>
      <c r="I544" s="52" t="s">
        <v>4190</v>
      </c>
      <c r="J544" s="50">
        <v>45807.0</v>
      </c>
      <c r="K544" s="51">
        <v>6636872.0</v>
      </c>
      <c r="L544" s="51">
        <v>530950.0</v>
      </c>
      <c r="M544" s="51">
        <v>7167822.0</v>
      </c>
      <c r="N544" s="49"/>
      <c r="O544" s="52"/>
      <c r="P544" s="50"/>
      <c r="Q544" s="51"/>
      <c r="R544" s="51"/>
      <c r="S544" s="51"/>
      <c r="T544" s="49"/>
      <c r="U544" s="52"/>
      <c r="V544" s="50"/>
      <c r="W544" s="51"/>
      <c r="X544" s="51"/>
      <c r="Y544" s="51"/>
      <c r="Z544" s="51">
        <v>8.7597903E7</v>
      </c>
      <c r="AA544" s="51">
        <v>7007832.0</v>
      </c>
      <c r="AB544" s="51">
        <v>9.4605735E7</v>
      </c>
      <c r="AC544" s="47"/>
      <c r="AD544" s="47" t="s">
        <v>4191</v>
      </c>
      <c r="AE544" s="48"/>
      <c r="AF544" s="50"/>
      <c r="AG544" s="51">
        <v>-6636872.0</v>
      </c>
      <c r="AH544" s="51">
        <v>-530950.0</v>
      </c>
      <c r="AI544" s="51">
        <v>-7167822.0</v>
      </c>
      <c r="AJ544" s="47" t="s">
        <v>4192</v>
      </c>
      <c r="AK544" s="48"/>
      <c r="AL544" s="50"/>
      <c r="AM544" s="51">
        <v>-8.0961031E7</v>
      </c>
      <c r="AN544" s="51">
        <v>-6476882.0</v>
      </c>
      <c r="AO544" s="51">
        <v>-8.7437913E7</v>
      </c>
      <c r="AP544" s="47"/>
      <c r="AQ544" s="48"/>
      <c r="AR544" s="50"/>
      <c r="AS544" s="51"/>
      <c r="AT544" s="51"/>
      <c r="AU544" s="51"/>
      <c r="AV544" s="47"/>
      <c r="AW544" s="48"/>
      <c r="AX544" s="50"/>
      <c r="AY544" s="51"/>
      <c r="AZ544" s="51"/>
      <c r="BA544" s="51"/>
      <c r="BB544" s="51">
        <f t="shared" ref="BB544:BD544" si="542">IF(AND(ISNUMBER(Z544),COUNT(AG544,AM544,AS544,AY544)=2),Z544+SUM(AG544,AM544,AS544,AY544),"")</f>
        <v>0</v>
      </c>
      <c r="BC544" s="51">
        <f t="shared" si="542"/>
        <v>0</v>
      </c>
      <c r="BD544" s="51">
        <f t="shared" si="542"/>
        <v>0</v>
      </c>
    </row>
    <row r="545" ht="48.0" customHeight="1">
      <c r="A545" s="49" t="s">
        <v>40</v>
      </c>
      <c r="B545" s="49" t="str">
        <f t="array" ref="B545">INDEX('HD cty 2024'!B:B,MATCH('F0, F1, F2, ...'!$C545,'HD cty 2024'!B:B,0))</f>
        <v>#N/A</v>
      </c>
      <c r="C545" s="49">
        <v>723.0</v>
      </c>
      <c r="D545" s="50">
        <v>45651.0</v>
      </c>
      <c r="E545" s="51">
        <v>8.1375019E7</v>
      </c>
      <c r="F545" s="51">
        <v>6510002.0</v>
      </c>
      <c r="G545" s="51">
        <v>8.7885021E7</v>
      </c>
      <c r="H545" s="49" t="s">
        <v>414</v>
      </c>
      <c r="I545" s="52" t="s">
        <v>4193</v>
      </c>
      <c r="J545" s="50">
        <v>45807.0</v>
      </c>
      <c r="K545" s="51">
        <v>8092851.0</v>
      </c>
      <c r="L545" s="51">
        <v>647428.0</v>
      </c>
      <c r="M545" s="51">
        <v>8740279.0</v>
      </c>
      <c r="N545" s="49"/>
      <c r="O545" s="52"/>
      <c r="P545" s="50"/>
      <c r="Q545" s="51"/>
      <c r="R545" s="51"/>
      <c r="S545" s="51"/>
      <c r="T545" s="49"/>
      <c r="U545" s="52"/>
      <c r="V545" s="50"/>
      <c r="W545" s="51"/>
      <c r="X545" s="51"/>
      <c r="Y545" s="51"/>
      <c r="Z545" s="51">
        <v>8.946787E7</v>
      </c>
      <c r="AA545" s="51">
        <v>7157430.0</v>
      </c>
      <c r="AB545" s="51">
        <v>9.66253E7</v>
      </c>
      <c r="AC545" s="47"/>
      <c r="AD545" s="47" t="s">
        <v>4194</v>
      </c>
      <c r="AE545" s="48"/>
      <c r="AF545" s="50"/>
      <c r="AG545" s="51">
        <v>-8092851.0</v>
      </c>
      <c r="AH545" s="51">
        <v>-647428.0</v>
      </c>
      <c r="AI545" s="51">
        <v>-8740279.0</v>
      </c>
      <c r="AJ545" s="47" t="s">
        <v>4195</v>
      </c>
      <c r="AK545" s="48"/>
      <c r="AL545" s="50"/>
      <c r="AM545" s="51">
        <v>-8.1375019E7</v>
      </c>
      <c r="AN545" s="51">
        <v>-6510002.0</v>
      </c>
      <c r="AO545" s="51">
        <v>-8.7885021E7</v>
      </c>
      <c r="AP545" s="47"/>
      <c r="AQ545" s="48"/>
      <c r="AR545" s="50"/>
      <c r="AS545" s="51"/>
      <c r="AT545" s="51"/>
      <c r="AU545" s="51"/>
      <c r="AV545" s="47"/>
      <c r="AW545" s="48"/>
      <c r="AX545" s="50"/>
      <c r="AY545" s="51"/>
      <c r="AZ545" s="51"/>
      <c r="BA545" s="51"/>
      <c r="BB545" s="51">
        <f t="shared" ref="BB545:BD545" si="543">IF(AND(ISNUMBER(Z545),COUNT(AG545,AM545,AS545,AY545)=2),Z545+SUM(AG545,AM545,AS545,AY545),"")</f>
        <v>0</v>
      </c>
      <c r="BC545" s="51">
        <f t="shared" si="543"/>
        <v>0</v>
      </c>
      <c r="BD545" s="51">
        <f t="shared" si="543"/>
        <v>0</v>
      </c>
    </row>
    <row r="546" ht="48.0" customHeight="1">
      <c r="A546" s="49" t="s">
        <v>40</v>
      </c>
      <c r="B546" s="49" t="str">
        <f t="array" ref="B546">INDEX('HD cty 2024'!B:B,MATCH('F0, F1, F2, ...'!$C546,'HD cty 2024'!B:B,0))</f>
        <v>#N/A</v>
      </c>
      <c r="C546" s="49">
        <v>724.0</v>
      </c>
      <c r="D546" s="50">
        <v>45651.0</v>
      </c>
      <c r="E546" s="51">
        <v>7.6822444E7</v>
      </c>
      <c r="F546" s="51">
        <v>6145796.0</v>
      </c>
      <c r="G546" s="51">
        <v>8.296824E7</v>
      </c>
      <c r="H546" s="49" t="s">
        <v>414</v>
      </c>
      <c r="I546" s="52" t="s">
        <v>4196</v>
      </c>
      <c r="J546" s="50">
        <v>45807.0</v>
      </c>
      <c r="K546" s="51">
        <v>5613223.0</v>
      </c>
      <c r="L546" s="51">
        <v>449058.0</v>
      </c>
      <c r="M546" s="51">
        <v>6062281.0</v>
      </c>
      <c r="N546" s="49"/>
      <c r="O546" s="52"/>
      <c r="P546" s="50"/>
      <c r="Q546" s="51"/>
      <c r="R546" s="51"/>
      <c r="S546" s="51"/>
      <c r="T546" s="49"/>
      <c r="U546" s="52"/>
      <c r="V546" s="50"/>
      <c r="W546" s="51"/>
      <c r="X546" s="51"/>
      <c r="Y546" s="51"/>
      <c r="Z546" s="51">
        <v>8.2435667E7</v>
      </c>
      <c r="AA546" s="51">
        <v>6594854.0</v>
      </c>
      <c r="AB546" s="51">
        <v>8.9030521E7</v>
      </c>
      <c r="AC546" s="47"/>
      <c r="AD546" s="47" t="s">
        <v>4197</v>
      </c>
      <c r="AE546" s="48"/>
      <c r="AF546" s="50"/>
      <c r="AG546" s="51">
        <v>-5613223.0</v>
      </c>
      <c r="AH546" s="51">
        <v>-449058.0</v>
      </c>
      <c r="AI546" s="51">
        <v>-6062281.0</v>
      </c>
      <c r="AJ546" s="47" t="s">
        <v>4198</v>
      </c>
      <c r="AK546" s="48"/>
      <c r="AL546" s="50"/>
      <c r="AM546" s="51">
        <v>-7.6822444E7</v>
      </c>
      <c r="AN546" s="51">
        <v>-6145796.0</v>
      </c>
      <c r="AO546" s="51">
        <v>-8.296824E7</v>
      </c>
      <c r="AP546" s="47"/>
      <c r="AQ546" s="48"/>
      <c r="AR546" s="50"/>
      <c r="AS546" s="51"/>
      <c r="AT546" s="51"/>
      <c r="AU546" s="51"/>
      <c r="AV546" s="47"/>
      <c r="AW546" s="48"/>
      <c r="AX546" s="50"/>
      <c r="AY546" s="51"/>
      <c r="AZ546" s="51"/>
      <c r="BA546" s="51"/>
      <c r="BB546" s="51">
        <f t="shared" ref="BB546:BD546" si="544">IF(AND(ISNUMBER(Z546),COUNT(AG546,AM546,AS546,AY546)=2),Z546+SUM(AG546,AM546,AS546,AY546),"")</f>
        <v>0</v>
      </c>
      <c r="BC546" s="51">
        <f t="shared" si="544"/>
        <v>0</v>
      </c>
      <c r="BD546" s="51">
        <f t="shared" si="544"/>
        <v>0</v>
      </c>
    </row>
    <row r="547" ht="48.0" customHeight="1">
      <c r="A547" s="49" t="s">
        <v>40</v>
      </c>
      <c r="B547" s="49" t="str">
        <f t="array" ref="B547">INDEX('HD cty 2024'!B:B,MATCH('F0, F1, F2, ...'!$C547,'HD cty 2024'!B:B,0))</f>
        <v>#N/A</v>
      </c>
      <c r="C547" s="49">
        <v>725.0</v>
      </c>
      <c r="D547" s="50">
        <v>45651.0</v>
      </c>
      <c r="E547" s="51">
        <v>8.7999289E7</v>
      </c>
      <c r="F547" s="51">
        <v>7039943.0</v>
      </c>
      <c r="G547" s="51">
        <v>9.5039232E7</v>
      </c>
      <c r="H547" s="49" t="s">
        <v>414</v>
      </c>
      <c r="I547" s="52" t="s">
        <v>4199</v>
      </c>
      <c r="J547" s="50">
        <v>45808.0</v>
      </c>
      <c r="K547" s="51">
        <v>7184808.0</v>
      </c>
      <c r="L547" s="51">
        <v>574785.0</v>
      </c>
      <c r="M547" s="51">
        <v>7759593.0</v>
      </c>
      <c r="N547" s="49"/>
      <c r="O547" s="52"/>
      <c r="P547" s="50"/>
      <c r="Q547" s="51"/>
      <c r="R547" s="51"/>
      <c r="S547" s="51"/>
      <c r="T547" s="49"/>
      <c r="U547" s="52"/>
      <c r="V547" s="50"/>
      <c r="W547" s="51"/>
      <c r="X547" s="51"/>
      <c r="Y547" s="51"/>
      <c r="Z547" s="51">
        <v>9.5184097E7</v>
      </c>
      <c r="AA547" s="51">
        <v>7614728.0</v>
      </c>
      <c r="AB547" s="51">
        <v>1.02798825E8</v>
      </c>
      <c r="AC547" s="47"/>
      <c r="AD547" s="47" t="s">
        <v>4200</v>
      </c>
      <c r="AE547" s="48"/>
      <c r="AF547" s="50"/>
      <c r="AG547" s="51">
        <v>-7184808.0</v>
      </c>
      <c r="AH547" s="51">
        <v>-574785.0</v>
      </c>
      <c r="AI547" s="51">
        <v>-7759593.0</v>
      </c>
      <c r="AJ547" s="47" t="s">
        <v>4201</v>
      </c>
      <c r="AK547" s="48"/>
      <c r="AL547" s="50"/>
      <c r="AM547" s="51">
        <v>-8.7999289E7</v>
      </c>
      <c r="AN547" s="51">
        <v>-7039943.0</v>
      </c>
      <c r="AO547" s="51">
        <v>-9.5039232E7</v>
      </c>
      <c r="AP547" s="47"/>
      <c r="AQ547" s="48"/>
      <c r="AR547" s="50"/>
      <c r="AS547" s="51"/>
      <c r="AT547" s="51"/>
      <c r="AU547" s="51"/>
      <c r="AV547" s="47"/>
      <c r="AW547" s="48"/>
      <c r="AX547" s="50"/>
      <c r="AY547" s="51"/>
      <c r="AZ547" s="51"/>
      <c r="BA547" s="51"/>
      <c r="BB547" s="51">
        <f t="shared" ref="BB547:BD547" si="545">IF(AND(ISNUMBER(Z547),COUNT(AG547,AM547,AS547,AY547)=2),Z547+SUM(AG547,AM547,AS547,AY547),"")</f>
        <v>0</v>
      </c>
      <c r="BC547" s="51">
        <f t="shared" si="545"/>
        <v>0</v>
      </c>
      <c r="BD547" s="51">
        <f t="shared" si="545"/>
        <v>0</v>
      </c>
    </row>
    <row r="548" ht="48.0" customHeight="1">
      <c r="A548" s="49" t="s">
        <v>40</v>
      </c>
      <c r="B548" s="49" t="str">
        <f t="array" ref="B548">INDEX('HD cty 2024'!B:B,MATCH('F0, F1, F2, ...'!$C548,'HD cty 2024'!B:B,0))</f>
        <v>#N/A</v>
      </c>
      <c r="C548" s="49">
        <v>726.0</v>
      </c>
      <c r="D548" s="50">
        <v>45651.0</v>
      </c>
      <c r="E548" s="51">
        <v>6.0384887E7</v>
      </c>
      <c r="F548" s="51">
        <v>4830791.0</v>
      </c>
      <c r="G548" s="51">
        <v>6.5215678E7</v>
      </c>
      <c r="H548" s="49" t="s">
        <v>414</v>
      </c>
      <c r="I548" s="52" t="s">
        <v>4202</v>
      </c>
      <c r="J548" s="50">
        <v>45807.0</v>
      </c>
      <c r="K548" s="51">
        <v>5085057.0</v>
      </c>
      <c r="L548" s="51">
        <v>406805.0</v>
      </c>
      <c r="M548" s="51">
        <v>5491862.0</v>
      </c>
      <c r="N548" s="49"/>
      <c r="O548" s="52"/>
      <c r="P548" s="50"/>
      <c r="Q548" s="51"/>
      <c r="R548" s="51"/>
      <c r="S548" s="51"/>
      <c r="T548" s="49"/>
      <c r="U548" s="52"/>
      <c r="V548" s="50"/>
      <c r="W548" s="51"/>
      <c r="X548" s="51"/>
      <c r="Y548" s="51"/>
      <c r="Z548" s="51">
        <v>6.5469944E7</v>
      </c>
      <c r="AA548" s="51">
        <v>5237596.0</v>
      </c>
      <c r="AB548" s="51">
        <v>7.070754E7</v>
      </c>
      <c r="AC548" s="47"/>
      <c r="AD548" s="47" t="s">
        <v>4203</v>
      </c>
      <c r="AE548" s="48"/>
      <c r="AF548" s="50"/>
      <c r="AG548" s="51">
        <v>-5085057.0</v>
      </c>
      <c r="AH548" s="51">
        <v>-406805.0</v>
      </c>
      <c r="AI548" s="51">
        <v>-5491862.0</v>
      </c>
      <c r="AJ548" s="47" t="s">
        <v>4204</v>
      </c>
      <c r="AK548" s="48"/>
      <c r="AL548" s="50"/>
      <c r="AM548" s="51">
        <v>-6.0384887E7</v>
      </c>
      <c r="AN548" s="51">
        <v>-4830791.0</v>
      </c>
      <c r="AO548" s="51">
        <v>-6.5215678E7</v>
      </c>
      <c r="AP548" s="47"/>
      <c r="AQ548" s="48"/>
      <c r="AR548" s="50"/>
      <c r="AS548" s="51"/>
      <c r="AT548" s="51"/>
      <c r="AU548" s="51"/>
      <c r="AV548" s="47"/>
      <c r="AW548" s="48"/>
      <c r="AX548" s="50"/>
      <c r="AY548" s="51"/>
      <c r="AZ548" s="51"/>
      <c r="BA548" s="51"/>
      <c r="BB548" s="51">
        <f t="shared" ref="BB548:BD548" si="546">IF(AND(ISNUMBER(Z548),COUNT(AG548,AM548,AS548,AY548)=2),Z548+SUM(AG548,AM548,AS548,AY548),"")</f>
        <v>0</v>
      </c>
      <c r="BC548" s="51">
        <f t="shared" si="546"/>
        <v>0</v>
      </c>
      <c r="BD548" s="51">
        <f t="shared" si="546"/>
        <v>0</v>
      </c>
    </row>
    <row r="549" ht="48.0" customHeight="1">
      <c r="A549" s="49" t="s">
        <v>40</v>
      </c>
      <c r="B549" s="49" t="str">
        <f t="array" ref="B549">INDEX('HD cty 2024'!B:B,MATCH('F0, F1, F2, ...'!$C549,'HD cty 2024'!B:B,0))</f>
        <v>#N/A</v>
      </c>
      <c r="C549" s="49">
        <v>727.0</v>
      </c>
      <c r="D549" s="50">
        <v>45652.0</v>
      </c>
      <c r="E549" s="51">
        <v>9.7627888E7</v>
      </c>
      <c r="F549" s="51">
        <v>7810231.0</v>
      </c>
      <c r="G549" s="51">
        <v>1.05438119E8</v>
      </c>
      <c r="H549" s="49" t="s">
        <v>414</v>
      </c>
      <c r="I549" s="52" t="s">
        <v>4205</v>
      </c>
      <c r="J549" s="50">
        <v>45807.0</v>
      </c>
      <c r="K549" s="51">
        <v>8257304.0</v>
      </c>
      <c r="L549" s="51">
        <v>660584.0</v>
      </c>
      <c r="M549" s="51">
        <v>8917888.0</v>
      </c>
      <c r="N549" s="49"/>
      <c r="O549" s="52"/>
      <c r="P549" s="50"/>
      <c r="Q549" s="51"/>
      <c r="R549" s="51"/>
      <c r="S549" s="51"/>
      <c r="T549" s="49"/>
      <c r="U549" s="52"/>
      <c r="V549" s="50"/>
      <c r="W549" s="51"/>
      <c r="X549" s="51"/>
      <c r="Y549" s="51"/>
      <c r="Z549" s="51">
        <v>1.05885192E8</v>
      </c>
      <c r="AA549" s="51">
        <v>8470815.0</v>
      </c>
      <c r="AB549" s="51">
        <v>1.14356007E8</v>
      </c>
      <c r="AC549" s="47"/>
      <c r="AD549" s="47" t="s">
        <v>4206</v>
      </c>
      <c r="AE549" s="48"/>
      <c r="AF549" s="50"/>
      <c r="AG549" s="51">
        <v>-8257304.0</v>
      </c>
      <c r="AH549" s="51">
        <v>-660584.0</v>
      </c>
      <c r="AI549" s="51">
        <v>-8917888.0</v>
      </c>
      <c r="AJ549" s="47" t="s">
        <v>4207</v>
      </c>
      <c r="AK549" s="48"/>
      <c r="AL549" s="50"/>
      <c r="AM549" s="51">
        <v>-9.7627888E7</v>
      </c>
      <c r="AN549" s="51">
        <v>-7810231.0</v>
      </c>
      <c r="AO549" s="51">
        <v>-1.05438119E8</v>
      </c>
      <c r="AP549" s="47"/>
      <c r="AQ549" s="48"/>
      <c r="AR549" s="50"/>
      <c r="AS549" s="51"/>
      <c r="AT549" s="51"/>
      <c r="AU549" s="51"/>
      <c r="AV549" s="47"/>
      <c r="AW549" s="48"/>
      <c r="AX549" s="50"/>
      <c r="AY549" s="51"/>
      <c r="AZ549" s="51"/>
      <c r="BA549" s="51"/>
      <c r="BB549" s="51">
        <f t="shared" ref="BB549:BD549" si="547">IF(AND(ISNUMBER(Z549),COUNT(AG549,AM549,AS549,AY549)=2),Z549+SUM(AG549,AM549,AS549,AY549),"")</f>
        <v>0</v>
      </c>
      <c r="BC549" s="51">
        <f t="shared" si="547"/>
        <v>0</v>
      </c>
      <c r="BD549" s="51">
        <f t="shared" si="547"/>
        <v>0</v>
      </c>
    </row>
    <row r="550" ht="48.0" customHeight="1">
      <c r="A550" s="49" t="s">
        <v>40</v>
      </c>
      <c r="B550" s="49" t="str">
        <f t="array" ref="B550">INDEX('HD cty 2024'!B:B,MATCH('F0, F1, F2, ...'!$C550,'HD cty 2024'!B:B,0))</f>
        <v>#N/A</v>
      </c>
      <c r="C550" s="49">
        <v>728.0</v>
      </c>
      <c r="D550" s="50">
        <v>45652.0</v>
      </c>
      <c r="E550" s="51">
        <v>8.1318967E7</v>
      </c>
      <c r="F550" s="51">
        <v>6505517.0</v>
      </c>
      <c r="G550" s="51">
        <v>8.7824484E7</v>
      </c>
      <c r="H550" s="49" t="s">
        <v>414</v>
      </c>
      <c r="I550" s="52" t="s">
        <v>4208</v>
      </c>
      <c r="J550" s="50">
        <v>45807.0</v>
      </c>
      <c r="K550" s="51">
        <v>7067421.0</v>
      </c>
      <c r="L550" s="51">
        <v>565394.0</v>
      </c>
      <c r="M550" s="51">
        <v>7632815.0</v>
      </c>
      <c r="N550" s="49"/>
      <c r="O550" s="52"/>
      <c r="P550" s="50"/>
      <c r="Q550" s="51"/>
      <c r="R550" s="51"/>
      <c r="S550" s="51"/>
      <c r="T550" s="49"/>
      <c r="U550" s="52"/>
      <c r="V550" s="50"/>
      <c r="W550" s="51"/>
      <c r="X550" s="51"/>
      <c r="Y550" s="51"/>
      <c r="Z550" s="51">
        <v>8.8386388E7</v>
      </c>
      <c r="AA550" s="51">
        <v>7070911.0</v>
      </c>
      <c r="AB550" s="51">
        <v>9.5457299E7</v>
      </c>
      <c r="AC550" s="47"/>
      <c r="AD550" s="47" t="s">
        <v>4209</v>
      </c>
      <c r="AE550" s="48"/>
      <c r="AF550" s="50"/>
      <c r="AG550" s="51">
        <v>-7067421.0</v>
      </c>
      <c r="AH550" s="51">
        <v>-565394.0</v>
      </c>
      <c r="AI550" s="51">
        <v>-7632815.0</v>
      </c>
      <c r="AJ550" s="47" t="s">
        <v>4210</v>
      </c>
      <c r="AK550" s="48"/>
      <c r="AL550" s="50"/>
      <c r="AM550" s="51">
        <v>-8.1318967E7</v>
      </c>
      <c r="AN550" s="51">
        <v>-6505517.0</v>
      </c>
      <c r="AO550" s="51">
        <v>-8.7824484E7</v>
      </c>
      <c r="AP550" s="47"/>
      <c r="AQ550" s="48"/>
      <c r="AR550" s="50"/>
      <c r="AS550" s="51"/>
      <c r="AT550" s="51"/>
      <c r="AU550" s="51"/>
      <c r="AV550" s="47"/>
      <c r="AW550" s="48"/>
      <c r="AX550" s="50"/>
      <c r="AY550" s="51"/>
      <c r="AZ550" s="51"/>
      <c r="BA550" s="51"/>
      <c r="BB550" s="51">
        <f t="shared" ref="BB550:BD550" si="548">IF(AND(ISNUMBER(Z550),COUNT(AG550,AM550,AS550,AY550)=2),Z550+SUM(AG550,AM550,AS550,AY550),"")</f>
        <v>0</v>
      </c>
      <c r="BC550" s="51">
        <f t="shared" si="548"/>
        <v>0</v>
      </c>
      <c r="BD550" s="51">
        <f t="shared" si="548"/>
        <v>0</v>
      </c>
    </row>
    <row r="551" ht="48.0" customHeight="1">
      <c r="A551" s="49" t="s">
        <v>40</v>
      </c>
      <c r="B551" s="49" t="str">
        <f t="array" ref="B551">INDEX('HD cty 2024'!B:B,MATCH('F0, F1, F2, ...'!$C551,'HD cty 2024'!B:B,0))</f>
        <v>#N/A</v>
      </c>
      <c r="C551" s="49">
        <v>729.0</v>
      </c>
      <c r="D551" s="50">
        <v>45652.0</v>
      </c>
      <c r="E551" s="51">
        <v>9.8225399E7</v>
      </c>
      <c r="F551" s="51">
        <v>7858032.0</v>
      </c>
      <c r="G551" s="51">
        <v>1.06083431E8</v>
      </c>
      <c r="H551" s="49" t="s">
        <v>414</v>
      </c>
      <c r="I551" s="52" t="s">
        <v>4211</v>
      </c>
      <c r="J551" s="50">
        <v>45807.0</v>
      </c>
      <c r="K551" s="51">
        <v>7707423.0</v>
      </c>
      <c r="L551" s="51">
        <v>616594.0</v>
      </c>
      <c r="M551" s="51">
        <v>8324017.0</v>
      </c>
      <c r="N551" s="49"/>
      <c r="O551" s="52"/>
      <c r="P551" s="50"/>
      <c r="Q551" s="51"/>
      <c r="R551" s="51"/>
      <c r="S551" s="51"/>
      <c r="T551" s="49"/>
      <c r="U551" s="52"/>
      <c r="V551" s="50"/>
      <c r="W551" s="51"/>
      <c r="X551" s="51"/>
      <c r="Y551" s="51"/>
      <c r="Z551" s="51">
        <v>1.05932822E8</v>
      </c>
      <c r="AA551" s="51">
        <v>8474626.0</v>
      </c>
      <c r="AB551" s="51">
        <v>1.14407448E8</v>
      </c>
      <c r="AC551" s="47"/>
      <c r="AD551" s="47" t="s">
        <v>4212</v>
      </c>
      <c r="AE551" s="48"/>
      <c r="AF551" s="50"/>
      <c r="AG551" s="51">
        <v>-7707423.0</v>
      </c>
      <c r="AH551" s="51">
        <v>-616594.0</v>
      </c>
      <c r="AI551" s="51">
        <v>-8324017.0</v>
      </c>
      <c r="AJ551" s="47" t="s">
        <v>4213</v>
      </c>
      <c r="AK551" s="48"/>
      <c r="AL551" s="50"/>
      <c r="AM551" s="51">
        <v>-9.8225399E7</v>
      </c>
      <c r="AN551" s="51">
        <v>-7858032.0</v>
      </c>
      <c r="AO551" s="51">
        <v>-1.06083431E8</v>
      </c>
      <c r="AP551" s="47"/>
      <c r="AQ551" s="48"/>
      <c r="AR551" s="50"/>
      <c r="AS551" s="51"/>
      <c r="AT551" s="51"/>
      <c r="AU551" s="51"/>
      <c r="AV551" s="47"/>
      <c r="AW551" s="48"/>
      <c r="AX551" s="50"/>
      <c r="AY551" s="51"/>
      <c r="AZ551" s="51"/>
      <c r="BA551" s="51"/>
      <c r="BB551" s="51">
        <f t="shared" ref="BB551:BD551" si="549">IF(AND(ISNUMBER(Z551),COUNT(AG551,AM551,AS551,AY551)=2),Z551+SUM(AG551,AM551,AS551,AY551),"")</f>
        <v>0</v>
      </c>
      <c r="BC551" s="51">
        <f t="shared" si="549"/>
        <v>0</v>
      </c>
      <c r="BD551" s="51">
        <f t="shared" si="549"/>
        <v>0</v>
      </c>
    </row>
    <row r="552" ht="48.0" customHeight="1">
      <c r="A552" s="49" t="s">
        <v>40</v>
      </c>
      <c r="B552" s="49" t="str">
        <f t="array" ref="B552">INDEX('HD cty 2024'!B:B,MATCH('F0, F1, F2, ...'!$C552,'HD cty 2024'!B:B,0))</f>
        <v>#N/A</v>
      </c>
      <c r="C552" s="49">
        <v>730.0</v>
      </c>
      <c r="D552" s="50">
        <v>45652.0</v>
      </c>
      <c r="E552" s="51">
        <v>915741.0</v>
      </c>
      <c r="F552" s="51">
        <v>73259.0</v>
      </c>
      <c r="G552" s="51">
        <v>989000.0</v>
      </c>
      <c r="H552" s="49" t="s">
        <v>414</v>
      </c>
      <c r="I552" s="52" t="s">
        <v>4214</v>
      </c>
      <c r="J552" s="50">
        <v>45807.0</v>
      </c>
      <c r="K552" s="51">
        <v>46296.0</v>
      </c>
      <c r="L552" s="51">
        <v>3704.0</v>
      </c>
      <c r="M552" s="51">
        <v>50000.0</v>
      </c>
      <c r="N552" s="49"/>
      <c r="O552" s="52"/>
      <c r="P552" s="50"/>
      <c r="Q552" s="51"/>
      <c r="R552" s="51"/>
      <c r="S552" s="51"/>
      <c r="T552" s="49"/>
      <c r="U552" s="52"/>
      <c r="V552" s="50"/>
      <c r="W552" s="51"/>
      <c r="X552" s="51"/>
      <c r="Y552" s="51"/>
      <c r="Z552" s="51">
        <v>962037.0</v>
      </c>
      <c r="AA552" s="51">
        <v>76963.0</v>
      </c>
      <c r="AB552" s="51">
        <v>1039000.0</v>
      </c>
      <c r="AC552" s="47"/>
      <c r="AD552" s="47" t="s">
        <v>4215</v>
      </c>
      <c r="AE552" s="48"/>
      <c r="AF552" s="50"/>
      <c r="AG552" s="51">
        <v>-46296.0</v>
      </c>
      <c r="AH552" s="51">
        <v>-3704.0</v>
      </c>
      <c r="AI552" s="51">
        <v>-50000.0</v>
      </c>
      <c r="AJ552" s="47" t="s">
        <v>4216</v>
      </c>
      <c r="AK552" s="48"/>
      <c r="AL552" s="50"/>
      <c r="AM552" s="51">
        <v>-915741.0</v>
      </c>
      <c r="AN552" s="51">
        <v>-73259.0</v>
      </c>
      <c r="AO552" s="51">
        <v>-989000.0</v>
      </c>
      <c r="AP552" s="47"/>
      <c r="AQ552" s="48"/>
      <c r="AR552" s="50"/>
      <c r="AS552" s="51"/>
      <c r="AT552" s="51"/>
      <c r="AU552" s="51"/>
      <c r="AV552" s="47"/>
      <c r="AW552" s="48"/>
      <c r="AX552" s="50"/>
      <c r="AY552" s="51"/>
      <c r="AZ552" s="51"/>
      <c r="BA552" s="51"/>
      <c r="BB552" s="51">
        <f t="shared" ref="BB552:BD552" si="550">IF(AND(ISNUMBER(Z552),COUNT(AG552,AM552,AS552,AY552)=2),Z552+SUM(AG552,AM552,AS552,AY552),"")</f>
        <v>0</v>
      </c>
      <c r="BC552" s="51">
        <f t="shared" si="550"/>
        <v>0</v>
      </c>
      <c r="BD552" s="51">
        <f t="shared" si="550"/>
        <v>0</v>
      </c>
    </row>
    <row r="553" ht="48.0" customHeight="1">
      <c r="A553" s="49" t="s">
        <v>40</v>
      </c>
      <c r="B553" s="49" t="str">
        <f t="array" ref="B553">INDEX('HD cty 2024'!B:B,MATCH('F0, F1, F2, ...'!$C553,'HD cty 2024'!B:B,0))</f>
        <v>#N/A</v>
      </c>
      <c r="C553" s="49">
        <v>731.0</v>
      </c>
      <c r="D553" s="50">
        <v>45652.0</v>
      </c>
      <c r="E553" s="51">
        <v>1.65600662E8</v>
      </c>
      <c r="F553" s="51">
        <v>1.3248053E7</v>
      </c>
      <c r="G553" s="51">
        <v>1.78848715E8</v>
      </c>
      <c r="H553" s="49" t="s">
        <v>414</v>
      </c>
      <c r="I553" s="52" t="s">
        <v>4217</v>
      </c>
      <c r="J553" s="50">
        <v>45807.0</v>
      </c>
      <c r="K553" s="51">
        <v>1.6566931E7</v>
      </c>
      <c r="L553" s="51">
        <v>1325354.0</v>
      </c>
      <c r="M553" s="51">
        <v>1.7892285E7</v>
      </c>
      <c r="N553" s="49"/>
      <c r="O553" s="52"/>
      <c r="P553" s="50"/>
      <c r="Q553" s="51"/>
      <c r="R553" s="51"/>
      <c r="S553" s="51"/>
      <c r="T553" s="49"/>
      <c r="U553" s="52"/>
      <c r="V553" s="50"/>
      <c r="W553" s="51"/>
      <c r="X553" s="51"/>
      <c r="Y553" s="51"/>
      <c r="Z553" s="51">
        <v>1.82167593E8</v>
      </c>
      <c r="AA553" s="51">
        <v>1.4573407E7</v>
      </c>
      <c r="AB553" s="51">
        <v>1.96741E8</v>
      </c>
      <c r="AC553" s="47"/>
      <c r="AD553" s="47" t="s">
        <v>4218</v>
      </c>
      <c r="AE553" s="48"/>
      <c r="AF553" s="50"/>
      <c r="AG553" s="51">
        <v>-1.6566931E7</v>
      </c>
      <c r="AH553" s="51">
        <v>-1325354.0</v>
      </c>
      <c r="AI553" s="51">
        <v>-1.7892285E7</v>
      </c>
      <c r="AJ553" s="47" t="s">
        <v>4219</v>
      </c>
      <c r="AK553" s="48"/>
      <c r="AL553" s="50"/>
      <c r="AM553" s="51">
        <v>-1.65600662E8</v>
      </c>
      <c r="AN553" s="51">
        <v>-1.3248053E7</v>
      </c>
      <c r="AO553" s="51">
        <v>-1.78848715E8</v>
      </c>
      <c r="AP553" s="47"/>
      <c r="AQ553" s="48"/>
      <c r="AR553" s="50"/>
      <c r="AS553" s="51"/>
      <c r="AT553" s="51"/>
      <c r="AU553" s="51"/>
      <c r="AV553" s="47"/>
      <c r="AW553" s="48"/>
      <c r="AX553" s="50"/>
      <c r="AY553" s="51"/>
      <c r="AZ553" s="51"/>
      <c r="BA553" s="51"/>
      <c r="BB553" s="51">
        <f t="shared" ref="BB553:BD553" si="551">IF(AND(ISNUMBER(Z553),COUNT(AG553,AM553,AS553,AY553)=2),Z553+SUM(AG553,AM553,AS553,AY553),"")</f>
        <v>0</v>
      </c>
      <c r="BC553" s="51">
        <f t="shared" si="551"/>
        <v>0</v>
      </c>
      <c r="BD553" s="51">
        <f t="shared" si="551"/>
        <v>0</v>
      </c>
    </row>
    <row r="554" ht="48.0" customHeight="1">
      <c r="A554" s="49" t="s">
        <v>40</v>
      </c>
      <c r="B554" s="49" t="str">
        <f t="array" ref="B554">INDEX('HD cty 2024'!B:B,MATCH('F0, F1, F2, ...'!$C554,'HD cty 2024'!B:B,0))</f>
        <v>#N/A</v>
      </c>
      <c r="C554" s="49">
        <v>732.0</v>
      </c>
      <c r="D554" s="50">
        <v>45652.0</v>
      </c>
      <c r="E554" s="51">
        <v>1717685.0</v>
      </c>
      <c r="F554" s="51">
        <v>137415.0</v>
      </c>
      <c r="G554" s="51">
        <v>1855100.0</v>
      </c>
      <c r="H554" s="49" t="s">
        <v>414</v>
      </c>
      <c r="I554" s="52" t="s">
        <v>4220</v>
      </c>
      <c r="J554" s="50">
        <v>45807.0</v>
      </c>
      <c r="K554" s="51">
        <v>855463.0</v>
      </c>
      <c r="L554" s="51">
        <v>68437.0</v>
      </c>
      <c r="M554" s="51">
        <v>923900.0</v>
      </c>
      <c r="N554" s="49"/>
      <c r="O554" s="52"/>
      <c r="P554" s="50"/>
      <c r="Q554" s="51"/>
      <c r="R554" s="51"/>
      <c r="S554" s="51"/>
      <c r="T554" s="49"/>
      <c r="U554" s="52"/>
      <c r="V554" s="50"/>
      <c r="W554" s="51"/>
      <c r="X554" s="51"/>
      <c r="Y554" s="51"/>
      <c r="Z554" s="51">
        <v>2573148.0</v>
      </c>
      <c r="AA554" s="51">
        <v>205852.0</v>
      </c>
      <c r="AB554" s="51">
        <v>2779000.0</v>
      </c>
      <c r="AC554" s="47"/>
      <c r="AD554" s="47" t="s">
        <v>4221</v>
      </c>
      <c r="AE554" s="48"/>
      <c r="AF554" s="50"/>
      <c r="AG554" s="51">
        <v>-855463.0</v>
      </c>
      <c r="AH554" s="51">
        <v>-68437.0</v>
      </c>
      <c r="AI554" s="51">
        <v>-923900.0</v>
      </c>
      <c r="AJ554" s="47" t="s">
        <v>4222</v>
      </c>
      <c r="AK554" s="48"/>
      <c r="AL554" s="50"/>
      <c r="AM554" s="51">
        <v>-1717685.0</v>
      </c>
      <c r="AN554" s="51">
        <v>-137415.0</v>
      </c>
      <c r="AO554" s="51">
        <v>-1855100.0</v>
      </c>
      <c r="AP554" s="47"/>
      <c r="AQ554" s="48"/>
      <c r="AR554" s="50"/>
      <c r="AS554" s="51"/>
      <c r="AT554" s="51"/>
      <c r="AU554" s="51"/>
      <c r="AV554" s="47"/>
      <c r="AW554" s="48"/>
      <c r="AX554" s="50"/>
      <c r="AY554" s="51"/>
      <c r="AZ554" s="51"/>
      <c r="BA554" s="51"/>
      <c r="BB554" s="51">
        <f t="shared" ref="BB554:BD554" si="552">IF(AND(ISNUMBER(Z554),COUNT(AG554,AM554,AS554,AY554)=2),Z554+SUM(AG554,AM554,AS554,AY554),"")</f>
        <v>0</v>
      </c>
      <c r="BC554" s="51">
        <f t="shared" si="552"/>
        <v>0</v>
      </c>
      <c r="BD554" s="51">
        <f t="shared" si="552"/>
        <v>0</v>
      </c>
    </row>
    <row r="555" ht="87.0" customHeight="1">
      <c r="A555" s="49" t="s">
        <v>40</v>
      </c>
      <c r="B555" s="49" t="str">
        <f t="array" ref="B555">INDEX('HD cty 2024'!B:B,MATCH('F0, F1, F2, ...'!$C555,'HD cty 2024'!B:B,0))</f>
        <v>#N/A</v>
      </c>
      <c r="C555" s="49">
        <v>733.0</v>
      </c>
      <c r="D555" s="50">
        <v>45652.0</v>
      </c>
      <c r="E555" s="51">
        <v>1214815.0</v>
      </c>
      <c r="F555" s="51">
        <v>97185.0</v>
      </c>
      <c r="G555" s="51">
        <v>1312000.0</v>
      </c>
      <c r="H555" s="49" t="s">
        <v>414</v>
      </c>
      <c r="I555" s="52" t="s">
        <v>4223</v>
      </c>
      <c r="J555" s="50">
        <v>45807.0</v>
      </c>
      <c r="K555" s="51">
        <v>-1214815.0</v>
      </c>
      <c r="L555" s="51">
        <v>-97185.0</v>
      </c>
      <c r="M555" s="51">
        <v>-1312000.0</v>
      </c>
      <c r="N555" s="49"/>
      <c r="O555" s="52"/>
      <c r="P555" s="50"/>
      <c r="Q555" s="51"/>
      <c r="R555" s="51"/>
      <c r="S555" s="51"/>
      <c r="T555" s="49"/>
      <c r="U555" s="52"/>
      <c r="V555" s="50"/>
      <c r="W555" s="51"/>
      <c r="X555" s="51"/>
      <c r="Y555" s="51"/>
      <c r="Z555" s="51">
        <v>0.0</v>
      </c>
      <c r="AA555" s="51">
        <v>0.0</v>
      </c>
      <c r="AB555" s="51">
        <v>0.0</v>
      </c>
      <c r="AC555" s="47" t="s">
        <v>4224</v>
      </c>
      <c r="AD555" s="47" t="s">
        <v>4225</v>
      </c>
      <c r="AE555" s="48"/>
      <c r="AF555" s="50">
        <v>46304.0</v>
      </c>
      <c r="AG555" s="51">
        <v>1214815.0</v>
      </c>
      <c r="AH555" s="51">
        <v>97185.0</v>
      </c>
      <c r="AI555" s="51">
        <v>1312000.0</v>
      </c>
      <c r="AJ555" s="47" t="s">
        <v>4226</v>
      </c>
      <c r="AK555" s="48"/>
      <c r="AL555" s="50">
        <v>46304.0</v>
      </c>
      <c r="AM555" s="51">
        <v>-1214815.0</v>
      </c>
      <c r="AN555" s="51">
        <v>-97185.0</v>
      </c>
      <c r="AO555" s="51">
        <v>-1312000.0</v>
      </c>
      <c r="AP555" s="47"/>
      <c r="AQ555" s="48"/>
      <c r="AR555" s="50"/>
      <c r="AS555" s="51"/>
      <c r="AT555" s="51"/>
      <c r="AU555" s="51"/>
      <c r="AV555" s="47"/>
      <c r="AW555" s="48"/>
      <c r="AX555" s="50"/>
      <c r="AY555" s="51"/>
      <c r="AZ555" s="51"/>
      <c r="BA555" s="51"/>
      <c r="BB555" s="51">
        <f t="shared" ref="BB555:BD555" si="553">IF(AND(ISNUMBER(Z555),COUNT(AG555,AM555,AS555,AY555)=2),Z555+SUM(AG555,AM555,AS555,AY555),"")</f>
        <v>0</v>
      </c>
      <c r="BC555" s="51">
        <f t="shared" si="553"/>
        <v>0</v>
      </c>
      <c r="BD555" s="51">
        <f t="shared" si="553"/>
        <v>0</v>
      </c>
    </row>
    <row r="556" ht="48.0" customHeight="1">
      <c r="A556" s="49" t="s">
        <v>40</v>
      </c>
      <c r="B556" s="49" t="str">
        <f t="array" ref="B556">INDEX('HD cty 2024'!B:B,MATCH('F0, F1, F2, ...'!$C556,'HD cty 2024'!B:B,0))</f>
        <v>#N/A</v>
      </c>
      <c r="C556" s="49">
        <v>734.0</v>
      </c>
      <c r="D556" s="50">
        <v>45653.0</v>
      </c>
      <c r="E556" s="51">
        <v>2.4445448E7</v>
      </c>
      <c r="F556" s="51">
        <v>1955636.0</v>
      </c>
      <c r="G556" s="51">
        <v>2.6401084E7</v>
      </c>
      <c r="H556" s="49" t="s">
        <v>414</v>
      </c>
      <c r="I556" s="52" t="s">
        <v>4227</v>
      </c>
      <c r="J556" s="50">
        <v>45807.0</v>
      </c>
      <c r="K556" s="51">
        <v>2658335.0</v>
      </c>
      <c r="L556" s="51">
        <v>212667.0</v>
      </c>
      <c r="M556" s="51">
        <v>2871002.0</v>
      </c>
      <c r="N556" s="49"/>
      <c r="O556" s="52"/>
      <c r="P556" s="50"/>
      <c r="Q556" s="51"/>
      <c r="R556" s="51"/>
      <c r="S556" s="51"/>
      <c r="T556" s="49"/>
      <c r="U556" s="52"/>
      <c r="V556" s="50"/>
      <c r="W556" s="51"/>
      <c r="X556" s="51"/>
      <c r="Y556" s="51"/>
      <c r="Z556" s="51">
        <v>2.7103783E7</v>
      </c>
      <c r="AA556" s="51">
        <v>2168303.0</v>
      </c>
      <c r="AB556" s="51">
        <v>2.9272086E7</v>
      </c>
      <c r="AC556" s="47"/>
      <c r="AD556" s="47" t="s">
        <v>4228</v>
      </c>
      <c r="AE556" s="48"/>
      <c r="AF556" s="50"/>
      <c r="AG556" s="51">
        <v>-2658335.0</v>
      </c>
      <c r="AH556" s="51">
        <v>-212667.0</v>
      </c>
      <c r="AI556" s="51">
        <v>-2871002.0</v>
      </c>
      <c r="AJ556" s="47" t="s">
        <v>4229</v>
      </c>
      <c r="AK556" s="48"/>
      <c r="AL556" s="50"/>
      <c r="AM556" s="51">
        <v>-2.4445448E7</v>
      </c>
      <c r="AN556" s="51">
        <v>-1955636.0</v>
      </c>
      <c r="AO556" s="51">
        <v>-2.6401084E7</v>
      </c>
      <c r="AP556" s="47"/>
      <c r="AQ556" s="48"/>
      <c r="AR556" s="50"/>
      <c r="AS556" s="51"/>
      <c r="AT556" s="51"/>
      <c r="AU556" s="51"/>
      <c r="AV556" s="47"/>
      <c r="AW556" s="48"/>
      <c r="AX556" s="50"/>
      <c r="AY556" s="51"/>
      <c r="AZ556" s="51"/>
      <c r="BA556" s="51"/>
      <c r="BB556" s="51">
        <f t="shared" ref="BB556:BD556" si="554">IF(AND(ISNUMBER(Z556),COUNT(AG556,AM556,AS556,AY556)=2),Z556+SUM(AG556,AM556,AS556,AY556),"")</f>
        <v>0</v>
      </c>
      <c r="BC556" s="51">
        <f t="shared" si="554"/>
        <v>0</v>
      </c>
      <c r="BD556" s="51">
        <f t="shared" si="554"/>
        <v>0</v>
      </c>
    </row>
    <row r="557" ht="48.0" customHeight="1">
      <c r="A557" s="49" t="s">
        <v>40</v>
      </c>
      <c r="B557" s="49" t="str">
        <f t="array" ref="B557">INDEX('HD cty 2024'!B:B,MATCH('F0, F1, F2, ...'!$C557,'HD cty 2024'!B:B,0))</f>
        <v>#N/A</v>
      </c>
      <c r="C557" s="49">
        <v>735.0</v>
      </c>
      <c r="D557" s="50">
        <v>45653.0</v>
      </c>
      <c r="E557" s="51">
        <v>5.2174507E7</v>
      </c>
      <c r="F557" s="51">
        <v>4173961.0</v>
      </c>
      <c r="G557" s="51">
        <v>5.6348468E7</v>
      </c>
      <c r="H557" s="49" t="s">
        <v>414</v>
      </c>
      <c r="I557" s="52" t="s">
        <v>4230</v>
      </c>
      <c r="J557" s="50">
        <v>45807.0</v>
      </c>
      <c r="K557" s="51">
        <v>4820102.0</v>
      </c>
      <c r="L557" s="51">
        <v>385608.0</v>
      </c>
      <c r="M557" s="51">
        <v>5205710.0</v>
      </c>
      <c r="N557" s="49"/>
      <c r="O557" s="52"/>
      <c r="P557" s="50"/>
      <c r="Q557" s="51"/>
      <c r="R557" s="51"/>
      <c r="S557" s="51"/>
      <c r="T557" s="49"/>
      <c r="U557" s="52"/>
      <c r="V557" s="50"/>
      <c r="W557" s="51"/>
      <c r="X557" s="51"/>
      <c r="Y557" s="51"/>
      <c r="Z557" s="51">
        <v>5.6994609E7</v>
      </c>
      <c r="AA557" s="51">
        <v>4559569.0</v>
      </c>
      <c r="AB557" s="51">
        <v>6.1554178E7</v>
      </c>
      <c r="AC557" s="47"/>
      <c r="AD557" s="47" t="s">
        <v>4231</v>
      </c>
      <c r="AE557" s="48"/>
      <c r="AF557" s="50"/>
      <c r="AG557" s="51">
        <v>-4820102.0</v>
      </c>
      <c r="AH557" s="51">
        <v>-385608.0</v>
      </c>
      <c r="AI557" s="51">
        <v>-5205710.0</v>
      </c>
      <c r="AJ557" s="47" t="s">
        <v>4232</v>
      </c>
      <c r="AK557" s="48"/>
      <c r="AL557" s="50"/>
      <c r="AM557" s="51">
        <v>-5.2174507E7</v>
      </c>
      <c r="AN557" s="51">
        <v>-4173961.0</v>
      </c>
      <c r="AO557" s="51">
        <v>-5.6348468E7</v>
      </c>
      <c r="AP557" s="47"/>
      <c r="AQ557" s="48"/>
      <c r="AR557" s="50"/>
      <c r="AS557" s="51"/>
      <c r="AT557" s="51"/>
      <c r="AU557" s="51"/>
      <c r="AV557" s="47"/>
      <c r="AW557" s="48"/>
      <c r="AX557" s="50"/>
      <c r="AY557" s="51"/>
      <c r="AZ557" s="51"/>
      <c r="BA557" s="51"/>
      <c r="BB557" s="51">
        <f t="shared" ref="BB557:BD557" si="555">IF(AND(ISNUMBER(Z557),COUNT(AG557,AM557,AS557,AY557)=2),Z557+SUM(AG557,AM557,AS557,AY557),"")</f>
        <v>0</v>
      </c>
      <c r="BC557" s="51">
        <f t="shared" si="555"/>
        <v>0</v>
      </c>
      <c r="BD557" s="51">
        <f t="shared" si="555"/>
        <v>0</v>
      </c>
    </row>
    <row r="558" ht="48.0" customHeight="1">
      <c r="A558" s="49" t="s">
        <v>40</v>
      </c>
      <c r="B558" s="49" t="str">
        <f t="array" ref="B558">INDEX('HD cty 2024'!B:B,MATCH('F0, F1, F2, ...'!$C558,'HD cty 2024'!B:B,0))</f>
        <v>#N/A</v>
      </c>
      <c r="C558" s="49">
        <v>736.0</v>
      </c>
      <c r="D558" s="50">
        <v>45653.0</v>
      </c>
      <c r="E558" s="51">
        <v>6.7591046E7</v>
      </c>
      <c r="F558" s="51">
        <v>5407284.0</v>
      </c>
      <c r="G558" s="51">
        <v>7.299833E7</v>
      </c>
      <c r="H558" s="49" t="s">
        <v>414</v>
      </c>
      <c r="I558" s="52" t="s">
        <v>4233</v>
      </c>
      <c r="J558" s="50">
        <v>45807.0</v>
      </c>
      <c r="K558" s="51">
        <v>2427917.0</v>
      </c>
      <c r="L558" s="51">
        <v>194233.0</v>
      </c>
      <c r="M558" s="51">
        <v>2622150.0</v>
      </c>
      <c r="N558" s="49"/>
      <c r="O558" s="52"/>
      <c r="P558" s="50"/>
      <c r="Q558" s="51"/>
      <c r="R558" s="51"/>
      <c r="S558" s="51"/>
      <c r="T558" s="49"/>
      <c r="U558" s="52"/>
      <c r="V558" s="50"/>
      <c r="W558" s="51"/>
      <c r="X558" s="51"/>
      <c r="Y558" s="51"/>
      <c r="Z558" s="51">
        <v>7.0018963E7</v>
      </c>
      <c r="AA558" s="51">
        <v>5601517.0</v>
      </c>
      <c r="AB558" s="51">
        <v>7.562048E7</v>
      </c>
      <c r="AC558" s="47"/>
      <c r="AD558" s="47" t="s">
        <v>4234</v>
      </c>
      <c r="AE558" s="48"/>
      <c r="AF558" s="50"/>
      <c r="AG558" s="51">
        <v>-2427917.0</v>
      </c>
      <c r="AH558" s="51">
        <v>-194233.0</v>
      </c>
      <c r="AI558" s="51">
        <v>-2622150.0</v>
      </c>
      <c r="AJ558" s="47" t="s">
        <v>4235</v>
      </c>
      <c r="AK558" s="48"/>
      <c r="AL558" s="50"/>
      <c r="AM558" s="51">
        <v>-6.7591046E7</v>
      </c>
      <c r="AN558" s="51">
        <v>-5407284.0</v>
      </c>
      <c r="AO558" s="51">
        <v>-7.299833E7</v>
      </c>
      <c r="AP558" s="47"/>
      <c r="AQ558" s="48"/>
      <c r="AR558" s="50"/>
      <c r="AS558" s="51"/>
      <c r="AT558" s="51"/>
      <c r="AU558" s="51"/>
      <c r="AV558" s="47"/>
      <c r="AW558" s="48"/>
      <c r="AX558" s="50"/>
      <c r="AY558" s="51"/>
      <c r="AZ558" s="51"/>
      <c r="BA558" s="51"/>
      <c r="BB558" s="51">
        <f t="shared" ref="BB558:BD558" si="556">IF(AND(ISNUMBER(Z558),COUNT(AG558,AM558,AS558,AY558)=2),Z558+SUM(AG558,AM558,AS558,AY558),"")</f>
        <v>0</v>
      </c>
      <c r="BC558" s="51">
        <f t="shared" si="556"/>
        <v>0</v>
      </c>
      <c r="BD558" s="51">
        <f t="shared" si="556"/>
        <v>0</v>
      </c>
    </row>
    <row r="559" ht="48.0" customHeight="1">
      <c r="A559" s="49" t="s">
        <v>40</v>
      </c>
      <c r="B559" s="49" t="str">
        <f t="array" ref="B559">INDEX('HD cty 2024'!B:B,MATCH('F0, F1, F2, ...'!$C559,'HD cty 2024'!B:B,0))</f>
        <v>#N/A</v>
      </c>
      <c r="C559" s="49">
        <v>737.0</v>
      </c>
      <c r="D559" s="50">
        <v>45653.0</v>
      </c>
      <c r="E559" s="51">
        <v>7.468347E7</v>
      </c>
      <c r="F559" s="51">
        <v>5974678.0</v>
      </c>
      <c r="G559" s="51">
        <v>8.0658148E7</v>
      </c>
      <c r="H559" s="49" t="s">
        <v>414</v>
      </c>
      <c r="I559" s="52" t="s">
        <v>4236</v>
      </c>
      <c r="J559" s="50">
        <v>45807.0</v>
      </c>
      <c r="K559" s="51">
        <v>4857345.0</v>
      </c>
      <c r="L559" s="51">
        <v>388588.0</v>
      </c>
      <c r="M559" s="51">
        <v>5245933.0</v>
      </c>
      <c r="N559" s="49"/>
      <c r="O559" s="52"/>
      <c r="P559" s="50"/>
      <c r="Q559" s="51"/>
      <c r="R559" s="51"/>
      <c r="S559" s="51"/>
      <c r="T559" s="49"/>
      <c r="U559" s="52"/>
      <c r="V559" s="50"/>
      <c r="W559" s="51"/>
      <c r="X559" s="51"/>
      <c r="Y559" s="51"/>
      <c r="Z559" s="51">
        <v>7.9540815E7</v>
      </c>
      <c r="AA559" s="51">
        <v>6363266.0</v>
      </c>
      <c r="AB559" s="51">
        <v>8.5904081E7</v>
      </c>
      <c r="AC559" s="47"/>
      <c r="AD559" s="47" t="s">
        <v>4237</v>
      </c>
      <c r="AE559" s="48"/>
      <c r="AF559" s="50"/>
      <c r="AG559" s="51">
        <v>-4857345.0</v>
      </c>
      <c r="AH559" s="51">
        <v>-388588.0</v>
      </c>
      <c r="AI559" s="51">
        <v>-5245933.0</v>
      </c>
      <c r="AJ559" s="47" t="s">
        <v>4238</v>
      </c>
      <c r="AK559" s="48"/>
      <c r="AL559" s="50"/>
      <c r="AM559" s="51">
        <v>-7.468347E7</v>
      </c>
      <c r="AN559" s="51">
        <v>-5974678.0</v>
      </c>
      <c r="AO559" s="51">
        <v>-8.0658148E7</v>
      </c>
      <c r="AP559" s="47"/>
      <c r="AQ559" s="48"/>
      <c r="AR559" s="50"/>
      <c r="AS559" s="51"/>
      <c r="AT559" s="51"/>
      <c r="AU559" s="51"/>
      <c r="AV559" s="47"/>
      <c r="AW559" s="48"/>
      <c r="AX559" s="50"/>
      <c r="AY559" s="51"/>
      <c r="AZ559" s="51"/>
      <c r="BA559" s="51"/>
      <c r="BB559" s="51">
        <f t="shared" ref="BB559:BD559" si="557">IF(AND(ISNUMBER(Z559),COUNT(AG559,AM559,AS559,AY559)=2),Z559+SUM(AG559,AM559,AS559,AY559),"")</f>
        <v>0</v>
      </c>
      <c r="BC559" s="51">
        <f t="shared" si="557"/>
        <v>0</v>
      </c>
      <c r="BD559" s="51">
        <f t="shared" si="557"/>
        <v>0</v>
      </c>
    </row>
    <row r="560" ht="48.0" customHeight="1">
      <c r="A560" s="49" t="s">
        <v>40</v>
      </c>
      <c r="B560" s="49" t="str">
        <f t="array" ref="B560">INDEX('HD cty 2024'!B:B,MATCH('F0, F1, F2, ...'!$C560,'HD cty 2024'!B:B,0))</f>
        <v>#N/A</v>
      </c>
      <c r="C560" s="49">
        <v>738.0</v>
      </c>
      <c r="D560" s="50">
        <v>45653.0</v>
      </c>
      <c r="E560" s="51">
        <v>6.4129728E7</v>
      </c>
      <c r="F560" s="51">
        <v>5130378.0</v>
      </c>
      <c r="G560" s="51">
        <v>6.9260106E7</v>
      </c>
      <c r="H560" s="49" t="s">
        <v>414</v>
      </c>
      <c r="I560" s="52" t="s">
        <v>4239</v>
      </c>
      <c r="J560" s="50">
        <v>45807.0</v>
      </c>
      <c r="K560" s="51">
        <v>4817113.0</v>
      </c>
      <c r="L560" s="51">
        <v>385369.0</v>
      </c>
      <c r="M560" s="51">
        <v>5202482.0</v>
      </c>
      <c r="N560" s="49"/>
      <c r="O560" s="52"/>
      <c r="P560" s="50"/>
      <c r="Q560" s="51"/>
      <c r="R560" s="51"/>
      <c r="S560" s="51"/>
      <c r="T560" s="49"/>
      <c r="U560" s="52"/>
      <c r="V560" s="50"/>
      <c r="W560" s="51"/>
      <c r="X560" s="51"/>
      <c r="Y560" s="51"/>
      <c r="Z560" s="51">
        <v>6.8946841E7</v>
      </c>
      <c r="AA560" s="51">
        <v>5515747.0</v>
      </c>
      <c r="AB560" s="51">
        <v>7.4462588E7</v>
      </c>
      <c r="AC560" s="47"/>
      <c r="AD560" s="47" t="s">
        <v>4240</v>
      </c>
      <c r="AE560" s="48"/>
      <c r="AF560" s="50"/>
      <c r="AG560" s="51">
        <v>-4817113.0</v>
      </c>
      <c r="AH560" s="51">
        <v>-385369.0</v>
      </c>
      <c r="AI560" s="51">
        <v>-5202482.0</v>
      </c>
      <c r="AJ560" s="47" t="s">
        <v>4241</v>
      </c>
      <c r="AK560" s="48"/>
      <c r="AL560" s="50"/>
      <c r="AM560" s="51">
        <v>-6.4129728E7</v>
      </c>
      <c r="AN560" s="51">
        <v>-5130378.0</v>
      </c>
      <c r="AO560" s="51">
        <v>-6.9260106E7</v>
      </c>
      <c r="AP560" s="47"/>
      <c r="AQ560" s="48"/>
      <c r="AR560" s="50"/>
      <c r="AS560" s="51"/>
      <c r="AT560" s="51"/>
      <c r="AU560" s="51"/>
      <c r="AV560" s="47"/>
      <c r="AW560" s="48"/>
      <c r="AX560" s="50"/>
      <c r="AY560" s="51"/>
      <c r="AZ560" s="51"/>
      <c r="BA560" s="51"/>
      <c r="BB560" s="51">
        <f t="shared" ref="BB560:BD560" si="558">IF(AND(ISNUMBER(Z560),COUNT(AG560,AM560,AS560,AY560)=2),Z560+SUM(AG560,AM560,AS560,AY560),"")</f>
        <v>0</v>
      </c>
      <c r="BC560" s="51">
        <f t="shared" si="558"/>
        <v>0</v>
      </c>
      <c r="BD560" s="51">
        <f t="shared" si="558"/>
        <v>0</v>
      </c>
    </row>
    <row r="561" ht="48.0" customHeight="1">
      <c r="A561" s="49" t="s">
        <v>40</v>
      </c>
      <c r="B561" s="49" t="str">
        <f t="array" ref="B561">INDEX('HD cty 2024'!B:B,MATCH('F0, F1, F2, ...'!$C561,'HD cty 2024'!B:B,0))</f>
        <v>#N/A</v>
      </c>
      <c r="C561" s="49">
        <v>739.0</v>
      </c>
      <c r="D561" s="50">
        <v>45653.0</v>
      </c>
      <c r="E561" s="51">
        <v>5.7649835E7</v>
      </c>
      <c r="F561" s="51">
        <v>4611987.0</v>
      </c>
      <c r="G561" s="51">
        <v>6.2261822E7</v>
      </c>
      <c r="H561" s="49" t="s">
        <v>414</v>
      </c>
      <c r="I561" s="52" t="s">
        <v>4242</v>
      </c>
      <c r="J561" s="50">
        <v>45807.0</v>
      </c>
      <c r="K561" s="51">
        <v>2157569.0</v>
      </c>
      <c r="L561" s="51">
        <v>172606.0</v>
      </c>
      <c r="M561" s="51">
        <v>2330175.0</v>
      </c>
      <c r="N561" s="49"/>
      <c r="O561" s="52"/>
      <c r="P561" s="50"/>
      <c r="Q561" s="51"/>
      <c r="R561" s="51"/>
      <c r="S561" s="51"/>
      <c r="T561" s="49"/>
      <c r="U561" s="52"/>
      <c r="V561" s="50"/>
      <c r="W561" s="51"/>
      <c r="X561" s="51"/>
      <c r="Y561" s="51"/>
      <c r="Z561" s="51">
        <v>5.9807404E7</v>
      </c>
      <c r="AA561" s="51">
        <v>4784593.0</v>
      </c>
      <c r="AB561" s="51">
        <v>6.4591997E7</v>
      </c>
      <c r="AC561" s="47"/>
      <c r="AD561" s="47" t="s">
        <v>4243</v>
      </c>
      <c r="AE561" s="48"/>
      <c r="AF561" s="50"/>
      <c r="AG561" s="51">
        <v>-2157569.0</v>
      </c>
      <c r="AH561" s="51">
        <v>-172606.0</v>
      </c>
      <c r="AI561" s="51">
        <v>-2330175.0</v>
      </c>
      <c r="AJ561" s="47" t="s">
        <v>4244</v>
      </c>
      <c r="AK561" s="48"/>
      <c r="AL561" s="50"/>
      <c r="AM561" s="51">
        <v>-5.7649835E7</v>
      </c>
      <c r="AN561" s="51">
        <v>-4611987.0</v>
      </c>
      <c r="AO561" s="51">
        <v>-6.2261822E7</v>
      </c>
      <c r="AP561" s="47"/>
      <c r="AQ561" s="48"/>
      <c r="AR561" s="50"/>
      <c r="AS561" s="51"/>
      <c r="AT561" s="51"/>
      <c r="AU561" s="51"/>
      <c r="AV561" s="47"/>
      <c r="AW561" s="48"/>
      <c r="AX561" s="50"/>
      <c r="AY561" s="51"/>
      <c r="AZ561" s="51"/>
      <c r="BA561" s="51"/>
      <c r="BB561" s="51">
        <f t="shared" ref="BB561:BD561" si="559">IF(AND(ISNUMBER(Z561),COUNT(AG561,AM561,AS561,AY561)=2),Z561+SUM(AG561,AM561,AS561,AY561),"")</f>
        <v>0</v>
      </c>
      <c r="BC561" s="51">
        <f t="shared" si="559"/>
        <v>0</v>
      </c>
      <c r="BD561" s="51">
        <f t="shared" si="559"/>
        <v>0</v>
      </c>
    </row>
    <row r="562" ht="48.0" customHeight="1">
      <c r="A562" s="49" t="s">
        <v>40</v>
      </c>
      <c r="B562" s="49" t="str">
        <f t="array" ref="B562">INDEX('HD cty 2024'!B:B,MATCH('F0, F1, F2, ...'!$C562,'HD cty 2024'!B:B,0))</f>
        <v>#N/A</v>
      </c>
      <c r="C562" s="49">
        <v>740.0</v>
      </c>
      <c r="D562" s="50">
        <v>45653.0</v>
      </c>
      <c r="E562" s="51">
        <v>846593.0</v>
      </c>
      <c r="F562" s="51">
        <v>67727.0</v>
      </c>
      <c r="G562" s="51">
        <v>914320.0</v>
      </c>
      <c r="H562" s="49" t="s">
        <v>414</v>
      </c>
      <c r="I562" s="52" t="s">
        <v>4245</v>
      </c>
      <c r="J562" s="50">
        <v>45807.0</v>
      </c>
      <c r="K562" s="51">
        <v>1.124137E7</v>
      </c>
      <c r="L562" s="51">
        <v>899310.0</v>
      </c>
      <c r="M562" s="51">
        <v>1.214068E7</v>
      </c>
      <c r="N562" s="49"/>
      <c r="O562" s="52"/>
      <c r="P562" s="50"/>
      <c r="Q562" s="51"/>
      <c r="R562" s="51"/>
      <c r="S562" s="51"/>
      <c r="T562" s="49"/>
      <c r="U562" s="52"/>
      <c r="V562" s="50"/>
      <c r="W562" s="51"/>
      <c r="X562" s="51"/>
      <c r="Y562" s="51"/>
      <c r="Z562" s="51">
        <v>1.2087963E7</v>
      </c>
      <c r="AA562" s="51">
        <v>967037.0</v>
      </c>
      <c r="AB562" s="51">
        <v>1.3055E7</v>
      </c>
      <c r="AC562" s="47"/>
      <c r="AD562" s="47" t="s">
        <v>4246</v>
      </c>
      <c r="AE562" s="48"/>
      <c r="AF562" s="50"/>
      <c r="AG562" s="51">
        <v>-1.124137E7</v>
      </c>
      <c r="AH562" s="51">
        <v>-899310.0</v>
      </c>
      <c r="AI562" s="51">
        <v>-1.214068E7</v>
      </c>
      <c r="AJ562" s="47" t="s">
        <v>4247</v>
      </c>
      <c r="AK562" s="48"/>
      <c r="AL562" s="50"/>
      <c r="AM562" s="51">
        <v>-846593.0</v>
      </c>
      <c r="AN562" s="51">
        <v>-67727.0</v>
      </c>
      <c r="AO562" s="51">
        <v>-914320.0</v>
      </c>
      <c r="AP562" s="47"/>
      <c r="AQ562" s="48"/>
      <c r="AR562" s="50"/>
      <c r="AS562" s="51"/>
      <c r="AT562" s="51"/>
      <c r="AU562" s="51"/>
      <c r="AV562" s="47"/>
      <c r="AW562" s="48"/>
      <c r="AX562" s="50"/>
      <c r="AY562" s="51"/>
      <c r="AZ562" s="51"/>
      <c r="BA562" s="51"/>
      <c r="BB562" s="51">
        <f t="shared" ref="BB562:BD562" si="560">IF(AND(ISNUMBER(Z562),COUNT(AG562,AM562,AS562,AY562)=2),Z562+SUM(AG562,AM562,AS562,AY562),"")</f>
        <v>0</v>
      </c>
      <c r="BC562" s="51">
        <f t="shared" si="560"/>
        <v>0</v>
      </c>
      <c r="BD562" s="51">
        <f t="shared" si="560"/>
        <v>0</v>
      </c>
    </row>
    <row r="563" ht="48.0" customHeight="1">
      <c r="A563" s="49" t="s">
        <v>40</v>
      </c>
      <c r="B563" s="49" t="str">
        <f t="array" ref="B563">INDEX('HD cty 2024'!B:B,MATCH('F0, F1, F2, ...'!$C563,'HD cty 2024'!B:B,0))</f>
        <v>#N/A</v>
      </c>
      <c r="C563" s="49">
        <v>741.0</v>
      </c>
      <c r="D563" s="50">
        <v>45653.0</v>
      </c>
      <c r="E563" s="51">
        <v>6327541.0</v>
      </c>
      <c r="F563" s="51">
        <v>506203.0</v>
      </c>
      <c r="G563" s="51">
        <v>6833744.0</v>
      </c>
      <c r="H563" s="49" t="s">
        <v>414</v>
      </c>
      <c r="I563" s="52" t="s">
        <v>4248</v>
      </c>
      <c r="J563" s="50">
        <v>45807.0</v>
      </c>
      <c r="K563" s="51">
        <v>233709.0</v>
      </c>
      <c r="L563" s="51">
        <v>18697.0</v>
      </c>
      <c r="M563" s="51">
        <v>252406.0</v>
      </c>
      <c r="N563" s="49"/>
      <c r="O563" s="52"/>
      <c r="P563" s="50"/>
      <c r="Q563" s="51"/>
      <c r="R563" s="51"/>
      <c r="S563" s="51"/>
      <c r="T563" s="49"/>
      <c r="U563" s="52"/>
      <c r="V563" s="50"/>
      <c r="W563" s="51"/>
      <c r="X563" s="51"/>
      <c r="Y563" s="51"/>
      <c r="Z563" s="51">
        <v>6561250.0</v>
      </c>
      <c r="AA563" s="51">
        <v>524900.0</v>
      </c>
      <c r="AB563" s="51">
        <v>7086150.0</v>
      </c>
      <c r="AC563" s="47"/>
      <c r="AD563" s="47" t="s">
        <v>4249</v>
      </c>
      <c r="AE563" s="48"/>
      <c r="AF563" s="50"/>
      <c r="AG563" s="51">
        <v>-233709.0</v>
      </c>
      <c r="AH563" s="51">
        <v>-18697.0</v>
      </c>
      <c r="AI563" s="51">
        <v>-252406.0</v>
      </c>
      <c r="AJ563" s="47" t="s">
        <v>4250</v>
      </c>
      <c r="AK563" s="48"/>
      <c r="AL563" s="50"/>
      <c r="AM563" s="51">
        <v>-6327541.0</v>
      </c>
      <c r="AN563" s="51">
        <v>-506203.0</v>
      </c>
      <c r="AO563" s="51">
        <v>-6833744.0</v>
      </c>
      <c r="AP563" s="47"/>
      <c r="AQ563" s="48"/>
      <c r="AR563" s="50"/>
      <c r="AS563" s="51"/>
      <c r="AT563" s="51"/>
      <c r="AU563" s="51"/>
      <c r="AV563" s="47"/>
      <c r="AW563" s="48"/>
      <c r="AX563" s="50"/>
      <c r="AY563" s="51"/>
      <c r="AZ563" s="51"/>
      <c r="BA563" s="51"/>
      <c r="BB563" s="51">
        <f t="shared" ref="BB563:BD563" si="561">IF(AND(ISNUMBER(Z563),COUNT(AG563,AM563,AS563,AY563)=2),Z563+SUM(AG563,AM563,AS563,AY563),"")</f>
        <v>0</v>
      </c>
      <c r="BC563" s="51">
        <f t="shared" si="561"/>
        <v>0</v>
      </c>
      <c r="BD563" s="51">
        <f t="shared" si="561"/>
        <v>0</v>
      </c>
    </row>
    <row r="564" ht="48.0" customHeight="1">
      <c r="A564" s="49" t="s">
        <v>40</v>
      </c>
      <c r="B564" s="49" t="str">
        <f t="array" ref="B564">INDEX('HD cty 2024'!B:B,MATCH('F0, F1, F2, ...'!$C564,'HD cty 2024'!B:B,0))</f>
        <v>#N/A</v>
      </c>
      <c r="C564" s="49">
        <v>745.0</v>
      </c>
      <c r="D564" s="50">
        <v>45653.0</v>
      </c>
      <c r="E564" s="51">
        <v>509259.0</v>
      </c>
      <c r="F564" s="51">
        <v>40741.0</v>
      </c>
      <c r="G564" s="51">
        <v>550000.0</v>
      </c>
      <c r="H564" s="49" t="s">
        <v>414</v>
      </c>
      <c r="I564" s="52" t="s">
        <v>4251</v>
      </c>
      <c r="J564" s="50">
        <v>45807.0</v>
      </c>
      <c r="K564" s="51">
        <v>-46297.0</v>
      </c>
      <c r="L564" s="51">
        <v>-3704.0</v>
      </c>
      <c r="M564" s="51">
        <v>-50001.0</v>
      </c>
      <c r="N564" s="49"/>
      <c r="O564" s="52"/>
      <c r="P564" s="50"/>
      <c r="Q564" s="51"/>
      <c r="R564" s="51"/>
      <c r="S564" s="51"/>
      <c r="T564" s="49"/>
      <c r="U564" s="52"/>
      <c r="V564" s="50"/>
      <c r="W564" s="51"/>
      <c r="X564" s="51"/>
      <c r="Y564" s="51"/>
      <c r="Z564" s="51">
        <v>462962.0</v>
      </c>
      <c r="AA564" s="51">
        <v>37037.0</v>
      </c>
      <c r="AB564" s="51">
        <v>499999.0</v>
      </c>
      <c r="AC564" s="47"/>
      <c r="AD564" s="47" t="s">
        <v>4252</v>
      </c>
      <c r="AE564" s="48"/>
      <c r="AF564" s="50"/>
      <c r="AG564" s="51">
        <v>46297.0</v>
      </c>
      <c r="AH564" s="51">
        <v>3704.0</v>
      </c>
      <c r="AI564" s="51">
        <v>50001.0</v>
      </c>
      <c r="AJ564" s="47" t="s">
        <v>4253</v>
      </c>
      <c r="AK564" s="48"/>
      <c r="AL564" s="50"/>
      <c r="AM564" s="51">
        <v>-509259.0</v>
      </c>
      <c r="AN564" s="51">
        <v>-40741.0</v>
      </c>
      <c r="AO564" s="51">
        <v>-550000.0</v>
      </c>
      <c r="AP564" s="47"/>
      <c r="AQ564" s="48"/>
      <c r="AR564" s="50"/>
      <c r="AS564" s="51"/>
      <c r="AT564" s="51"/>
      <c r="AU564" s="51"/>
      <c r="AV564" s="47"/>
      <c r="AW564" s="48"/>
      <c r="AX564" s="50"/>
      <c r="AY564" s="51"/>
      <c r="AZ564" s="51"/>
      <c r="BA564" s="51"/>
      <c r="BB564" s="51">
        <f t="shared" ref="BB564:BD564" si="562">IF(AND(ISNUMBER(Z564),COUNT(AG564,AM564,AS564,AY564)=2),Z564+SUM(AG564,AM564,AS564,AY564),"")</f>
        <v>0</v>
      </c>
      <c r="BC564" s="51">
        <f t="shared" si="562"/>
        <v>0</v>
      </c>
      <c r="BD564" s="51">
        <f t="shared" si="562"/>
        <v>0</v>
      </c>
    </row>
    <row r="565" ht="48.0" customHeight="1">
      <c r="A565" s="49" t="s">
        <v>40</v>
      </c>
      <c r="B565" s="49" t="str">
        <f t="array" ref="B565">INDEX('HD cty 2024'!B:B,MATCH('F0, F1, F2, ...'!$C565,'HD cty 2024'!B:B,0))</f>
        <v>#N/A</v>
      </c>
      <c r="C565" s="49">
        <v>746.0</v>
      </c>
      <c r="D565" s="50">
        <v>45654.0</v>
      </c>
      <c r="E565" s="51">
        <v>1.46282685E8</v>
      </c>
      <c r="F565" s="51">
        <v>1.1702615E7</v>
      </c>
      <c r="G565" s="51">
        <v>1.579853E8</v>
      </c>
      <c r="H565" s="49" t="s">
        <v>414</v>
      </c>
      <c r="I565" s="52" t="s">
        <v>4254</v>
      </c>
      <c r="J565" s="50">
        <v>45807.0</v>
      </c>
      <c r="K565" s="51">
        <v>1.0890978E7</v>
      </c>
      <c r="L565" s="51">
        <v>871278.0</v>
      </c>
      <c r="M565" s="51">
        <v>1.1762256E7</v>
      </c>
      <c r="N565" s="49"/>
      <c r="O565" s="52"/>
      <c r="P565" s="50"/>
      <c r="Q565" s="51"/>
      <c r="R565" s="51"/>
      <c r="S565" s="51"/>
      <c r="T565" s="49"/>
      <c r="U565" s="52"/>
      <c r="V565" s="50"/>
      <c r="W565" s="51"/>
      <c r="X565" s="51"/>
      <c r="Y565" s="51"/>
      <c r="Z565" s="51">
        <v>1.57173663E8</v>
      </c>
      <c r="AA565" s="51">
        <v>1.2573893E7</v>
      </c>
      <c r="AB565" s="51">
        <v>1.69747556E8</v>
      </c>
      <c r="AC565" s="47"/>
      <c r="AD565" s="47" t="s">
        <v>4255</v>
      </c>
      <c r="AE565" s="48"/>
      <c r="AF565" s="50"/>
      <c r="AG565" s="51">
        <v>-1.0890978E7</v>
      </c>
      <c r="AH565" s="51">
        <v>-871278.0</v>
      </c>
      <c r="AI565" s="51">
        <v>-1.1762256E7</v>
      </c>
      <c r="AJ565" s="47" t="s">
        <v>4256</v>
      </c>
      <c r="AK565" s="48"/>
      <c r="AL565" s="50"/>
      <c r="AM565" s="51">
        <v>-1.46282685E8</v>
      </c>
      <c r="AN565" s="51">
        <v>-1.1702615E7</v>
      </c>
      <c r="AO565" s="51">
        <v>-1.579853E8</v>
      </c>
      <c r="AP565" s="47"/>
      <c r="AQ565" s="48"/>
      <c r="AR565" s="50"/>
      <c r="AS565" s="51"/>
      <c r="AT565" s="51"/>
      <c r="AU565" s="51"/>
      <c r="AV565" s="47"/>
      <c r="AW565" s="48"/>
      <c r="AX565" s="50"/>
      <c r="AY565" s="51"/>
      <c r="AZ565" s="51"/>
      <c r="BA565" s="51"/>
      <c r="BB565" s="51">
        <f t="shared" ref="BB565:BD565" si="563">IF(AND(ISNUMBER(Z565),COUNT(AG565,AM565,AS565,AY565)=2),Z565+SUM(AG565,AM565,AS565,AY565),"")</f>
        <v>0</v>
      </c>
      <c r="BC565" s="51">
        <f t="shared" si="563"/>
        <v>0</v>
      </c>
      <c r="BD565" s="51">
        <f t="shared" si="563"/>
        <v>0</v>
      </c>
    </row>
    <row r="566" ht="48.0" customHeight="1">
      <c r="A566" s="49" t="s">
        <v>40</v>
      </c>
      <c r="B566" s="49" t="str">
        <f t="array" ref="B566">INDEX('HD cty 2024'!B:B,MATCH('F0, F1, F2, ...'!$C566,'HD cty 2024'!B:B,0))</f>
        <v>#N/A</v>
      </c>
      <c r="C566" s="49">
        <v>747.0</v>
      </c>
      <c r="D566" s="50">
        <v>45654.0</v>
      </c>
      <c r="E566" s="51">
        <v>1.31882184E8</v>
      </c>
      <c r="F566" s="51">
        <v>1.0550575E7</v>
      </c>
      <c r="G566" s="51">
        <v>1.42432759E8</v>
      </c>
      <c r="H566" s="49" t="s">
        <v>414</v>
      </c>
      <c r="I566" s="52" t="s">
        <v>4257</v>
      </c>
      <c r="J566" s="50">
        <v>45807.0</v>
      </c>
      <c r="K566" s="51">
        <v>1.5201787E7</v>
      </c>
      <c r="L566" s="51">
        <v>1216143.0</v>
      </c>
      <c r="M566" s="51">
        <v>1.641793E7</v>
      </c>
      <c r="N566" s="49"/>
      <c r="O566" s="52"/>
      <c r="P566" s="50"/>
      <c r="Q566" s="51"/>
      <c r="R566" s="51"/>
      <c r="S566" s="51"/>
      <c r="T566" s="49"/>
      <c r="U566" s="52"/>
      <c r="V566" s="50"/>
      <c r="W566" s="51"/>
      <c r="X566" s="51"/>
      <c r="Y566" s="51"/>
      <c r="Z566" s="51">
        <v>1.47083971E8</v>
      </c>
      <c r="AA566" s="51">
        <v>1.1766718E7</v>
      </c>
      <c r="AB566" s="51">
        <v>1.58850689E8</v>
      </c>
      <c r="AC566" s="47"/>
      <c r="AD566" s="47" t="s">
        <v>4258</v>
      </c>
      <c r="AE566" s="48"/>
      <c r="AF566" s="50"/>
      <c r="AG566" s="51">
        <v>-1.5201787E7</v>
      </c>
      <c r="AH566" s="51">
        <v>-1216143.0</v>
      </c>
      <c r="AI566" s="51">
        <v>-1.641793E7</v>
      </c>
      <c r="AJ566" s="47" t="s">
        <v>4259</v>
      </c>
      <c r="AK566" s="48"/>
      <c r="AL566" s="50"/>
      <c r="AM566" s="51">
        <v>-1.31882184E8</v>
      </c>
      <c r="AN566" s="51">
        <v>-1.0550575E7</v>
      </c>
      <c r="AO566" s="51">
        <v>-1.42432759E8</v>
      </c>
      <c r="AP566" s="47"/>
      <c r="AQ566" s="48"/>
      <c r="AR566" s="50"/>
      <c r="AS566" s="51"/>
      <c r="AT566" s="51"/>
      <c r="AU566" s="51"/>
      <c r="AV566" s="47"/>
      <c r="AW566" s="48"/>
      <c r="AX566" s="50"/>
      <c r="AY566" s="51"/>
      <c r="AZ566" s="51"/>
      <c r="BA566" s="51"/>
      <c r="BB566" s="51">
        <f t="shared" ref="BB566:BD566" si="564">IF(AND(ISNUMBER(Z566),COUNT(AG566,AM566,AS566,AY566)=2),Z566+SUM(AG566,AM566,AS566,AY566),"")</f>
        <v>0</v>
      </c>
      <c r="BC566" s="51">
        <f t="shared" si="564"/>
        <v>0</v>
      </c>
      <c r="BD566" s="51">
        <f t="shared" si="564"/>
        <v>0</v>
      </c>
    </row>
    <row r="567" ht="48.0" customHeight="1">
      <c r="A567" s="49" t="s">
        <v>40</v>
      </c>
      <c r="B567" s="49" t="str">
        <f t="array" ref="B567">INDEX('HD cty 2024'!B:B,MATCH('F0, F1, F2, ...'!$C567,'HD cty 2024'!B:B,0))</f>
        <v>#N/A</v>
      </c>
      <c r="C567" s="49">
        <v>748.0</v>
      </c>
      <c r="D567" s="50">
        <v>45654.0</v>
      </c>
      <c r="E567" s="51">
        <v>1.20267399E8</v>
      </c>
      <c r="F567" s="51">
        <v>9621392.0</v>
      </c>
      <c r="G567" s="51">
        <v>1.29888791E8</v>
      </c>
      <c r="H567" s="49" t="s">
        <v>414</v>
      </c>
      <c r="I567" s="52" t="s">
        <v>4260</v>
      </c>
      <c r="J567" s="50">
        <v>45807.0</v>
      </c>
      <c r="K567" s="51">
        <v>1.154622E7</v>
      </c>
      <c r="L567" s="51">
        <v>923698.0</v>
      </c>
      <c r="M567" s="51">
        <v>1.2469918E7</v>
      </c>
      <c r="N567" s="49"/>
      <c r="O567" s="52"/>
      <c r="P567" s="50"/>
      <c r="Q567" s="51"/>
      <c r="R567" s="51"/>
      <c r="S567" s="51"/>
      <c r="T567" s="49"/>
      <c r="U567" s="52"/>
      <c r="V567" s="50"/>
      <c r="W567" s="51"/>
      <c r="X567" s="51"/>
      <c r="Y567" s="51"/>
      <c r="Z567" s="51">
        <v>1.31813619E8</v>
      </c>
      <c r="AA567" s="51">
        <v>1.054509E7</v>
      </c>
      <c r="AB567" s="51">
        <v>1.42358709E8</v>
      </c>
      <c r="AC567" s="47"/>
      <c r="AD567" s="47" t="s">
        <v>4261</v>
      </c>
      <c r="AE567" s="48"/>
      <c r="AF567" s="50"/>
      <c r="AG567" s="51">
        <v>-1.154622E7</v>
      </c>
      <c r="AH567" s="51">
        <v>-923698.0</v>
      </c>
      <c r="AI567" s="51">
        <v>-1.2469918E7</v>
      </c>
      <c r="AJ567" s="47" t="s">
        <v>4262</v>
      </c>
      <c r="AK567" s="48"/>
      <c r="AL567" s="50"/>
      <c r="AM567" s="51">
        <v>-1.20267399E8</v>
      </c>
      <c r="AN567" s="51">
        <v>-9621392.0</v>
      </c>
      <c r="AO567" s="51">
        <v>-1.29888791E8</v>
      </c>
      <c r="AP567" s="47"/>
      <c r="AQ567" s="48"/>
      <c r="AR567" s="50"/>
      <c r="AS567" s="51"/>
      <c r="AT567" s="51"/>
      <c r="AU567" s="51"/>
      <c r="AV567" s="47"/>
      <c r="AW567" s="48"/>
      <c r="AX567" s="50"/>
      <c r="AY567" s="51"/>
      <c r="AZ567" s="51"/>
      <c r="BA567" s="51"/>
      <c r="BB567" s="51">
        <f t="shared" ref="BB567:BD567" si="565">IF(AND(ISNUMBER(Z567),COUNT(AG567,AM567,AS567,AY567)=2),Z567+SUM(AG567,AM567,AS567,AY567),"")</f>
        <v>0</v>
      </c>
      <c r="BC567" s="51">
        <f t="shared" si="565"/>
        <v>0</v>
      </c>
      <c r="BD567" s="51">
        <f t="shared" si="565"/>
        <v>0</v>
      </c>
    </row>
    <row r="568" ht="48.0" customHeight="1">
      <c r="A568" s="49" t="s">
        <v>40</v>
      </c>
      <c r="B568" s="49" t="str">
        <f t="array" ref="B568">INDEX('HD cty 2024'!B:B,MATCH('F0, F1, F2, ...'!$C568,'HD cty 2024'!B:B,0))</f>
        <v>#N/A</v>
      </c>
      <c r="C568" s="49">
        <v>749.0</v>
      </c>
      <c r="D568" s="50">
        <v>45654.0</v>
      </c>
      <c r="E568" s="51">
        <v>1.13129119E8</v>
      </c>
      <c r="F568" s="51">
        <v>9050330.0</v>
      </c>
      <c r="G568" s="51">
        <v>1.22179449E8</v>
      </c>
      <c r="H568" s="49" t="s">
        <v>414</v>
      </c>
      <c r="I568" s="52" t="s">
        <v>4263</v>
      </c>
      <c r="J568" s="50">
        <v>45807.0</v>
      </c>
      <c r="K568" s="51">
        <v>1.2241079E7</v>
      </c>
      <c r="L568" s="51">
        <v>979286.0</v>
      </c>
      <c r="M568" s="51">
        <v>1.3220365E7</v>
      </c>
      <c r="N568" s="49"/>
      <c r="O568" s="52"/>
      <c r="P568" s="50"/>
      <c r="Q568" s="51"/>
      <c r="R568" s="51"/>
      <c r="S568" s="51"/>
      <c r="T568" s="49"/>
      <c r="U568" s="52"/>
      <c r="V568" s="50"/>
      <c r="W568" s="51"/>
      <c r="X568" s="51"/>
      <c r="Y568" s="51"/>
      <c r="Z568" s="51">
        <v>1.25370198E8</v>
      </c>
      <c r="AA568" s="51">
        <v>1.0029616E7</v>
      </c>
      <c r="AB568" s="51">
        <v>1.35399814E8</v>
      </c>
      <c r="AC568" s="47"/>
      <c r="AD568" s="47" t="s">
        <v>4264</v>
      </c>
      <c r="AE568" s="48"/>
      <c r="AF568" s="50"/>
      <c r="AG568" s="51">
        <v>-1.2241079E7</v>
      </c>
      <c r="AH568" s="51">
        <v>-979286.0</v>
      </c>
      <c r="AI568" s="51">
        <v>-1.3220365E7</v>
      </c>
      <c r="AJ568" s="47" t="s">
        <v>4265</v>
      </c>
      <c r="AK568" s="48"/>
      <c r="AL568" s="50"/>
      <c r="AM568" s="51">
        <v>-1.13129119E8</v>
      </c>
      <c r="AN568" s="51">
        <v>-9050330.0</v>
      </c>
      <c r="AO568" s="51">
        <v>-1.22179449E8</v>
      </c>
      <c r="AP568" s="47"/>
      <c r="AQ568" s="48"/>
      <c r="AR568" s="50"/>
      <c r="AS568" s="51"/>
      <c r="AT568" s="51"/>
      <c r="AU568" s="51"/>
      <c r="AV568" s="47"/>
      <c r="AW568" s="48"/>
      <c r="AX568" s="50"/>
      <c r="AY568" s="51"/>
      <c r="AZ568" s="51"/>
      <c r="BA568" s="51"/>
      <c r="BB568" s="51">
        <f t="shared" ref="BB568:BD568" si="566">IF(AND(ISNUMBER(Z568),COUNT(AG568,AM568,AS568,AY568)=2),Z568+SUM(AG568,AM568,AS568,AY568),"")</f>
        <v>0</v>
      </c>
      <c r="BC568" s="51">
        <f t="shared" si="566"/>
        <v>0</v>
      </c>
      <c r="BD568" s="51">
        <f t="shared" si="566"/>
        <v>0</v>
      </c>
    </row>
    <row r="569" ht="48.0" customHeight="1">
      <c r="A569" s="49" t="s">
        <v>40</v>
      </c>
      <c r="B569" s="49" t="str">
        <f t="array" ref="B569">INDEX('HD cty 2024'!B:B,MATCH('F0, F1, F2, ...'!$C569,'HD cty 2024'!B:B,0))</f>
        <v>#N/A</v>
      </c>
      <c r="C569" s="49">
        <v>750.0</v>
      </c>
      <c r="D569" s="50">
        <v>45656.0</v>
      </c>
      <c r="E569" s="51">
        <v>1.082772E8</v>
      </c>
      <c r="F569" s="51">
        <v>8662176.0</v>
      </c>
      <c r="G569" s="51">
        <v>1.16939376E8</v>
      </c>
      <c r="H569" s="49" t="s">
        <v>414</v>
      </c>
      <c r="I569" s="52" t="s">
        <v>4266</v>
      </c>
      <c r="J569" s="50">
        <v>45807.0</v>
      </c>
      <c r="K569" s="51">
        <v>1.2270687E7</v>
      </c>
      <c r="L569" s="51">
        <v>981655.0</v>
      </c>
      <c r="M569" s="51">
        <v>1.3252342E7</v>
      </c>
      <c r="N569" s="49"/>
      <c r="O569" s="52"/>
      <c r="P569" s="50"/>
      <c r="Q569" s="51"/>
      <c r="R569" s="51"/>
      <c r="S569" s="51"/>
      <c r="T569" s="49"/>
      <c r="U569" s="52"/>
      <c r="V569" s="50"/>
      <c r="W569" s="51"/>
      <c r="X569" s="51"/>
      <c r="Y569" s="51"/>
      <c r="Z569" s="51">
        <v>1.20547887E8</v>
      </c>
      <c r="AA569" s="51">
        <v>9643831.0</v>
      </c>
      <c r="AB569" s="51">
        <v>1.30191718E8</v>
      </c>
      <c r="AC569" s="47"/>
      <c r="AD569" s="47" t="s">
        <v>4267</v>
      </c>
      <c r="AE569" s="48"/>
      <c r="AF569" s="50"/>
      <c r="AG569" s="51">
        <v>-1.2270687E7</v>
      </c>
      <c r="AH569" s="51">
        <v>-981655.0</v>
      </c>
      <c r="AI569" s="51">
        <v>-1.3252342E7</v>
      </c>
      <c r="AJ569" s="47" t="s">
        <v>4268</v>
      </c>
      <c r="AK569" s="48"/>
      <c r="AL569" s="50"/>
      <c r="AM569" s="51">
        <v>-1.082772E8</v>
      </c>
      <c r="AN569" s="51">
        <v>-8662176.0</v>
      </c>
      <c r="AO569" s="51">
        <v>-1.16939376E8</v>
      </c>
      <c r="AP569" s="47"/>
      <c r="AQ569" s="48"/>
      <c r="AR569" s="50"/>
      <c r="AS569" s="51"/>
      <c r="AT569" s="51"/>
      <c r="AU569" s="51"/>
      <c r="AV569" s="47"/>
      <c r="AW569" s="48"/>
      <c r="AX569" s="50"/>
      <c r="AY569" s="51"/>
      <c r="AZ569" s="51"/>
      <c r="BA569" s="51"/>
      <c r="BB569" s="51">
        <f t="shared" ref="BB569:BD569" si="567">IF(AND(ISNUMBER(Z569),COUNT(AG569,AM569,AS569,AY569)=2),Z569+SUM(AG569,AM569,AS569,AY569),"")</f>
        <v>0</v>
      </c>
      <c r="BC569" s="51">
        <f t="shared" si="567"/>
        <v>0</v>
      </c>
      <c r="BD569" s="51">
        <f t="shared" si="567"/>
        <v>0</v>
      </c>
    </row>
    <row r="570" ht="48.0" customHeight="1">
      <c r="A570" s="49" t="s">
        <v>40</v>
      </c>
      <c r="B570" s="49" t="str">
        <f t="array" ref="B570">INDEX('HD cty 2024'!B:B,MATCH('F0, F1, F2, ...'!$C570,'HD cty 2024'!B:B,0))</f>
        <v>#N/A</v>
      </c>
      <c r="C570" s="49">
        <v>751.0</v>
      </c>
      <c r="D570" s="50">
        <v>45656.0</v>
      </c>
      <c r="E570" s="51">
        <v>4.2363354E7</v>
      </c>
      <c r="F570" s="51">
        <v>3389068.0</v>
      </c>
      <c r="G570" s="51">
        <v>4.5752422E7</v>
      </c>
      <c r="H570" s="49" t="s">
        <v>414</v>
      </c>
      <c r="I570" s="52" t="s">
        <v>4269</v>
      </c>
      <c r="J570" s="50">
        <v>45807.0</v>
      </c>
      <c r="K570" s="51">
        <v>4340793.0</v>
      </c>
      <c r="L570" s="51">
        <v>347263.0</v>
      </c>
      <c r="M570" s="51">
        <v>4688056.0</v>
      </c>
      <c r="N570" s="49"/>
      <c r="O570" s="52"/>
      <c r="P570" s="50"/>
      <c r="Q570" s="51"/>
      <c r="R570" s="51"/>
      <c r="S570" s="51"/>
      <c r="T570" s="49"/>
      <c r="U570" s="52"/>
      <c r="V570" s="50"/>
      <c r="W570" s="51"/>
      <c r="X570" s="51"/>
      <c r="Y570" s="51"/>
      <c r="Z570" s="51">
        <v>4.6704147E7</v>
      </c>
      <c r="AA570" s="51">
        <v>3736331.0</v>
      </c>
      <c r="AB570" s="51">
        <v>5.0440478E7</v>
      </c>
      <c r="AC570" s="47"/>
      <c r="AD570" s="47" t="s">
        <v>4270</v>
      </c>
      <c r="AE570" s="48"/>
      <c r="AF570" s="50"/>
      <c r="AG570" s="51">
        <v>-4340793.0</v>
      </c>
      <c r="AH570" s="51">
        <v>-347263.0</v>
      </c>
      <c r="AI570" s="51">
        <v>-4688056.0</v>
      </c>
      <c r="AJ570" s="47" t="s">
        <v>4271</v>
      </c>
      <c r="AK570" s="48"/>
      <c r="AL570" s="50"/>
      <c r="AM570" s="51">
        <v>-4.2363354E7</v>
      </c>
      <c r="AN570" s="51">
        <v>-3389068.0</v>
      </c>
      <c r="AO570" s="51">
        <v>-4.5752422E7</v>
      </c>
      <c r="AP570" s="47"/>
      <c r="AQ570" s="48"/>
      <c r="AR570" s="50"/>
      <c r="AS570" s="51"/>
      <c r="AT570" s="51"/>
      <c r="AU570" s="51"/>
      <c r="AV570" s="47"/>
      <c r="AW570" s="48"/>
      <c r="AX570" s="50"/>
      <c r="AY570" s="51"/>
      <c r="AZ570" s="51"/>
      <c r="BA570" s="51"/>
      <c r="BB570" s="51">
        <f t="shared" ref="BB570:BD570" si="568">IF(AND(ISNUMBER(Z570),COUNT(AG570,AM570,AS570,AY570)=2),Z570+SUM(AG570,AM570,AS570,AY570),"")</f>
        <v>0</v>
      </c>
      <c r="BC570" s="51">
        <f t="shared" si="568"/>
        <v>0</v>
      </c>
      <c r="BD570" s="51">
        <f t="shared" si="568"/>
        <v>0</v>
      </c>
    </row>
    <row r="571" ht="48.0" customHeight="1">
      <c r="A571" s="49" t="s">
        <v>40</v>
      </c>
      <c r="B571" s="49" t="str">
        <f t="array" ref="B571">INDEX('HD cty 2024'!B:B,MATCH('F0, F1, F2, ...'!$C571,'HD cty 2024'!B:B,0))</f>
        <v>#N/A</v>
      </c>
      <c r="C571" s="49">
        <v>752.0</v>
      </c>
      <c r="D571" s="50">
        <v>45656.0</v>
      </c>
      <c r="E571" s="51">
        <v>5.4358227E7</v>
      </c>
      <c r="F571" s="51">
        <v>4348658.0</v>
      </c>
      <c r="G571" s="51">
        <v>5.8706885E7</v>
      </c>
      <c r="H571" s="49" t="s">
        <v>414</v>
      </c>
      <c r="I571" s="52" t="s">
        <v>4272</v>
      </c>
      <c r="J571" s="50">
        <v>45807.0</v>
      </c>
      <c r="K571" s="51">
        <v>5857726.0</v>
      </c>
      <c r="L571" s="51">
        <v>468618.0</v>
      </c>
      <c r="M571" s="51">
        <v>6326344.0</v>
      </c>
      <c r="N571" s="49"/>
      <c r="O571" s="52"/>
      <c r="P571" s="50"/>
      <c r="Q571" s="51"/>
      <c r="R571" s="51"/>
      <c r="S571" s="51"/>
      <c r="T571" s="49"/>
      <c r="U571" s="52"/>
      <c r="V571" s="50"/>
      <c r="W571" s="51"/>
      <c r="X571" s="51"/>
      <c r="Y571" s="51"/>
      <c r="Z571" s="51">
        <v>6.0215953E7</v>
      </c>
      <c r="AA571" s="51">
        <v>4817276.0</v>
      </c>
      <c r="AB571" s="51">
        <v>6.5033229E7</v>
      </c>
      <c r="AC571" s="47"/>
      <c r="AD571" s="47" t="s">
        <v>4273</v>
      </c>
      <c r="AE571" s="48"/>
      <c r="AF571" s="50"/>
      <c r="AG571" s="51">
        <v>-5857726.0</v>
      </c>
      <c r="AH571" s="51">
        <v>-468618.0</v>
      </c>
      <c r="AI571" s="51">
        <v>-6326344.0</v>
      </c>
      <c r="AJ571" s="47" t="s">
        <v>4274</v>
      </c>
      <c r="AK571" s="48"/>
      <c r="AL571" s="50"/>
      <c r="AM571" s="51">
        <v>-5.4358227E7</v>
      </c>
      <c r="AN571" s="51">
        <v>-4348658.0</v>
      </c>
      <c r="AO571" s="51">
        <v>-5.8706885E7</v>
      </c>
      <c r="AP571" s="47"/>
      <c r="AQ571" s="48"/>
      <c r="AR571" s="50"/>
      <c r="AS571" s="51"/>
      <c r="AT571" s="51"/>
      <c r="AU571" s="51"/>
      <c r="AV571" s="47"/>
      <c r="AW571" s="48"/>
      <c r="AX571" s="50"/>
      <c r="AY571" s="51"/>
      <c r="AZ571" s="51"/>
      <c r="BA571" s="51"/>
      <c r="BB571" s="51">
        <f t="shared" ref="BB571:BD571" si="569">IF(AND(ISNUMBER(Z571),COUNT(AG571,AM571,AS571,AY571)=2),Z571+SUM(AG571,AM571,AS571,AY571),"")</f>
        <v>0</v>
      </c>
      <c r="BC571" s="51">
        <f t="shared" si="569"/>
        <v>0</v>
      </c>
      <c r="BD571" s="51">
        <f t="shared" si="569"/>
        <v>0</v>
      </c>
    </row>
    <row r="572" ht="48.0" customHeight="1">
      <c r="A572" s="49" t="s">
        <v>40</v>
      </c>
      <c r="B572" s="49" t="str">
        <f t="array" ref="B572">INDEX('HD cty 2024'!B:B,MATCH('F0, F1, F2, ...'!$C572,'HD cty 2024'!B:B,0))</f>
        <v>#N/A</v>
      </c>
      <c r="C572" s="49">
        <v>753.0</v>
      </c>
      <c r="D572" s="50">
        <v>45656.0</v>
      </c>
      <c r="E572" s="51">
        <v>1.8617386E7</v>
      </c>
      <c r="F572" s="51">
        <v>1489391.0</v>
      </c>
      <c r="G572" s="51">
        <v>2.0106777E7</v>
      </c>
      <c r="H572" s="49" t="s">
        <v>414</v>
      </c>
      <c r="I572" s="52" t="s">
        <v>4275</v>
      </c>
      <c r="J572" s="50">
        <v>45807.0</v>
      </c>
      <c r="K572" s="51">
        <v>2382841.0</v>
      </c>
      <c r="L572" s="51">
        <v>190627.0</v>
      </c>
      <c r="M572" s="51">
        <v>2573468.0</v>
      </c>
      <c r="N572" s="49"/>
      <c r="O572" s="52"/>
      <c r="P572" s="50"/>
      <c r="Q572" s="51"/>
      <c r="R572" s="51"/>
      <c r="S572" s="51"/>
      <c r="T572" s="49"/>
      <c r="U572" s="52"/>
      <c r="V572" s="50"/>
      <c r="W572" s="51"/>
      <c r="X572" s="51"/>
      <c r="Y572" s="51"/>
      <c r="Z572" s="51">
        <v>2.1000227E7</v>
      </c>
      <c r="AA572" s="51">
        <v>1680018.0</v>
      </c>
      <c r="AB572" s="51">
        <v>2.2680245E7</v>
      </c>
      <c r="AC572" s="47"/>
      <c r="AD572" s="47" t="s">
        <v>4276</v>
      </c>
      <c r="AE572" s="48"/>
      <c r="AF572" s="50"/>
      <c r="AG572" s="51">
        <v>-2382841.0</v>
      </c>
      <c r="AH572" s="51">
        <v>-190627.0</v>
      </c>
      <c r="AI572" s="51">
        <v>-2573468.0</v>
      </c>
      <c r="AJ572" s="47" t="s">
        <v>4277</v>
      </c>
      <c r="AK572" s="48"/>
      <c r="AL572" s="50"/>
      <c r="AM572" s="51">
        <v>-1.8617386E7</v>
      </c>
      <c r="AN572" s="51">
        <v>-1489391.0</v>
      </c>
      <c r="AO572" s="51">
        <v>-2.0106777E7</v>
      </c>
      <c r="AP572" s="47"/>
      <c r="AQ572" s="48"/>
      <c r="AR572" s="50"/>
      <c r="AS572" s="51"/>
      <c r="AT572" s="51"/>
      <c r="AU572" s="51"/>
      <c r="AV572" s="47"/>
      <c r="AW572" s="48"/>
      <c r="AX572" s="50"/>
      <c r="AY572" s="51"/>
      <c r="AZ572" s="51"/>
      <c r="BA572" s="51"/>
      <c r="BB572" s="51">
        <f t="shared" ref="BB572:BD572" si="570">IF(AND(ISNUMBER(Z572),COUNT(AG572,AM572,AS572,AY572)=2),Z572+SUM(AG572,AM572,AS572,AY572),"")</f>
        <v>0</v>
      </c>
      <c r="BC572" s="51">
        <f t="shared" si="570"/>
        <v>0</v>
      </c>
      <c r="BD572" s="51">
        <f t="shared" si="570"/>
        <v>0</v>
      </c>
    </row>
    <row r="573" ht="48.0" customHeight="1">
      <c r="A573" s="49" t="s">
        <v>40</v>
      </c>
      <c r="B573" s="49" t="str">
        <f t="array" ref="B573">INDEX('HD cty 2024'!B:B,MATCH('F0, F1, F2, ...'!$C573,'HD cty 2024'!B:B,0))</f>
        <v>#N/A</v>
      </c>
      <c r="C573" s="49">
        <v>754.0</v>
      </c>
      <c r="D573" s="50">
        <v>45656.0</v>
      </c>
      <c r="E573" s="51">
        <v>2.8848884E7</v>
      </c>
      <c r="F573" s="51">
        <v>2307911.0</v>
      </c>
      <c r="G573" s="51">
        <v>3.1156795E7</v>
      </c>
      <c r="H573" s="49" t="s">
        <v>414</v>
      </c>
      <c r="I573" s="52" t="s">
        <v>4278</v>
      </c>
      <c r="J573" s="50">
        <v>45807.0</v>
      </c>
      <c r="K573" s="51">
        <v>2367776.0</v>
      </c>
      <c r="L573" s="51">
        <v>189422.0</v>
      </c>
      <c r="M573" s="51">
        <v>2557198.0</v>
      </c>
      <c r="N573" s="49"/>
      <c r="O573" s="52"/>
      <c r="P573" s="50"/>
      <c r="Q573" s="51"/>
      <c r="R573" s="51"/>
      <c r="S573" s="51"/>
      <c r="T573" s="49"/>
      <c r="U573" s="52"/>
      <c r="V573" s="50"/>
      <c r="W573" s="51"/>
      <c r="X573" s="51"/>
      <c r="Y573" s="51"/>
      <c r="Z573" s="51">
        <v>3.121666E7</v>
      </c>
      <c r="AA573" s="51">
        <v>2497333.0</v>
      </c>
      <c r="AB573" s="51">
        <v>3.3713993E7</v>
      </c>
      <c r="AC573" s="47"/>
      <c r="AD573" s="47" t="s">
        <v>4279</v>
      </c>
      <c r="AE573" s="48"/>
      <c r="AF573" s="50"/>
      <c r="AG573" s="51">
        <v>-2367776.0</v>
      </c>
      <c r="AH573" s="51">
        <v>-189422.0</v>
      </c>
      <c r="AI573" s="51">
        <v>-2557198.0</v>
      </c>
      <c r="AJ573" s="47" t="s">
        <v>4280</v>
      </c>
      <c r="AK573" s="48"/>
      <c r="AL573" s="50"/>
      <c r="AM573" s="51">
        <v>-2.8848884E7</v>
      </c>
      <c r="AN573" s="51">
        <v>-2307911.0</v>
      </c>
      <c r="AO573" s="51">
        <v>-3.1156795E7</v>
      </c>
      <c r="AP573" s="47"/>
      <c r="AQ573" s="48"/>
      <c r="AR573" s="50"/>
      <c r="AS573" s="51"/>
      <c r="AT573" s="51"/>
      <c r="AU573" s="51"/>
      <c r="AV573" s="47"/>
      <c r="AW573" s="48"/>
      <c r="AX573" s="50"/>
      <c r="AY573" s="51"/>
      <c r="AZ573" s="51"/>
      <c r="BA573" s="51"/>
      <c r="BB573" s="51">
        <f t="shared" ref="BB573:BD573" si="571">IF(AND(ISNUMBER(Z573),COUNT(AG573,AM573,AS573,AY573)=2),Z573+SUM(AG573,AM573,AS573,AY573),"")</f>
        <v>0</v>
      </c>
      <c r="BC573" s="51">
        <f t="shared" si="571"/>
        <v>0</v>
      </c>
      <c r="BD573" s="51">
        <f t="shared" si="571"/>
        <v>0</v>
      </c>
    </row>
    <row r="574" ht="48.0" customHeight="1">
      <c r="A574" s="49" t="s">
        <v>40</v>
      </c>
      <c r="B574" s="49" t="str">
        <f t="array" ref="B574">INDEX('HD cty 2024'!B:B,MATCH('F0, F1, F2, ...'!$C574,'HD cty 2024'!B:B,0))</f>
        <v>#N/A</v>
      </c>
      <c r="C574" s="49">
        <v>755.0</v>
      </c>
      <c r="D574" s="50">
        <v>45656.0</v>
      </c>
      <c r="E574" s="51">
        <v>7.0064088E7</v>
      </c>
      <c r="F574" s="51">
        <v>5605127.0</v>
      </c>
      <c r="G574" s="51">
        <v>7.5669215E7</v>
      </c>
      <c r="H574" s="49" t="s">
        <v>414</v>
      </c>
      <c r="I574" s="52" t="s">
        <v>4281</v>
      </c>
      <c r="J574" s="50">
        <v>45807.0</v>
      </c>
      <c r="K574" s="51">
        <v>4375027.0</v>
      </c>
      <c r="L574" s="51">
        <v>350002.0</v>
      </c>
      <c r="M574" s="51">
        <v>4725029.0</v>
      </c>
      <c r="N574" s="49"/>
      <c r="O574" s="52"/>
      <c r="P574" s="50"/>
      <c r="Q574" s="51"/>
      <c r="R574" s="51"/>
      <c r="S574" s="51"/>
      <c r="T574" s="49"/>
      <c r="U574" s="52"/>
      <c r="V574" s="50"/>
      <c r="W574" s="51"/>
      <c r="X574" s="51"/>
      <c r="Y574" s="51"/>
      <c r="Z574" s="51">
        <v>7.4439115E7</v>
      </c>
      <c r="AA574" s="51">
        <v>5955129.0</v>
      </c>
      <c r="AB574" s="51">
        <v>8.0394244E7</v>
      </c>
      <c r="AC574" s="47"/>
      <c r="AD574" s="47" t="s">
        <v>4282</v>
      </c>
      <c r="AE574" s="48"/>
      <c r="AF574" s="50"/>
      <c r="AG574" s="51">
        <v>-4375027.0</v>
      </c>
      <c r="AH574" s="51">
        <v>-350002.0</v>
      </c>
      <c r="AI574" s="51">
        <v>-4725029.0</v>
      </c>
      <c r="AJ574" s="47" t="s">
        <v>4283</v>
      </c>
      <c r="AK574" s="48"/>
      <c r="AL574" s="50"/>
      <c r="AM574" s="51">
        <v>-7.0064088E7</v>
      </c>
      <c r="AN574" s="51">
        <v>-5605127.0</v>
      </c>
      <c r="AO574" s="51">
        <v>-7.5669215E7</v>
      </c>
      <c r="AP574" s="47"/>
      <c r="AQ574" s="48"/>
      <c r="AR574" s="50"/>
      <c r="AS574" s="51"/>
      <c r="AT574" s="51"/>
      <c r="AU574" s="51"/>
      <c r="AV574" s="47"/>
      <c r="AW574" s="48"/>
      <c r="AX574" s="50"/>
      <c r="AY574" s="51"/>
      <c r="AZ574" s="51"/>
      <c r="BA574" s="51"/>
      <c r="BB574" s="51">
        <f t="shared" ref="BB574:BD574" si="572">IF(AND(ISNUMBER(Z574),COUNT(AG574,AM574,AS574,AY574)=2),Z574+SUM(AG574,AM574,AS574,AY574),"")</f>
        <v>0</v>
      </c>
      <c r="BC574" s="51">
        <f t="shared" si="572"/>
        <v>0</v>
      </c>
      <c r="BD574" s="51">
        <f t="shared" si="572"/>
        <v>0</v>
      </c>
    </row>
    <row r="575" ht="48.0" customHeight="1">
      <c r="A575" s="49" t="s">
        <v>40</v>
      </c>
      <c r="B575" s="49" t="str">
        <f t="array" ref="B575">INDEX('HD cty 2024'!B:B,MATCH('F0, F1, F2, ...'!$C575,'HD cty 2024'!B:B,0))</f>
        <v>#N/A</v>
      </c>
      <c r="C575" s="49">
        <v>756.0</v>
      </c>
      <c r="D575" s="50">
        <v>45656.0</v>
      </c>
      <c r="E575" s="51">
        <v>6.1818228E7</v>
      </c>
      <c r="F575" s="51">
        <v>4945458.0</v>
      </c>
      <c r="G575" s="51">
        <v>6.6763686E7</v>
      </c>
      <c r="H575" s="49" t="s">
        <v>414</v>
      </c>
      <c r="I575" s="52" t="s">
        <v>4284</v>
      </c>
      <c r="J575" s="50">
        <v>45807.0</v>
      </c>
      <c r="K575" s="51">
        <v>4592232.0</v>
      </c>
      <c r="L575" s="51">
        <v>367379.0</v>
      </c>
      <c r="M575" s="51">
        <v>4959611.0</v>
      </c>
      <c r="N575" s="49"/>
      <c r="O575" s="52"/>
      <c r="P575" s="50"/>
      <c r="Q575" s="51"/>
      <c r="R575" s="51"/>
      <c r="S575" s="51"/>
      <c r="T575" s="49"/>
      <c r="U575" s="52"/>
      <c r="V575" s="50"/>
      <c r="W575" s="51"/>
      <c r="X575" s="51"/>
      <c r="Y575" s="51"/>
      <c r="Z575" s="51">
        <v>6.641046E7</v>
      </c>
      <c r="AA575" s="51">
        <v>5312837.0</v>
      </c>
      <c r="AB575" s="51">
        <v>7.1723297E7</v>
      </c>
      <c r="AC575" s="47"/>
      <c r="AD575" s="47" t="s">
        <v>4285</v>
      </c>
      <c r="AE575" s="48"/>
      <c r="AF575" s="50"/>
      <c r="AG575" s="51">
        <v>-4592232.0</v>
      </c>
      <c r="AH575" s="51">
        <v>-367379.0</v>
      </c>
      <c r="AI575" s="51">
        <v>-4959611.0</v>
      </c>
      <c r="AJ575" s="47" t="s">
        <v>4286</v>
      </c>
      <c r="AK575" s="48"/>
      <c r="AL575" s="50"/>
      <c r="AM575" s="51">
        <v>-6.1818228E7</v>
      </c>
      <c r="AN575" s="51">
        <v>-4945458.0</v>
      </c>
      <c r="AO575" s="51">
        <v>-6.6763686E7</v>
      </c>
      <c r="AP575" s="47"/>
      <c r="AQ575" s="48"/>
      <c r="AR575" s="50"/>
      <c r="AS575" s="51"/>
      <c r="AT575" s="51"/>
      <c r="AU575" s="51"/>
      <c r="AV575" s="47"/>
      <c r="AW575" s="48"/>
      <c r="AX575" s="50"/>
      <c r="AY575" s="51"/>
      <c r="AZ575" s="51"/>
      <c r="BA575" s="51"/>
      <c r="BB575" s="51">
        <f t="shared" ref="BB575:BD575" si="573">IF(AND(ISNUMBER(Z575),COUNT(AG575,AM575,AS575,AY575)=2),Z575+SUM(AG575,AM575,AS575,AY575),"")</f>
        <v>0</v>
      </c>
      <c r="BC575" s="51">
        <f t="shared" si="573"/>
        <v>0</v>
      </c>
      <c r="BD575" s="51">
        <f t="shared" si="573"/>
        <v>0</v>
      </c>
    </row>
    <row r="576" ht="48.0" customHeight="1">
      <c r="A576" s="49" t="s">
        <v>40</v>
      </c>
      <c r="B576" s="49" t="str">
        <f t="array" ref="B576">INDEX('HD cty 2024'!B:B,MATCH('F0, F1, F2, ...'!$C576,'HD cty 2024'!B:B,0))</f>
        <v>#N/A</v>
      </c>
      <c r="C576" s="49">
        <v>757.0</v>
      </c>
      <c r="D576" s="50">
        <v>45656.0</v>
      </c>
      <c r="E576" s="51">
        <v>7.1195348E7</v>
      </c>
      <c r="F576" s="51">
        <v>5695628.0</v>
      </c>
      <c r="G576" s="51">
        <v>7.6890976E7</v>
      </c>
      <c r="H576" s="49" t="s">
        <v>414</v>
      </c>
      <c r="I576" s="52" t="s">
        <v>4287</v>
      </c>
      <c r="J576" s="50">
        <v>45807.0</v>
      </c>
      <c r="K576" s="51">
        <v>5283180.0</v>
      </c>
      <c r="L576" s="51">
        <v>422654.0</v>
      </c>
      <c r="M576" s="51">
        <v>5705834.0</v>
      </c>
      <c r="N576" s="49"/>
      <c r="O576" s="52"/>
      <c r="P576" s="50"/>
      <c r="Q576" s="51"/>
      <c r="R576" s="51"/>
      <c r="S576" s="51"/>
      <c r="T576" s="49"/>
      <c r="U576" s="52"/>
      <c r="V576" s="50"/>
      <c r="W576" s="51"/>
      <c r="X576" s="51"/>
      <c r="Y576" s="51"/>
      <c r="Z576" s="51">
        <v>7.6478528E7</v>
      </c>
      <c r="AA576" s="51">
        <v>6118282.0</v>
      </c>
      <c r="AB576" s="51">
        <v>8.259681E7</v>
      </c>
      <c r="AC576" s="47"/>
      <c r="AD576" s="47" t="s">
        <v>4288</v>
      </c>
      <c r="AE576" s="48"/>
      <c r="AF576" s="50"/>
      <c r="AG576" s="51">
        <v>-5283180.0</v>
      </c>
      <c r="AH576" s="51">
        <v>-422654.0</v>
      </c>
      <c r="AI576" s="51">
        <v>-5705834.0</v>
      </c>
      <c r="AJ576" s="47" t="s">
        <v>4289</v>
      </c>
      <c r="AK576" s="48"/>
      <c r="AL576" s="50"/>
      <c r="AM576" s="51">
        <v>-7.1195348E7</v>
      </c>
      <c r="AN576" s="51">
        <v>-5695628.0</v>
      </c>
      <c r="AO576" s="51">
        <v>-7.6890976E7</v>
      </c>
      <c r="AP576" s="47"/>
      <c r="AQ576" s="48"/>
      <c r="AR576" s="50"/>
      <c r="AS576" s="51"/>
      <c r="AT576" s="51"/>
      <c r="AU576" s="51"/>
      <c r="AV576" s="47"/>
      <c r="AW576" s="48"/>
      <c r="AX576" s="50"/>
      <c r="AY576" s="51"/>
      <c r="AZ576" s="51"/>
      <c r="BA576" s="51"/>
      <c r="BB576" s="51">
        <f t="shared" ref="BB576:BD576" si="574">IF(AND(ISNUMBER(Z576),COUNT(AG576,AM576,AS576,AY576)=2),Z576+SUM(AG576,AM576,AS576,AY576),"")</f>
        <v>0</v>
      </c>
      <c r="BC576" s="51">
        <f t="shared" si="574"/>
        <v>0</v>
      </c>
      <c r="BD576" s="51">
        <f t="shared" si="574"/>
        <v>0</v>
      </c>
    </row>
    <row r="577" ht="48.0" customHeight="1">
      <c r="A577" s="49" t="s">
        <v>40</v>
      </c>
      <c r="B577" s="49" t="str">
        <f t="array" ref="B577">INDEX('HD cty 2024'!B:B,MATCH('F0, F1, F2, ...'!$C577,'HD cty 2024'!B:B,0))</f>
        <v>#N/A</v>
      </c>
      <c r="C577" s="49">
        <v>758.0</v>
      </c>
      <c r="D577" s="50">
        <v>45656.0</v>
      </c>
      <c r="E577" s="51">
        <v>8.0572267E7</v>
      </c>
      <c r="F577" s="51">
        <v>6445781.0</v>
      </c>
      <c r="G577" s="51">
        <v>8.7018048E7</v>
      </c>
      <c r="H577" s="49" t="s">
        <v>414</v>
      </c>
      <c r="I577" s="52" t="s">
        <v>4290</v>
      </c>
      <c r="J577" s="50">
        <v>45807.0</v>
      </c>
      <c r="K577" s="51">
        <v>6555979.0</v>
      </c>
      <c r="L577" s="51">
        <v>524478.0</v>
      </c>
      <c r="M577" s="51">
        <v>7080457.0</v>
      </c>
      <c r="N577" s="49"/>
      <c r="O577" s="52"/>
      <c r="P577" s="50"/>
      <c r="Q577" s="51"/>
      <c r="R577" s="51"/>
      <c r="S577" s="51"/>
      <c r="T577" s="49"/>
      <c r="U577" s="52"/>
      <c r="V577" s="50"/>
      <c r="W577" s="51"/>
      <c r="X577" s="51"/>
      <c r="Y577" s="51"/>
      <c r="Z577" s="51">
        <v>8.7128246E7</v>
      </c>
      <c r="AA577" s="51">
        <v>6970259.0</v>
      </c>
      <c r="AB577" s="51">
        <v>9.4098505E7</v>
      </c>
      <c r="AC577" s="47"/>
      <c r="AD577" s="47" t="s">
        <v>4291</v>
      </c>
      <c r="AE577" s="48"/>
      <c r="AF577" s="50"/>
      <c r="AG577" s="51">
        <v>-6555979.0</v>
      </c>
      <c r="AH577" s="51">
        <v>-524478.0</v>
      </c>
      <c r="AI577" s="51">
        <v>-7080457.0</v>
      </c>
      <c r="AJ577" s="47" t="s">
        <v>4292</v>
      </c>
      <c r="AK577" s="48"/>
      <c r="AL577" s="50"/>
      <c r="AM577" s="51">
        <v>-8.0572267E7</v>
      </c>
      <c r="AN577" s="51">
        <v>-6445781.0</v>
      </c>
      <c r="AO577" s="51">
        <v>-8.7018048E7</v>
      </c>
      <c r="AP577" s="47"/>
      <c r="AQ577" s="48"/>
      <c r="AR577" s="50"/>
      <c r="AS577" s="51"/>
      <c r="AT577" s="51"/>
      <c r="AU577" s="51"/>
      <c r="AV577" s="47"/>
      <c r="AW577" s="48"/>
      <c r="AX577" s="50"/>
      <c r="AY577" s="51"/>
      <c r="AZ577" s="51"/>
      <c r="BA577" s="51"/>
      <c r="BB577" s="51">
        <f t="shared" ref="BB577:BD577" si="575">IF(AND(ISNUMBER(Z577),COUNT(AG577,AM577,AS577,AY577)=2),Z577+SUM(AG577,AM577,AS577,AY577),"")</f>
        <v>0</v>
      </c>
      <c r="BC577" s="51">
        <f t="shared" si="575"/>
        <v>0</v>
      </c>
      <c r="BD577" s="51">
        <f t="shared" si="575"/>
        <v>0</v>
      </c>
    </row>
    <row r="578" ht="48.0" customHeight="1">
      <c r="A578" s="49" t="s">
        <v>40</v>
      </c>
      <c r="B578" s="49" t="str">
        <f t="array" ref="B578">INDEX('HD cty 2024'!B:B,MATCH('F0, F1, F2, ...'!$C578,'HD cty 2024'!B:B,0))</f>
        <v>#N/A</v>
      </c>
      <c r="C578" s="49">
        <v>759.0</v>
      </c>
      <c r="D578" s="50">
        <v>45656.0</v>
      </c>
      <c r="E578" s="51">
        <v>5.3028299E7</v>
      </c>
      <c r="F578" s="51">
        <v>4242264.0</v>
      </c>
      <c r="G578" s="51">
        <v>5.7270563E7</v>
      </c>
      <c r="H578" s="49" t="s">
        <v>414</v>
      </c>
      <c r="I578" s="52" t="s">
        <v>4293</v>
      </c>
      <c r="J578" s="50">
        <v>45807.0</v>
      </c>
      <c r="K578" s="51">
        <v>1565588.0</v>
      </c>
      <c r="L578" s="51">
        <v>125247.0</v>
      </c>
      <c r="M578" s="51">
        <v>1690835.0</v>
      </c>
      <c r="N578" s="49"/>
      <c r="O578" s="52"/>
      <c r="P578" s="50"/>
      <c r="Q578" s="51"/>
      <c r="R578" s="51"/>
      <c r="S578" s="51"/>
      <c r="T578" s="49"/>
      <c r="U578" s="52"/>
      <c r="V578" s="50"/>
      <c r="W578" s="51"/>
      <c r="X578" s="51"/>
      <c r="Y578" s="51"/>
      <c r="Z578" s="51">
        <v>5.4593887E7</v>
      </c>
      <c r="AA578" s="51">
        <v>4367511.0</v>
      </c>
      <c r="AB578" s="51">
        <v>5.8961398E7</v>
      </c>
      <c r="AC578" s="47"/>
      <c r="AD578" s="47" t="s">
        <v>4294</v>
      </c>
      <c r="AE578" s="48"/>
      <c r="AF578" s="50"/>
      <c r="AG578" s="51">
        <v>-1565588.0</v>
      </c>
      <c r="AH578" s="51">
        <v>-125247.0</v>
      </c>
      <c r="AI578" s="51">
        <v>-1690835.0</v>
      </c>
      <c r="AJ578" s="47" t="s">
        <v>4295</v>
      </c>
      <c r="AK578" s="48"/>
      <c r="AL578" s="50"/>
      <c r="AM578" s="51">
        <v>-5.3028299E7</v>
      </c>
      <c r="AN578" s="51">
        <v>-4242264.0</v>
      </c>
      <c r="AO578" s="51">
        <v>-5.7270563E7</v>
      </c>
      <c r="AP578" s="47"/>
      <c r="AQ578" s="48"/>
      <c r="AR578" s="50"/>
      <c r="AS578" s="51"/>
      <c r="AT578" s="51"/>
      <c r="AU578" s="51"/>
      <c r="AV578" s="47"/>
      <c r="AW578" s="48"/>
      <c r="AX578" s="50"/>
      <c r="AY578" s="51"/>
      <c r="AZ578" s="51"/>
      <c r="BA578" s="51"/>
      <c r="BB578" s="51">
        <f t="shared" ref="BB578:BD578" si="576">IF(AND(ISNUMBER(Z578),COUNT(AG578,AM578,AS578,AY578)=2),Z578+SUM(AG578,AM578,AS578,AY578),"")</f>
        <v>0</v>
      </c>
      <c r="BC578" s="51">
        <f t="shared" si="576"/>
        <v>0</v>
      </c>
      <c r="BD578" s="51">
        <f t="shared" si="576"/>
        <v>0</v>
      </c>
    </row>
    <row r="579" ht="102.0" customHeight="1">
      <c r="A579" s="49" t="s">
        <v>40</v>
      </c>
      <c r="B579" s="49" t="str">
        <f t="array" ref="B579">INDEX('HD cty 2024'!B:B,MATCH('F0, F1, F2, ...'!$C579,'HD cty 2024'!B:B,0))</f>
        <v>#N/A</v>
      </c>
      <c r="C579" s="49">
        <v>760.0</v>
      </c>
      <c r="D579" s="50">
        <v>45656.0</v>
      </c>
      <c r="E579" s="51">
        <v>2222639.0</v>
      </c>
      <c r="F579" s="51">
        <v>177811.0</v>
      </c>
      <c r="G579" s="51">
        <v>2400450.0</v>
      </c>
      <c r="H579" s="49" t="s">
        <v>414</v>
      </c>
      <c r="I579" s="52" t="s">
        <v>4296</v>
      </c>
      <c r="J579" s="50">
        <v>45807.0</v>
      </c>
      <c r="K579" s="51">
        <v>-2222639.0</v>
      </c>
      <c r="L579" s="51">
        <v>-177811.0</v>
      </c>
      <c r="M579" s="51">
        <v>-2400450.0</v>
      </c>
      <c r="N579" s="49"/>
      <c r="O579" s="52"/>
      <c r="P579" s="50"/>
      <c r="Q579" s="51"/>
      <c r="R579" s="51"/>
      <c r="S579" s="51"/>
      <c r="T579" s="49"/>
      <c r="U579" s="52"/>
      <c r="V579" s="50"/>
      <c r="W579" s="51"/>
      <c r="X579" s="51"/>
      <c r="Y579" s="51"/>
      <c r="Z579" s="51">
        <v>0.0</v>
      </c>
      <c r="AA579" s="51">
        <v>0.0</v>
      </c>
      <c r="AB579" s="51">
        <v>0.0</v>
      </c>
      <c r="AC579" s="47" t="s">
        <v>4297</v>
      </c>
      <c r="AD579" s="47" t="s">
        <v>4298</v>
      </c>
      <c r="AE579" s="48"/>
      <c r="AF579" s="50">
        <v>46304.0</v>
      </c>
      <c r="AG579" s="51">
        <v>2222639.0</v>
      </c>
      <c r="AH579" s="51">
        <v>177811.0</v>
      </c>
      <c r="AI579" s="51">
        <v>2400450.0</v>
      </c>
      <c r="AJ579" s="47" t="s">
        <v>4299</v>
      </c>
      <c r="AK579" s="48"/>
      <c r="AL579" s="50">
        <v>46304.0</v>
      </c>
      <c r="AM579" s="51">
        <v>-2222639.0</v>
      </c>
      <c r="AN579" s="51">
        <v>-177811.0</v>
      </c>
      <c r="AO579" s="51">
        <v>-2400450.0</v>
      </c>
      <c r="AP579" s="47"/>
      <c r="AQ579" s="48"/>
      <c r="AR579" s="50"/>
      <c r="AS579" s="51"/>
      <c r="AT579" s="51"/>
      <c r="AU579" s="51"/>
      <c r="AV579" s="47"/>
      <c r="AW579" s="48"/>
      <c r="AX579" s="50"/>
      <c r="AY579" s="51"/>
      <c r="AZ579" s="51"/>
      <c r="BA579" s="51"/>
      <c r="BB579" s="51">
        <f t="shared" ref="BB579:BD579" si="577">IF(AND(ISNUMBER(Z579),COUNT(AG579,AM579,AS579,AY579)=2),Z579+SUM(AG579,AM579,AS579,AY579),"")</f>
        <v>0</v>
      </c>
      <c r="BC579" s="51">
        <f t="shared" si="577"/>
        <v>0</v>
      </c>
      <c r="BD579" s="51">
        <f t="shared" si="577"/>
        <v>0</v>
      </c>
    </row>
    <row r="580" ht="48.0" customHeight="1">
      <c r="A580" s="49" t="s">
        <v>40</v>
      </c>
      <c r="B580" s="49" t="str">
        <f t="array" ref="B580">INDEX('HD cty 2024'!B:B,MATCH('F0, F1, F2, ...'!$C580,'HD cty 2024'!B:B,0))</f>
        <v>#N/A</v>
      </c>
      <c r="C580" s="49">
        <v>761.0</v>
      </c>
      <c r="D580" s="50">
        <v>45656.0</v>
      </c>
      <c r="E580" s="51">
        <v>1234074.0</v>
      </c>
      <c r="F580" s="51">
        <v>98726.0</v>
      </c>
      <c r="G580" s="51">
        <v>1332800.0</v>
      </c>
      <c r="H580" s="49" t="s">
        <v>414</v>
      </c>
      <c r="I580" s="52" t="s">
        <v>4300</v>
      </c>
      <c r="J580" s="50">
        <v>45807.0</v>
      </c>
      <c r="K580" s="51">
        <v>540000.0</v>
      </c>
      <c r="L580" s="51">
        <v>43200.0</v>
      </c>
      <c r="M580" s="51">
        <v>583200.0</v>
      </c>
      <c r="N580" s="49"/>
      <c r="O580" s="52"/>
      <c r="P580" s="50"/>
      <c r="Q580" s="51"/>
      <c r="R580" s="51"/>
      <c r="S580" s="51"/>
      <c r="T580" s="49"/>
      <c r="U580" s="52"/>
      <c r="V580" s="50"/>
      <c r="W580" s="51"/>
      <c r="X580" s="51"/>
      <c r="Y580" s="51"/>
      <c r="Z580" s="51">
        <v>1774074.0</v>
      </c>
      <c r="AA580" s="51">
        <v>141926.0</v>
      </c>
      <c r="AB580" s="51">
        <v>1916000.0</v>
      </c>
      <c r="AC580" s="47"/>
      <c r="AD580" s="47" t="s">
        <v>4301</v>
      </c>
      <c r="AE580" s="48"/>
      <c r="AF580" s="50"/>
      <c r="AG580" s="51">
        <v>-540000.0</v>
      </c>
      <c r="AH580" s="51">
        <v>-43200.0</v>
      </c>
      <c r="AI580" s="51">
        <v>-583200.0</v>
      </c>
      <c r="AJ580" s="47" t="s">
        <v>4302</v>
      </c>
      <c r="AK580" s="48"/>
      <c r="AL580" s="50"/>
      <c r="AM580" s="51">
        <v>-1234074.0</v>
      </c>
      <c r="AN580" s="51">
        <v>-98726.0</v>
      </c>
      <c r="AO580" s="51">
        <v>-1332800.0</v>
      </c>
      <c r="AP580" s="47"/>
      <c r="AQ580" s="48"/>
      <c r="AR580" s="50"/>
      <c r="AS580" s="51"/>
      <c r="AT580" s="51"/>
      <c r="AU580" s="51"/>
      <c r="AV580" s="47"/>
      <c r="AW580" s="48"/>
      <c r="AX580" s="50"/>
      <c r="AY580" s="51"/>
      <c r="AZ580" s="51"/>
      <c r="BA580" s="51"/>
      <c r="BB580" s="51">
        <f t="shared" ref="BB580:BD580" si="578">IF(AND(ISNUMBER(Z580),COUNT(AG580,AM580,AS580,AY580)=2),Z580+SUM(AG580,AM580,AS580,AY580),"")</f>
        <v>0</v>
      </c>
      <c r="BC580" s="51">
        <f t="shared" si="578"/>
        <v>0</v>
      </c>
      <c r="BD580" s="51">
        <f t="shared" si="578"/>
        <v>0</v>
      </c>
    </row>
    <row r="581" ht="48.0" customHeight="1">
      <c r="A581" s="49" t="s">
        <v>40</v>
      </c>
      <c r="B581" s="49" t="str">
        <f t="array" ref="B581">INDEX('HD cty 2024'!B:B,MATCH('F0, F1, F2, ...'!$C581,'HD cty 2024'!B:B,0))</f>
        <v>#N/A</v>
      </c>
      <c r="C581" s="49">
        <v>762.0</v>
      </c>
      <c r="D581" s="50">
        <v>45656.0</v>
      </c>
      <c r="E581" s="51">
        <v>3.0194276E7</v>
      </c>
      <c r="F581" s="51">
        <v>2415542.0</v>
      </c>
      <c r="G581" s="51">
        <v>3.2609818E7</v>
      </c>
      <c r="H581" s="49" t="s">
        <v>414</v>
      </c>
      <c r="I581" s="52" t="s">
        <v>4303</v>
      </c>
      <c r="J581" s="50">
        <v>45807.0</v>
      </c>
      <c r="K581" s="51">
        <v>9139057.0</v>
      </c>
      <c r="L581" s="51">
        <v>731125.0</v>
      </c>
      <c r="M581" s="51">
        <v>9870182.0</v>
      </c>
      <c r="N581" s="49"/>
      <c r="O581" s="52"/>
      <c r="P581" s="50"/>
      <c r="Q581" s="51"/>
      <c r="R581" s="51"/>
      <c r="S581" s="51"/>
      <c r="T581" s="49"/>
      <c r="U581" s="52"/>
      <c r="V581" s="50"/>
      <c r="W581" s="51"/>
      <c r="X581" s="51"/>
      <c r="Y581" s="51"/>
      <c r="Z581" s="51">
        <v>3.9333333E7</v>
      </c>
      <c r="AA581" s="51">
        <v>3146667.0</v>
      </c>
      <c r="AB581" s="51">
        <v>4.248E7</v>
      </c>
      <c r="AC581" s="47"/>
      <c r="AD581" s="47" t="s">
        <v>4304</v>
      </c>
      <c r="AE581" s="48"/>
      <c r="AF581" s="50"/>
      <c r="AG581" s="51">
        <v>-9139057.0</v>
      </c>
      <c r="AH581" s="51">
        <v>-731125.0</v>
      </c>
      <c r="AI581" s="51">
        <v>-9870182.0</v>
      </c>
      <c r="AJ581" s="47" t="s">
        <v>4305</v>
      </c>
      <c r="AK581" s="48"/>
      <c r="AL581" s="50"/>
      <c r="AM581" s="51">
        <v>-3.0194276E7</v>
      </c>
      <c r="AN581" s="51">
        <v>-2415542.0</v>
      </c>
      <c r="AO581" s="51">
        <v>-3.2609818E7</v>
      </c>
      <c r="AP581" s="47"/>
      <c r="AQ581" s="48"/>
      <c r="AR581" s="50"/>
      <c r="AS581" s="51"/>
      <c r="AT581" s="51"/>
      <c r="AU581" s="51"/>
      <c r="AV581" s="47"/>
      <c r="AW581" s="48"/>
      <c r="AX581" s="50"/>
      <c r="AY581" s="51"/>
      <c r="AZ581" s="51"/>
      <c r="BA581" s="51"/>
      <c r="BB581" s="51">
        <f t="shared" ref="BB581:BD581" si="579">IF(AND(ISNUMBER(Z581),COUNT(AG581,AM581,AS581,AY581)=2),Z581+SUM(AG581,AM581,AS581,AY581),"")</f>
        <v>0</v>
      </c>
      <c r="BC581" s="51">
        <f t="shared" si="579"/>
        <v>0</v>
      </c>
      <c r="BD581" s="51">
        <f t="shared" si="579"/>
        <v>0</v>
      </c>
    </row>
    <row r="582" ht="48.0" customHeight="1">
      <c r="A582" s="49" t="s">
        <v>40</v>
      </c>
      <c r="B582" s="49" t="str">
        <f t="array" ref="B582">INDEX('HD cty 2024'!B:B,MATCH('F0, F1, F2, ...'!$C582,'HD cty 2024'!B:B,0))</f>
        <v>#N/A</v>
      </c>
      <c r="C582" s="49">
        <v>763.0</v>
      </c>
      <c r="D582" s="50">
        <v>45656.0</v>
      </c>
      <c r="E582" s="51">
        <v>286296.0</v>
      </c>
      <c r="F582" s="51">
        <v>22904.0</v>
      </c>
      <c r="G582" s="51">
        <v>309200.0</v>
      </c>
      <c r="H582" s="49" t="s">
        <v>414</v>
      </c>
      <c r="I582" s="52" t="s">
        <v>4306</v>
      </c>
      <c r="J582" s="50">
        <v>45807.0</v>
      </c>
      <c r="K582" s="51">
        <v>111019.0</v>
      </c>
      <c r="L582" s="51">
        <v>8882.0</v>
      </c>
      <c r="M582" s="51">
        <v>119901.0</v>
      </c>
      <c r="N582" s="49"/>
      <c r="O582" s="52"/>
      <c r="P582" s="50"/>
      <c r="Q582" s="51"/>
      <c r="R582" s="51"/>
      <c r="S582" s="51"/>
      <c r="T582" s="49"/>
      <c r="U582" s="52"/>
      <c r="V582" s="50"/>
      <c r="W582" s="51"/>
      <c r="X582" s="51"/>
      <c r="Y582" s="51"/>
      <c r="Z582" s="51">
        <v>397315.0</v>
      </c>
      <c r="AA582" s="51">
        <v>31786.0</v>
      </c>
      <c r="AB582" s="51">
        <v>429101.0</v>
      </c>
      <c r="AC582" s="47"/>
      <c r="AD582" s="47" t="s">
        <v>4307</v>
      </c>
      <c r="AE582" s="48"/>
      <c r="AF582" s="50"/>
      <c r="AG582" s="51">
        <v>-111019.0</v>
      </c>
      <c r="AH582" s="51">
        <v>-8882.0</v>
      </c>
      <c r="AI582" s="51">
        <v>-119901.0</v>
      </c>
      <c r="AJ582" s="47" t="s">
        <v>4308</v>
      </c>
      <c r="AK582" s="48"/>
      <c r="AL582" s="50"/>
      <c r="AM582" s="51">
        <v>-286296.0</v>
      </c>
      <c r="AN582" s="51">
        <v>-22904.0</v>
      </c>
      <c r="AO582" s="51">
        <v>-309200.0</v>
      </c>
      <c r="AP582" s="47"/>
      <c r="AQ582" s="48"/>
      <c r="AR582" s="50"/>
      <c r="AS582" s="51"/>
      <c r="AT582" s="51"/>
      <c r="AU582" s="51"/>
      <c r="AV582" s="47"/>
      <c r="AW582" s="48"/>
      <c r="AX582" s="50"/>
      <c r="AY582" s="51"/>
      <c r="AZ582" s="51"/>
      <c r="BA582" s="51"/>
      <c r="BB582" s="51">
        <f t="shared" ref="BB582:BD582" si="580">IF(AND(ISNUMBER(Z582),COUNT(AG582,AM582,AS582,AY582)=2),Z582+SUM(AG582,AM582,AS582,AY582),"")</f>
        <v>0</v>
      </c>
      <c r="BC582" s="51">
        <f t="shared" si="580"/>
        <v>0</v>
      </c>
      <c r="BD582" s="51">
        <f t="shared" si="580"/>
        <v>0</v>
      </c>
    </row>
    <row r="583" ht="48.0" customHeight="1">
      <c r="A583" s="49" t="s">
        <v>40</v>
      </c>
      <c r="B583" s="49" t="str">
        <f t="array" ref="B583">INDEX('HD cty 2024'!B:B,MATCH('F0, F1, F2, ...'!$C583,'HD cty 2024'!B:B,0))</f>
        <v>#N/A</v>
      </c>
      <c r="C583" s="49">
        <v>764.0</v>
      </c>
      <c r="D583" s="50">
        <v>45656.0</v>
      </c>
      <c r="E583" s="51">
        <v>6.7210361E7</v>
      </c>
      <c r="F583" s="51">
        <v>5376829.0</v>
      </c>
      <c r="G583" s="51">
        <v>7.258719E7</v>
      </c>
      <c r="H583" s="49" t="s">
        <v>414</v>
      </c>
      <c r="I583" s="52" t="s">
        <v>4309</v>
      </c>
      <c r="J583" s="50">
        <v>45807.0</v>
      </c>
      <c r="K583" s="51">
        <v>1.0020195E7</v>
      </c>
      <c r="L583" s="51">
        <v>801616.0</v>
      </c>
      <c r="M583" s="51">
        <v>1.0821811E7</v>
      </c>
      <c r="N583" s="49"/>
      <c r="O583" s="52"/>
      <c r="P583" s="50"/>
      <c r="Q583" s="51"/>
      <c r="R583" s="51"/>
      <c r="S583" s="51"/>
      <c r="T583" s="49"/>
      <c r="U583" s="52"/>
      <c r="V583" s="50"/>
      <c r="W583" s="51"/>
      <c r="X583" s="51"/>
      <c r="Y583" s="51"/>
      <c r="Z583" s="51">
        <v>7.7230556E7</v>
      </c>
      <c r="AA583" s="51">
        <v>6178445.0</v>
      </c>
      <c r="AB583" s="51">
        <v>8.3409001E7</v>
      </c>
      <c r="AC583" s="47"/>
      <c r="AD583" s="47" t="s">
        <v>4310</v>
      </c>
      <c r="AE583" s="48"/>
      <c r="AF583" s="50"/>
      <c r="AG583" s="51">
        <v>-1.0020195E7</v>
      </c>
      <c r="AH583" s="51">
        <v>-801616.0</v>
      </c>
      <c r="AI583" s="51">
        <v>-1.0821811E7</v>
      </c>
      <c r="AJ583" s="47" t="s">
        <v>4311</v>
      </c>
      <c r="AK583" s="48"/>
      <c r="AL583" s="50"/>
      <c r="AM583" s="51">
        <v>-6.7210361E7</v>
      </c>
      <c r="AN583" s="51">
        <v>-5376829.0</v>
      </c>
      <c r="AO583" s="51">
        <v>-7.258719E7</v>
      </c>
      <c r="AP583" s="47"/>
      <c r="AQ583" s="48"/>
      <c r="AR583" s="50"/>
      <c r="AS583" s="51"/>
      <c r="AT583" s="51"/>
      <c r="AU583" s="51"/>
      <c r="AV583" s="47"/>
      <c r="AW583" s="48"/>
      <c r="AX583" s="50"/>
      <c r="AY583" s="51"/>
      <c r="AZ583" s="51"/>
      <c r="BA583" s="51"/>
      <c r="BB583" s="51">
        <f t="shared" ref="BB583:BD583" si="581">IF(AND(ISNUMBER(Z583),COUNT(AG583,AM583,AS583,AY583)=2),Z583+SUM(AG583,AM583,AS583,AY583),"")</f>
        <v>0</v>
      </c>
      <c r="BC583" s="51">
        <f t="shared" si="581"/>
        <v>0</v>
      </c>
      <c r="BD583" s="51">
        <f t="shared" si="581"/>
        <v>0</v>
      </c>
    </row>
    <row r="584" ht="48.0" customHeight="1">
      <c r="A584" s="49" t="s">
        <v>40</v>
      </c>
      <c r="B584" s="49" t="str">
        <f t="array" ref="B584">INDEX('HD cty 2024'!B:B,MATCH('F0, F1, F2, ...'!$C584,'HD cty 2024'!B:B,0))</f>
        <v>#N/A</v>
      </c>
      <c r="C584" s="49">
        <v>765.0</v>
      </c>
      <c r="D584" s="50">
        <v>45657.0</v>
      </c>
      <c r="E584" s="51">
        <v>2.6949615E7</v>
      </c>
      <c r="F584" s="51">
        <v>2155969.0</v>
      </c>
      <c r="G584" s="51">
        <v>2.9105584E7</v>
      </c>
      <c r="H584" s="49" t="s">
        <v>414</v>
      </c>
      <c r="I584" s="52" t="s">
        <v>4312</v>
      </c>
      <c r="J584" s="50">
        <v>45807.0</v>
      </c>
      <c r="K584" s="51">
        <v>2330732.0</v>
      </c>
      <c r="L584" s="51">
        <v>186459.0</v>
      </c>
      <c r="M584" s="51">
        <v>2517191.0</v>
      </c>
      <c r="N584" s="49"/>
      <c r="O584" s="52"/>
      <c r="P584" s="50"/>
      <c r="Q584" s="51"/>
      <c r="R584" s="51"/>
      <c r="S584" s="51"/>
      <c r="T584" s="49"/>
      <c r="U584" s="52"/>
      <c r="V584" s="50"/>
      <c r="W584" s="51"/>
      <c r="X584" s="51"/>
      <c r="Y584" s="51"/>
      <c r="Z584" s="51">
        <v>2.9280347E7</v>
      </c>
      <c r="AA584" s="51">
        <v>2342428.0</v>
      </c>
      <c r="AB584" s="51">
        <v>3.1622775E7</v>
      </c>
      <c r="AC584" s="47"/>
      <c r="AD584" s="47" t="s">
        <v>4313</v>
      </c>
      <c r="AE584" s="48"/>
      <c r="AF584" s="50"/>
      <c r="AG584" s="51">
        <v>-2330732.0</v>
      </c>
      <c r="AH584" s="51">
        <v>-186459.0</v>
      </c>
      <c r="AI584" s="51">
        <v>-2517191.0</v>
      </c>
      <c r="AJ584" s="47" t="s">
        <v>4314</v>
      </c>
      <c r="AK584" s="48"/>
      <c r="AL584" s="50"/>
      <c r="AM584" s="51">
        <v>-2.6949615E7</v>
      </c>
      <c r="AN584" s="51">
        <v>-2155969.0</v>
      </c>
      <c r="AO584" s="51">
        <v>-2.9105584E7</v>
      </c>
      <c r="AP584" s="47"/>
      <c r="AQ584" s="48"/>
      <c r="AR584" s="50"/>
      <c r="AS584" s="51"/>
      <c r="AT584" s="51"/>
      <c r="AU584" s="51"/>
      <c r="AV584" s="47"/>
      <c r="AW584" s="48"/>
      <c r="AX584" s="50"/>
      <c r="AY584" s="51"/>
      <c r="AZ584" s="51"/>
      <c r="BA584" s="51"/>
      <c r="BB584" s="51">
        <f t="shared" ref="BB584:BD584" si="582">IF(AND(ISNUMBER(Z584),COUNT(AG584,AM584,AS584,AY584)=2),Z584+SUM(AG584,AM584,AS584,AY584),"")</f>
        <v>0</v>
      </c>
      <c r="BC584" s="51">
        <f t="shared" si="582"/>
        <v>0</v>
      </c>
      <c r="BD584" s="51">
        <f t="shared" si="582"/>
        <v>0</v>
      </c>
    </row>
    <row r="585" ht="48.0" customHeight="1">
      <c r="A585" s="49" t="s">
        <v>40</v>
      </c>
      <c r="B585" s="49" t="str">
        <f t="array" ref="B585">INDEX('HD cty 2024'!B:B,MATCH('F0, F1, F2, ...'!$C585,'HD cty 2024'!B:B,0))</f>
        <v>#N/A</v>
      </c>
      <c r="C585" s="49">
        <v>766.0</v>
      </c>
      <c r="D585" s="50">
        <v>45657.0</v>
      </c>
      <c r="E585" s="51">
        <v>3.0922474E7</v>
      </c>
      <c r="F585" s="51">
        <v>2473798.0</v>
      </c>
      <c r="G585" s="51">
        <v>3.3396272E7</v>
      </c>
      <c r="H585" s="49" t="s">
        <v>414</v>
      </c>
      <c r="I585" s="52" t="s">
        <v>4315</v>
      </c>
      <c r="J585" s="50">
        <v>45807.0</v>
      </c>
      <c r="K585" s="51">
        <v>3941296.0</v>
      </c>
      <c r="L585" s="51">
        <v>315304.0</v>
      </c>
      <c r="M585" s="51">
        <v>4256600.0</v>
      </c>
      <c r="N585" s="49"/>
      <c r="O585" s="52"/>
      <c r="P585" s="50"/>
      <c r="Q585" s="51"/>
      <c r="R585" s="51"/>
      <c r="S585" s="51"/>
      <c r="T585" s="49"/>
      <c r="U585" s="52"/>
      <c r="V585" s="50"/>
      <c r="W585" s="51"/>
      <c r="X585" s="51"/>
      <c r="Y585" s="51"/>
      <c r="Z585" s="51">
        <v>3.486377E7</v>
      </c>
      <c r="AA585" s="51">
        <v>2789102.0</v>
      </c>
      <c r="AB585" s="51">
        <v>3.7652872E7</v>
      </c>
      <c r="AC585" s="47"/>
      <c r="AD585" s="47" t="s">
        <v>4316</v>
      </c>
      <c r="AE585" s="48"/>
      <c r="AF585" s="50"/>
      <c r="AG585" s="51">
        <v>-3941296.0</v>
      </c>
      <c r="AH585" s="51">
        <v>-315304.0</v>
      </c>
      <c r="AI585" s="51">
        <v>-4256600.0</v>
      </c>
      <c r="AJ585" s="47" t="s">
        <v>4317</v>
      </c>
      <c r="AK585" s="48"/>
      <c r="AL585" s="50"/>
      <c r="AM585" s="51">
        <v>-3.0922474E7</v>
      </c>
      <c r="AN585" s="51">
        <v>-2473798.0</v>
      </c>
      <c r="AO585" s="51">
        <v>-3.3396272E7</v>
      </c>
      <c r="AP585" s="47"/>
      <c r="AQ585" s="48"/>
      <c r="AR585" s="50"/>
      <c r="AS585" s="51"/>
      <c r="AT585" s="51"/>
      <c r="AU585" s="51"/>
      <c r="AV585" s="47"/>
      <c r="AW585" s="48"/>
      <c r="AX585" s="50"/>
      <c r="AY585" s="51"/>
      <c r="AZ585" s="51"/>
      <c r="BA585" s="51"/>
      <c r="BB585" s="51">
        <f t="shared" ref="BB585:BD585" si="583">IF(AND(ISNUMBER(Z585),COUNT(AG585,AM585,AS585,AY585)=2),Z585+SUM(AG585,AM585,AS585,AY585),"")</f>
        <v>0</v>
      </c>
      <c r="BC585" s="51">
        <f t="shared" si="583"/>
        <v>0</v>
      </c>
      <c r="BD585" s="51">
        <f t="shared" si="583"/>
        <v>0</v>
      </c>
    </row>
    <row r="586" ht="48.0" customHeight="1">
      <c r="A586" s="49" t="s">
        <v>40</v>
      </c>
      <c r="B586" s="49" t="str">
        <f t="array" ref="B586">INDEX('HD cty 2024'!B:B,MATCH('F0, F1, F2, ...'!$C586,'HD cty 2024'!B:B,0))</f>
        <v>#N/A</v>
      </c>
      <c r="C586" s="49">
        <v>767.0</v>
      </c>
      <c r="D586" s="50">
        <v>45657.0</v>
      </c>
      <c r="E586" s="51">
        <v>1.00536722E8</v>
      </c>
      <c r="F586" s="51">
        <v>8042938.0</v>
      </c>
      <c r="G586" s="51">
        <v>1.0857966E8</v>
      </c>
      <c r="H586" s="49" t="s">
        <v>414</v>
      </c>
      <c r="I586" s="52" t="s">
        <v>4318</v>
      </c>
      <c r="J586" s="50">
        <v>45807.0</v>
      </c>
      <c r="K586" s="51">
        <v>1.0394939E7</v>
      </c>
      <c r="L586" s="51">
        <v>831595.0</v>
      </c>
      <c r="M586" s="51">
        <v>1.1226534E7</v>
      </c>
      <c r="N586" s="49"/>
      <c r="O586" s="52"/>
      <c r="P586" s="50"/>
      <c r="Q586" s="51"/>
      <c r="R586" s="51"/>
      <c r="S586" s="51"/>
      <c r="T586" s="49"/>
      <c r="U586" s="52"/>
      <c r="V586" s="50"/>
      <c r="W586" s="51"/>
      <c r="X586" s="51"/>
      <c r="Y586" s="51"/>
      <c r="Z586" s="51">
        <v>1.10931661E8</v>
      </c>
      <c r="AA586" s="51">
        <v>8874533.0</v>
      </c>
      <c r="AB586" s="51">
        <v>1.19806194E8</v>
      </c>
      <c r="AC586" s="47"/>
      <c r="AD586" s="47" t="s">
        <v>4319</v>
      </c>
      <c r="AE586" s="48"/>
      <c r="AF586" s="50"/>
      <c r="AG586" s="51">
        <v>-1.0394939E7</v>
      </c>
      <c r="AH586" s="51">
        <v>-831595.0</v>
      </c>
      <c r="AI586" s="51">
        <v>-1.1226534E7</v>
      </c>
      <c r="AJ586" s="47" t="s">
        <v>4320</v>
      </c>
      <c r="AK586" s="48"/>
      <c r="AL586" s="50"/>
      <c r="AM586" s="51">
        <v>-1.00536722E8</v>
      </c>
      <c r="AN586" s="51">
        <v>-8042938.0</v>
      </c>
      <c r="AO586" s="51">
        <v>-1.0857966E8</v>
      </c>
      <c r="AP586" s="47"/>
      <c r="AQ586" s="48"/>
      <c r="AR586" s="50"/>
      <c r="AS586" s="51"/>
      <c r="AT586" s="51"/>
      <c r="AU586" s="51"/>
      <c r="AV586" s="47"/>
      <c r="AW586" s="48"/>
      <c r="AX586" s="50"/>
      <c r="AY586" s="51"/>
      <c r="AZ586" s="51"/>
      <c r="BA586" s="51"/>
      <c r="BB586" s="51">
        <f t="shared" ref="BB586:BD586" si="584">IF(AND(ISNUMBER(Z586),COUNT(AG586,AM586,AS586,AY586)=2),Z586+SUM(AG586,AM586,AS586,AY586),"")</f>
        <v>0</v>
      </c>
      <c r="BC586" s="51">
        <f t="shared" si="584"/>
        <v>0</v>
      </c>
      <c r="BD586" s="51">
        <f t="shared" si="584"/>
        <v>0</v>
      </c>
    </row>
    <row r="587" ht="48.0" customHeight="1">
      <c r="A587" s="49" t="s">
        <v>40</v>
      </c>
      <c r="B587" s="49" t="str">
        <f t="array" ref="B587">INDEX('HD cty 2024'!B:B,MATCH('F0, F1, F2, ...'!$C587,'HD cty 2024'!B:B,0))</f>
        <v>#N/A</v>
      </c>
      <c r="C587" s="49">
        <v>768.0</v>
      </c>
      <c r="D587" s="50">
        <v>45657.0</v>
      </c>
      <c r="E587" s="51">
        <v>9.7797443E7</v>
      </c>
      <c r="F587" s="51">
        <v>7823795.0</v>
      </c>
      <c r="G587" s="51">
        <v>1.05621238E8</v>
      </c>
      <c r="H587" s="49" t="s">
        <v>414</v>
      </c>
      <c r="I587" s="52" t="s">
        <v>4321</v>
      </c>
      <c r="J587" s="50">
        <v>45807.0</v>
      </c>
      <c r="K587" s="51">
        <v>9207369.0</v>
      </c>
      <c r="L587" s="51">
        <v>736590.0</v>
      </c>
      <c r="M587" s="51">
        <v>9943959.0</v>
      </c>
      <c r="N587" s="49"/>
      <c r="O587" s="52"/>
      <c r="P587" s="50"/>
      <c r="Q587" s="51"/>
      <c r="R587" s="51"/>
      <c r="S587" s="51"/>
      <c r="T587" s="49"/>
      <c r="U587" s="52"/>
      <c r="V587" s="50"/>
      <c r="W587" s="51"/>
      <c r="X587" s="51"/>
      <c r="Y587" s="51"/>
      <c r="Z587" s="51">
        <v>1.07004812E8</v>
      </c>
      <c r="AA587" s="51">
        <v>8560385.0</v>
      </c>
      <c r="AB587" s="51">
        <v>1.15565197E8</v>
      </c>
      <c r="AC587" s="47"/>
      <c r="AD587" s="47" t="s">
        <v>4322</v>
      </c>
      <c r="AE587" s="48"/>
      <c r="AF587" s="50"/>
      <c r="AG587" s="51">
        <v>-9207369.0</v>
      </c>
      <c r="AH587" s="51">
        <v>-736590.0</v>
      </c>
      <c r="AI587" s="51">
        <v>-9943959.0</v>
      </c>
      <c r="AJ587" s="47" t="s">
        <v>4323</v>
      </c>
      <c r="AK587" s="48"/>
      <c r="AL587" s="50"/>
      <c r="AM587" s="51">
        <v>-9.7797443E7</v>
      </c>
      <c r="AN587" s="51">
        <v>-7823795.0</v>
      </c>
      <c r="AO587" s="51">
        <v>-1.05621238E8</v>
      </c>
      <c r="AP587" s="47"/>
      <c r="AQ587" s="48"/>
      <c r="AR587" s="50"/>
      <c r="AS587" s="51"/>
      <c r="AT587" s="51"/>
      <c r="AU587" s="51"/>
      <c r="AV587" s="47"/>
      <c r="AW587" s="48"/>
      <c r="AX587" s="50"/>
      <c r="AY587" s="51"/>
      <c r="AZ587" s="51"/>
      <c r="BA587" s="51"/>
      <c r="BB587" s="51">
        <f t="shared" ref="BB587:BD587" si="585">IF(AND(ISNUMBER(Z587),COUNT(AG587,AM587,AS587,AY587)=2),Z587+SUM(AG587,AM587,AS587,AY587),"")</f>
        <v>0</v>
      </c>
      <c r="BC587" s="51">
        <f t="shared" si="585"/>
        <v>0</v>
      </c>
      <c r="BD587" s="51">
        <f t="shared" si="585"/>
        <v>0</v>
      </c>
    </row>
    <row r="588" ht="48.0" customHeight="1">
      <c r="A588" s="49" t="s">
        <v>40</v>
      </c>
      <c r="B588" s="49" t="str">
        <f t="array" ref="B588">INDEX('HD cty 2024'!B:B,MATCH('F0, F1, F2, ...'!$C588,'HD cty 2024'!B:B,0))</f>
        <v>#N/A</v>
      </c>
      <c r="C588" s="49">
        <v>769.0</v>
      </c>
      <c r="D588" s="50">
        <v>45657.0</v>
      </c>
      <c r="E588" s="51">
        <v>430556.0</v>
      </c>
      <c r="F588" s="51">
        <v>34444.0</v>
      </c>
      <c r="G588" s="51">
        <v>465000.0</v>
      </c>
      <c r="H588" s="49" t="s">
        <v>414</v>
      </c>
      <c r="I588" s="52" t="s">
        <v>4324</v>
      </c>
      <c r="J588" s="50">
        <v>45807.0</v>
      </c>
      <c r="K588" s="51">
        <v>50925.0</v>
      </c>
      <c r="L588" s="51">
        <v>4074.0</v>
      </c>
      <c r="M588" s="51">
        <v>54999.0</v>
      </c>
      <c r="N588" s="49"/>
      <c r="O588" s="52"/>
      <c r="P588" s="50"/>
      <c r="Q588" s="51"/>
      <c r="R588" s="51"/>
      <c r="S588" s="51"/>
      <c r="T588" s="49"/>
      <c r="U588" s="52"/>
      <c r="V588" s="50"/>
      <c r="W588" s="51"/>
      <c r="X588" s="51"/>
      <c r="Y588" s="51"/>
      <c r="Z588" s="51">
        <v>481481.0</v>
      </c>
      <c r="AA588" s="51">
        <v>38518.0</v>
      </c>
      <c r="AB588" s="51">
        <v>519999.0</v>
      </c>
      <c r="AC588" s="47"/>
      <c r="AD588" s="47" t="s">
        <v>4325</v>
      </c>
      <c r="AE588" s="48"/>
      <c r="AF588" s="50"/>
      <c r="AG588" s="51">
        <v>-50925.0</v>
      </c>
      <c r="AH588" s="51">
        <v>-4074.0</v>
      </c>
      <c r="AI588" s="51">
        <v>-54999.0</v>
      </c>
      <c r="AJ588" s="47" t="s">
        <v>4326</v>
      </c>
      <c r="AK588" s="48"/>
      <c r="AL588" s="50"/>
      <c r="AM588" s="51">
        <v>-430556.0</v>
      </c>
      <c r="AN588" s="51">
        <v>-34444.0</v>
      </c>
      <c r="AO588" s="51">
        <v>-465000.0</v>
      </c>
      <c r="AP588" s="47"/>
      <c r="AQ588" s="48"/>
      <c r="AR588" s="50"/>
      <c r="AS588" s="51"/>
      <c r="AT588" s="51"/>
      <c r="AU588" s="51"/>
      <c r="AV588" s="47"/>
      <c r="AW588" s="48"/>
      <c r="AX588" s="50"/>
      <c r="AY588" s="51"/>
      <c r="AZ588" s="51"/>
      <c r="BA588" s="51"/>
      <c r="BB588" s="51">
        <f t="shared" ref="BB588:BD588" si="586">IF(AND(ISNUMBER(Z588),COUNT(AG588,AM588,AS588,AY588)=2),Z588+SUM(AG588,AM588,AS588,AY588),"")</f>
        <v>0</v>
      </c>
      <c r="BC588" s="51">
        <f t="shared" si="586"/>
        <v>0</v>
      </c>
      <c r="BD588" s="51">
        <f t="shared" si="586"/>
        <v>0</v>
      </c>
    </row>
    <row r="589" ht="48.0" customHeight="1">
      <c r="A589" s="49" t="s">
        <v>40</v>
      </c>
      <c r="B589" s="49" t="str">
        <f t="array" ref="B589">INDEX('HD cty 2024'!B:B,MATCH('F0, F1, F2, ...'!$C589,'HD cty 2024'!B:B,0))</f>
        <v>#N/A</v>
      </c>
      <c r="C589" s="49">
        <v>770.0</v>
      </c>
      <c r="D589" s="50">
        <v>45657.0</v>
      </c>
      <c r="E589" s="51">
        <v>2292963.0</v>
      </c>
      <c r="F589" s="51">
        <v>183437.0</v>
      </c>
      <c r="G589" s="51">
        <v>2476400.0</v>
      </c>
      <c r="H589" s="49" t="s">
        <v>414</v>
      </c>
      <c r="I589" s="52" t="s">
        <v>4327</v>
      </c>
      <c r="J589" s="50">
        <v>45808.0</v>
      </c>
      <c r="K589" s="51">
        <v>-1849444.0</v>
      </c>
      <c r="L589" s="51">
        <v>-147956.0</v>
      </c>
      <c r="M589" s="51">
        <v>-1997400.0</v>
      </c>
      <c r="N589" s="49"/>
      <c r="O589" s="52"/>
      <c r="P589" s="50"/>
      <c r="Q589" s="51"/>
      <c r="R589" s="51"/>
      <c r="S589" s="51"/>
      <c r="T589" s="49"/>
      <c r="U589" s="52"/>
      <c r="V589" s="50"/>
      <c r="W589" s="51"/>
      <c r="X589" s="51"/>
      <c r="Y589" s="51"/>
      <c r="Z589" s="51">
        <v>443519.0</v>
      </c>
      <c r="AA589" s="51">
        <v>35481.0</v>
      </c>
      <c r="AB589" s="51">
        <v>479000.0</v>
      </c>
      <c r="AC589" s="47"/>
      <c r="AD589" s="47" t="s">
        <v>4328</v>
      </c>
      <c r="AE589" s="48"/>
      <c r="AF589" s="50"/>
      <c r="AG589" s="51">
        <v>1849444.0</v>
      </c>
      <c r="AH589" s="51">
        <v>147956.0</v>
      </c>
      <c r="AI589" s="51">
        <v>1997400.0</v>
      </c>
      <c r="AJ589" s="47" t="s">
        <v>4329</v>
      </c>
      <c r="AK589" s="48"/>
      <c r="AL589" s="50"/>
      <c r="AM589" s="51">
        <v>-2292963.0</v>
      </c>
      <c r="AN589" s="51">
        <v>-183437.0</v>
      </c>
      <c r="AO589" s="51">
        <v>-2476400.0</v>
      </c>
      <c r="AP589" s="47"/>
      <c r="AQ589" s="48"/>
      <c r="AR589" s="50"/>
      <c r="AS589" s="51"/>
      <c r="AT589" s="51"/>
      <c r="AU589" s="51"/>
      <c r="AV589" s="47"/>
      <c r="AW589" s="48"/>
      <c r="AX589" s="50"/>
      <c r="AY589" s="51"/>
      <c r="AZ589" s="51"/>
      <c r="BA589" s="51"/>
      <c r="BB589" s="51">
        <f t="shared" ref="BB589:BD589" si="587">IF(AND(ISNUMBER(Z589),COUNT(AG589,AM589,AS589,AY589)=2),Z589+SUM(AG589,AM589,AS589,AY589),"")</f>
        <v>0</v>
      </c>
      <c r="BC589" s="51">
        <f t="shared" si="587"/>
        <v>0</v>
      </c>
      <c r="BD589" s="51">
        <f t="shared" si="587"/>
        <v>0</v>
      </c>
    </row>
    <row r="590" ht="48.0" customHeight="1">
      <c r="A590" s="49" t="s">
        <v>40</v>
      </c>
      <c r="B590" s="49" t="str">
        <f t="array" ref="B590">INDEX('HD cty 2024'!B:B,MATCH('F0, F1, F2, ...'!$C590,'HD cty 2024'!B:B,0))</f>
        <v>#N/A</v>
      </c>
      <c r="C590" s="49">
        <v>771.0</v>
      </c>
      <c r="D590" s="50">
        <v>45657.0</v>
      </c>
      <c r="E590" s="51">
        <v>1.1354962E7</v>
      </c>
      <c r="F590" s="51">
        <v>908397.0</v>
      </c>
      <c r="G590" s="51">
        <v>1.2263359E7</v>
      </c>
      <c r="H590" s="49" t="s">
        <v>414</v>
      </c>
      <c r="I590" s="52" t="s">
        <v>4330</v>
      </c>
      <c r="J590" s="50">
        <v>45807.0</v>
      </c>
      <c r="K590" s="51">
        <v>875593.0</v>
      </c>
      <c r="L590" s="51">
        <v>70047.0</v>
      </c>
      <c r="M590" s="51">
        <v>945640.0</v>
      </c>
      <c r="N590" s="49"/>
      <c r="O590" s="52"/>
      <c r="P590" s="50"/>
      <c r="Q590" s="51"/>
      <c r="R590" s="51"/>
      <c r="S590" s="51"/>
      <c r="T590" s="49"/>
      <c r="U590" s="52"/>
      <c r="V590" s="50"/>
      <c r="W590" s="51"/>
      <c r="X590" s="51"/>
      <c r="Y590" s="51"/>
      <c r="Z590" s="51">
        <v>1.2230555E7</v>
      </c>
      <c r="AA590" s="51">
        <v>978444.0</v>
      </c>
      <c r="AB590" s="51">
        <v>1.3208999E7</v>
      </c>
      <c r="AC590" s="47"/>
      <c r="AD590" s="47" t="s">
        <v>4331</v>
      </c>
      <c r="AE590" s="48"/>
      <c r="AF590" s="50"/>
      <c r="AG590" s="51">
        <v>-875593.0</v>
      </c>
      <c r="AH590" s="51">
        <v>-70047.0</v>
      </c>
      <c r="AI590" s="51">
        <v>-945640.0</v>
      </c>
      <c r="AJ590" s="47" t="s">
        <v>4332</v>
      </c>
      <c r="AK590" s="48"/>
      <c r="AL590" s="50"/>
      <c r="AM590" s="51">
        <v>-1.1354962E7</v>
      </c>
      <c r="AN590" s="51">
        <v>-908397.0</v>
      </c>
      <c r="AO590" s="51">
        <v>-1.2263359E7</v>
      </c>
      <c r="AP590" s="47"/>
      <c r="AQ590" s="48"/>
      <c r="AR590" s="50"/>
      <c r="AS590" s="51"/>
      <c r="AT590" s="51"/>
      <c r="AU590" s="51"/>
      <c r="AV590" s="47"/>
      <c r="AW590" s="48"/>
      <c r="AX590" s="50"/>
      <c r="AY590" s="51"/>
      <c r="AZ590" s="51"/>
      <c r="BA590" s="51"/>
      <c r="BB590" s="51">
        <f t="shared" ref="BB590:BD590" si="588">IF(AND(ISNUMBER(Z590),COUNT(AG590,AM590,AS590,AY590)=2),Z590+SUM(AG590,AM590,AS590,AY590),"")</f>
        <v>0</v>
      </c>
      <c r="BC590" s="51">
        <f t="shared" si="588"/>
        <v>0</v>
      </c>
      <c r="BD590" s="51">
        <f t="shared" si="588"/>
        <v>0</v>
      </c>
    </row>
    <row r="591" ht="48.0" customHeight="1">
      <c r="A591" s="49" t="s">
        <v>40</v>
      </c>
      <c r="B591" s="49" t="str">
        <f t="array" ref="B591">INDEX('HD cty 2024'!B:B,MATCH('F0, F1, F2, ...'!$C591,'HD cty 2024'!B:B,0))</f>
        <v>#N/A</v>
      </c>
      <c r="C591" s="49">
        <v>772.0</v>
      </c>
      <c r="D591" s="50">
        <v>45657.0</v>
      </c>
      <c r="E591" s="51">
        <v>1.05650609E8</v>
      </c>
      <c r="F591" s="51">
        <v>8452049.0</v>
      </c>
      <c r="G591" s="51">
        <v>1.14102658E8</v>
      </c>
      <c r="H591" s="49" t="s">
        <v>414</v>
      </c>
      <c r="I591" s="52" t="s">
        <v>4333</v>
      </c>
      <c r="J591" s="50">
        <v>45808.0</v>
      </c>
      <c r="K591" s="51">
        <v>1.0822052E7</v>
      </c>
      <c r="L591" s="51">
        <v>865764.0</v>
      </c>
      <c r="M591" s="51">
        <v>1.1687816E7</v>
      </c>
      <c r="N591" s="49"/>
      <c r="O591" s="52"/>
      <c r="P591" s="50"/>
      <c r="Q591" s="51"/>
      <c r="R591" s="51"/>
      <c r="S591" s="51"/>
      <c r="T591" s="49"/>
      <c r="U591" s="52"/>
      <c r="V591" s="50"/>
      <c r="W591" s="51"/>
      <c r="X591" s="51"/>
      <c r="Y591" s="51"/>
      <c r="Z591" s="51">
        <v>1.16472661E8</v>
      </c>
      <c r="AA591" s="51">
        <v>9317813.0</v>
      </c>
      <c r="AB591" s="51">
        <v>1.25790474E8</v>
      </c>
      <c r="AC591" s="47"/>
      <c r="AD591" s="47" t="s">
        <v>4334</v>
      </c>
      <c r="AE591" s="48"/>
      <c r="AF591" s="50"/>
      <c r="AG591" s="51">
        <v>-1.0822052E7</v>
      </c>
      <c r="AH591" s="51">
        <v>-865764.0</v>
      </c>
      <c r="AI591" s="51">
        <v>-1.1687816E7</v>
      </c>
      <c r="AJ591" s="47" t="s">
        <v>4335</v>
      </c>
      <c r="AK591" s="48"/>
      <c r="AL591" s="50"/>
      <c r="AM591" s="51">
        <v>-1.05650609E8</v>
      </c>
      <c r="AN591" s="51">
        <v>-8452049.0</v>
      </c>
      <c r="AO591" s="51">
        <v>-1.14102658E8</v>
      </c>
      <c r="AP591" s="47"/>
      <c r="AQ591" s="48"/>
      <c r="AR591" s="50"/>
      <c r="AS591" s="51"/>
      <c r="AT591" s="51"/>
      <c r="AU591" s="51"/>
      <c r="AV591" s="47"/>
      <c r="AW591" s="48"/>
      <c r="AX591" s="50"/>
      <c r="AY591" s="51"/>
      <c r="AZ591" s="51"/>
      <c r="BA591" s="51"/>
      <c r="BB591" s="51">
        <f t="shared" ref="BB591:BD591" si="589">IF(AND(ISNUMBER(Z591),COUNT(AG591,AM591,AS591,AY591)=2),Z591+SUM(AG591,AM591,AS591,AY591),"")</f>
        <v>0</v>
      </c>
      <c r="BC591" s="51">
        <f t="shared" si="589"/>
        <v>0</v>
      </c>
      <c r="BD591" s="51">
        <f t="shared" si="589"/>
        <v>0</v>
      </c>
    </row>
    <row r="592" ht="48.0" customHeight="1">
      <c r="A592" s="49" t="s">
        <v>40</v>
      </c>
      <c r="B592" s="49" t="str">
        <f t="array" ref="B592">INDEX('HD cty 2024'!B:B,MATCH('F0, F1, F2, ...'!$C592,'HD cty 2024'!B:B,0))</f>
        <v>#N/A</v>
      </c>
      <c r="C592" s="49">
        <v>773.0</v>
      </c>
      <c r="D592" s="50">
        <v>45657.0</v>
      </c>
      <c r="E592" s="51">
        <v>6.097449E7</v>
      </c>
      <c r="F592" s="51">
        <v>4877959.0</v>
      </c>
      <c r="G592" s="51">
        <v>6.5852449E7</v>
      </c>
      <c r="H592" s="49" t="s">
        <v>414</v>
      </c>
      <c r="I592" s="52" t="s">
        <v>4336</v>
      </c>
      <c r="J592" s="50">
        <v>45807.0</v>
      </c>
      <c r="K592" s="51">
        <v>9762547.0</v>
      </c>
      <c r="L592" s="51">
        <v>781004.0</v>
      </c>
      <c r="M592" s="51">
        <v>1.0543551E7</v>
      </c>
      <c r="N592" s="49"/>
      <c r="O592" s="52"/>
      <c r="P592" s="50"/>
      <c r="Q592" s="51"/>
      <c r="R592" s="51"/>
      <c r="S592" s="51"/>
      <c r="T592" s="49"/>
      <c r="U592" s="52"/>
      <c r="V592" s="50"/>
      <c r="W592" s="51"/>
      <c r="X592" s="51"/>
      <c r="Y592" s="51"/>
      <c r="Z592" s="51">
        <v>7.0737037E7</v>
      </c>
      <c r="AA592" s="51">
        <v>5658963.0</v>
      </c>
      <c r="AB592" s="51">
        <v>7.6396E7</v>
      </c>
      <c r="AC592" s="47"/>
      <c r="AD592" s="47" t="s">
        <v>4337</v>
      </c>
      <c r="AE592" s="48"/>
      <c r="AF592" s="50"/>
      <c r="AG592" s="51">
        <v>-9762547.0</v>
      </c>
      <c r="AH592" s="51">
        <v>-781004.0</v>
      </c>
      <c r="AI592" s="51">
        <v>-1.0543551E7</v>
      </c>
      <c r="AJ592" s="47" t="s">
        <v>4338</v>
      </c>
      <c r="AK592" s="48"/>
      <c r="AL592" s="50"/>
      <c r="AM592" s="51">
        <v>-6.097449E7</v>
      </c>
      <c r="AN592" s="51">
        <v>-4877959.0</v>
      </c>
      <c r="AO592" s="51">
        <v>-6.5852449E7</v>
      </c>
      <c r="AP592" s="47"/>
      <c r="AQ592" s="48"/>
      <c r="AR592" s="50"/>
      <c r="AS592" s="51"/>
      <c r="AT592" s="51"/>
      <c r="AU592" s="51"/>
      <c r="AV592" s="47"/>
      <c r="AW592" s="48"/>
      <c r="AX592" s="50"/>
      <c r="AY592" s="51"/>
      <c r="AZ592" s="51"/>
      <c r="BA592" s="51"/>
      <c r="BB592" s="51">
        <f t="shared" ref="BB592:BD592" si="590">IF(AND(ISNUMBER(Z592),COUNT(AG592,AM592,AS592,AY592)=2),Z592+SUM(AG592,AM592,AS592,AY592),"")</f>
        <v>0</v>
      </c>
      <c r="BC592" s="51">
        <f t="shared" si="590"/>
        <v>0</v>
      </c>
      <c r="BD592" s="51">
        <f t="shared" si="590"/>
        <v>0</v>
      </c>
    </row>
    <row r="593" ht="48.0" customHeight="1">
      <c r="A593" s="49" t="s">
        <v>40</v>
      </c>
      <c r="B593" s="49" t="str">
        <f t="array" ref="B593">INDEX('HD cty 2024'!B:B,MATCH('F0, F1, F2, ...'!$C593,'HD cty 2024'!B:B,0))</f>
        <v>#N/A</v>
      </c>
      <c r="C593" s="49">
        <v>778.0</v>
      </c>
      <c r="D593" s="50">
        <v>45657.0</v>
      </c>
      <c r="E593" s="51">
        <v>1702778.0</v>
      </c>
      <c r="F593" s="51">
        <v>136222.0</v>
      </c>
      <c r="G593" s="51">
        <v>1839000.0</v>
      </c>
      <c r="H593" s="49" t="s">
        <v>414</v>
      </c>
      <c r="I593" s="52" t="s">
        <v>4339</v>
      </c>
      <c r="J593" s="50">
        <v>45807.0</v>
      </c>
      <c r="K593" s="51">
        <v>-740741.0</v>
      </c>
      <c r="L593" s="51">
        <v>-59259.0</v>
      </c>
      <c r="M593" s="51">
        <v>-800000.0</v>
      </c>
      <c r="N593" s="49"/>
      <c r="O593" s="52"/>
      <c r="P593" s="50"/>
      <c r="Q593" s="51"/>
      <c r="R593" s="51"/>
      <c r="S593" s="51"/>
      <c r="T593" s="49"/>
      <c r="U593" s="52"/>
      <c r="V593" s="50"/>
      <c r="W593" s="51"/>
      <c r="X593" s="51"/>
      <c r="Y593" s="51"/>
      <c r="Z593" s="51">
        <v>962037.0</v>
      </c>
      <c r="AA593" s="51">
        <v>76963.0</v>
      </c>
      <c r="AB593" s="51">
        <v>1039000.0</v>
      </c>
      <c r="AC593" s="47"/>
      <c r="AD593" s="47" t="s">
        <v>4340</v>
      </c>
      <c r="AE593" s="48"/>
      <c r="AF593" s="50"/>
      <c r="AG593" s="51">
        <v>740741.0</v>
      </c>
      <c r="AH593" s="51">
        <v>59259.0</v>
      </c>
      <c r="AI593" s="51">
        <v>800000.0</v>
      </c>
      <c r="AJ593" s="47" t="s">
        <v>4341</v>
      </c>
      <c r="AK593" s="48"/>
      <c r="AL593" s="50"/>
      <c r="AM593" s="51">
        <v>-1702778.0</v>
      </c>
      <c r="AN593" s="51">
        <v>-136222.0</v>
      </c>
      <c r="AO593" s="51">
        <v>-1839000.0</v>
      </c>
      <c r="AP593" s="47"/>
      <c r="AQ593" s="48"/>
      <c r="AR593" s="50"/>
      <c r="AS593" s="51"/>
      <c r="AT593" s="51"/>
      <c r="AU593" s="51"/>
      <c r="AV593" s="47"/>
      <c r="AW593" s="48"/>
      <c r="AX593" s="50"/>
      <c r="AY593" s="51"/>
      <c r="AZ593" s="51"/>
      <c r="BA593" s="51"/>
      <c r="BB593" s="51">
        <f t="shared" ref="BB593:BD593" si="591">IF(AND(ISNUMBER(Z593),COUNT(AG593,AM593,AS593,AY593)=2),Z593+SUM(AG593,AM593,AS593,AY593),"")</f>
        <v>0</v>
      </c>
      <c r="BC593" s="51">
        <f t="shared" si="591"/>
        <v>0</v>
      </c>
      <c r="BD593" s="51">
        <f t="shared" si="591"/>
        <v>0</v>
      </c>
    </row>
    <row r="594" ht="129.75" customHeight="1">
      <c r="A594" s="49" t="s">
        <v>40</v>
      </c>
      <c r="B594" s="49" t="str">
        <f t="array" ref="B594">INDEX('HD cty 2024'!B:B,MATCH('F0, F1, F2, ...'!$C594,'HD cty 2024'!B:B,0))</f>
        <v>#N/A</v>
      </c>
      <c r="C594" s="49">
        <v>478.0</v>
      </c>
      <c r="D594" s="50">
        <v>45560.0</v>
      </c>
      <c r="E594" s="51">
        <v>2202778.0</v>
      </c>
      <c r="F594" s="51">
        <v>176222.0</v>
      </c>
      <c r="G594" s="51">
        <v>2379000.0</v>
      </c>
      <c r="H594" s="49" t="s">
        <v>414</v>
      </c>
      <c r="I594" s="52" t="s">
        <v>4342</v>
      </c>
      <c r="J594" s="50">
        <v>45808.0</v>
      </c>
      <c r="K594" s="51">
        <v>370370.0</v>
      </c>
      <c r="L594" s="51">
        <v>29630.0</v>
      </c>
      <c r="M594" s="51">
        <v>400000.0</v>
      </c>
      <c r="N594" s="49"/>
      <c r="O594" s="52"/>
      <c r="P594" s="50"/>
      <c r="Q594" s="51"/>
      <c r="R594" s="51"/>
      <c r="S594" s="51"/>
      <c r="T594" s="49"/>
      <c r="U594" s="52"/>
      <c r="V594" s="50"/>
      <c r="W594" s="51"/>
      <c r="X594" s="51"/>
      <c r="Y594" s="51"/>
      <c r="Z594" s="51">
        <v>2573148.0</v>
      </c>
      <c r="AA594" s="51">
        <v>205852.0</v>
      </c>
      <c r="AB594" s="51">
        <v>2779000.0</v>
      </c>
      <c r="AC594" s="47" t="s">
        <v>4343</v>
      </c>
      <c r="AD594" s="47" t="s">
        <v>4344</v>
      </c>
      <c r="AE594" s="48"/>
      <c r="AF594" s="50">
        <v>46314.0</v>
      </c>
      <c r="AG594" s="51">
        <v>-2202778.0</v>
      </c>
      <c r="AH594" s="51">
        <v>-176222.0</v>
      </c>
      <c r="AI594" s="51">
        <v>-2379000.0</v>
      </c>
      <c r="AJ594" s="47" t="s">
        <v>4345</v>
      </c>
      <c r="AK594" s="48"/>
      <c r="AL594" s="50">
        <v>46314.0</v>
      </c>
      <c r="AM594" s="51">
        <v>-370370.0</v>
      </c>
      <c r="AN594" s="51">
        <v>-29630.0</v>
      </c>
      <c r="AO594" s="51">
        <v>-400000.0</v>
      </c>
      <c r="AP594" s="47"/>
      <c r="AQ594" s="48"/>
      <c r="AR594" s="50"/>
      <c r="AS594" s="51"/>
      <c r="AT594" s="51"/>
      <c r="AU594" s="51"/>
      <c r="AV594" s="47"/>
      <c r="AW594" s="48"/>
      <c r="AX594" s="50"/>
      <c r="AY594" s="51"/>
      <c r="AZ594" s="51"/>
      <c r="BA594" s="51"/>
      <c r="BB594" s="51">
        <f t="shared" ref="BB594:BD594" si="592">SUM(Z594,AG594,AM594,AS594,AY594)</f>
        <v>0</v>
      </c>
      <c r="BC594" s="51">
        <f t="shared" si="592"/>
        <v>0</v>
      </c>
      <c r="BD594" s="51">
        <f t="shared" si="592"/>
        <v>0</v>
      </c>
    </row>
  </sheetData>
  <customSheetViews>
    <customSheetView guid="{A34D23B9-0938-442E-ADE5-6BD0F8F0124B}" filter="1" showAutoFilter="1">
      <autoFilter ref="$A$2:$BD$594"/>
      <extLst>
        <ext uri="GoogleSheetsCustomDataVersion1">
          <go:sheetsCustomData xmlns:go="http://customooxmlschemas.google.com/" filterViewId="322820465"/>
        </ext>
      </extLst>
    </customSheetView>
  </customSheetViews>
  <mergeCells count="10">
    <mergeCell ref="AP1:AU1"/>
    <mergeCell ref="AV1:BA1"/>
    <mergeCell ref="BB1:BD1"/>
    <mergeCell ref="A1:G1"/>
    <mergeCell ref="H1:M1"/>
    <mergeCell ref="N1:S1"/>
    <mergeCell ref="T1:Y1"/>
    <mergeCell ref="Z1:AC1"/>
    <mergeCell ref="AD1:AI1"/>
    <mergeCell ref="AJ1:AO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65.43"/>
    <col customWidth="1" min="2" max="2" width="30.57"/>
    <col customWidth="1" min="3" max="3" width="17.43"/>
    <col customWidth="1" min="4" max="4" width="15.29"/>
    <col customWidth="1" min="5" max="5" width="17.43"/>
    <col customWidth="1" min="6" max="6" width="21.86"/>
    <col customWidth="1" min="7" max="7" width="19.57"/>
    <col customWidth="1" min="8" max="8" width="22.86"/>
    <col customWidth="1" min="9" max="9" width="17.43"/>
    <col customWidth="1" min="10" max="10" width="15.29"/>
    <col customWidth="1" min="11" max="11" width="17.43"/>
    <col customWidth="1" min="12" max="12" width="21.86"/>
    <col customWidth="1" min="13" max="13" width="19.57"/>
    <col customWidth="1" min="14" max="14" width="22.86"/>
    <col customWidth="1" min="15" max="15" width="17.43"/>
    <col customWidth="1" min="16" max="16" width="15.29"/>
    <col customWidth="1" min="17" max="17" width="17.43"/>
    <col customWidth="1" min="18" max="18" width="21.86"/>
    <col customWidth="1" min="19" max="19" width="19.57"/>
    <col customWidth="1" min="20" max="20" width="22.86"/>
    <col customWidth="1" min="21" max="23" width="27.29"/>
    <col customWidth="1" min="24" max="24" width="114.57"/>
    <col customWidth="1" min="25" max="26" width="8.71"/>
  </cols>
  <sheetData>
    <row r="1" ht="25.5" customHeight="1">
      <c r="A1" s="11" t="s">
        <v>16</v>
      </c>
      <c r="B1" s="13"/>
      <c r="C1" s="11" t="s">
        <v>23</v>
      </c>
      <c r="D1" s="13"/>
      <c r="E1" s="13"/>
      <c r="F1" s="13"/>
      <c r="G1" s="13"/>
      <c r="H1" s="13"/>
      <c r="I1" s="17" t="s">
        <v>39</v>
      </c>
      <c r="J1" s="13"/>
      <c r="K1" s="13"/>
      <c r="L1" s="13"/>
      <c r="M1" s="13"/>
      <c r="N1" s="13"/>
      <c r="O1" s="23" t="s">
        <v>42</v>
      </c>
      <c r="P1" s="13"/>
      <c r="Q1" s="13"/>
      <c r="R1" s="13"/>
      <c r="S1" s="13"/>
      <c r="T1" s="13"/>
      <c r="U1" s="11" t="s">
        <v>46</v>
      </c>
      <c r="V1" s="13"/>
      <c r="W1" s="13"/>
      <c r="X1" s="13"/>
      <c r="Y1" s="26"/>
      <c r="Z1" s="26"/>
    </row>
    <row r="2" ht="42.0" customHeight="1">
      <c r="A2" s="34" t="s">
        <v>59</v>
      </c>
      <c r="B2" s="34" t="s">
        <v>75</v>
      </c>
      <c r="C2" s="34" t="s">
        <v>0</v>
      </c>
      <c r="D2" s="34" t="s">
        <v>1</v>
      </c>
      <c r="E2" s="34" t="s">
        <v>85</v>
      </c>
      <c r="F2" s="34" t="s">
        <v>6</v>
      </c>
      <c r="G2" s="34" t="s">
        <v>93</v>
      </c>
      <c r="H2" s="34" t="s">
        <v>8</v>
      </c>
      <c r="I2" s="38" t="s">
        <v>98</v>
      </c>
      <c r="J2" s="38" t="s">
        <v>102</v>
      </c>
      <c r="K2" s="38" t="s">
        <v>109</v>
      </c>
      <c r="L2" s="38" t="s">
        <v>110</v>
      </c>
      <c r="M2" s="38" t="s">
        <v>114</v>
      </c>
      <c r="N2" s="38" t="s">
        <v>116</v>
      </c>
      <c r="O2" s="43" t="s">
        <v>125</v>
      </c>
      <c r="P2" s="43" t="s">
        <v>129</v>
      </c>
      <c r="Q2" s="43" t="s">
        <v>137</v>
      </c>
      <c r="R2" s="43" t="s">
        <v>139</v>
      </c>
      <c r="S2" s="43" t="s">
        <v>144</v>
      </c>
      <c r="T2" s="43" t="s">
        <v>145</v>
      </c>
      <c r="U2" s="34" t="s">
        <v>153</v>
      </c>
      <c r="V2" s="34" t="s">
        <v>159</v>
      </c>
      <c r="W2" s="34" t="s">
        <v>163</v>
      </c>
      <c r="X2" s="34" t="s">
        <v>169</v>
      </c>
      <c r="Y2" s="26"/>
      <c r="Z2" s="26"/>
    </row>
    <row r="3" ht="27.75" customHeight="1">
      <c r="A3" s="47" t="s">
        <v>172</v>
      </c>
      <c r="B3" s="48" t="s">
        <v>182</v>
      </c>
      <c r="C3" s="49" t="s">
        <v>40</v>
      </c>
      <c r="D3" s="49">
        <v>1.0</v>
      </c>
      <c r="E3" s="50">
        <v>45300.0</v>
      </c>
      <c r="F3" s="51">
        <v>1464200.0</v>
      </c>
      <c r="G3" s="51">
        <v>117136.0</v>
      </c>
      <c r="H3" s="51">
        <v>1581336.0</v>
      </c>
      <c r="I3" s="49"/>
      <c r="J3" s="52"/>
      <c r="K3" s="50"/>
      <c r="L3" s="51"/>
      <c r="M3" s="51"/>
      <c r="N3" s="51"/>
      <c r="O3" s="49"/>
      <c r="P3" s="52"/>
      <c r="Q3" s="50"/>
      <c r="R3" s="51"/>
      <c r="S3" s="51"/>
      <c r="T3" s="51"/>
      <c r="U3" s="51">
        <v>1464200.0</v>
      </c>
      <c r="V3" s="51">
        <v>117136.0</v>
      </c>
      <c r="W3" s="51">
        <v>1581336.0</v>
      </c>
      <c r="X3" s="47"/>
      <c r="Y3" s="26"/>
      <c r="Z3" s="26"/>
    </row>
    <row r="4" ht="27.75" customHeight="1">
      <c r="A4" s="47" t="s">
        <v>249</v>
      </c>
      <c r="B4" s="48" t="s">
        <v>252</v>
      </c>
      <c r="C4" s="49" t="s">
        <v>40</v>
      </c>
      <c r="D4" s="49">
        <v>2.0</v>
      </c>
      <c r="E4" s="50">
        <v>45300.0</v>
      </c>
      <c r="F4" s="51">
        <v>2870093.0</v>
      </c>
      <c r="G4" s="51">
        <v>229607.0</v>
      </c>
      <c r="H4" s="51">
        <v>3099700.0</v>
      </c>
      <c r="I4" s="49"/>
      <c r="J4" s="52"/>
      <c r="K4" s="50"/>
      <c r="L4" s="51"/>
      <c r="M4" s="51"/>
      <c r="N4" s="51"/>
      <c r="O4" s="49"/>
      <c r="P4" s="52"/>
      <c r="Q4" s="50"/>
      <c r="R4" s="51"/>
      <c r="S4" s="51"/>
      <c r="T4" s="51"/>
      <c r="U4" s="51">
        <v>2870093.0</v>
      </c>
      <c r="V4" s="51">
        <v>229607.0</v>
      </c>
      <c r="W4" s="51">
        <v>3099700.0</v>
      </c>
      <c r="X4" s="47"/>
      <c r="Y4" s="26"/>
      <c r="Z4" s="26"/>
    </row>
    <row r="5" ht="27.75" customHeight="1">
      <c r="A5" s="47" t="s">
        <v>316</v>
      </c>
      <c r="B5" s="48" t="s">
        <v>319</v>
      </c>
      <c r="C5" s="49" t="s">
        <v>40</v>
      </c>
      <c r="D5" s="49">
        <v>21.0</v>
      </c>
      <c r="E5" s="50">
        <v>45308.0</v>
      </c>
      <c r="F5" s="51">
        <v>2546296.0</v>
      </c>
      <c r="G5" s="51">
        <v>203704.0</v>
      </c>
      <c r="H5" s="51">
        <v>2750000.0</v>
      </c>
      <c r="I5" s="49"/>
      <c r="J5" s="52"/>
      <c r="K5" s="50"/>
      <c r="L5" s="51"/>
      <c r="M5" s="51"/>
      <c r="N5" s="51"/>
      <c r="O5" s="49"/>
      <c r="P5" s="52"/>
      <c r="Q5" s="50"/>
      <c r="R5" s="51"/>
      <c r="S5" s="51"/>
      <c r="T5" s="51"/>
      <c r="U5" s="51">
        <v>2546296.0</v>
      </c>
      <c r="V5" s="51">
        <v>203704.0</v>
      </c>
      <c r="W5" s="51">
        <v>2750000.0</v>
      </c>
      <c r="X5" s="47"/>
      <c r="Y5" s="26"/>
      <c r="Z5" s="26"/>
    </row>
    <row r="6" ht="27.75" customHeight="1">
      <c r="A6" s="47" t="s">
        <v>368</v>
      </c>
      <c r="B6" s="48" t="s">
        <v>369</v>
      </c>
      <c r="C6" s="49" t="s">
        <v>40</v>
      </c>
      <c r="D6" s="49">
        <v>22.0</v>
      </c>
      <c r="E6" s="50">
        <v>45315.0</v>
      </c>
      <c r="F6" s="51">
        <v>1793889.0</v>
      </c>
      <c r="G6" s="51">
        <v>143511.0</v>
      </c>
      <c r="H6" s="51">
        <v>1937400.0</v>
      </c>
      <c r="I6" s="49"/>
      <c r="J6" s="52"/>
      <c r="K6" s="50"/>
      <c r="L6" s="51"/>
      <c r="M6" s="51"/>
      <c r="N6" s="51"/>
      <c r="O6" s="49"/>
      <c r="P6" s="52"/>
      <c r="Q6" s="50"/>
      <c r="R6" s="51"/>
      <c r="S6" s="51"/>
      <c r="T6" s="51"/>
      <c r="U6" s="51">
        <v>1793889.0</v>
      </c>
      <c r="V6" s="51">
        <v>143511.0</v>
      </c>
      <c r="W6" s="51">
        <v>1937400.0</v>
      </c>
      <c r="X6" s="47"/>
      <c r="Y6" s="26"/>
      <c r="Z6" s="26"/>
    </row>
    <row r="7" ht="27.75" customHeight="1">
      <c r="A7" s="47" t="s">
        <v>404</v>
      </c>
      <c r="B7" s="48" t="s">
        <v>405</v>
      </c>
      <c r="C7" s="49" t="s">
        <v>40</v>
      </c>
      <c r="D7" s="49">
        <v>23.0</v>
      </c>
      <c r="E7" s="50">
        <v>45315.0</v>
      </c>
      <c r="F7" s="51">
        <v>3099556.0</v>
      </c>
      <c r="G7" s="51">
        <v>247964.0</v>
      </c>
      <c r="H7" s="51">
        <v>3347520.0</v>
      </c>
      <c r="I7" s="49" t="s">
        <v>414</v>
      </c>
      <c r="J7" s="52" t="s">
        <v>423</v>
      </c>
      <c r="K7" s="50">
        <v>45801.0</v>
      </c>
      <c r="L7" s="51">
        <v>422666.0</v>
      </c>
      <c r="M7" s="51">
        <v>33813.0</v>
      </c>
      <c r="N7" s="51">
        <v>456479.0</v>
      </c>
      <c r="O7" s="49"/>
      <c r="P7" s="52"/>
      <c r="Q7" s="50"/>
      <c r="R7" s="51"/>
      <c r="S7" s="51"/>
      <c r="T7" s="51"/>
      <c r="U7" s="51">
        <v>3522222.0</v>
      </c>
      <c r="V7" s="51">
        <v>281777.0</v>
      </c>
      <c r="W7" s="51">
        <v>3803999.0</v>
      </c>
      <c r="X7" s="47"/>
      <c r="Y7" s="26"/>
      <c r="Z7" s="26"/>
    </row>
    <row r="8" ht="27.75" customHeight="1">
      <c r="A8" s="47" t="s">
        <v>451</v>
      </c>
      <c r="B8" s="48" t="s">
        <v>455</v>
      </c>
      <c r="C8" s="49" t="s">
        <v>40</v>
      </c>
      <c r="D8" s="49">
        <v>28.0</v>
      </c>
      <c r="E8" s="50">
        <v>45318.0</v>
      </c>
      <c r="F8" s="51">
        <v>2282500.0</v>
      </c>
      <c r="G8" s="51">
        <v>182600.0</v>
      </c>
      <c r="H8" s="51">
        <v>2465100.0</v>
      </c>
      <c r="I8" s="49" t="s">
        <v>414</v>
      </c>
      <c r="J8" s="52" t="s">
        <v>473</v>
      </c>
      <c r="K8" s="50">
        <v>45801.0</v>
      </c>
      <c r="L8" s="51">
        <v>253611.0</v>
      </c>
      <c r="M8" s="51">
        <v>20289.0</v>
      </c>
      <c r="N8" s="51">
        <v>273900.0</v>
      </c>
      <c r="O8" s="49"/>
      <c r="P8" s="52"/>
      <c r="Q8" s="50"/>
      <c r="R8" s="51"/>
      <c r="S8" s="51"/>
      <c r="T8" s="51"/>
      <c r="U8" s="51">
        <v>2536111.0</v>
      </c>
      <c r="V8" s="51">
        <v>202889.0</v>
      </c>
      <c r="W8" s="51">
        <v>2739000.0</v>
      </c>
      <c r="X8" s="47"/>
      <c r="Y8" s="26"/>
      <c r="Z8" s="26"/>
    </row>
    <row r="9" ht="27.75" customHeight="1">
      <c r="A9" s="47" t="s">
        <v>506</v>
      </c>
      <c r="B9" s="48" t="s">
        <v>507</v>
      </c>
      <c r="C9" s="49" t="s">
        <v>40</v>
      </c>
      <c r="D9" s="49">
        <v>60.0</v>
      </c>
      <c r="E9" s="50">
        <v>45328.0</v>
      </c>
      <c r="F9" s="51">
        <v>2320785.0</v>
      </c>
      <c r="G9" s="51">
        <v>185663.0</v>
      </c>
      <c r="H9" s="51">
        <v>2506448.0</v>
      </c>
      <c r="I9" s="49" t="s">
        <v>40</v>
      </c>
      <c r="J9" s="52" t="s">
        <v>522</v>
      </c>
      <c r="K9" s="50">
        <v>45328.0</v>
      </c>
      <c r="L9" s="51">
        <v>2383944.0</v>
      </c>
      <c r="M9" s="51">
        <v>190716.0</v>
      </c>
      <c r="N9" s="51">
        <v>2574660.0</v>
      </c>
      <c r="O9" s="49" t="s">
        <v>414</v>
      </c>
      <c r="P9" s="52" t="s">
        <v>536</v>
      </c>
      <c r="Q9" s="50">
        <v>45808.0</v>
      </c>
      <c r="R9" s="51">
        <v>2536111.0</v>
      </c>
      <c r="S9" s="51">
        <v>202889.0</v>
      </c>
      <c r="T9" s="51">
        <v>2739000.0</v>
      </c>
      <c r="U9" s="51">
        <v>2536111.0</v>
      </c>
      <c r="V9" s="51">
        <v>202889.0</v>
      </c>
      <c r="W9" s="51">
        <v>2739000.0</v>
      </c>
      <c r="X9" s="47" t="s">
        <v>554</v>
      </c>
      <c r="Y9" s="26"/>
      <c r="Z9" s="26"/>
    </row>
    <row r="10" ht="27.75" customHeight="1">
      <c r="A10" s="47" t="s">
        <v>557</v>
      </c>
      <c r="B10" s="48" t="s">
        <v>558</v>
      </c>
      <c r="C10" s="49" t="s">
        <v>40</v>
      </c>
      <c r="D10" s="49">
        <v>62.0</v>
      </c>
      <c r="E10" s="50">
        <v>45342.0</v>
      </c>
      <c r="F10" s="51">
        <v>2462963.0</v>
      </c>
      <c r="G10" s="51">
        <v>197037.0</v>
      </c>
      <c r="H10" s="51">
        <v>2660000.0</v>
      </c>
      <c r="I10" s="49"/>
      <c r="J10" s="52"/>
      <c r="K10" s="50"/>
      <c r="L10" s="51"/>
      <c r="M10" s="51"/>
      <c r="N10" s="51"/>
      <c r="O10" s="49"/>
      <c r="P10" s="52"/>
      <c r="Q10" s="50"/>
      <c r="R10" s="51"/>
      <c r="S10" s="51"/>
      <c r="T10" s="51"/>
      <c r="U10" s="51">
        <v>2462963.0</v>
      </c>
      <c r="V10" s="51">
        <v>197037.0</v>
      </c>
      <c r="W10" s="51">
        <v>2660000.0</v>
      </c>
      <c r="X10" s="47"/>
      <c r="Y10" s="26"/>
      <c r="Z10" s="26"/>
    </row>
    <row r="11" ht="27.75" customHeight="1">
      <c r="A11" s="47" t="s">
        <v>557</v>
      </c>
      <c r="B11" s="48" t="s">
        <v>558</v>
      </c>
      <c r="C11" s="49" t="s">
        <v>40</v>
      </c>
      <c r="D11" s="49">
        <v>63.0</v>
      </c>
      <c r="E11" s="50">
        <v>45342.0</v>
      </c>
      <c r="F11" s="51">
        <v>0.0</v>
      </c>
      <c r="G11" s="51">
        <v>0.0</v>
      </c>
      <c r="H11" s="51"/>
      <c r="I11" s="49"/>
      <c r="J11" s="52"/>
      <c r="K11" s="50"/>
      <c r="L11" s="51"/>
      <c r="M11" s="51"/>
      <c r="N11" s="51"/>
      <c r="O11" s="49"/>
      <c r="P11" s="52"/>
      <c r="Q11" s="50"/>
      <c r="R11" s="51"/>
      <c r="S11" s="51"/>
      <c r="T11" s="51"/>
      <c r="U11" s="51">
        <v>0.0</v>
      </c>
      <c r="V11" s="51">
        <v>0.0</v>
      </c>
      <c r="W11" s="51"/>
      <c r="X11" s="47" t="s">
        <v>644</v>
      </c>
      <c r="Y11" s="26"/>
      <c r="Z11" s="26"/>
    </row>
    <row r="12" ht="27.75" customHeight="1">
      <c r="A12" s="47" t="s">
        <v>647</v>
      </c>
      <c r="B12" s="48" t="s">
        <v>651</v>
      </c>
      <c r="C12" s="49" t="s">
        <v>40</v>
      </c>
      <c r="D12" s="49">
        <v>64.0</v>
      </c>
      <c r="E12" s="50">
        <v>45350.0</v>
      </c>
      <c r="F12" s="51">
        <v>2407407.0</v>
      </c>
      <c r="G12" s="51">
        <v>192593.0</v>
      </c>
      <c r="H12" s="51">
        <v>2600000.0</v>
      </c>
      <c r="I12" s="49" t="s">
        <v>414</v>
      </c>
      <c r="J12" s="52" t="s">
        <v>663</v>
      </c>
      <c r="K12" s="50">
        <v>45808.0</v>
      </c>
      <c r="L12" s="51">
        <v>-482407.0</v>
      </c>
      <c r="M12" s="51">
        <v>-38593.0</v>
      </c>
      <c r="N12" s="51">
        <v>-521000.0</v>
      </c>
      <c r="O12" s="49" t="s">
        <v>414</v>
      </c>
      <c r="P12" s="52" t="s">
        <v>676</v>
      </c>
      <c r="Q12" s="50">
        <v>45838.0</v>
      </c>
      <c r="R12" s="51">
        <v>482407.0</v>
      </c>
      <c r="S12" s="51">
        <v>38593.0</v>
      </c>
      <c r="T12" s="51">
        <v>521000.0</v>
      </c>
      <c r="U12" s="51">
        <v>2407407.0</v>
      </c>
      <c r="V12" s="51">
        <v>192593.0</v>
      </c>
      <c r="W12" s="51">
        <v>2600000.0</v>
      </c>
      <c r="X12" s="47"/>
      <c r="Y12" s="26"/>
      <c r="Z12" s="26"/>
    </row>
    <row r="13" ht="27.75" customHeight="1">
      <c r="A13" s="47" t="s">
        <v>76</v>
      </c>
      <c r="B13" s="48" t="s">
        <v>684</v>
      </c>
      <c r="C13" s="49" t="s">
        <v>40</v>
      </c>
      <c r="D13" s="49">
        <v>110.0</v>
      </c>
      <c r="E13" s="50">
        <v>45366.0</v>
      </c>
      <c r="F13" s="51">
        <v>1574074.0</v>
      </c>
      <c r="G13" s="51">
        <v>125926.0</v>
      </c>
      <c r="H13" s="51">
        <v>1700000.0</v>
      </c>
      <c r="I13" s="49"/>
      <c r="J13" s="52"/>
      <c r="K13" s="50"/>
      <c r="L13" s="51"/>
      <c r="M13" s="51"/>
      <c r="N13" s="51"/>
      <c r="O13" s="49"/>
      <c r="P13" s="52"/>
      <c r="Q13" s="50"/>
      <c r="R13" s="51"/>
      <c r="S13" s="51"/>
      <c r="T13" s="51"/>
      <c r="U13" s="51">
        <v>1574074.0</v>
      </c>
      <c r="V13" s="51">
        <v>125926.0</v>
      </c>
      <c r="W13" s="51">
        <v>1700000.0</v>
      </c>
      <c r="X13" s="47"/>
      <c r="Y13" s="26"/>
      <c r="Z13" s="26"/>
    </row>
    <row r="14" ht="27.75" customHeight="1">
      <c r="A14" s="47" t="s">
        <v>76</v>
      </c>
      <c r="B14" s="48" t="s">
        <v>684</v>
      </c>
      <c r="C14" s="49" t="s">
        <v>40</v>
      </c>
      <c r="D14" s="49">
        <v>111.0</v>
      </c>
      <c r="E14" s="50">
        <v>45366.0</v>
      </c>
      <c r="F14" s="51">
        <v>3888889.0</v>
      </c>
      <c r="G14" s="51">
        <v>311111.0</v>
      </c>
      <c r="H14" s="51">
        <v>4200000.0</v>
      </c>
      <c r="I14" s="49"/>
      <c r="J14" s="52"/>
      <c r="K14" s="50"/>
      <c r="L14" s="51"/>
      <c r="M14" s="51"/>
      <c r="N14" s="51"/>
      <c r="O14" s="49"/>
      <c r="P14" s="52"/>
      <c r="Q14" s="50"/>
      <c r="R14" s="51"/>
      <c r="S14" s="51"/>
      <c r="T14" s="51"/>
      <c r="U14" s="51">
        <v>3888889.0</v>
      </c>
      <c r="V14" s="51">
        <v>311111.0</v>
      </c>
      <c r="W14" s="51">
        <v>4200000.0</v>
      </c>
      <c r="X14" s="47"/>
      <c r="Y14" s="26"/>
      <c r="Z14" s="26"/>
    </row>
    <row r="15" ht="27.75" customHeight="1">
      <c r="A15" s="47" t="s">
        <v>769</v>
      </c>
      <c r="B15" s="48" t="s">
        <v>772</v>
      </c>
      <c r="C15" s="49" t="s">
        <v>40</v>
      </c>
      <c r="D15" s="49">
        <v>112.0</v>
      </c>
      <c r="E15" s="50">
        <v>45370.0</v>
      </c>
      <c r="F15" s="51">
        <v>2554074.0</v>
      </c>
      <c r="G15" s="51">
        <v>204326.0</v>
      </c>
      <c r="H15" s="51">
        <v>2758400.0</v>
      </c>
      <c r="I15" s="49"/>
      <c r="J15" s="52"/>
      <c r="K15" s="50"/>
      <c r="L15" s="51"/>
      <c r="M15" s="51"/>
      <c r="N15" s="51"/>
      <c r="O15" s="49"/>
      <c r="P15" s="52"/>
      <c r="Q15" s="50"/>
      <c r="R15" s="51"/>
      <c r="S15" s="51"/>
      <c r="T15" s="51"/>
      <c r="U15" s="51">
        <v>2554074.0</v>
      </c>
      <c r="V15" s="51">
        <v>204326.0</v>
      </c>
      <c r="W15" s="51">
        <v>2758400.0</v>
      </c>
      <c r="X15" s="47"/>
      <c r="Y15" s="26"/>
      <c r="Z15" s="26"/>
    </row>
    <row r="16" ht="27.75" customHeight="1">
      <c r="A16" s="47" t="s">
        <v>76</v>
      </c>
      <c r="B16" s="48" t="s">
        <v>684</v>
      </c>
      <c r="C16" s="49" t="s">
        <v>40</v>
      </c>
      <c r="D16" s="49">
        <v>113.0</v>
      </c>
      <c r="E16" s="50">
        <v>45371.0</v>
      </c>
      <c r="F16" s="51">
        <v>1851852.0</v>
      </c>
      <c r="G16" s="51">
        <v>148148.0</v>
      </c>
      <c r="H16" s="51">
        <v>2000000.0</v>
      </c>
      <c r="I16" s="49"/>
      <c r="J16" s="52"/>
      <c r="K16" s="50"/>
      <c r="L16" s="51"/>
      <c r="M16" s="51"/>
      <c r="N16" s="51"/>
      <c r="O16" s="49"/>
      <c r="P16" s="52"/>
      <c r="Q16" s="50"/>
      <c r="R16" s="51"/>
      <c r="S16" s="51"/>
      <c r="T16" s="51"/>
      <c r="U16" s="51">
        <v>1851852.0</v>
      </c>
      <c r="V16" s="51">
        <v>148148.0</v>
      </c>
      <c r="W16" s="51">
        <v>2000000.0</v>
      </c>
      <c r="X16" s="47"/>
      <c r="Y16" s="26"/>
      <c r="Z16" s="26"/>
    </row>
    <row r="17" ht="37.5" customHeight="1">
      <c r="A17" s="47" t="s">
        <v>854</v>
      </c>
      <c r="B17" s="48" t="s">
        <v>856</v>
      </c>
      <c r="C17" s="49" t="s">
        <v>40</v>
      </c>
      <c r="D17" s="49">
        <v>122.0</v>
      </c>
      <c r="E17" s="50">
        <v>45379.0</v>
      </c>
      <c r="F17" s="51">
        <v>811111.0</v>
      </c>
      <c r="G17" s="51">
        <v>64889.0</v>
      </c>
      <c r="H17" s="51">
        <v>876000.0</v>
      </c>
      <c r="I17" s="49" t="s">
        <v>414</v>
      </c>
      <c r="J17" s="52" t="s">
        <v>870</v>
      </c>
      <c r="K17" s="50">
        <v>45808.0</v>
      </c>
      <c r="L17" s="51">
        <v>76852.0</v>
      </c>
      <c r="M17" s="51">
        <v>6148.0</v>
      </c>
      <c r="N17" s="51">
        <v>83000.0</v>
      </c>
      <c r="O17" s="49" t="s">
        <v>414</v>
      </c>
      <c r="P17" s="52" t="s">
        <v>886</v>
      </c>
      <c r="Q17" s="50">
        <v>45838.0</v>
      </c>
      <c r="R17" s="51">
        <v>-76852.0</v>
      </c>
      <c r="S17" s="51">
        <v>-6148.0</v>
      </c>
      <c r="T17" s="51">
        <v>-83000.0</v>
      </c>
      <c r="U17" s="51">
        <v>811111.0</v>
      </c>
      <c r="V17" s="51">
        <v>64889.0</v>
      </c>
      <c r="W17" s="51">
        <v>876000.0</v>
      </c>
      <c r="X17" s="47"/>
      <c r="Y17" s="26"/>
      <c r="Z17" s="26"/>
    </row>
    <row r="18" ht="27.75" customHeight="1">
      <c r="A18" s="47" t="s">
        <v>907</v>
      </c>
      <c r="B18" s="48" t="s">
        <v>912</v>
      </c>
      <c r="C18" s="49" t="s">
        <v>40</v>
      </c>
      <c r="D18" s="49">
        <v>123.0</v>
      </c>
      <c r="E18" s="50">
        <v>45379.0</v>
      </c>
      <c r="F18" s="51">
        <v>1462037.0</v>
      </c>
      <c r="G18" s="51">
        <v>116963.0</v>
      </c>
      <c r="H18" s="51">
        <v>1579000.0</v>
      </c>
      <c r="I18" s="49" t="s">
        <v>414</v>
      </c>
      <c r="J18" s="52" t="s">
        <v>931</v>
      </c>
      <c r="K18" s="50">
        <v>45803.0</v>
      </c>
      <c r="L18" s="51">
        <v>370370.0</v>
      </c>
      <c r="M18" s="51">
        <v>29630.0</v>
      </c>
      <c r="N18" s="51">
        <v>400000.0</v>
      </c>
      <c r="O18" s="49"/>
      <c r="P18" s="52"/>
      <c r="Q18" s="50"/>
      <c r="R18" s="51"/>
      <c r="S18" s="51"/>
      <c r="T18" s="51"/>
      <c r="U18" s="51">
        <v>1832407.0</v>
      </c>
      <c r="V18" s="51">
        <v>146593.0</v>
      </c>
      <c r="W18" s="51">
        <v>1979000.0</v>
      </c>
      <c r="X18" s="47"/>
      <c r="Y18" s="26"/>
      <c r="Z18" s="26"/>
    </row>
    <row r="19" ht="27.75" customHeight="1">
      <c r="A19" s="47" t="s">
        <v>972</v>
      </c>
      <c r="B19" s="48" t="s">
        <v>976</v>
      </c>
      <c r="C19" s="49" t="s">
        <v>40</v>
      </c>
      <c r="D19" s="49">
        <v>124.0</v>
      </c>
      <c r="E19" s="50">
        <v>45381.0</v>
      </c>
      <c r="F19" s="51">
        <v>4444444.0</v>
      </c>
      <c r="G19" s="51">
        <v>355556.0</v>
      </c>
      <c r="H19" s="51">
        <v>4800000.0</v>
      </c>
      <c r="I19" s="49"/>
      <c r="J19" s="52"/>
      <c r="K19" s="50"/>
      <c r="L19" s="51"/>
      <c r="M19" s="51"/>
      <c r="N19" s="51"/>
      <c r="O19" s="49"/>
      <c r="P19" s="52"/>
      <c r="Q19" s="50"/>
      <c r="R19" s="51"/>
      <c r="S19" s="51"/>
      <c r="T19" s="51"/>
      <c r="U19" s="51">
        <v>4444444.0</v>
      </c>
      <c r="V19" s="51">
        <v>355556.0</v>
      </c>
      <c r="W19" s="51">
        <v>4800000.0</v>
      </c>
      <c r="X19" s="47"/>
      <c r="Y19" s="26"/>
      <c r="Z19" s="26"/>
    </row>
    <row r="20" ht="37.5" customHeight="1">
      <c r="A20" s="47" t="s">
        <v>1022</v>
      </c>
      <c r="B20" s="48" t="s">
        <v>1024</v>
      </c>
      <c r="C20" s="49" t="s">
        <v>40</v>
      </c>
      <c r="D20" s="49">
        <v>125.0</v>
      </c>
      <c r="E20" s="50">
        <v>45381.0</v>
      </c>
      <c r="F20" s="51">
        <v>1.037037E7</v>
      </c>
      <c r="G20" s="51">
        <v>829630.0</v>
      </c>
      <c r="H20" s="51">
        <v>1.12E7</v>
      </c>
      <c r="I20" s="49"/>
      <c r="J20" s="52"/>
      <c r="K20" s="50"/>
      <c r="L20" s="51"/>
      <c r="M20" s="51"/>
      <c r="N20" s="51"/>
      <c r="O20" s="49"/>
      <c r="P20" s="52"/>
      <c r="Q20" s="50"/>
      <c r="R20" s="51"/>
      <c r="S20" s="51"/>
      <c r="T20" s="51"/>
      <c r="U20" s="51">
        <v>1.037037E7</v>
      </c>
      <c r="V20" s="51">
        <v>829630.0</v>
      </c>
      <c r="W20" s="51">
        <v>1.12E7</v>
      </c>
      <c r="X20" s="47"/>
      <c r="Y20" s="26"/>
      <c r="Z20" s="26"/>
    </row>
    <row r="21" ht="37.5" customHeight="1">
      <c r="A21" s="47" t="s">
        <v>1022</v>
      </c>
      <c r="B21" s="48" t="s">
        <v>1024</v>
      </c>
      <c r="C21" s="49" t="s">
        <v>40</v>
      </c>
      <c r="D21" s="49">
        <v>127.0</v>
      </c>
      <c r="E21" s="50">
        <v>45382.0</v>
      </c>
      <c r="F21" s="51">
        <v>8888889.0</v>
      </c>
      <c r="G21" s="51">
        <v>711111.0</v>
      </c>
      <c r="H21" s="51">
        <v>9600000.0</v>
      </c>
      <c r="I21" s="49"/>
      <c r="J21" s="52"/>
      <c r="K21" s="50"/>
      <c r="L21" s="51"/>
      <c r="M21" s="51"/>
      <c r="N21" s="51"/>
      <c r="O21" s="49"/>
      <c r="P21" s="52"/>
      <c r="Q21" s="50"/>
      <c r="R21" s="51"/>
      <c r="S21" s="51"/>
      <c r="T21" s="51"/>
      <c r="U21" s="51">
        <v>8888889.0</v>
      </c>
      <c r="V21" s="51">
        <v>711111.0</v>
      </c>
      <c r="W21" s="51">
        <v>9600000.0</v>
      </c>
      <c r="X21" s="47"/>
      <c r="Y21" s="26"/>
      <c r="Z21" s="26"/>
    </row>
    <row r="22" ht="27.75" customHeight="1">
      <c r="A22" s="47" t="s">
        <v>1106</v>
      </c>
      <c r="B22" s="48" t="s">
        <v>1110</v>
      </c>
      <c r="C22" s="49" t="s">
        <v>40</v>
      </c>
      <c r="D22" s="49">
        <v>132.0</v>
      </c>
      <c r="E22" s="50">
        <v>45387.0</v>
      </c>
      <c r="F22" s="51">
        <v>1.6296296E7</v>
      </c>
      <c r="G22" s="51">
        <v>1303704.0</v>
      </c>
      <c r="H22" s="51">
        <v>1.76E7</v>
      </c>
      <c r="I22" s="49"/>
      <c r="J22" s="52"/>
      <c r="K22" s="50"/>
      <c r="L22" s="51"/>
      <c r="M22" s="51"/>
      <c r="N22" s="51"/>
      <c r="O22" s="49"/>
      <c r="P22" s="52"/>
      <c r="Q22" s="50"/>
      <c r="R22" s="51"/>
      <c r="S22" s="51"/>
      <c r="T22" s="51"/>
      <c r="U22" s="51">
        <v>1.6296296E7</v>
      </c>
      <c r="V22" s="51">
        <v>1303704.0</v>
      </c>
      <c r="W22" s="51">
        <v>1.76E7</v>
      </c>
      <c r="X22" s="47"/>
      <c r="Y22" s="26"/>
      <c r="Z22" s="26"/>
    </row>
    <row r="23" ht="27.75" customHeight="1">
      <c r="A23" s="47" t="s">
        <v>1106</v>
      </c>
      <c r="B23" s="48" t="s">
        <v>1110</v>
      </c>
      <c r="C23" s="49" t="s">
        <v>40</v>
      </c>
      <c r="D23" s="49">
        <v>135.0</v>
      </c>
      <c r="E23" s="50">
        <v>45388.0</v>
      </c>
      <c r="F23" s="51">
        <v>1.0555556E7</v>
      </c>
      <c r="G23" s="51">
        <v>844444.0</v>
      </c>
      <c r="H23" s="51">
        <v>1.14E7</v>
      </c>
      <c r="I23" s="49"/>
      <c r="J23" s="52"/>
      <c r="K23" s="50"/>
      <c r="L23" s="51"/>
      <c r="M23" s="51"/>
      <c r="N23" s="51"/>
      <c r="O23" s="49"/>
      <c r="P23" s="52"/>
      <c r="Q23" s="50"/>
      <c r="R23" s="51"/>
      <c r="S23" s="51"/>
      <c r="T23" s="51"/>
      <c r="U23" s="51">
        <v>1.0555556E7</v>
      </c>
      <c r="V23" s="51">
        <v>844444.0</v>
      </c>
      <c r="W23" s="51">
        <v>1.14E7</v>
      </c>
      <c r="X23" s="47"/>
      <c r="Y23" s="26"/>
      <c r="Z23" s="26"/>
    </row>
    <row r="24" ht="27.75" customHeight="1">
      <c r="A24" s="47" t="s">
        <v>1193</v>
      </c>
      <c r="B24" s="48" t="s">
        <v>1195</v>
      </c>
      <c r="C24" s="49" t="s">
        <v>40</v>
      </c>
      <c r="D24" s="49">
        <v>162.0</v>
      </c>
      <c r="E24" s="50">
        <v>45391.0</v>
      </c>
      <c r="F24" s="51">
        <v>1151111.0</v>
      </c>
      <c r="G24" s="51">
        <v>92089.0</v>
      </c>
      <c r="H24" s="51">
        <v>1243200.0</v>
      </c>
      <c r="I24" s="49" t="s">
        <v>414</v>
      </c>
      <c r="J24" s="52" t="s">
        <v>1210</v>
      </c>
      <c r="K24" s="50">
        <v>45804.0</v>
      </c>
      <c r="L24" s="51">
        <v>493333.0</v>
      </c>
      <c r="M24" s="51">
        <v>39467.0</v>
      </c>
      <c r="N24" s="51">
        <v>532800.0</v>
      </c>
      <c r="O24" s="49"/>
      <c r="P24" s="52"/>
      <c r="Q24" s="50"/>
      <c r="R24" s="51"/>
      <c r="S24" s="51"/>
      <c r="T24" s="51"/>
      <c r="U24" s="51">
        <v>1644444.0</v>
      </c>
      <c r="V24" s="51">
        <v>131556.0</v>
      </c>
      <c r="W24" s="51">
        <v>1776000.0</v>
      </c>
      <c r="X24" s="47"/>
      <c r="Y24" s="26"/>
      <c r="Z24" s="26"/>
    </row>
    <row r="25" ht="27.75" customHeight="1">
      <c r="A25" s="47" t="s">
        <v>1237</v>
      </c>
      <c r="B25" s="48" t="s">
        <v>1239</v>
      </c>
      <c r="C25" s="49" t="s">
        <v>40</v>
      </c>
      <c r="D25" s="49">
        <v>163.0</v>
      </c>
      <c r="E25" s="50">
        <v>45391.0</v>
      </c>
      <c r="F25" s="51">
        <v>1229556.0</v>
      </c>
      <c r="G25" s="51">
        <v>98364.0</v>
      </c>
      <c r="H25" s="51">
        <v>1327920.0</v>
      </c>
      <c r="I25" s="49"/>
      <c r="J25" s="52"/>
      <c r="K25" s="50"/>
      <c r="L25" s="51"/>
      <c r="M25" s="51"/>
      <c r="N25" s="51"/>
      <c r="O25" s="49"/>
      <c r="P25" s="52"/>
      <c r="Q25" s="50"/>
      <c r="R25" s="51"/>
      <c r="S25" s="51"/>
      <c r="T25" s="51"/>
      <c r="U25" s="51">
        <v>1229556.0</v>
      </c>
      <c r="V25" s="51">
        <v>98364.0</v>
      </c>
      <c r="W25" s="51">
        <v>1327920.0</v>
      </c>
      <c r="X25" s="47"/>
      <c r="Y25" s="26"/>
      <c r="Z25" s="26"/>
    </row>
    <row r="26" ht="27.75" customHeight="1">
      <c r="A26" s="47" t="s">
        <v>1277</v>
      </c>
      <c r="B26" s="48" t="s">
        <v>1283</v>
      </c>
      <c r="C26" s="49" t="s">
        <v>40</v>
      </c>
      <c r="D26" s="49">
        <v>164.0</v>
      </c>
      <c r="E26" s="50">
        <v>45392.0</v>
      </c>
      <c r="F26" s="51">
        <v>1795370.0</v>
      </c>
      <c r="G26" s="51">
        <v>143630.0</v>
      </c>
      <c r="H26" s="51">
        <v>1939000.0</v>
      </c>
      <c r="I26" s="49"/>
      <c r="J26" s="52"/>
      <c r="K26" s="50"/>
      <c r="L26" s="51"/>
      <c r="M26" s="51"/>
      <c r="N26" s="51"/>
      <c r="O26" s="49"/>
      <c r="P26" s="52"/>
      <c r="Q26" s="50"/>
      <c r="R26" s="51"/>
      <c r="S26" s="51"/>
      <c r="T26" s="51"/>
      <c r="U26" s="51">
        <v>1795370.0</v>
      </c>
      <c r="V26" s="51">
        <v>143630.0</v>
      </c>
      <c r="W26" s="51">
        <v>1939000.0</v>
      </c>
      <c r="X26" s="47"/>
      <c r="Y26" s="26"/>
      <c r="Z26" s="26"/>
    </row>
    <row r="27" ht="27.75" customHeight="1">
      <c r="A27" s="47" t="s">
        <v>1327</v>
      </c>
      <c r="B27" s="48" t="s">
        <v>1328</v>
      </c>
      <c r="C27" s="49" t="s">
        <v>40</v>
      </c>
      <c r="D27" s="49">
        <v>169.0</v>
      </c>
      <c r="E27" s="50">
        <v>45397.0</v>
      </c>
      <c r="F27" s="51">
        <v>1.3430556E7</v>
      </c>
      <c r="G27" s="51">
        <v>1074444.0</v>
      </c>
      <c r="H27" s="51">
        <v>1.4505E7</v>
      </c>
      <c r="I27" s="49"/>
      <c r="J27" s="52"/>
      <c r="K27" s="50"/>
      <c r="L27" s="51"/>
      <c r="M27" s="51"/>
      <c r="N27" s="51"/>
      <c r="O27" s="49"/>
      <c r="P27" s="52"/>
      <c r="Q27" s="50"/>
      <c r="R27" s="51"/>
      <c r="S27" s="51"/>
      <c r="T27" s="51"/>
      <c r="U27" s="51">
        <v>1.3430556E7</v>
      </c>
      <c r="V27" s="51">
        <v>1074444.0</v>
      </c>
      <c r="W27" s="51">
        <v>1.4505E7</v>
      </c>
      <c r="X27" s="47"/>
      <c r="Y27" s="26"/>
      <c r="Z27" s="26"/>
    </row>
    <row r="28" ht="27.75" customHeight="1">
      <c r="A28" s="47" t="s">
        <v>1378</v>
      </c>
      <c r="B28" s="48" t="s">
        <v>1382</v>
      </c>
      <c r="C28" s="49" t="s">
        <v>40</v>
      </c>
      <c r="D28" s="49">
        <v>170.0</v>
      </c>
      <c r="E28" s="50">
        <v>45402.0</v>
      </c>
      <c r="F28" s="51">
        <v>2420370.0</v>
      </c>
      <c r="G28" s="51">
        <v>193630.0</v>
      </c>
      <c r="H28" s="51">
        <v>2614000.0</v>
      </c>
      <c r="I28" s="49" t="s">
        <v>414</v>
      </c>
      <c r="J28" s="52" t="s">
        <v>1389</v>
      </c>
      <c r="K28" s="50">
        <v>45808.0</v>
      </c>
      <c r="L28" s="51">
        <v>41667.0</v>
      </c>
      <c r="M28" s="51">
        <v>3333.0</v>
      </c>
      <c r="N28" s="51">
        <v>45000.0</v>
      </c>
      <c r="O28" s="49"/>
      <c r="P28" s="52"/>
      <c r="Q28" s="50"/>
      <c r="R28" s="51"/>
      <c r="S28" s="51"/>
      <c r="T28" s="51"/>
      <c r="U28" s="51">
        <v>2462037.0</v>
      </c>
      <c r="V28" s="51">
        <v>196963.0</v>
      </c>
      <c r="W28" s="51">
        <v>2659000.0</v>
      </c>
      <c r="X28" s="47"/>
      <c r="Y28" s="26"/>
      <c r="Z28" s="26"/>
    </row>
    <row r="29" ht="27.75" customHeight="1">
      <c r="A29" s="47" t="s">
        <v>440</v>
      </c>
      <c r="B29" s="48" t="s">
        <v>439</v>
      </c>
      <c r="C29" s="49" t="s">
        <v>40</v>
      </c>
      <c r="D29" s="49">
        <v>175.0</v>
      </c>
      <c r="E29" s="50">
        <v>45404.0</v>
      </c>
      <c r="F29" s="51">
        <v>7.8703704E7</v>
      </c>
      <c r="G29" s="51">
        <v>6296296.0</v>
      </c>
      <c r="H29" s="51">
        <v>8.5E7</v>
      </c>
      <c r="I29" s="49"/>
      <c r="J29" s="52"/>
      <c r="K29" s="50"/>
      <c r="L29" s="51"/>
      <c r="M29" s="51"/>
      <c r="N29" s="51"/>
      <c r="O29" s="49"/>
      <c r="P29" s="52"/>
      <c r="Q29" s="50"/>
      <c r="R29" s="51"/>
      <c r="S29" s="51"/>
      <c r="T29" s="51"/>
      <c r="U29" s="51">
        <v>7.8703704E7</v>
      </c>
      <c r="V29" s="51">
        <v>6296296.0</v>
      </c>
      <c r="W29" s="51">
        <v>8.5E7</v>
      </c>
      <c r="X29" s="47"/>
      <c r="Y29" s="26"/>
      <c r="Z29" s="26"/>
    </row>
    <row r="30" ht="27.75" customHeight="1">
      <c r="A30" s="47" t="s">
        <v>1461</v>
      </c>
      <c r="B30" s="48" t="s">
        <v>1466</v>
      </c>
      <c r="C30" s="49" t="s">
        <v>40</v>
      </c>
      <c r="D30" s="49">
        <v>183.0</v>
      </c>
      <c r="E30" s="50">
        <v>45407.0</v>
      </c>
      <c r="F30" s="51">
        <v>1600926.0</v>
      </c>
      <c r="G30" s="51">
        <v>128074.0</v>
      </c>
      <c r="H30" s="51">
        <v>1729000.0</v>
      </c>
      <c r="I30" s="49" t="s">
        <v>414</v>
      </c>
      <c r="J30" s="52" t="s">
        <v>1480</v>
      </c>
      <c r="K30" s="50">
        <v>45808.0</v>
      </c>
      <c r="L30" s="51">
        <v>69444.0</v>
      </c>
      <c r="M30" s="51">
        <v>5556.0</v>
      </c>
      <c r="N30" s="51">
        <v>75000.0</v>
      </c>
      <c r="O30" s="49"/>
      <c r="P30" s="52"/>
      <c r="Q30" s="50"/>
      <c r="R30" s="51"/>
      <c r="S30" s="51"/>
      <c r="T30" s="51"/>
      <c r="U30" s="51">
        <v>1670370.0</v>
      </c>
      <c r="V30" s="51">
        <v>133630.0</v>
      </c>
      <c r="W30" s="51">
        <v>1804000.0</v>
      </c>
      <c r="X30" s="47"/>
      <c r="Y30" s="26"/>
      <c r="Z30" s="26"/>
    </row>
    <row r="31" ht="27.75" customHeight="1">
      <c r="A31" s="47" t="s">
        <v>1498</v>
      </c>
      <c r="B31" s="48" t="s">
        <v>1503</v>
      </c>
      <c r="C31" s="49" t="s">
        <v>40</v>
      </c>
      <c r="D31" s="49">
        <v>185.0</v>
      </c>
      <c r="E31" s="50">
        <v>45408.0</v>
      </c>
      <c r="F31" s="51">
        <v>2.9274044E7</v>
      </c>
      <c r="G31" s="51">
        <v>2341924.0</v>
      </c>
      <c r="H31" s="51">
        <v>3.1615968E7</v>
      </c>
      <c r="I31" s="49"/>
      <c r="J31" s="52"/>
      <c r="K31" s="50"/>
      <c r="L31" s="51"/>
      <c r="M31" s="51"/>
      <c r="N31" s="51"/>
      <c r="O31" s="49"/>
      <c r="P31" s="52"/>
      <c r="Q31" s="50"/>
      <c r="R31" s="51"/>
      <c r="S31" s="51"/>
      <c r="T31" s="51"/>
      <c r="U31" s="51">
        <v>2.9274044E7</v>
      </c>
      <c r="V31" s="51">
        <v>2341924.0</v>
      </c>
      <c r="W31" s="51">
        <v>3.1615968E7</v>
      </c>
      <c r="X31" s="47"/>
      <c r="Y31" s="26"/>
      <c r="Z31" s="26"/>
    </row>
    <row r="32" ht="27.75" customHeight="1">
      <c r="A32" s="47" t="s">
        <v>1351</v>
      </c>
      <c r="B32" s="48" t="s">
        <v>1350</v>
      </c>
      <c r="C32" s="49" t="s">
        <v>40</v>
      </c>
      <c r="D32" s="49">
        <v>218.0</v>
      </c>
      <c r="E32" s="50">
        <v>45415.0</v>
      </c>
      <c r="F32" s="51">
        <v>8674074.0</v>
      </c>
      <c r="G32" s="51">
        <v>693926.0</v>
      </c>
      <c r="H32" s="51">
        <v>9368000.0</v>
      </c>
      <c r="I32" s="49" t="s">
        <v>414</v>
      </c>
      <c r="J32" s="52" t="s">
        <v>1358</v>
      </c>
      <c r="K32" s="50">
        <v>45805.0</v>
      </c>
      <c r="L32" s="51">
        <v>-206481.0</v>
      </c>
      <c r="M32" s="51">
        <v>-16518.0</v>
      </c>
      <c r="N32" s="51">
        <v>-222999.0</v>
      </c>
      <c r="O32" s="49"/>
      <c r="P32" s="52"/>
      <c r="Q32" s="50"/>
      <c r="R32" s="51"/>
      <c r="S32" s="51"/>
      <c r="T32" s="51"/>
      <c r="U32" s="51">
        <v>8467593.0</v>
      </c>
      <c r="V32" s="51">
        <v>677408.0</v>
      </c>
      <c r="W32" s="51">
        <v>9145001.0</v>
      </c>
      <c r="X32" s="47"/>
      <c r="Y32" s="26"/>
      <c r="Z32" s="26"/>
    </row>
    <row r="33" ht="27.75" customHeight="1">
      <c r="A33" s="47" t="s">
        <v>1366</v>
      </c>
      <c r="B33" s="48" t="s">
        <v>1364</v>
      </c>
      <c r="C33" s="49" t="s">
        <v>40</v>
      </c>
      <c r="D33" s="49">
        <v>219.0</v>
      </c>
      <c r="E33" s="50">
        <v>45419.0</v>
      </c>
      <c r="F33" s="51">
        <v>1857407.0</v>
      </c>
      <c r="G33" s="51">
        <v>148593.0</v>
      </c>
      <c r="H33" s="51">
        <v>2006000.0</v>
      </c>
      <c r="I33" s="49" t="s">
        <v>414</v>
      </c>
      <c r="J33" s="52" t="s">
        <v>1371</v>
      </c>
      <c r="K33" s="50">
        <v>45805.0</v>
      </c>
      <c r="L33" s="51">
        <v>327778.0</v>
      </c>
      <c r="M33" s="51">
        <v>26222.0</v>
      </c>
      <c r="N33" s="51">
        <v>354000.0</v>
      </c>
      <c r="O33" s="49"/>
      <c r="P33" s="52"/>
      <c r="Q33" s="50"/>
      <c r="R33" s="51"/>
      <c r="S33" s="51"/>
      <c r="T33" s="51"/>
      <c r="U33" s="51">
        <v>2185185.0</v>
      </c>
      <c r="V33" s="51">
        <v>174815.0</v>
      </c>
      <c r="W33" s="51">
        <v>2360000.0</v>
      </c>
      <c r="X33" s="47"/>
      <c r="Y33" s="26"/>
      <c r="Z33" s="26"/>
    </row>
    <row r="34" ht="27.75" customHeight="1">
      <c r="A34" s="47" t="s">
        <v>1366</v>
      </c>
      <c r="B34" s="48" t="s">
        <v>1364</v>
      </c>
      <c r="C34" s="49" t="s">
        <v>40</v>
      </c>
      <c r="D34" s="49">
        <v>220.0</v>
      </c>
      <c r="E34" s="50">
        <v>45419.0</v>
      </c>
      <c r="F34" s="51">
        <v>1649167.0</v>
      </c>
      <c r="G34" s="51">
        <v>131933.0</v>
      </c>
      <c r="H34" s="51">
        <v>1781100.0</v>
      </c>
      <c r="I34" s="49" t="s">
        <v>414</v>
      </c>
      <c r="J34" s="52" t="s">
        <v>1388</v>
      </c>
      <c r="K34" s="50">
        <v>45805.0</v>
      </c>
      <c r="L34" s="51">
        <v>183240.0</v>
      </c>
      <c r="M34" s="51">
        <v>14659.0</v>
      </c>
      <c r="N34" s="51">
        <v>197899.0</v>
      </c>
      <c r="O34" s="49"/>
      <c r="P34" s="52"/>
      <c r="Q34" s="50"/>
      <c r="R34" s="51"/>
      <c r="S34" s="51"/>
      <c r="T34" s="51"/>
      <c r="U34" s="51">
        <v>1832407.0</v>
      </c>
      <c r="V34" s="51">
        <v>146592.0</v>
      </c>
      <c r="W34" s="51">
        <v>1978999.0</v>
      </c>
      <c r="X34" s="47"/>
      <c r="Y34" s="26"/>
      <c r="Z34" s="26"/>
    </row>
    <row r="35" ht="27.75" customHeight="1">
      <c r="A35" s="47" t="s">
        <v>1394</v>
      </c>
      <c r="B35" s="48" t="s">
        <v>1393</v>
      </c>
      <c r="C35" s="49" t="s">
        <v>40</v>
      </c>
      <c r="D35" s="49">
        <v>234.0</v>
      </c>
      <c r="E35" s="50">
        <v>45426.0</v>
      </c>
      <c r="F35" s="51">
        <v>817731.0</v>
      </c>
      <c r="G35" s="51">
        <v>65418.0</v>
      </c>
      <c r="H35" s="51">
        <v>883149.0</v>
      </c>
      <c r="I35" s="49" t="s">
        <v>414</v>
      </c>
      <c r="J35" s="52" t="s">
        <v>1398</v>
      </c>
      <c r="K35" s="50">
        <v>45805.0</v>
      </c>
      <c r="L35" s="51">
        <v>144306.0</v>
      </c>
      <c r="M35" s="51">
        <v>11544.0</v>
      </c>
      <c r="N35" s="51">
        <v>155850.0</v>
      </c>
      <c r="O35" s="49"/>
      <c r="P35" s="52"/>
      <c r="Q35" s="50"/>
      <c r="R35" s="51"/>
      <c r="S35" s="51"/>
      <c r="T35" s="51"/>
      <c r="U35" s="51">
        <v>962037.0</v>
      </c>
      <c r="V35" s="51">
        <v>76962.0</v>
      </c>
      <c r="W35" s="51">
        <v>1038999.0</v>
      </c>
      <c r="X35" s="47"/>
      <c r="Y35" s="26"/>
      <c r="Z35" s="26"/>
    </row>
    <row r="36" ht="27.75" customHeight="1">
      <c r="A36" s="47" t="s">
        <v>76</v>
      </c>
      <c r="B36" s="48" t="s">
        <v>684</v>
      </c>
      <c r="C36" s="49" t="s">
        <v>40</v>
      </c>
      <c r="D36" s="49">
        <v>242.0</v>
      </c>
      <c r="E36" s="50">
        <v>45435.0</v>
      </c>
      <c r="F36" s="51">
        <v>4259259.0</v>
      </c>
      <c r="G36" s="51">
        <v>340741.0</v>
      </c>
      <c r="H36" s="51">
        <v>4600000.0</v>
      </c>
      <c r="I36" s="49"/>
      <c r="J36" s="52"/>
      <c r="K36" s="50"/>
      <c r="L36" s="51"/>
      <c r="M36" s="51"/>
      <c r="N36" s="51"/>
      <c r="O36" s="49"/>
      <c r="P36" s="52"/>
      <c r="Q36" s="50"/>
      <c r="R36" s="51"/>
      <c r="S36" s="51"/>
      <c r="T36" s="51"/>
      <c r="U36" s="51">
        <v>4259259.0</v>
      </c>
      <c r="V36" s="51">
        <v>340741.0</v>
      </c>
      <c r="W36" s="51">
        <v>4600000.0</v>
      </c>
      <c r="X36" s="47"/>
      <c r="Y36" s="26"/>
      <c r="Z36" s="26"/>
    </row>
    <row r="37" ht="27.75" customHeight="1">
      <c r="A37" s="47" t="s">
        <v>1421</v>
      </c>
      <c r="B37" s="48" t="s">
        <v>1420</v>
      </c>
      <c r="C37" s="49" t="s">
        <v>40</v>
      </c>
      <c r="D37" s="49">
        <v>243.0</v>
      </c>
      <c r="E37" s="50">
        <v>45439.0</v>
      </c>
      <c r="F37" s="51">
        <v>1050000.0</v>
      </c>
      <c r="G37" s="51">
        <v>84000.0</v>
      </c>
      <c r="H37" s="51">
        <v>1134000.0</v>
      </c>
      <c r="I37" s="49"/>
      <c r="J37" s="52"/>
      <c r="K37" s="50"/>
      <c r="L37" s="51"/>
      <c r="M37" s="51"/>
      <c r="N37" s="51"/>
      <c r="O37" s="49"/>
      <c r="P37" s="52"/>
      <c r="Q37" s="50"/>
      <c r="R37" s="51"/>
      <c r="S37" s="51"/>
      <c r="T37" s="51"/>
      <c r="U37" s="51">
        <v>1050000.0</v>
      </c>
      <c r="V37" s="51">
        <v>84000.0</v>
      </c>
      <c r="W37" s="51">
        <v>1134000.0</v>
      </c>
      <c r="X37" s="47"/>
      <c r="Y37" s="26"/>
      <c r="Z37" s="26"/>
    </row>
    <row r="38" ht="27.75" customHeight="1">
      <c r="A38" s="47" t="s">
        <v>76</v>
      </c>
      <c r="B38" s="48" t="s">
        <v>684</v>
      </c>
      <c r="C38" s="49" t="s">
        <v>40</v>
      </c>
      <c r="D38" s="49">
        <v>244.0</v>
      </c>
      <c r="E38" s="50">
        <v>45439.0</v>
      </c>
      <c r="F38" s="51">
        <v>4259259.0</v>
      </c>
      <c r="G38" s="51">
        <v>340741.0</v>
      </c>
      <c r="H38" s="51">
        <v>4600000.0</v>
      </c>
      <c r="I38" s="49"/>
      <c r="J38" s="52"/>
      <c r="K38" s="50"/>
      <c r="L38" s="51"/>
      <c r="M38" s="51"/>
      <c r="N38" s="51"/>
      <c r="O38" s="49"/>
      <c r="P38" s="52"/>
      <c r="Q38" s="50"/>
      <c r="R38" s="51"/>
      <c r="S38" s="51"/>
      <c r="T38" s="51"/>
      <c r="U38" s="51">
        <v>4259259.0</v>
      </c>
      <c r="V38" s="51">
        <v>340741.0</v>
      </c>
      <c r="W38" s="51">
        <v>4600000.0</v>
      </c>
      <c r="X38" s="47"/>
      <c r="Y38" s="26"/>
      <c r="Z38" s="26"/>
    </row>
    <row r="39" ht="27.75" customHeight="1">
      <c r="A39" s="47" t="s">
        <v>1437</v>
      </c>
      <c r="B39" s="48" t="s">
        <v>1436</v>
      </c>
      <c r="C39" s="49" t="s">
        <v>40</v>
      </c>
      <c r="D39" s="49">
        <v>245.0</v>
      </c>
      <c r="E39" s="50">
        <v>45440.0</v>
      </c>
      <c r="F39" s="51">
        <v>1591667.0</v>
      </c>
      <c r="G39" s="51">
        <v>127333.0</v>
      </c>
      <c r="H39" s="51">
        <v>1719000.0</v>
      </c>
      <c r="I39" s="49" t="s">
        <v>414</v>
      </c>
      <c r="J39" s="52" t="s">
        <v>1442</v>
      </c>
      <c r="K39" s="50">
        <v>45808.0</v>
      </c>
      <c r="L39" s="51">
        <v>111111.0</v>
      </c>
      <c r="M39" s="51">
        <v>8889.0</v>
      </c>
      <c r="N39" s="51">
        <v>120000.0</v>
      </c>
      <c r="O39" s="49"/>
      <c r="P39" s="52"/>
      <c r="Q39" s="50"/>
      <c r="R39" s="51"/>
      <c r="S39" s="51"/>
      <c r="T39" s="51"/>
      <c r="U39" s="51">
        <v>1702778.0</v>
      </c>
      <c r="V39" s="51">
        <v>136222.0</v>
      </c>
      <c r="W39" s="51">
        <v>1839000.0</v>
      </c>
      <c r="X39" s="47"/>
      <c r="Y39" s="26"/>
      <c r="Z39" s="26"/>
    </row>
    <row r="40" ht="27.75" customHeight="1">
      <c r="A40" s="47" t="s">
        <v>1269</v>
      </c>
      <c r="B40" s="48" t="s">
        <v>1268</v>
      </c>
      <c r="C40" s="49" t="s">
        <v>40</v>
      </c>
      <c r="D40" s="49">
        <v>267.0</v>
      </c>
      <c r="E40" s="50">
        <v>45454.0</v>
      </c>
      <c r="F40" s="51">
        <v>1054630.0</v>
      </c>
      <c r="G40" s="51">
        <v>84370.0</v>
      </c>
      <c r="H40" s="51">
        <v>1139000.0</v>
      </c>
      <c r="I40" s="49"/>
      <c r="J40" s="52"/>
      <c r="K40" s="50"/>
      <c r="L40" s="51"/>
      <c r="M40" s="51"/>
      <c r="N40" s="51"/>
      <c r="O40" s="49"/>
      <c r="P40" s="52"/>
      <c r="Q40" s="50"/>
      <c r="R40" s="51"/>
      <c r="S40" s="51"/>
      <c r="T40" s="51"/>
      <c r="U40" s="51">
        <v>1054630.0</v>
      </c>
      <c r="V40" s="51">
        <v>84370.0</v>
      </c>
      <c r="W40" s="51">
        <v>1139000.0</v>
      </c>
      <c r="X40" s="47"/>
      <c r="Y40" s="26"/>
      <c r="Z40" s="26"/>
    </row>
    <row r="41" ht="27.75" customHeight="1">
      <c r="A41" s="47" t="s">
        <v>1284</v>
      </c>
      <c r="B41" s="48" t="s">
        <v>1281</v>
      </c>
      <c r="C41" s="49" t="s">
        <v>40</v>
      </c>
      <c r="D41" s="49">
        <v>268.0</v>
      </c>
      <c r="E41" s="50">
        <v>45454.0</v>
      </c>
      <c r="F41" s="51">
        <v>499630.0</v>
      </c>
      <c r="G41" s="51">
        <v>39970.0</v>
      </c>
      <c r="H41" s="51">
        <v>539600.0</v>
      </c>
      <c r="I41" s="49" t="s">
        <v>414</v>
      </c>
      <c r="J41" s="52" t="s">
        <v>1288</v>
      </c>
      <c r="K41" s="50">
        <v>45808.0</v>
      </c>
      <c r="L41" s="51">
        <v>-47778.0</v>
      </c>
      <c r="M41" s="51">
        <v>-3822.0</v>
      </c>
      <c r="N41" s="51">
        <v>-51600.0</v>
      </c>
      <c r="O41" s="49"/>
      <c r="P41" s="52"/>
      <c r="Q41" s="50"/>
      <c r="R41" s="51"/>
      <c r="S41" s="51"/>
      <c r="T41" s="51"/>
      <c r="U41" s="51">
        <v>451852.0</v>
      </c>
      <c r="V41" s="51">
        <v>36148.0</v>
      </c>
      <c r="W41" s="51">
        <v>488000.0</v>
      </c>
      <c r="X41" s="47"/>
      <c r="Y41" s="26"/>
      <c r="Z41" s="26"/>
    </row>
    <row r="42" ht="27.75" customHeight="1">
      <c r="A42" s="47" t="s">
        <v>1299</v>
      </c>
      <c r="B42" s="48" t="s">
        <v>1297</v>
      </c>
      <c r="C42" s="49" t="s">
        <v>40</v>
      </c>
      <c r="D42" s="49">
        <v>289.0</v>
      </c>
      <c r="E42" s="50">
        <v>45460.0</v>
      </c>
      <c r="F42" s="51">
        <v>2182176.0</v>
      </c>
      <c r="G42" s="51">
        <v>174574.0</v>
      </c>
      <c r="H42" s="51">
        <v>2356750.0</v>
      </c>
      <c r="I42" s="49" t="s">
        <v>414</v>
      </c>
      <c r="J42" s="52" t="s">
        <v>1306</v>
      </c>
      <c r="K42" s="50">
        <v>45808.0</v>
      </c>
      <c r="L42" s="51">
        <v>359491.0</v>
      </c>
      <c r="M42" s="51">
        <v>28759.0</v>
      </c>
      <c r="N42" s="51">
        <v>388250.0</v>
      </c>
      <c r="O42" s="49"/>
      <c r="P42" s="52"/>
      <c r="Q42" s="50"/>
      <c r="R42" s="51"/>
      <c r="S42" s="51"/>
      <c r="T42" s="51"/>
      <c r="U42" s="51">
        <v>2541667.0</v>
      </c>
      <c r="V42" s="51">
        <v>203333.0</v>
      </c>
      <c r="W42" s="51">
        <v>2745000.0</v>
      </c>
      <c r="X42" s="47"/>
      <c r="Y42" s="26"/>
      <c r="Z42" s="26"/>
    </row>
    <row r="43" ht="27.75" customHeight="1">
      <c r="A43" s="47" t="s">
        <v>1317</v>
      </c>
      <c r="B43" s="48" t="s">
        <v>1316</v>
      </c>
      <c r="C43" s="49" t="s">
        <v>40</v>
      </c>
      <c r="D43" s="49">
        <v>311.0</v>
      </c>
      <c r="E43" s="50">
        <v>45464.0</v>
      </c>
      <c r="F43" s="51">
        <v>2710741.0</v>
      </c>
      <c r="G43" s="51">
        <v>216859.0</v>
      </c>
      <c r="H43" s="51">
        <v>2927600.0</v>
      </c>
      <c r="I43" s="49" t="s">
        <v>414</v>
      </c>
      <c r="J43" s="52" t="s">
        <v>1323</v>
      </c>
      <c r="K43" s="50">
        <v>45808.0</v>
      </c>
      <c r="L43" s="51">
        <v>-45000.0</v>
      </c>
      <c r="M43" s="51">
        <v>-3600.0</v>
      </c>
      <c r="N43" s="51">
        <v>-48600.0</v>
      </c>
      <c r="O43" s="49"/>
      <c r="P43" s="52"/>
      <c r="Q43" s="50"/>
      <c r="R43" s="51"/>
      <c r="S43" s="51"/>
      <c r="T43" s="51"/>
      <c r="U43" s="51">
        <v>2665741.0</v>
      </c>
      <c r="V43" s="51">
        <v>213259.0</v>
      </c>
      <c r="W43" s="51">
        <v>2879000.0</v>
      </c>
      <c r="X43" s="47"/>
      <c r="Y43" s="26"/>
      <c r="Z43" s="26"/>
    </row>
    <row r="44" ht="27.75" customHeight="1">
      <c r="A44" s="47" t="s">
        <v>1335</v>
      </c>
      <c r="B44" s="48" t="s">
        <v>1333</v>
      </c>
      <c r="C44" s="49" t="s">
        <v>40</v>
      </c>
      <c r="D44" s="49">
        <v>329.0</v>
      </c>
      <c r="E44" s="50">
        <v>45470.0</v>
      </c>
      <c r="F44" s="51">
        <v>879185.0</v>
      </c>
      <c r="G44" s="51">
        <v>70335.0</v>
      </c>
      <c r="H44" s="51">
        <v>949520.0</v>
      </c>
      <c r="I44" s="49" t="s">
        <v>414</v>
      </c>
      <c r="J44" s="52" t="s">
        <v>1340</v>
      </c>
      <c r="K44" s="50">
        <v>45808.0</v>
      </c>
      <c r="L44" s="51">
        <v>119889.0</v>
      </c>
      <c r="M44" s="51">
        <v>9591.0</v>
      </c>
      <c r="N44" s="51">
        <v>129480.0</v>
      </c>
      <c r="O44" s="49"/>
      <c r="P44" s="52"/>
      <c r="Q44" s="50"/>
      <c r="R44" s="51"/>
      <c r="S44" s="51"/>
      <c r="T44" s="51"/>
      <c r="U44" s="51">
        <v>999074.0</v>
      </c>
      <c r="V44" s="51">
        <v>79926.0</v>
      </c>
      <c r="W44" s="51">
        <v>1079000.0</v>
      </c>
      <c r="X44" s="47"/>
      <c r="Y44" s="26"/>
      <c r="Z44" s="26"/>
    </row>
    <row r="45" ht="27.75" customHeight="1">
      <c r="A45" s="47" t="s">
        <v>1151</v>
      </c>
      <c r="B45" s="48" t="s">
        <v>1149</v>
      </c>
      <c r="C45" s="49" t="s">
        <v>40</v>
      </c>
      <c r="D45" s="49">
        <v>342.0</v>
      </c>
      <c r="E45" s="50">
        <v>45476.0</v>
      </c>
      <c r="F45" s="51">
        <v>3240741.0</v>
      </c>
      <c r="G45" s="51">
        <v>259259.0</v>
      </c>
      <c r="H45" s="51">
        <v>3500000.0</v>
      </c>
      <c r="I45" s="49"/>
      <c r="J45" s="52"/>
      <c r="K45" s="50"/>
      <c r="L45" s="51"/>
      <c r="M45" s="51"/>
      <c r="N45" s="51"/>
      <c r="O45" s="49"/>
      <c r="P45" s="52"/>
      <c r="Q45" s="50"/>
      <c r="R45" s="51"/>
      <c r="S45" s="51"/>
      <c r="T45" s="51"/>
      <c r="U45" s="51">
        <v>3240741.0</v>
      </c>
      <c r="V45" s="51">
        <v>259259.0</v>
      </c>
      <c r="W45" s="51">
        <v>3500000.0</v>
      </c>
      <c r="X45" s="47"/>
      <c r="Y45" s="26"/>
      <c r="Z45" s="26"/>
    </row>
    <row r="46" ht="37.5" customHeight="1">
      <c r="A46" s="47" t="s">
        <v>1160</v>
      </c>
      <c r="B46" s="48" t="s">
        <v>1159</v>
      </c>
      <c r="C46" s="49" t="s">
        <v>40</v>
      </c>
      <c r="D46" s="49">
        <v>344.0</v>
      </c>
      <c r="E46" s="50">
        <v>45491.0</v>
      </c>
      <c r="F46" s="51">
        <v>8453704.0</v>
      </c>
      <c r="G46" s="51">
        <v>676296.0</v>
      </c>
      <c r="H46" s="51">
        <v>9130000.0</v>
      </c>
      <c r="I46" s="49"/>
      <c r="J46" s="52"/>
      <c r="K46" s="50"/>
      <c r="L46" s="51"/>
      <c r="M46" s="51"/>
      <c r="N46" s="51"/>
      <c r="O46" s="49"/>
      <c r="P46" s="52"/>
      <c r="Q46" s="50"/>
      <c r="R46" s="51"/>
      <c r="S46" s="51"/>
      <c r="T46" s="51"/>
      <c r="U46" s="51">
        <v>8453704.0</v>
      </c>
      <c r="V46" s="51">
        <v>676296.0</v>
      </c>
      <c r="W46" s="51">
        <v>9130000.0</v>
      </c>
      <c r="X46" s="47"/>
      <c r="Y46" s="26"/>
      <c r="Z46" s="26"/>
    </row>
    <row r="47" ht="37.5" customHeight="1">
      <c r="A47" s="47" t="s">
        <v>1182</v>
      </c>
      <c r="B47" s="48" t="s">
        <v>1181</v>
      </c>
      <c r="C47" s="49" t="s">
        <v>40</v>
      </c>
      <c r="D47" s="49">
        <v>345.0</v>
      </c>
      <c r="E47" s="50">
        <v>45492.0</v>
      </c>
      <c r="F47" s="51">
        <v>1475926.0</v>
      </c>
      <c r="G47" s="51">
        <v>118074.0</v>
      </c>
      <c r="H47" s="51">
        <v>1594000.0</v>
      </c>
      <c r="I47" s="49"/>
      <c r="J47" s="52"/>
      <c r="K47" s="50"/>
      <c r="L47" s="51"/>
      <c r="M47" s="51"/>
      <c r="N47" s="51"/>
      <c r="O47" s="49"/>
      <c r="P47" s="52"/>
      <c r="Q47" s="50"/>
      <c r="R47" s="51"/>
      <c r="S47" s="51"/>
      <c r="T47" s="51"/>
      <c r="U47" s="51">
        <v>1475926.0</v>
      </c>
      <c r="V47" s="51">
        <v>118074.0</v>
      </c>
      <c r="W47" s="51">
        <v>1594000.0</v>
      </c>
      <c r="X47" s="47"/>
      <c r="Y47" s="26"/>
      <c r="Z47" s="26"/>
    </row>
    <row r="48" ht="37.5" customHeight="1">
      <c r="A48" s="47" t="s">
        <v>1196</v>
      </c>
      <c r="B48" s="48" t="s">
        <v>1194</v>
      </c>
      <c r="C48" s="49" t="s">
        <v>40</v>
      </c>
      <c r="D48" s="49">
        <v>346.0</v>
      </c>
      <c r="E48" s="50">
        <v>45492.0</v>
      </c>
      <c r="F48" s="51">
        <v>2.6566667E7</v>
      </c>
      <c r="G48" s="51">
        <v>2125333.0</v>
      </c>
      <c r="H48" s="51">
        <v>2.8692E7</v>
      </c>
      <c r="I48" s="49"/>
      <c r="J48" s="52"/>
      <c r="K48" s="50"/>
      <c r="L48" s="51"/>
      <c r="M48" s="51"/>
      <c r="N48" s="51"/>
      <c r="O48" s="49"/>
      <c r="P48" s="52"/>
      <c r="Q48" s="50"/>
      <c r="R48" s="51"/>
      <c r="S48" s="51"/>
      <c r="T48" s="51"/>
      <c r="U48" s="51">
        <v>2.6566667E7</v>
      </c>
      <c r="V48" s="51">
        <v>2125333.0</v>
      </c>
      <c r="W48" s="51">
        <v>2.8692E7</v>
      </c>
      <c r="X48" s="47"/>
      <c r="Y48" s="26"/>
      <c r="Z48" s="26"/>
    </row>
    <row r="49" ht="37.5" customHeight="1">
      <c r="A49" s="47" t="s">
        <v>1205</v>
      </c>
      <c r="B49" s="48" t="s">
        <v>1203</v>
      </c>
      <c r="C49" s="49" t="s">
        <v>40</v>
      </c>
      <c r="D49" s="49">
        <v>347.0</v>
      </c>
      <c r="E49" s="50">
        <v>45492.0</v>
      </c>
      <c r="F49" s="51">
        <v>3.0994444E7</v>
      </c>
      <c r="G49" s="51">
        <v>2479556.0</v>
      </c>
      <c r="H49" s="51">
        <v>3.3474E7</v>
      </c>
      <c r="I49" s="49"/>
      <c r="J49" s="52"/>
      <c r="K49" s="50"/>
      <c r="L49" s="51"/>
      <c r="M49" s="51"/>
      <c r="N49" s="51"/>
      <c r="O49" s="49"/>
      <c r="P49" s="52"/>
      <c r="Q49" s="50"/>
      <c r="R49" s="51"/>
      <c r="S49" s="51"/>
      <c r="T49" s="51"/>
      <c r="U49" s="51">
        <v>3.0994444E7</v>
      </c>
      <c r="V49" s="51">
        <v>2479556.0</v>
      </c>
      <c r="W49" s="51">
        <v>3.3474E7</v>
      </c>
      <c r="X49" s="47"/>
      <c r="Y49" s="26"/>
      <c r="Z49" s="26"/>
    </row>
    <row r="50" ht="27.75" customHeight="1">
      <c r="A50" s="47" t="s">
        <v>1219</v>
      </c>
      <c r="B50" s="48" t="s">
        <v>1217</v>
      </c>
      <c r="C50" s="49" t="s">
        <v>40</v>
      </c>
      <c r="D50" s="49">
        <v>348.0</v>
      </c>
      <c r="E50" s="50">
        <v>45492.0</v>
      </c>
      <c r="F50" s="51">
        <v>1.4759259E7</v>
      </c>
      <c r="G50" s="51">
        <v>1180741.0</v>
      </c>
      <c r="H50" s="51">
        <v>1.594E7</v>
      </c>
      <c r="I50" s="49"/>
      <c r="J50" s="52"/>
      <c r="K50" s="50"/>
      <c r="L50" s="51"/>
      <c r="M50" s="51"/>
      <c r="N50" s="51"/>
      <c r="O50" s="49"/>
      <c r="P50" s="52"/>
      <c r="Q50" s="50"/>
      <c r="R50" s="51"/>
      <c r="S50" s="51"/>
      <c r="T50" s="51"/>
      <c r="U50" s="51">
        <v>1.4759259E7</v>
      </c>
      <c r="V50" s="51">
        <v>1180741.0</v>
      </c>
      <c r="W50" s="51">
        <v>1.594E7</v>
      </c>
      <c r="X50" s="47"/>
      <c r="Y50" s="26"/>
      <c r="Z50" s="26"/>
    </row>
    <row r="51" ht="27.75" customHeight="1">
      <c r="A51" s="47" t="s">
        <v>1228</v>
      </c>
      <c r="B51" s="48" t="s">
        <v>1227</v>
      </c>
      <c r="C51" s="49" t="s">
        <v>40</v>
      </c>
      <c r="D51" s="49">
        <v>349.0</v>
      </c>
      <c r="E51" s="50">
        <v>45492.0</v>
      </c>
      <c r="F51" s="51">
        <v>2315833.0</v>
      </c>
      <c r="G51" s="51">
        <v>185267.0</v>
      </c>
      <c r="H51" s="51">
        <v>2501100.0</v>
      </c>
      <c r="I51" s="49" t="s">
        <v>414</v>
      </c>
      <c r="J51" s="52" t="s">
        <v>1233</v>
      </c>
      <c r="K51" s="50">
        <v>45808.0</v>
      </c>
      <c r="L51" s="51">
        <v>257315.0</v>
      </c>
      <c r="M51" s="51">
        <v>20585.0</v>
      </c>
      <c r="N51" s="51">
        <v>277900.0</v>
      </c>
      <c r="O51" s="49"/>
      <c r="P51" s="52"/>
      <c r="Q51" s="50"/>
      <c r="R51" s="51"/>
      <c r="S51" s="51"/>
      <c r="T51" s="51"/>
      <c r="U51" s="51">
        <v>2573148.0</v>
      </c>
      <c r="V51" s="51">
        <v>205852.0</v>
      </c>
      <c r="W51" s="51">
        <v>2779000.0</v>
      </c>
      <c r="X51" s="47"/>
      <c r="Y51" s="26"/>
      <c r="Z51" s="26"/>
    </row>
    <row r="52" ht="27.75" customHeight="1">
      <c r="A52" s="47" t="s">
        <v>1243</v>
      </c>
      <c r="B52" s="48" t="s">
        <v>1241</v>
      </c>
      <c r="C52" s="49" t="s">
        <v>40</v>
      </c>
      <c r="D52" s="49">
        <v>359.0</v>
      </c>
      <c r="E52" s="50">
        <v>45497.0</v>
      </c>
      <c r="F52" s="51">
        <v>4361111.0</v>
      </c>
      <c r="G52" s="51">
        <v>348889.0</v>
      </c>
      <c r="H52" s="51">
        <v>4710000.0</v>
      </c>
      <c r="I52" s="49"/>
      <c r="J52" s="52"/>
      <c r="K52" s="50"/>
      <c r="L52" s="51"/>
      <c r="M52" s="51"/>
      <c r="N52" s="51"/>
      <c r="O52" s="49"/>
      <c r="P52" s="52"/>
      <c r="Q52" s="50"/>
      <c r="R52" s="51"/>
      <c r="S52" s="51"/>
      <c r="T52" s="51"/>
      <c r="U52" s="51">
        <v>4361111.0</v>
      </c>
      <c r="V52" s="51">
        <v>348889.0</v>
      </c>
      <c r="W52" s="51">
        <v>4710000.0</v>
      </c>
      <c r="X52" s="47"/>
      <c r="Y52" s="26"/>
      <c r="Z52" s="26"/>
    </row>
    <row r="53" ht="27.75" customHeight="1">
      <c r="A53" s="47" t="s">
        <v>1254</v>
      </c>
      <c r="B53" s="48" t="s">
        <v>1252</v>
      </c>
      <c r="C53" s="49" t="s">
        <v>40</v>
      </c>
      <c r="D53" s="49">
        <v>360.0</v>
      </c>
      <c r="E53" s="50">
        <v>45502.0</v>
      </c>
      <c r="F53" s="51">
        <v>1971296.0</v>
      </c>
      <c r="G53" s="51">
        <v>157704.0</v>
      </c>
      <c r="H53" s="51">
        <v>2129000.0</v>
      </c>
      <c r="I53" s="49"/>
      <c r="J53" s="52"/>
      <c r="K53" s="50"/>
      <c r="L53" s="51"/>
      <c r="M53" s="51"/>
      <c r="N53" s="51"/>
      <c r="O53" s="49"/>
      <c r="P53" s="52"/>
      <c r="Q53" s="50"/>
      <c r="R53" s="51"/>
      <c r="S53" s="51"/>
      <c r="T53" s="51"/>
      <c r="U53" s="51">
        <v>1971296.0</v>
      </c>
      <c r="V53" s="51">
        <v>157704.0</v>
      </c>
      <c r="W53" s="51">
        <v>2129000.0</v>
      </c>
      <c r="X53" s="47"/>
      <c r="Y53" s="26"/>
      <c r="Z53" s="26"/>
    </row>
    <row r="54" ht="27.75" customHeight="1">
      <c r="A54" s="47" t="s">
        <v>1032</v>
      </c>
      <c r="B54" s="48" t="s">
        <v>1031</v>
      </c>
      <c r="C54" s="49" t="s">
        <v>40</v>
      </c>
      <c r="D54" s="49">
        <v>378.0</v>
      </c>
      <c r="E54" s="50">
        <v>45511.0</v>
      </c>
      <c r="F54" s="51">
        <v>2295370.0</v>
      </c>
      <c r="G54" s="51">
        <v>183630.0</v>
      </c>
      <c r="H54" s="51">
        <v>2479000.0</v>
      </c>
      <c r="I54" s="49"/>
      <c r="J54" s="52"/>
      <c r="K54" s="50"/>
      <c r="L54" s="51"/>
      <c r="M54" s="51"/>
      <c r="N54" s="51"/>
      <c r="O54" s="49"/>
      <c r="P54" s="52"/>
      <c r="Q54" s="50"/>
      <c r="R54" s="51"/>
      <c r="S54" s="51"/>
      <c r="T54" s="51"/>
      <c r="U54" s="51">
        <v>2295370.0</v>
      </c>
      <c r="V54" s="51">
        <v>183630.0</v>
      </c>
      <c r="W54" s="51">
        <v>2479000.0</v>
      </c>
      <c r="X54" s="47"/>
      <c r="Y54" s="26"/>
      <c r="Z54" s="26"/>
    </row>
    <row r="55" ht="27.75" customHeight="1">
      <c r="A55" s="47" t="s">
        <v>1046</v>
      </c>
      <c r="B55" s="48" t="s">
        <v>1044</v>
      </c>
      <c r="C55" s="49" t="s">
        <v>40</v>
      </c>
      <c r="D55" s="49">
        <v>379.0</v>
      </c>
      <c r="E55" s="50">
        <v>45516.0</v>
      </c>
      <c r="F55" s="51">
        <v>1447361.0</v>
      </c>
      <c r="G55" s="51">
        <v>115789.0</v>
      </c>
      <c r="H55" s="51">
        <v>1563150.0</v>
      </c>
      <c r="I55" s="49" t="s">
        <v>414</v>
      </c>
      <c r="J55" s="52" t="s">
        <v>1050</v>
      </c>
      <c r="K55" s="50">
        <v>45808.0</v>
      </c>
      <c r="L55" s="51">
        <v>255417.0</v>
      </c>
      <c r="M55" s="51">
        <v>20433.0</v>
      </c>
      <c r="N55" s="51">
        <v>275850.0</v>
      </c>
      <c r="O55" s="49"/>
      <c r="P55" s="52"/>
      <c r="Q55" s="50"/>
      <c r="R55" s="51"/>
      <c r="S55" s="51"/>
      <c r="T55" s="51"/>
      <c r="U55" s="51">
        <v>1702778.0</v>
      </c>
      <c r="V55" s="51">
        <v>136222.0</v>
      </c>
      <c r="W55" s="51">
        <v>1839000.0</v>
      </c>
      <c r="X55" s="47"/>
      <c r="Y55" s="26"/>
      <c r="Z55" s="26"/>
    </row>
    <row r="56" ht="27.75" customHeight="1">
      <c r="A56" s="47" t="s">
        <v>1062</v>
      </c>
      <c r="B56" s="48" t="s">
        <v>1060</v>
      </c>
      <c r="C56" s="49" t="s">
        <v>40</v>
      </c>
      <c r="D56" s="49">
        <v>380.0</v>
      </c>
      <c r="E56" s="50">
        <v>45516.0</v>
      </c>
      <c r="F56" s="51">
        <v>1505556.0</v>
      </c>
      <c r="G56" s="51">
        <v>120444.0</v>
      </c>
      <c r="H56" s="51">
        <v>1626000.0</v>
      </c>
      <c r="I56" s="49" t="s">
        <v>414</v>
      </c>
      <c r="J56" s="52" t="s">
        <v>1067</v>
      </c>
      <c r="K56" s="50">
        <v>45808.0</v>
      </c>
      <c r="L56" s="51">
        <v>157777.0</v>
      </c>
      <c r="M56" s="51">
        <v>12622.0</v>
      </c>
      <c r="N56" s="51">
        <v>170399.0</v>
      </c>
      <c r="O56" s="49"/>
      <c r="P56" s="52"/>
      <c r="Q56" s="50"/>
      <c r="R56" s="51"/>
      <c r="S56" s="51"/>
      <c r="T56" s="51"/>
      <c r="U56" s="51">
        <v>1663333.0</v>
      </c>
      <c r="V56" s="51">
        <v>133066.0</v>
      </c>
      <c r="W56" s="51">
        <v>1796399.0</v>
      </c>
      <c r="X56" s="47"/>
      <c r="Y56" s="26"/>
      <c r="Z56" s="26"/>
    </row>
    <row r="57" ht="27.75" customHeight="1">
      <c r="A57" s="47" t="s">
        <v>1075</v>
      </c>
      <c r="B57" s="48" t="s">
        <v>1074</v>
      </c>
      <c r="C57" s="49" t="s">
        <v>40</v>
      </c>
      <c r="D57" s="49">
        <v>386.0</v>
      </c>
      <c r="E57" s="50">
        <v>45519.0</v>
      </c>
      <c r="F57" s="51">
        <v>3032500.0</v>
      </c>
      <c r="G57" s="51">
        <v>242600.0</v>
      </c>
      <c r="H57" s="51">
        <v>3275100.0</v>
      </c>
      <c r="I57" s="49" t="s">
        <v>414</v>
      </c>
      <c r="J57" s="52" t="s">
        <v>1079</v>
      </c>
      <c r="K57" s="50">
        <v>45808.0</v>
      </c>
      <c r="L57" s="51">
        <v>373981.0</v>
      </c>
      <c r="M57" s="51">
        <v>29918.0</v>
      </c>
      <c r="N57" s="51">
        <v>403899.0</v>
      </c>
      <c r="O57" s="49"/>
      <c r="P57" s="52"/>
      <c r="Q57" s="50"/>
      <c r="R57" s="51"/>
      <c r="S57" s="51"/>
      <c r="T57" s="51"/>
      <c r="U57" s="51">
        <v>3406481.0</v>
      </c>
      <c r="V57" s="51">
        <v>272518.0</v>
      </c>
      <c r="W57" s="51">
        <v>3678999.0</v>
      </c>
      <c r="X57" s="47"/>
      <c r="Y57" s="26"/>
      <c r="Z57" s="26"/>
    </row>
    <row r="58" ht="27.75" customHeight="1">
      <c r="A58" s="47" t="s">
        <v>1084</v>
      </c>
      <c r="B58" s="48" t="s">
        <v>1082</v>
      </c>
      <c r="C58" s="49" t="s">
        <v>40</v>
      </c>
      <c r="D58" s="49">
        <v>387.0</v>
      </c>
      <c r="E58" s="50">
        <v>45524.0</v>
      </c>
      <c r="F58" s="51">
        <v>7.2618E7</v>
      </c>
      <c r="G58" s="51">
        <v>5809440.0</v>
      </c>
      <c r="H58" s="51">
        <v>7.842744E7</v>
      </c>
      <c r="I58" s="49"/>
      <c r="J58" s="52"/>
      <c r="K58" s="50"/>
      <c r="L58" s="51"/>
      <c r="M58" s="51"/>
      <c r="N58" s="51"/>
      <c r="O58" s="49"/>
      <c r="P58" s="52"/>
      <c r="Q58" s="50"/>
      <c r="R58" s="51"/>
      <c r="S58" s="51"/>
      <c r="T58" s="51"/>
      <c r="U58" s="51">
        <v>7.2618E7</v>
      </c>
      <c r="V58" s="51">
        <v>5809440.0</v>
      </c>
      <c r="W58" s="51">
        <v>7.842744E7</v>
      </c>
      <c r="X58" s="47"/>
      <c r="Y58" s="26"/>
      <c r="Z58" s="26"/>
    </row>
    <row r="59" ht="27.75" customHeight="1">
      <c r="A59" s="47" t="s">
        <v>1096</v>
      </c>
      <c r="B59" s="48" t="s">
        <v>1095</v>
      </c>
      <c r="C59" s="49" t="s">
        <v>40</v>
      </c>
      <c r="D59" s="49">
        <v>392.0</v>
      </c>
      <c r="E59" s="50">
        <v>45525.0</v>
      </c>
      <c r="F59" s="51">
        <v>670185.0</v>
      </c>
      <c r="G59" s="51">
        <v>53615.0</v>
      </c>
      <c r="H59" s="51">
        <v>723800.0</v>
      </c>
      <c r="I59" s="49"/>
      <c r="J59" s="52"/>
      <c r="K59" s="50"/>
      <c r="L59" s="51"/>
      <c r="M59" s="51"/>
      <c r="N59" s="51"/>
      <c r="O59" s="49"/>
      <c r="P59" s="52"/>
      <c r="Q59" s="50"/>
      <c r="R59" s="51"/>
      <c r="S59" s="51"/>
      <c r="T59" s="51"/>
      <c r="U59" s="51">
        <v>670185.0</v>
      </c>
      <c r="V59" s="51">
        <v>53615.0</v>
      </c>
      <c r="W59" s="51">
        <v>723800.0</v>
      </c>
      <c r="X59" s="47"/>
      <c r="Y59" s="26"/>
      <c r="Z59" s="26"/>
    </row>
    <row r="60" ht="27.75" customHeight="1">
      <c r="A60" s="47" t="s">
        <v>76</v>
      </c>
      <c r="B60" s="48" t="s">
        <v>684</v>
      </c>
      <c r="C60" s="49" t="s">
        <v>40</v>
      </c>
      <c r="D60" s="49">
        <v>393.0</v>
      </c>
      <c r="E60" s="50">
        <v>45525.0</v>
      </c>
      <c r="F60" s="51">
        <v>8518519.0</v>
      </c>
      <c r="G60" s="51">
        <v>681482.0</v>
      </c>
      <c r="H60" s="51">
        <v>9200001.0</v>
      </c>
      <c r="I60" s="49"/>
      <c r="J60" s="52"/>
      <c r="K60" s="50"/>
      <c r="L60" s="51"/>
      <c r="M60" s="51"/>
      <c r="N60" s="51"/>
      <c r="O60" s="49"/>
      <c r="P60" s="52"/>
      <c r="Q60" s="50"/>
      <c r="R60" s="51"/>
      <c r="S60" s="51"/>
      <c r="T60" s="51"/>
      <c r="U60" s="51">
        <v>8518519.0</v>
      </c>
      <c r="V60" s="51">
        <v>681482.0</v>
      </c>
      <c r="W60" s="51">
        <v>9200001.0</v>
      </c>
      <c r="X60" s="47"/>
      <c r="Y60" s="26"/>
      <c r="Z60" s="26"/>
    </row>
    <row r="61" ht="27.75" customHeight="1">
      <c r="A61" s="47" t="s">
        <v>76</v>
      </c>
      <c r="B61" s="48" t="s">
        <v>684</v>
      </c>
      <c r="C61" s="49" t="s">
        <v>40</v>
      </c>
      <c r="D61" s="49">
        <v>394.0</v>
      </c>
      <c r="E61" s="50">
        <v>45525.0</v>
      </c>
      <c r="F61" s="51">
        <v>1342593.0</v>
      </c>
      <c r="G61" s="51">
        <v>107407.0</v>
      </c>
      <c r="H61" s="51">
        <v>1450000.0</v>
      </c>
      <c r="I61" s="49"/>
      <c r="J61" s="52"/>
      <c r="K61" s="50"/>
      <c r="L61" s="51"/>
      <c r="M61" s="51"/>
      <c r="N61" s="51"/>
      <c r="O61" s="49"/>
      <c r="P61" s="52"/>
      <c r="Q61" s="50"/>
      <c r="R61" s="51"/>
      <c r="S61" s="51"/>
      <c r="T61" s="51"/>
      <c r="U61" s="51">
        <v>1342593.0</v>
      </c>
      <c r="V61" s="51">
        <v>107407.0</v>
      </c>
      <c r="W61" s="51">
        <v>1450000.0</v>
      </c>
      <c r="X61" s="47"/>
      <c r="Y61" s="26"/>
      <c r="Z61" s="26"/>
    </row>
    <row r="62" ht="27.75" customHeight="1">
      <c r="A62" s="47" t="s">
        <v>563</v>
      </c>
      <c r="B62" s="48" t="s">
        <v>562</v>
      </c>
      <c r="C62" s="49" t="s">
        <v>40</v>
      </c>
      <c r="D62" s="49">
        <v>395.0</v>
      </c>
      <c r="E62" s="50">
        <v>45525.0</v>
      </c>
      <c r="F62" s="51">
        <v>4981482.0</v>
      </c>
      <c r="G62" s="51">
        <v>398519.0</v>
      </c>
      <c r="H62" s="51">
        <v>5380001.0</v>
      </c>
      <c r="I62" s="49"/>
      <c r="J62" s="52"/>
      <c r="K62" s="50"/>
      <c r="L62" s="51"/>
      <c r="M62" s="51"/>
      <c r="N62" s="51"/>
      <c r="O62" s="49"/>
      <c r="P62" s="52"/>
      <c r="Q62" s="50"/>
      <c r="R62" s="51"/>
      <c r="S62" s="51"/>
      <c r="T62" s="51"/>
      <c r="U62" s="51">
        <v>4981482.0</v>
      </c>
      <c r="V62" s="51">
        <v>398519.0</v>
      </c>
      <c r="W62" s="51">
        <v>5380001.0</v>
      </c>
      <c r="X62" s="47"/>
      <c r="Y62" s="26"/>
      <c r="Z62" s="26"/>
    </row>
    <row r="63" ht="37.5" customHeight="1">
      <c r="A63" s="47" t="s">
        <v>1136</v>
      </c>
      <c r="B63" s="48" t="s">
        <v>1134</v>
      </c>
      <c r="C63" s="49" t="s">
        <v>40</v>
      </c>
      <c r="D63" s="49">
        <v>431.0</v>
      </c>
      <c r="E63" s="50">
        <v>45533.0</v>
      </c>
      <c r="F63" s="51">
        <v>2264370.0</v>
      </c>
      <c r="G63" s="51">
        <v>181150.0</v>
      </c>
      <c r="H63" s="51">
        <v>2445520.0</v>
      </c>
      <c r="I63" s="49" t="s">
        <v>414</v>
      </c>
      <c r="J63" s="52" t="s">
        <v>1142</v>
      </c>
      <c r="K63" s="50">
        <v>45808.0</v>
      </c>
      <c r="L63" s="51">
        <v>308778.0</v>
      </c>
      <c r="M63" s="51">
        <v>24702.0</v>
      </c>
      <c r="N63" s="51">
        <v>333480.0</v>
      </c>
      <c r="O63" s="49"/>
      <c r="P63" s="52"/>
      <c r="Q63" s="50"/>
      <c r="R63" s="51"/>
      <c r="S63" s="51"/>
      <c r="T63" s="51"/>
      <c r="U63" s="51">
        <v>2573148.0</v>
      </c>
      <c r="V63" s="51">
        <v>205852.0</v>
      </c>
      <c r="W63" s="51">
        <v>2779000.0</v>
      </c>
      <c r="X63" s="47"/>
      <c r="Y63" s="26"/>
      <c r="Z63" s="26"/>
    </row>
    <row r="64" ht="27.75" customHeight="1">
      <c r="A64" s="47" t="s">
        <v>796</v>
      </c>
      <c r="B64" s="48" t="s">
        <v>795</v>
      </c>
      <c r="C64" s="49" t="s">
        <v>40</v>
      </c>
      <c r="D64" s="49">
        <v>450.0</v>
      </c>
      <c r="E64" s="50">
        <v>45542.0</v>
      </c>
      <c r="F64" s="51">
        <v>673426.0</v>
      </c>
      <c r="G64" s="51">
        <v>53874.0</v>
      </c>
      <c r="H64" s="51">
        <v>727300.0</v>
      </c>
      <c r="I64" s="49" t="s">
        <v>414</v>
      </c>
      <c r="J64" s="52" t="s">
        <v>801</v>
      </c>
      <c r="K64" s="50">
        <v>45808.0</v>
      </c>
      <c r="L64" s="51">
        <v>288611.0</v>
      </c>
      <c r="M64" s="51">
        <v>23089.0</v>
      </c>
      <c r="N64" s="51">
        <v>311700.0</v>
      </c>
      <c r="O64" s="49"/>
      <c r="P64" s="52"/>
      <c r="Q64" s="50"/>
      <c r="R64" s="51"/>
      <c r="S64" s="51"/>
      <c r="T64" s="51"/>
      <c r="U64" s="51">
        <v>962037.0</v>
      </c>
      <c r="V64" s="51">
        <v>76963.0</v>
      </c>
      <c r="W64" s="51">
        <v>1039000.0</v>
      </c>
      <c r="X64" s="47"/>
      <c r="Y64" s="26"/>
      <c r="Z64" s="26"/>
    </row>
    <row r="65" ht="27.75" customHeight="1">
      <c r="A65" s="47" t="s">
        <v>810</v>
      </c>
      <c r="B65" s="48" t="s">
        <v>809</v>
      </c>
      <c r="C65" s="49" t="s">
        <v>40</v>
      </c>
      <c r="D65" s="49">
        <v>451.0</v>
      </c>
      <c r="E65" s="50">
        <v>45542.0</v>
      </c>
      <c r="F65" s="51">
        <v>2026852.0</v>
      </c>
      <c r="G65" s="51">
        <v>162148.0</v>
      </c>
      <c r="H65" s="51">
        <v>2189000.0</v>
      </c>
      <c r="I65" s="49" t="s">
        <v>414</v>
      </c>
      <c r="J65" s="52" t="s">
        <v>815</v>
      </c>
      <c r="K65" s="50">
        <v>45808.0</v>
      </c>
      <c r="L65" s="51">
        <v>231481.0</v>
      </c>
      <c r="M65" s="51">
        <v>18518.0</v>
      </c>
      <c r="N65" s="51">
        <v>249999.0</v>
      </c>
      <c r="O65" s="49"/>
      <c r="P65" s="52"/>
      <c r="Q65" s="50"/>
      <c r="R65" s="51"/>
      <c r="S65" s="51"/>
      <c r="T65" s="51"/>
      <c r="U65" s="51">
        <v>2258333.0</v>
      </c>
      <c r="V65" s="51">
        <v>180666.0</v>
      </c>
      <c r="W65" s="51">
        <v>2438999.0</v>
      </c>
      <c r="X65" s="47"/>
      <c r="Y65" s="26"/>
      <c r="Z65" s="26"/>
    </row>
    <row r="66" ht="37.5" customHeight="1">
      <c r="A66" s="47" t="s">
        <v>823</v>
      </c>
      <c r="B66" s="48" t="s">
        <v>822</v>
      </c>
      <c r="C66" s="49" t="s">
        <v>40</v>
      </c>
      <c r="D66" s="49">
        <v>452.0</v>
      </c>
      <c r="E66" s="50">
        <v>45544.0</v>
      </c>
      <c r="F66" s="51">
        <v>521111.0</v>
      </c>
      <c r="G66" s="51">
        <v>41689.0</v>
      </c>
      <c r="H66" s="51">
        <v>562800.0</v>
      </c>
      <c r="I66" s="49"/>
      <c r="J66" s="52"/>
      <c r="K66" s="50"/>
      <c r="L66" s="51"/>
      <c r="M66" s="51"/>
      <c r="N66" s="51"/>
      <c r="O66" s="49"/>
      <c r="P66" s="52"/>
      <c r="Q66" s="50"/>
      <c r="R66" s="51"/>
      <c r="S66" s="51"/>
      <c r="T66" s="51"/>
      <c r="U66" s="51">
        <v>521111.0</v>
      </c>
      <c r="V66" s="51">
        <v>41689.0</v>
      </c>
      <c r="W66" s="51">
        <v>562800.0</v>
      </c>
      <c r="X66" s="47"/>
      <c r="Y66" s="26"/>
      <c r="Z66" s="26"/>
    </row>
    <row r="67" ht="27.75" customHeight="1">
      <c r="A67" s="47" t="s">
        <v>832</v>
      </c>
      <c r="B67" s="48" t="s">
        <v>830</v>
      </c>
      <c r="C67" s="49" t="s">
        <v>40</v>
      </c>
      <c r="D67" s="49">
        <v>453.0</v>
      </c>
      <c r="E67" s="50">
        <v>45544.0</v>
      </c>
      <c r="F67" s="51">
        <v>1018519.0</v>
      </c>
      <c r="G67" s="51">
        <v>81482.0</v>
      </c>
      <c r="H67" s="51">
        <v>1100001.0</v>
      </c>
      <c r="I67" s="49"/>
      <c r="J67" s="52"/>
      <c r="K67" s="50"/>
      <c r="L67" s="51"/>
      <c r="M67" s="51"/>
      <c r="N67" s="51"/>
      <c r="O67" s="49"/>
      <c r="P67" s="52"/>
      <c r="Q67" s="50"/>
      <c r="R67" s="51"/>
      <c r="S67" s="51"/>
      <c r="T67" s="51"/>
      <c r="U67" s="51">
        <v>1018519.0</v>
      </c>
      <c r="V67" s="51">
        <v>81482.0</v>
      </c>
      <c r="W67" s="51">
        <v>1100001.0</v>
      </c>
      <c r="X67" s="47"/>
      <c r="Y67" s="26"/>
      <c r="Z67" s="26"/>
    </row>
    <row r="68" ht="27.75" customHeight="1">
      <c r="A68" s="47" t="s">
        <v>844</v>
      </c>
      <c r="B68" s="48" t="s">
        <v>843</v>
      </c>
      <c r="C68" s="49" t="s">
        <v>40</v>
      </c>
      <c r="D68" s="49">
        <v>457.0</v>
      </c>
      <c r="E68" s="50">
        <v>45546.0</v>
      </c>
      <c r="F68" s="51">
        <v>1967650.0</v>
      </c>
      <c r="G68" s="51">
        <v>157412.0</v>
      </c>
      <c r="H68" s="51">
        <v>2125062.0</v>
      </c>
      <c r="I68" s="49" t="s">
        <v>414</v>
      </c>
      <c r="J68" s="52" t="s">
        <v>848</v>
      </c>
      <c r="K68" s="50">
        <v>45808.0</v>
      </c>
      <c r="L68" s="51">
        <v>79757.0</v>
      </c>
      <c r="M68" s="51">
        <v>6381.0</v>
      </c>
      <c r="N68" s="51">
        <v>86138.0</v>
      </c>
      <c r="O68" s="49"/>
      <c r="P68" s="52"/>
      <c r="Q68" s="50"/>
      <c r="R68" s="51"/>
      <c r="S68" s="51"/>
      <c r="T68" s="51"/>
      <c r="U68" s="51">
        <v>2047407.0</v>
      </c>
      <c r="V68" s="51">
        <v>163793.0</v>
      </c>
      <c r="W68" s="51">
        <v>2211200.0</v>
      </c>
      <c r="X68" s="47"/>
      <c r="Y68" s="26"/>
      <c r="Z68" s="26"/>
    </row>
    <row r="69" ht="27.75" customHeight="1">
      <c r="A69" s="47" t="s">
        <v>620</v>
      </c>
      <c r="B69" s="48" t="s">
        <v>858</v>
      </c>
      <c r="C69" s="49" t="s">
        <v>40</v>
      </c>
      <c r="D69" s="49">
        <v>458.0</v>
      </c>
      <c r="E69" s="50">
        <v>45547.0</v>
      </c>
      <c r="F69" s="51">
        <v>2.7546296E7</v>
      </c>
      <c r="G69" s="51">
        <v>2203704.0</v>
      </c>
      <c r="H69" s="51">
        <v>2.975E7</v>
      </c>
      <c r="I69" s="49"/>
      <c r="J69" s="52"/>
      <c r="K69" s="50"/>
      <c r="L69" s="51"/>
      <c r="M69" s="51"/>
      <c r="N69" s="51"/>
      <c r="O69" s="49"/>
      <c r="P69" s="52"/>
      <c r="Q69" s="50"/>
      <c r="R69" s="51"/>
      <c r="S69" s="51"/>
      <c r="T69" s="51"/>
      <c r="U69" s="51">
        <v>2.7546296E7</v>
      </c>
      <c r="V69" s="51">
        <v>2203704.0</v>
      </c>
      <c r="W69" s="51">
        <v>2.975E7</v>
      </c>
      <c r="X69" s="47"/>
      <c r="Y69" s="26"/>
      <c r="Z69" s="26"/>
    </row>
    <row r="70" ht="27.75" customHeight="1">
      <c r="A70" s="47" t="s">
        <v>872</v>
      </c>
      <c r="B70" s="48" t="s">
        <v>871</v>
      </c>
      <c r="C70" s="49" t="s">
        <v>40</v>
      </c>
      <c r="D70" s="49">
        <v>459.0</v>
      </c>
      <c r="E70" s="50">
        <v>45551.0</v>
      </c>
      <c r="F70" s="51">
        <v>867870.0</v>
      </c>
      <c r="G70" s="51">
        <v>69430.0</v>
      </c>
      <c r="H70" s="51">
        <v>937300.0</v>
      </c>
      <c r="I70" s="49" t="s">
        <v>414</v>
      </c>
      <c r="J70" s="52" t="s">
        <v>877</v>
      </c>
      <c r="K70" s="50">
        <v>45808.0</v>
      </c>
      <c r="L70" s="51">
        <v>371945.0</v>
      </c>
      <c r="M70" s="51">
        <v>29756.0</v>
      </c>
      <c r="N70" s="51">
        <v>401701.0</v>
      </c>
      <c r="O70" s="49"/>
      <c r="P70" s="52"/>
      <c r="Q70" s="50"/>
      <c r="R70" s="51"/>
      <c r="S70" s="51"/>
      <c r="T70" s="51"/>
      <c r="U70" s="51">
        <v>1239815.0</v>
      </c>
      <c r="V70" s="51">
        <v>99186.0</v>
      </c>
      <c r="W70" s="51">
        <v>1339001.0</v>
      </c>
      <c r="X70" s="47"/>
      <c r="Y70" s="26"/>
      <c r="Z70" s="26"/>
    </row>
    <row r="71" ht="27.75" customHeight="1">
      <c r="A71" s="47" t="s">
        <v>892</v>
      </c>
      <c r="B71" s="48" t="s">
        <v>890</v>
      </c>
      <c r="C71" s="49" t="s">
        <v>40</v>
      </c>
      <c r="D71" s="49">
        <v>460.0</v>
      </c>
      <c r="E71" s="50">
        <v>45552.0</v>
      </c>
      <c r="F71" s="51">
        <v>1447361.0</v>
      </c>
      <c r="G71" s="51">
        <v>115789.0</v>
      </c>
      <c r="H71" s="51">
        <v>1563150.0</v>
      </c>
      <c r="I71" s="49" t="s">
        <v>414</v>
      </c>
      <c r="J71" s="52" t="s">
        <v>897</v>
      </c>
      <c r="K71" s="50">
        <v>45808.0</v>
      </c>
      <c r="L71" s="51">
        <v>255417.0</v>
      </c>
      <c r="M71" s="51">
        <v>20433.0</v>
      </c>
      <c r="N71" s="51">
        <v>275850.0</v>
      </c>
      <c r="O71" s="49"/>
      <c r="P71" s="52"/>
      <c r="Q71" s="50"/>
      <c r="R71" s="51"/>
      <c r="S71" s="51"/>
      <c r="T71" s="51"/>
      <c r="U71" s="51">
        <v>1702778.0</v>
      </c>
      <c r="V71" s="51">
        <v>136222.0</v>
      </c>
      <c r="W71" s="51">
        <v>1839000.0</v>
      </c>
      <c r="X71" s="47"/>
      <c r="Y71" s="26"/>
      <c r="Z71" s="26"/>
    </row>
    <row r="72" ht="27.75" customHeight="1">
      <c r="A72" s="47" t="s">
        <v>910</v>
      </c>
      <c r="B72" s="48" t="s">
        <v>909</v>
      </c>
      <c r="C72" s="49" t="s">
        <v>40</v>
      </c>
      <c r="D72" s="49">
        <v>461.0</v>
      </c>
      <c r="E72" s="50">
        <v>45553.0</v>
      </c>
      <c r="F72" s="51">
        <v>795370.0</v>
      </c>
      <c r="G72" s="51">
        <v>63630.0</v>
      </c>
      <c r="H72" s="51">
        <v>859000.0</v>
      </c>
      <c r="I72" s="49" t="s">
        <v>414</v>
      </c>
      <c r="J72" s="52" t="s">
        <v>918</v>
      </c>
      <c r="K72" s="50">
        <v>45808.0</v>
      </c>
      <c r="L72" s="51">
        <v>166667.0</v>
      </c>
      <c r="M72" s="51">
        <v>13333.0</v>
      </c>
      <c r="N72" s="51">
        <v>180000.0</v>
      </c>
      <c r="O72" s="49"/>
      <c r="P72" s="52"/>
      <c r="Q72" s="50"/>
      <c r="R72" s="51"/>
      <c r="S72" s="51"/>
      <c r="T72" s="51"/>
      <c r="U72" s="51">
        <v>962037.0</v>
      </c>
      <c r="V72" s="51">
        <v>76963.0</v>
      </c>
      <c r="W72" s="51">
        <v>1039000.0</v>
      </c>
      <c r="X72" s="47"/>
      <c r="Y72" s="26"/>
      <c r="Z72" s="26"/>
    </row>
    <row r="73" ht="27.75" customHeight="1">
      <c r="A73" s="47" t="s">
        <v>932</v>
      </c>
      <c r="B73" s="48" t="s">
        <v>930</v>
      </c>
      <c r="C73" s="49" t="s">
        <v>40</v>
      </c>
      <c r="D73" s="49">
        <v>463.0</v>
      </c>
      <c r="E73" s="50">
        <v>45555.0</v>
      </c>
      <c r="F73" s="51">
        <v>2315833.0</v>
      </c>
      <c r="G73" s="51">
        <v>185267.0</v>
      </c>
      <c r="H73" s="51">
        <v>2501100.0</v>
      </c>
      <c r="I73" s="49" t="s">
        <v>414</v>
      </c>
      <c r="J73" s="52" t="s">
        <v>937</v>
      </c>
      <c r="K73" s="50">
        <v>45808.0</v>
      </c>
      <c r="L73" s="51">
        <v>257315.0</v>
      </c>
      <c r="M73" s="51">
        <v>20585.0</v>
      </c>
      <c r="N73" s="51">
        <v>277900.0</v>
      </c>
      <c r="O73" s="49"/>
      <c r="P73" s="52"/>
      <c r="Q73" s="50"/>
      <c r="R73" s="51"/>
      <c r="S73" s="51"/>
      <c r="T73" s="51"/>
      <c r="U73" s="51">
        <v>2573148.0</v>
      </c>
      <c r="V73" s="51">
        <v>205852.0</v>
      </c>
      <c r="W73" s="51">
        <v>2779000.0</v>
      </c>
      <c r="X73" s="47"/>
      <c r="Y73" s="26"/>
      <c r="Z73" s="26"/>
    </row>
    <row r="74" ht="27.75" customHeight="1">
      <c r="A74" s="47" t="s">
        <v>951</v>
      </c>
      <c r="B74" s="48" t="s">
        <v>949</v>
      </c>
      <c r="C74" s="49" t="s">
        <v>40</v>
      </c>
      <c r="D74" s="49">
        <v>464.0</v>
      </c>
      <c r="E74" s="50">
        <v>45555.0</v>
      </c>
      <c r="F74" s="51">
        <v>1801204.0</v>
      </c>
      <c r="G74" s="51">
        <v>144096.0</v>
      </c>
      <c r="H74" s="51">
        <v>1945300.0</v>
      </c>
      <c r="I74" s="49" t="s">
        <v>414</v>
      </c>
      <c r="J74" s="52" t="s">
        <v>958</v>
      </c>
      <c r="K74" s="50">
        <v>45808.0</v>
      </c>
      <c r="L74" s="51">
        <v>771944.0</v>
      </c>
      <c r="M74" s="51">
        <v>61756.0</v>
      </c>
      <c r="N74" s="51">
        <v>833700.0</v>
      </c>
      <c r="O74" s="49"/>
      <c r="P74" s="52"/>
      <c r="Q74" s="50"/>
      <c r="R74" s="51"/>
      <c r="S74" s="51"/>
      <c r="T74" s="51"/>
      <c r="U74" s="51">
        <v>2573148.0</v>
      </c>
      <c r="V74" s="51">
        <v>205852.0</v>
      </c>
      <c r="W74" s="51">
        <v>2779000.0</v>
      </c>
      <c r="X74" s="47"/>
      <c r="Y74" s="26"/>
      <c r="Z74" s="26"/>
    </row>
    <row r="75" ht="27.75" customHeight="1">
      <c r="A75" s="47" t="s">
        <v>969</v>
      </c>
      <c r="B75" s="48" t="s">
        <v>967</v>
      </c>
      <c r="C75" s="49" t="s">
        <v>40</v>
      </c>
      <c r="D75" s="49">
        <v>469.0</v>
      </c>
      <c r="E75" s="50">
        <v>45556.0</v>
      </c>
      <c r="F75" s="51">
        <v>284537.0</v>
      </c>
      <c r="G75" s="51">
        <v>22763.0</v>
      </c>
      <c r="H75" s="51">
        <v>307300.0</v>
      </c>
      <c r="I75" s="49" t="s">
        <v>414</v>
      </c>
      <c r="J75" s="52" t="s">
        <v>975</v>
      </c>
      <c r="K75" s="50">
        <v>45808.0</v>
      </c>
      <c r="L75" s="51">
        <v>121944.0</v>
      </c>
      <c r="M75" s="51">
        <v>9756.0</v>
      </c>
      <c r="N75" s="51">
        <v>131700.0</v>
      </c>
      <c r="O75" s="49"/>
      <c r="P75" s="52"/>
      <c r="Q75" s="50"/>
      <c r="R75" s="51"/>
      <c r="S75" s="51"/>
      <c r="T75" s="51"/>
      <c r="U75" s="51">
        <v>406481.0</v>
      </c>
      <c r="V75" s="51">
        <v>32519.0</v>
      </c>
      <c r="W75" s="51">
        <v>439000.0</v>
      </c>
      <c r="X75" s="47"/>
      <c r="Y75" s="26"/>
      <c r="Z75" s="26"/>
    </row>
    <row r="76" ht="27.75" customHeight="1">
      <c r="A76" s="47" t="s">
        <v>983</v>
      </c>
      <c r="B76" s="48" t="s">
        <v>982</v>
      </c>
      <c r="C76" s="49" t="s">
        <v>40</v>
      </c>
      <c r="D76" s="49">
        <v>470.0</v>
      </c>
      <c r="E76" s="50">
        <v>45559.0</v>
      </c>
      <c r="F76" s="51">
        <v>1148074.0</v>
      </c>
      <c r="G76" s="51">
        <v>91846.0</v>
      </c>
      <c r="H76" s="51">
        <v>1239920.0</v>
      </c>
      <c r="I76" s="49"/>
      <c r="J76" s="52"/>
      <c r="K76" s="50"/>
      <c r="L76" s="51"/>
      <c r="M76" s="51"/>
      <c r="N76" s="51"/>
      <c r="O76" s="49"/>
      <c r="P76" s="52"/>
      <c r="Q76" s="50"/>
      <c r="R76" s="51"/>
      <c r="S76" s="51"/>
      <c r="T76" s="51"/>
      <c r="U76" s="51">
        <v>1148074.0</v>
      </c>
      <c r="V76" s="51">
        <v>91846.0</v>
      </c>
      <c r="W76" s="51">
        <v>1239920.0</v>
      </c>
      <c r="X76" s="47"/>
      <c r="Y76" s="26"/>
      <c r="Z76" s="26"/>
    </row>
    <row r="77" ht="27.75" customHeight="1">
      <c r="A77" s="47" t="s">
        <v>994</v>
      </c>
      <c r="B77" s="48" t="s">
        <v>993</v>
      </c>
      <c r="C77" s="49" t="s">
        <v>40</v>
      </c>
      <c r="D77" s="49">
        <v>471.0</v>
      </c>
      <c r="E77" s="50">
        <v>45559.0</v>
      </c>
      <c r="F77" s="51">
        <v>786111.0</v>
      </c>
      <c r="G77" s="51">
        <v>62889.0</v>
      </c>
      <c r="H77" s="51">
        <v>849000.0</v>
      </c>
      <c r="I77" s="49" t="s">
        <v>414</v>
      </c>
      <c r="J77" s="52" t="s">
        <v>1003</v>
      </c>
      <c r="K77" s="50">
        <v>45808.0</v>
      </c>
      <c r="L77" s="51">
        <v>138889.0</v>
      </c>
      <c r="M77" s="51">
        <v>11111.0</v>
      </c>
      <c r="N77" s="51">
        <v>150000.0</v>
      </c>
      <c r="O77" s="49"/>
      <c r="P77" s="52"/>
      <c r="Q77" s="50"/>
      <c r="R77" s="51"/>
      <c r="S77" s="51"/>
      <c r="T77" s="51"/>
      <c r="U77" s="51">
        <v>925000.0</v>
      </c>
      <c r="V77" s="51">
        <v>74000.0</v>
      </c>
      <c r="W77" s="51">
        <v>999000.0</v>
      </c>
      <c r="X77" s="47"/>
      <c r="Y77" s="26"/>
      <c r="Z77" s="26"/>
    </row>
    <row r="78" ht="27.75" customHeight="1">
      <c r="A78" s="47" t="s">
        <v>1015</v>
      </c>
      <c r="B78" s="48" t="s">
        <v>1014</v>
      </c>
      <c r="C78" s="49" t="s">
        <v>40</v>
      </c>
      <c r="D78" s="49">
        <v>479.0</v>
      </c>
      <c r="E78" s="50">
        <v>45561.0</v>
      </c>
      <c r="F78" s="51">
        <v>3405111.0</v>
      </c>
      <c r="G78" s="51">
        <v>272409.0</v>
      </c>
      <c r="H78" s="51">
        <v>3677520.0</v>
      </c>
      <c r="I78" s="49" t="s">
        <v>414</v>
      </c>
      <c r="J78" s="52" t="s">
        <v>1020</v>
      </c>
      <c r="K78" s="50">
        <v>45808.0</v>
      </c>
      <c r="L78" s="51">
        <v>464333.0</v>
      </c>
      <c r="M78" s="51">
        <v>37147.0</v>
      </c>
      <c r="N78" s="51">
        <v>501480.0</v>
      </c>
      <c r="O78" s="49"/>
      <c r="P78" s="52"/>
      <c r="Q78" s="50"/>
      <c r="R78" s="51"/>
      <c r="S78" s="51"/>
      <c r="T78" s="51"/>
      <c r="U78" s="51">
        <v>3869444.0</v>
      </c>
      <c r="V78" s="51">
        <v>309556.0</v>
      </c>
      <c r="W78" s="51">
        <v>4179000.0</v>
      </c>
      <c r="X78" s="47"/>
      <c r="Y78" s="26"/>
      <c r="Z78" s="26"/>
    </row>
    <row r="79" ht="27.75" customHeight="1">
      <c r="A79" s="47" t="s">
        <v>515</v>
      </c>
      <c r="B79" s="48" t="s">
        <v>514</v>
      </c>
      <c r="C79" s="49" t="s">
        <v>40</v>
      </c>
      <c r="D79" s="49">
        <v>501.0</v>
      </c>
      <c r="E79" s="50">
        <v>45566.0</v>
      </c>
      <c r="F79" s="51">
        <v>147407.0</v>
      </c>
      <c r="G79" s="51">
        <v>11793.0</v>
      </c>
      <c r="H79" s="51">
        <v>159200.0</v>
      </c>
      <c r="I79" s="49" t="s">
        <v>414</v>
      </c>
      <c r="J79" s="52" t="s">
        <v>519</v>
      </c>
      <c r="K79" s="50">
        <v>45808.0</v>
      </c>
      <c r="L79" s="51">
        <v>36852.0</v>
      </c>
      <c r="M79" s="51">
        <v>2948.0</v>
      </c>
      <c r="N79" s="51">
        <v>39800.0</v>
      </c>
      <c r="O79" s="49"/>
      <c r="P79" s="52"/>
      <c r="Q79" s="50"/>
      <c r="R79" s="51"/>
      <c r="S79" s="51"/>
      <c r="T79" s="51"/>
      <c r="U79" s="51">
        <v>184259.0</v>
      </c>
      <c r="V79" s="51">
        <v>14741.0</v>
      </c>
      <c r="W79" s="51">
        <v>199000.0</v>
      </c>
      <c r="X79" s="47"/>
      <c r="Y79" s="26"/>
      <c r="Z79" s="26"/>
    </row>
    <row r="80" ht="27.75" customHeight="1">
      <c r="A80" s="47" t="s">
        <v>529</v>
      </c>
      <c r="B80" s="48" t="s">
        <v>528</v>
      </c>
      <c r="C80" s="49" t="s">
        <v>40</v>
      </c>
      <c r="D80" s="49">
        <v>509.0</v>
      </c>
      <c r="E80" s="50">
        <v>45568.0</v>
      </c>
      <c r="F80" s="51">
        <v>340000.0</v>
      </c>
      <c r="G80" s="51">
        <v>27200.0</v>
      </c>
      <c r="H80" s="51">
        <v>367200.0</v>
      </c>
      <c r="I80" s="49" t="s">
        <v>414</v>
      </c>
      <c r="J80" s="52" t="s">
        <v>535</v>
      </c>
      <c r="K80" s="50">
        <v>45808.0</v>
      </c>
      <c r="L80" s="51">
        <v>85000.0</v>
      </c>
      <c r="M80" s="51">
        <v>6800.0</v>
      </c>
      <c r="N80" s="51">
        <v>91800.0</v>
      </c>
      <c r="O80" s="49"/>
      <c r="P80" s="52"/>
      <c r="Q80" s="50"/>
      <c r="R80" s="51"/>
      <c r="S80" s="51"/>
      <c r="T80" s="51"/>
      <c r="U80" s="51">
        <v>425000.0</v>
      </c>
      <c r="V80" s="51">
        <v>34000.0</v>
      </c>
      <c r="W80" s="51">
        <v>459000.0</v>
      </c>
      <c r="X80" s="47"/>
      <c r="Y80" s="26"/>
      <c r="Z80" s="26"/>
    </row>
    <row r="81" ht="27.75" customHeight="1">
      <c r="A81" s="47" t="s">
        <v>544</v>
      </c>
      <c r="B81" s="48" t="s">
        <v>543</v>
      </c>
      <c r="C81" s="49" t="s">
        <v>40</v>
      </c>
      <c r="D81" s="49">
        <v>510.0</v>
      </c>
      <c r="E81" s="50">
        <v>45568.0</v>
      </c>
      <c r="F81" s="51">
        <v>2367296.0</v>
      </c>
      <c r="G81" s="51">
        <v>189384.0</v>
      </c>
      <c r="H81" s="51">
        <v>2556680.0</v>
      </c>
      <c r="I81" s="49" t="s">
        <v>414</v>
      </c>
      <c r="J81" s="52" t="s">
        <v>553</v>
      </c>
      <c r="K81" s="50">
        <v>45808.0</v>
      </c>
      <c r="L81" s="51">
        <v>205852.0</v>
      </c>
      <c r="M81" s="51">
        <v>16468.0</v>
      </c>
      <c r="N81" s="51">
        <v>222320.0</v>
      </c>
      <c r="O81" s="49"/>
      <c r="P81" s="52"/>
      <c r="Q81" s="50"/>
      <c r="R81" s="51"/>
      <c r="S81" s="51"/>
      <c r="T81" s="51"/>
      <c r="U81" s="51">
        <v>2573148.0</v>
      </c>
      <c r="V81" s="51">
        <v>205852.0</v>
      </c>
      <c r="W81" s="51">
        <v>2779000.0</v>
      </c>
      <c r="X81" s="47"/>
      <c r="Y81" s="26"/>
      <c r="Z81" s="26"/>
    </row>
    <row r="82" ht="27.75" customHeight="1">
      <c r="A82" s="47" t="s">
        <v>563</v>
      </c>
      <c r="B82" s="48" t="s">
        <v>562</v>
      </c>
      <c r="C82" s="49" t="s">
        <v>40</v>
      </c>
      <c r="D82" s="49">
        <v>511.0</v>
      </c>
      <c r="E82" s="50">
        <v>45569.0</v>
      </c>
      <c r="F82" s="51">
        <v>1.4444444E7</v>
      </c>
      <c r="G82" s="51">
        <v>1155556.0</v>
      </c>
      <c r="H82" s="51">
        <v>1.56E7</v>
      </c>
      <c r="I82" s="49"/>
      <c r="J82" s="52"/>
      <c r="K82" s="50"/>
      <c r="L82" s="51"/>
      <c r="M82" s="51"/>
      <c r="N82" s="51"/>
      <c r="O82" s="49"/>
      <c r="P82" s="52"/>
      <c r="Q82" s="50"/>
      <c r="R82" s="51"/>
      <c r="S82" s="51"/>
      <c r="T82" s="51"/>
      <c r="U82" s="51">
        <v>1.4444444E7</v>
      </c>
      <c r="V82" s="51">
        <v>1155556.0</v>
      </c>
      <c r="W82" s="51">
        <v>1.56E7</v>
      </c>
      <c r="X82" s="47"/>
      <c r="Y82" s="26"/>
      <c r="Z82" s="26"/>
    </row>
    <row r="83" ht="27.75" customHeight="1">
      <c r="A83" s="47" t="s">
        <v>573</v>
      </c>
      <c r="B83" s="48" t="s">
        <v>571</v>
      </c>
      <c r="C83" s="49" t="s">
        <v>40</v>
      </c>
      <c r="D83" s="49">
        <v>514.0</v>
      </c>
      <c r="E83" s="50">
        <v>45574.0</v>
      </c>
      <c r="F83" s="51">
        <v>7738889.0</v>
      </c>
      <c r="G83" s="51">
        <v>619111.0</v>
      </c>
      <c r="H83" s="51">
        <v>8358000.0</v>
      </c>
      <c r="I83" s="49"/>
      <c r="J83" s="52"/>
      <c r="K83" s="50"/>
      <c r="L83" s="51"/>
      <c r="M83" s="51"/>
      <c r="N83" s="51"/>
      <c r="O83" s="49"/>
      <c r="P83" s="52"/>
      <c r="Q83" s="50"/>
      <c r="R83" s="51"/>
      <c r="S83" s="51"/>
      <c r="T83" s="51"/>
      <c r="U83" s="51">
        <v>7738889.0</v>
      </c>
      <c r="V83" s="51">
        <v>619111.0</v>
      </c>
      <c r="W83" s="51">
        <v>8358000.0</v>
      </c>
      <c r="X83" s="47"/>
      <c r="Y83" s="26"/>
      <c r="Z83" s="26"/>
    </row>
    <row r="84" ht="27.75" customHeight="1">
      <c r="A84" s="47" t="s">
        <v>584</v>
      </c>
      <c r="B84" s="48" t="s">
        <v>583</v>
      </c>
      <c r="C84" s="49" t="s">
        <v>40</v>
      </c>
      <c r="D84" s="49">
        <v>515.0</v>
      </c>
      <c r="E84" s="50">
        <v>45574.0</v>
      </c>
      <c r="F84" s="51">
        <v>2399167.0</v>
      </c>
      <c r="G84" s="51">
        <v>191933.0</v>
      </c>
      <c r="H84" s="51">
        <v>2591100.0</v>
      </c>
      <c r="I84" s="49" t="s">
        <v>414</v>
      </c>
      <c r="J84" s="52" t="s">
        <v>591</v>
      </c>
      <c r="K84" s="50">
        <v>45808.0</v>
      </c>
      <c r="L84" s="51">
        <v>266574.0</v>
      </c>
      <c r="M84" s="51">
        <v>21326.0</v>
      </c>
      <c r="N84" s="51">
        <v>287900.0</v>
      </c>
      <c r="O84" s="49"/>
      <c r="P84" s="52"/>
      <c r="Q84" s="50"/>
      <c r="R84" s="51"/>
      <c r="S84" s="51"/>
      <c r="T84" s="51"/>
      <c r="U84" s="51">
        <v>2665741.0</v>
      </c>
      <c r="V84" s="51">
        <v>213259.0</v>
      </c>
      <c r="W84" s="51">
        <v>2879000.0</v>
      </c>
      <c r="X84" s="47"/>
      <c r="Y84" s="26"/>
      <c r="Z84" s="26"/>
    </row>
    <row r="85" ht="27.75" customHeight="1">
      <c r="A85" s="47" t="s">
        <v>596</v>
      </c>
      <c r="B85" s="48" t="s">
        <v>595</v>
      </c>
      <c r="C85" s="49" t="s">
        <v>40</v>
      </c>
      <c r="D85" s="49">
        <v>516.0</v>
      </c>
      <c r="E85" s="50">
        <v>45579.0</v>
      </c>
      <c r="F85" s="51">
        <v>2202778.0</v>
      </c>
      <c r="G85" s="51">
        <v>176222.0</v>
      </c>
      <c r="H85" s="51">
        <v>2379000.0</v>
      </c>
      <c r="I85" s="49" t="s">
        <v>414</v>
      </c>
      <c r="J85" s="52" t="s">
        <v>600</v>
      </c>
      <c r="K85" s="50">
        <v>45808.0</v>
      </c>
      <c r="L85" s="51">
        <v>370370.0</v>
      </c>
      <c r="M85" s="51">
        <v>29630.0</v>
      </c>
      <c r="N85" s="51">
        <v>400000.0</v>
      </c>
      <c r="O85" s="49"/>
      <c r="P85" s="52"/>
      <c r="Q85" s="50"/>
      <c r="R85" s="51"/>
      <c r="S85" s="51"/>
      <c r="T85" s="51"/>
      <c r="U85" s="51">
        <v>2573148.0</v>
      </c>
      <c r="V85" s="51">
        <v>205852.0</v>
      </c>
      <c r="W85" s="51">
        <v>2779000.0</v>
      </c>
      <c r="X85" s="47"/>
      <c r="Y85" s="26"/>
      <c r="Z85" s="26"/>
    </row>
    <row r="86" ht="27.75" customHeight="1">
      <c r="A86" s="47" t="s">
        <v>606</v>
      </c>
      <c r="B86" s="48" t="s">
        <v>604</v>
      </c>
      <c r="C86" s="49" t="s">
        <v>40</v>
      </c>
      <c r="D86" s="49">
        <v>517.0</v>
      </c>
      <c r="E86" s="50">
        <v>45579.0</v>
      </c>
      <c r="F86" s="51">
        <v>1702778.0</v>
      </c>
      <c r="G86" s="51">
        <v>136222.0</v>
      </c>
      <c r="H86" s="51">
        <v>1839000.0</v>
      </c>
      <c r="I86" s="49"/>
      <c r="J86" s="52"/>
      <c r="K86" s="50"/>
      <c r="L86" s="51"/>
      <c r="M86" s="51"/>
      <c r="N86" s="51"/>
      <c r="O86" s="49"/>
      <c r="P86" s="52"/>
      <c r="Q86" s="50"/>
      <c r="R86" s="51"/>
      <c r="S86" s="51"/>
      <c r="T86" s="51"/>
      <c r="U86" s="51">
        <v>1702778.0</v>
      </c>
      <c r="V86" s="51">
        <v>136222.0</v>
      </c>
      <c r="W86" s="51">
        <v>1839000.0</v>
      </c>
      <c r="X86" s="47"/>
      <c r="Y86" s="26"/>
      <c r="Z86" s="26"/>
    </row>
    <row r="87" ht="27.75" customHeight="1">
      <c r="A87" s="47" t="s">
        <v>619</v>
      </c>
      <c r="B87" s="48" t="s">
        <v>618</v>
      </c>
      <c r="C87" s="49" t="s">
        <v>40</v>
      </c>
      <c r="D87" s="49">
        <v>518.0</v>
      </c>
      <c r="E87" s="50">
        <v>45579.0</v>
      </c>
      <c r="F87" s="51">
        <v>846593.0</v>
      </c>
      <c r="G87" s="51">
        <v>67727.0</v>
      </c>
      <c r="H87" s="51">
        <v>914320.0</v>
      </c>
      <c r="I87" s="49" t="s">
        <v>414</v>
      </c>
      <c r="J87" s="52" t="s">
        <v>628</v>
      </c>
      <c r="K87" s="50">
        <v>45808.0</v>
      </c>
      <c r="L87" s="51">
        <v>115444.0</v>
      </c>
      <c r="M87" s="51">
        <v>9236.0</v>
      </c>
      <c r="N87" s="51">
        <v>124680.0</v>
      </c>
      <c r="O87" s="49"/>
      <c r="P87" s="52"/>
      <c r="Q87" s="50"/>
      <c r="R87" s="51"/>
      <c r="S87" s="51"/>
      <c r="T87" s="51"/>
      <c r="U87" s="51">
        <v>962037.0</v>
      </c>
      <c r="V87" s="51">
        <v>76963.0</v>
      </c>
      <c r="W87" s="51">
        <v>1039000.0</v>
      </c>
      <c r="X87" s="47"/>
      <c r="Y87" s="26"/>
      <c r="Z87" s="26"/>
    </row>
    <row r="88" ht="27.75" customHeight="1">
      <c r="A88" s="47" t="s">
        <v>638</v>
      </c>
      <c r="B88" s="48" t="s">
        <v>637</v>
      </c>
      <c r="C88" s="49" t="s">
        <v>40</v>
      </c>
      <c r="D88" s="49">
        <v>523.0</v>
      </c>
      <c r="E88" s="50">
        <v>45581.0</v>
      </c>
      <c r="F88" s="51">
        <v>1532500.0</v>
      </c>
      <c r="G88" s="51">
        <v>122600.0</v>
      </c>
      <c r="H88" s="51">
        <v>1655100.0</v>
      </c>
      <c r="I88" s="49" t="s">
        <v>414</v>
      </c>
      <c r="J88" s="52" t="s">
        <v>642</v>
      </c>
      <c r="K88" s="50">
        <v>45808.0</v>
      </c>
      <c r="L88" s="51">
        <v>170278.0</v>
      </c>
      <c r="M88" s="51">
        <v>13622.0</v>
      </c>
      <c r="N88" s="51">
        <v>183900.0</v>
      </c>
      <c r="O88" s="49"/>
      <c r="P88" s="52"/>
      <c r="Q88" s="50"/>
      <c r="R88" s="51"/>
      <c r="S88" s="51"/>
      <c r="T88" s="51"/>
      <c r="U88" s="51">
        <v>1702778.0</v>
      </c>
      <c r="V88" s="51">
        <v>136222.0</v>
      </c>
      <c r="W88" s="51">
        <v>1839000.0</v>
      </c>
      <c r="X88" s="47"/>
      <c r="Y88" s="26"/>
      <c r="Z88" s="26"/>
    </row>
    <row r="89" ht="27.75" customHeight="1">
      <c r="A89" s="47" t="s">
        <v>655</v>
      </c>
      <c r="B89" s="48" t="s">
        <v>653</v>
      </c>
      <c r="C89" s="49" t="s">
        <v>40</v>
      </c>
      <c r="D89" s="49">
        <v>524.0</v>
      </c>
      <c r="E89" s="50">
        <v>45581.0</v>
      </c>
      <c r="F89" s="51">
        <v>2283333.0</v>
      </c>
      <c r="G89" s="51">
        <v>182667.0</v>
      </c>
      <c r="H89" s="51">
        <v>2466000.0</v>
      </c>
      <c r="I89" s="49" t="s">
        <v>414</v>
      </c>
      <c r="J89" s="52" t="s">
        <v>659</v>
      </c>
      <c r="K89" s="50">
        <v>45808.0</v>
      </c>
      <c r="L89" s="51">
        <v>231852.0</v>
      </c>
      <c r="M89" s="51">
        <v>18548.0</v>
      </c>
      <c r="N89" s="51">
        <v>250400.0</v>
      </c>
      <c r="O89" s="49"/>
      <c r="P89" s="52"/>
      <c r="Q89" s="50"/>
      <c r="R89" s="51"/>
      <c r="S89" s="51"/>
      <c r="T89" s="51"/>
      <c r="U89" s="51">
        <v>2515185.0</v>
      </c>
      <c r="V89" s="51">
        <v>201215.0</v>
      </c>
      <c r="W89" s="51">
        <v>2716400.0</v>
      </c>
      <c r="X89" s="47"/>
      <c r="Y89" s="26"/>
      <c r="Z89" s="26"/>
    </row>
    <row r="90" ht="27.75" customHeight="1">
      <c r="A90" s="47" t="s">
        <v>668</v>
      </c>
      <c r="B90" s="48" t="s">
        <v>667</v>
      </c>
      <c r="C90" s="49" t="s">
        <v>40</v>
      </c>
      <c r="D90" s="49">
        <v>526.0</v>
      </c>
      <c r="E90" s="50">
        <v>45582.0</v>
      </c>
      <c r="F90" s="51">
        <v>1532500.0</v>
      </c>
      <c r="G90" s="51">
        <v>122600.0</v>
      </c>
      <c r="H90" s="51">
        <v>1655100.0</v>
      </c>
      <c r="I90" s="49" t="s">
        <v>414</v>
      </c>
      <c r="J90" s="52" t="s">
        <v>675</v>
      </c>
      <c r="K90" s="50">
        <v>45808.0</v>
      </c>
      <c r="L90" s="51">
        <v>170278.0</v>
      </c>
      <c r="M90" s="51">
        <v>13622.0</v>
      </c>
      <c r="N90" s="51">
        <v>183900.0</v>
      </c>
      <c r="O90" s="49"/>
      <c r="P90" s="52"/>
      <c r="Q90" s="50"/>
      <c r="R90" s="51"/>
      <c r="S90" s="51"/>
      <c r="T90" s="51"/>
      <c r="U90" s="51">
        <v>1702778.0</v>
      </c>
      <c r="V90" s="51">
        <v>136222.0</v>
      </c>
      <c r="W90" s="51">
        <v>1839000.0</v>
      </c>
      <c r="X90" s="47"/>
      <c r="Y90" s="26"/>
      <c r="Z90" s="26"/>
    </row>
    <row r="91" ht="27.75" customHeight="1">
      <c r="A91" s="47" t="s">
        <v>679</v>
      </c>
      <c r="B91" s="48" t="s">
        <v>678</v>
      </c>
      <c r="C91" s="49" t="s">
        <v>40</v>
      </c>
      <c r="D91" s="49">
        <v>530.0</v>
      </c>
      <c r="E91" s="50">
        <v>45586.0</v>
      </c>
      <c r="F91" s="51">
        <v>846593.0</v>
      </c>
      <c r="G91" s="51">
        <v>67727.0</v>
      </c>
      <c r="H91" s="51">
        <v>914320.0</v>
      </c>
      <c r="I91" s="49" t="s">
        <v>414</v>
      </c>
      <c r="J91" s="52" t="s">
        <v>683</v>
      </c>
      <c r="K91" s="50">
        <v>45808.0</v>
      </c>
      <c r="L91" s="51">
        <v>115444.0</v>
      </c>
      <c r="M91" s="51">
        <v>9236.0</v>
      </c>
      <c r="N91" s="51">
        <v>124680.0</v>
      </c>
      <c r="O91" s="49"/>
      <c r="P91" s="52"/>
      <c r="Q91" s="50"/>
      <c r="R91" s="51"/>
      <c r="S91" s="51"/>
      <c r="T91" s="51"/>
      <c r="U91" s="51">
        <v>962037.0</v>
      </c>
      <c r="V91" s="51">
        <v>76963.0</v>
      </c>
      <c r="W91" s="51">
        <v>1039000.0</v>
      </c>
      <c r="X91" s="47"/>
      <c r="Y91" s="26"/>
      <c r="Z91" s="26"/>
    </row>
    <row r="92" ht="27.75" customHeight="1">
      <c r="A92" s="47" t="s">
        <v>638</v>
      </c>
      <c r="B92" s="48" t="s">
        <v>637</v>
      </c>
      <c r="C92" s="49" t="s">
        <v>40</v>
      </c>
      <c r="D92" s="49">
        <v>531.0</v>
      </c>
      <c r="E92" s="50">
        <v>45586.0</v>
      </c>
      <c r="F92" s="51">
        <v>1517593.0</v>
      </c>
      <c r="G92" s="51">
        <v>121407.0</v>
      </c>
      <c r="H92" s="51">
        <v>1639000.0</v>
      </c>
      <c r="I92" s="49" t="s">
        <v>414</v>
      </c>
      <c r="J92" s="52" t="s">
        <v>690</v>
      </c>
      <c r="K92" s="50">
        <v>45808.0</v>
      </c>
      <c r="L92" s="51">
        <v>185185.0</v>
      </c>
      <c r="M92" s="51">
        <v>14815.0</v>
      </c>
      <c r="N92" s="51">
        <v>200000.0</v>
      </c>
      <c r="O92" s="49"/>
      <c r="P92" s="52"/>
      <c r="Q92" s="50"/>
      <c r="R92" s="51"/>
      <c r="S92" s="51"/>
      <c r="T92" s="51"/>
      <c r="U92" s="51">
        <v>1702778.0</v>
      </c>
      <c r="V92" s="51">
        <v>136222.0</v>
      </c>
      <c r="W92" s="51">
        <v>1839000.0</v>
      </c>
      <c r="X92" s="47"/>
      <c r="Y92" s="26"/>
      <c r="Z92" s="26"/>
    </row>
    <row r="93" ht="27.75" customHeight="1">
      <c r="A93" s="47" t="s">
        <v>701</v>
      </c>
      <c r="B93" s="48" t="s">
        <v>700</v>
      </c>
      <c r="C93" s="49" t="s">
        <v>40</v>
      </c>
      <c r="D93" s="49">
        <v>534.0</v>
      </c>
      <c r="E93" s="50">
        <v>45587.0</v>
      </c>
      <c r="F93" s="51">
        <v>2026556.0</v>
      </c>
      <c r="G93" s="51">
        <v>162124.0</v>
      </c>
      <c r="H93" s="51">
        <v>2188680.0</v>
      </c>
      <c r="I93" s="49" t="s">
        <v>414</v>
      </c>
      <c r="J93" s="52" t="s">
        <v>710</v>
      </c>
      <c r="K93" s="50">
        <v>45808.0</v>
      </c>
      <c r="L93" s="51">
        <v>176222.0</v>
      </c>
      <c r="M93" s="51">
        <v>14098.0</v>
      </c>
      <c r="N93" s="51">
        <v>190320.0</v>
      </c>
      <c r="O93" s="49"/>
      <c r="P93" s="52"/>
      <c r="Q93" s="50"/>
      <c r="R93" s="51"/>
      <c r="S93" s="51"/>
      <c r="T93" s="51"/>
      <c r="U93" s="51">
        <v>2202778.0</v>
      </c>
      <c r="V93" s="51">
        <v>176222.0</v>
      </c>
      <c r="W93" s="51">
        <v>2379000.0</v>
      </c>
      <c r="X93" s="47"/>
      <c r="Y93" s="26"/>
      <c r="Z93" s="26"/>
    </row>
    <row r="94" ht="27.75" customHeight="1">
      <c r="A94" s="47" t="s">
        <v>721</v>
      </c>
      <c r="B94" s="48" t="s">
        <v>719</v>
      </c>
      <c r="C94" s="49" t="s">
        <v>40</v>
      </c>
      <c r="D94" s="49">
        <v>538.0</v>
      </c>
      <c r="E94" s="50">
        <v>45591.0</v>
      </c>
      <c r="F94" s="51">
        <v>1531037.0</v>
      </c>
      <c r="G94" s="51">
        <v>122483.0</v>
      </c>
      <c r="H94" s="51">
        <v>1653520.0</v>
      </c>
      <c r="I94" s="49" t="s">
        <v>414</v>
      </c>
      <c r="J94" s="52" t="s">
        <v>727</v>
      </c>
      <c r="K94" s="50">
        <v>45808.0</v>
      </c>
      <c r="L94" s="51">
        <v>208778.0</v>
      </c>
      <c r="M94" s="51">
        <v>16702.0</v>
      </c>
      <c r="N94" s="51">
        <v>225480.0</v>
      </c>
      <c r="O94" s="49"/>
      <c r="P94" s="52"/>
      <c r="Q94" s="50"/>
      <c r="R94" s="51"/>
      <c r="S94" s="51"/>
      <c r="T94" s="51"/>
      <c r="U94" s="51">
        <v>1739815.0</v>
      </c>
      <c r="V94" s="51">
        <v>139185.0</v>
      </c>
      <c r="W94" s="51">
        <v>1879000.0</v>
      </c>
      <c r="X94" s="47"/>
      <c r="Y94" s="26"/>
      <c r="Z94" s="26"/>
    </row>
    <row r="95" ht="27.75" customHeight="1">
      <c r="A95" s="47" t="s">
        <v>737</v>
      </c>
      <c r="B95" s="48" t="s">
        <v>736</v>
      </c>
      <c r="C95" s="49" t="s">
        <v>40</v>
      </c>
      <c r="D95" s="49">
        <v>539.0</v>
      </c>
      <c r="E95" s="50">
        <v>45595.0</v>
      </c>
      <c r="F95" s="51">
        <v>2187176.0</v>
      </c>
      <c r="G95" s="51">
        <v>174974.0</v>
      </c>
      <c r="H95" s="51">
        <v>2362150.0</v>
      </c>
      <c r="I95" s="49" t="s">
        <v>414</v>
      </c>
      <c r="J95" s="52" t="s">
        <v>742</v>
      </c>
      <c r="K95" s="50">
        <v>45808.0</v>
      </c>
      <c r="L95" s="51">
        <v>385972.0</v>
      </c>
      <c r="M95" s="51">
        <v>30878.0</v>
      </c>
      <c r="N95" s="51">
        <v>416850.0</v>
      </c>
      <c r="O95" s="49"/>
      <c r="P95" s="52"/>
      <c r="Q95" s="50"/>
      <c r="R95" s="51"/>
      <c r="S95" s="51"/>
      <c r="T95" s="51"/>
      <c r="U95" s="51">
        <v>2573148.0</v>
      </c>
      <c r="V95" s="51">
        <v>205852.0</v>
      </c>
      <c r="W95" s="51">
        <v>2779000.0</v>
      </c>
      <c r="X95" s="47"/>
      <c r="Y95" s="26"/>
      <c r="Z95" s="26"/>
    </row>
    <row r="96" ht="27.75" customHeight="1">
      <c r="A96" s="47" t="s">
        <v>751</v>
      </c>
      <c r="B96" s="48" t="s">
        <v>750</v>
      </c>
      <c r="C96" s="49" t="s">
        <v>40</v>
      </c>
      <c r="D96" s="49">
        <v>540.0</v>
      </c>
      <c r="E96" s="50">
        <v>45595.0</v>
      </c>
      <c r="F96" s="51">
        <v>443519.0</v>
      </c>
      <c r="G96" s="51">
        <v>35482.0</v>
      </c>
      <c r="H96" s="51">
        <v>479001.0</v>
      </c>
      <c r="I96" s="49"/>
      <c r="J96" s="52"/>
      <c r="K96" s="50"/>
      <c r="L96" s="51"/>
      <c r="M96" s="51"/>
      <c r="N96" s="51"/>
      <c r="O96" s="49"/>
      <c r="P96" s="52"/>
      <c r="Q96" s="50"/>
      <c r="R96" s="51"/>
      <c r="S96" s="51"/>
      <c r="T96" s="51"/>
      <c r="U96" s="51">
        <v>443519.0</v>
      </c>
      <c r="V96" s="51">
        <v>35482.0</v>
      </c>
      <c r="W96" s="51">
        <v>479001.0</v>
      </c>
      <c r="X96" s="47"/>
      <c r="Y96" s="26"/>
      <c r="Z96" s="26"/>
    </row>
    <row r="97" ht="27.75" customHeight="1">
      <c r="A97" s="47" t="s">
        <v>763</v>
      </c>
      <c r="B97" s="48" t="s">
        <v>762</v>
      </c>
      <c r="C97" s="49" t="s">
        <v>40</v>
      </c>
      <c r="D97" s="49">
        <v>541.0</v>
      </c>
      <c r="E97" s="50">
        <v>45595.0</v>
      </c>
      <c r="F97" s="51">
        <v>834907.0</v>
      </c>
      <c r="G97" s="51">
        <v>66793.0</v>
      </c>
      <c r="H97" s="51">
        <v>901700.0</v>
      </c>
      <c r="I97" s="49" t="s">
        <v>414</v>
      </c>
      <c r="J97" s="52" t="s">
        <v>773</v>
      </c>
      <c r="K97" s="50">
        <v>45808.0</v>
      </c>
      <c r="L97" s="51">
        <v>-31203.0</v>
      </c>
      <c r="M97" s="51">
        <v>-2496.0</v>
      </c>
      <c r="N97" s="51">
        <v>-33699.0</v>
      </c>
      <c r="O97" s="49"/>
      <c r="P97" s="52"/>
      <c r="Q97" s="50"/>
      <c r="R97" s="51"/>
      <c r="S97" s="51"/>
      <c r="T97" s="51"/>
      <c r="U97" s="51">
        <v>803704.0</v>
      </c>
      <c r="V97" s="51">
        <v>64297.0</v>
      </c>
      <c r="W97" s="51">
        <v>868001.0</v>
      </c>
      <c r="X97" s="47"/>
      <c r="Y97" s="26"/>
      <c r="Z97" s="26"/>
    </row>
    <row r="98" ht="27.75" customHeight="1">
      <c r="A98" s="47" t="s">
        <v>785</v>
      </c>
      <c r="B98" s="48" t="s">
        <v>784</v>
      </c>
      <c r="C98" s="49" t="s">
        <v>40</v>
      </c>
      <c r="D98" s="49">
        <v>542.0</v>
      </c>
      <c r="E98" s="50">
        <v>45595.0</v>
      </c>
      <c r="F98" s="51">
        <v>4035185.0</v>
      </c>
      <c r="G98" s="51">
        <v>322815.0</v>
      </c>
      <c r="H98" s="51">
        <v>4358000.0</v>
      </c>
      <c r="I98" s="49"/>
      <c r="J98" s="52"/>
      <c r="K98" s="50"/>
      <c r="L98" s="51"/>
      <c r="M98" s="51"/>
      <c r="N98" s="51"/>
      <c r="O98" s="49"/>
      <c r="P98" s="52"/>
      <c r="Q98" s="50"/>
      <c r="R98" s="51"/>
      <c r="S98" s="51"/>
      <c r="T98" s="51"/>
      <c r="U98" s="51">
        <v>4035185.0</v>
      </c>
      <c r="V98" s="51">
        <v>322815.0</v>
      </c>
      <c r="W98" s="51">
        <v>4358000.0</v>
      </c>
      <c r="X98" s="47"/>
      <c r="Y98" s="26"/>
      <c r="Z98" s="26"/>
    </row>
    <row r="99" ht="27.75" customHeight="1">
      <c r="A99" s="47" t="s">
        <v>360</v>
      </c>
      <c r="B99" s="48" t="s">
        <v>359</v>
      </c>
      <c r="C99" s="49" t="s">
        <v>40</v>
      </c>
      <c r="D99" s="49">
        <v>563.0</v>
      </c>
      <c r="E99" s="50">
        <v>45603.0</v>
      </c>
      <c r="F99" s="51">
        <v>5008037.0</v>
      </c>
      <c r="G99" s="51">
        <v>400643.0</v>
      </c>
      <c r="H99" s="51">
        <v>5408680.0</v>
      </c>
      <c r="I99" s="49" t="s">
        <v>414</v>
      </c>
      <c r="J99" s="52" t="s">
        <v>365</v>
      </c>
      <c r="K99" s="50">
        <v>45807.0</v>
      </c>
      <c r="L99" s="51">
        <v>435482.0</v>
      </c>
      <c r="M99" s="51">
        <v>34839.0</v>
      </c>
      <c r="N99" s="51">
        <v>470321.0</v>
      </c>
      <c r="O99" s="49"/>
      <c r="P99" s="52"/>
      <c r="Q99" s="50"/>
      <c r="R99" s="51"/>
      <c r="S99" s="51"/>
      <c r="T99" s="51"/>
      <c r="U99" s="51">
        <v>5443519.0</v>
      </c>
      <c r="V99" s="51">
        <v>435482.0</v>
      </c>
      <c r="W99" s="51">
        <v>5879001.0</v>
      </c>
      <c r="X99" s="47"/>
      <c r="Y99" s="26"/>
      <c r="Z99" s="26"/>
    </row>
    <row r="100" ht="27.75" customHeight="1">
      <c r="A100" s="47" t="s">
        <v>376</v>
      </c>
      <c r="B100" s="48" t="s">
        <v>375</v>
      </c>
      <c r="C100" s="49" t="s">
        <v>40</v>
      </c>
      <c r="D100" s="49">
        <v>564.0</v>
      </c>
      <c r="E100" s="50">
        <v>45603.0</v>
      </c>
      <c r="F100" s="51">
        <v>3823148.0</v>
      </c>
      <c r="G100" s="51">
        <v>305852.0</v>
      </c>
      <c r="H100" s="51">
        <v>4129000.0</v>
      </c>
      <c r="I100" s="49" t="s">
        <v>414</v>
      </c>
      <c r="J100" s="52" t="s">
        <v>385</v>
      </c>
      <c r="K100" s="50">
        <v>45807.0</v>
      </c>
      <c r="L100" s="51">
        <v>231482.0</v>
      </c>
      <c r="M100" s="51">
        <v>18519.0</v>
      </c>
      <c r="N100" s="51">
        <v>250001.0</v>
      </c>
      <c r="O100" s="49"/>
      <c r="P100" s="52"/>
      <c r="Q100" s="50"/>
      <c r="R100" s="51"/>
      <c r="S100" s="51"/>
      <c r="T100" s="51"/>
      <c r="U100" s="51">
        <v>4054630.0</v>
      </c>
      <c r="V100" s="51">
        <v>324371.0</v>
      </c>
      <c r="W100" s="51">
        <v>4379001.0</v>
      </c>
      <c r="X100" s="47"/>
      <c r="Y100" s="26"/>
      <c r="Z100" s="26"/>
    </row>
    <row r="101" ht="27.75" customHeight="1">
      <c r="A101" s="47" t="s">
        <v>376</v>
      </c>
      <c r="B101" s="48" t="s">
        <v>375</v>
      </c>
      <c r="C101" s="49" t="s">
        <v>40</v>
      </c>
      <c r="D101" s="49">
        <v>566.0</v>
      </c>
      <c r="E101" s="50">
        <v>45608.0</v>
      </c>
      <c r="F101" s="51">
        <v>3482500.0</v>
      </c>
      <c r="G101" s="51">
        <v>278600.0</v>
      </c>
      <c r="H101" s="51">
        <v>3761100.0</v>
      </c>
      <c r="I101" s="49" t="s">
        <v>414</v>
      </c>
      <c r="J101" s="52" t="s">
        <v>396</v>
      </c>
      <c r="K101" s="50">
        <v>45807.0</v>
      </c>
      <c r="L101" s="51">
        <v>386944.0</v>
      </c>
      <c r="M101" s="51">
        <v>30956.0</v>
      </c>
      <c r="N101" s="51">
        <v>417900.0</v>
      </c>
      <c r="O101" s="49"/>
      <c r="P101" s="52"/>
      <c r="Q101" s="50"/>
      <c r="R101" s="51"/>
      <c r="S101" s="51"/>
      <c r="T101" s="51"/>
      <c r="U101" s="51">
        <v>3869444.0</v>
      </c>
      <c r="V101" s="51">
        <v>309556.0</v>
      </c>
      <c r="W101" s="51">
        <v>4179000.0</v>
      </c>
      <c r="X101" s="47"/>
      <c r="Y101" s="26"/>
      <c r="Z101" s="26"/>
    </row>
    <row r="102" ht="27.75" customHeight="1">
      <c r="A102" s="47" t="s">
        <v>407</v>
      </c>
      <c r="B102" s="48" t="s">
        <v>406</v>
      </c>
      <c r="C102" s="49" t="s">
        <v>40</v>
      </c>
      <c r="D102" s="49">
        <v>567.0</v>
      </c>
      <c r="E102" s="50">
        <v>45608.0</v>
      </c>
      <c r="F102" s="51">
        <v>813889.0</v>
      </c>
      <c r="G102" s="51">
        <v>65111.0</v>
      </c>
      <c r="H102" s="51">
        <v>879000.0</v>
      </c>
      <c r="I102" s="49" t="s">
        <v>414</v>
      </c>
      <c r="J102" s="52" t="s">
        <v>413</v>
      </c>
      <c r="K102" s="50">
        <v>45808.0</v>
      </c>
      <c r="L102" s="51">
        <v>148148.0</v>
      </c>
      <c r="M102" s="51">
        <v>11852.0</v>
      </c>
      <c r="N102" s="51">
        <v>160000.0</v>
      </c>
      <c r="O102" s="49"/>
      <c r="P102" s="52"/>
      <c r="Q102" s="50"/>
      <c r="R102" s="51"/>
      <c r="S102" s="51"/>
      <c r="T102" s="51"/>
      <c r="U102" s="51">
        <v>962037.0</v>
      </c>
      <c r="V102" s="51">
        <v>76963.0</v>
      </c>
      <c r="W102" s="51">
        <v>1039000.0</v>
      </c>
      <c r="X102" s="47"/>
      <c r="Y102" s="26"/>
      <c r="Z102" s="26"/>
    </row>
    <row r="103" ht="27.75" customHeight="1">
      <c r="A103" s="47" t="s">
        <v>424</v>
      </c>
      <c r="B103" s="48" t="s">
        <v>422</v>
      </c>
      <c r="C103" s="49" t="s">
        <v>40</v>
      </c>
      <c r="D103" s="49">
        <v>568.0</v>
      </c>
      <c r="E103" s="50">
        <v>45609.0</v>
      </c>
      <c r="F103" s="51">
        <v>1726852.0</v>
      </c>
      <c r="G103" s="51">
        <v>138148.0</v>
      </c>
      <c r="H103" s="51">
        <v>1865000.0</v>
      </c>
      <c r="I103" s="49" t="s">
        <v>414</v>
      </c>
      <c r="J103" s="52" t="s">
        <v>431</v>
      </c>
      <c r="K103" s="50">
        <v>45808.0</v>
      </c>
      <c r="L103" s="51">
        <v>157778.0</v>
      </c>
      <c r="M103" s="51">
        <v>12622.0</v>
      </c>
      <c r="N103" s="51">
        <v>170400.0</v>
      </c>
      <c r="O103" s="49"/>
      <c r="P103" s="52"/>
      <c r="Q103" s="50"/>
      <c r="R103" s="51"/>
      <c r="S103" s="51"/>
      <c r="T103" s="51"/>
      <c r="U103" s="51">
        <v>1884630.0</v>
      </c>
      <c r="V103" s="51">
        <v>150770.0</v>
      </c>
      <c r="W103" s="51">
        <v>2035400.0</v>
      </c>
      <c r="X103" s="47"/>
      <c r="Y103" s="26"/>
      <c r="Z103" s="26"/>
    </row>
    <row r="104" ht="27.75" customHeight="1">
      <c r="A104" s="47" t="s">
        <v>440</v>
      </c>
      <c r="B104" s="48" t="s">
        <v>439</v>
      </c>
      <c r="C104" s="49" t="s">
        <v>40</v>
      </c>
      <c r="D104" s="49">
        <v>579.0</v>
      </c>
      <c r="E104" s="50">
        <v>45614.0</v>
      </c>
      <c r="F104" s="51">
        <v>1982500.0</v>
      </c>
      <c r="G104" s="51">
        <v>158600.0</v>
      </c>
      <c r="H104" s="51">
        <v>2141100.0</v>
      </c>
      <c r="I104" s="49" t="s">
        <v>414</v>
      </c>
      <c r="J104" s="52" t="s">
        <v>444</v>
      </c>
      <c r="K104" s="50">
        <v>45808.0</v>
      </c>
      <c r="L104" s="51">
        <v>405463.0</v>
      </c>
      <c r="M104" s="51">
        <v>32437.0</v>
      </c>
      <c r="N104" s="51">
        <v>437900.0</v>
      </c>
      <c r="O104" s="49"/>
      <c r="P104" s="52"/>
      <c r="Q104" s="50"/>
      <c r="R104" s="51"/>
      <c r="S104" s="51"/>
      <c r="T104" s="51"/>
      <c r="U104" s="51">
        <v>2387963.0</v>
      </c>
      <c r="V104" s="51">
        <v>191037.0</v>
      </c>
      <c r="W104" s="51">
        <v>2579000.0</v>
      </c>
      <c r="X104" s="47"/>
      <c r="Y104" s="26"/>
      <c r="Z104" s="26"/>
    </row>
    <row r="105" ht="27.75" customHeight="1">
      <c r="A105" s="47" t="s">
        <v>456</v>
      </c>
      <c r="B105" s="48" t="s">
        <v>454</v>
      </c>
      <c r="C105" s="49" t="s">
        <v>40</v>
      </c>
      <c r="D105" s="49">
        <v>599.0</v>
      </c>
      <c r="E105" s="50">
        <v>45621.0</v>
      </c>
      <c r="F105" s="51">
        <v>1047019.0</v>
      </c>
      <c r="G105" s="51">
        <v>83762.0</v>
      </c>
      <c r="H105" s="51">
        <v>1130781.0</v>
      </c>
      <c r="I105" s="49" t="s">
        <v>414</v>
      </c>
      <c r="J105" s="52" t="s">
        <v>464</v>
      </c>
      <c r="K105" s="50">
        <v>45807.0</v>
      </c>
      <c r="L105" s="51">
        <v>229833.0</v>
      </c>
      <c r="M105" s="51">
        <v>18387.0</v>
      </c>
      <c r="N105" s="51">
        <v>248220.0</v>
      </c>
      <c r="O105" s="49"/>
      <c r="P105" s="52"/>
      <c r="Q105" s="50"/>
      <c r="R105" s="51"/>
      <c r="S105" s="51"/>
      <c r="T105" s="51"/>
      <c r="U105" s="51">
        <v>1276852.0</v>
      </c>
      <c r="V105" s="51">
        <v>102149.0</v>
      </c>
      <c r="W105" s="51">
        <v>1379001.0</v>
      </c>
      <c r="X105" s="47"/>
      <c r="Y105" s="26"/>
      <c r="Z105" s="26"/>
    </row>
    <row r="106" ht="27.75" customHeight="1">
      <c r="A106" s="47" t="s">
        <v>475</v>
      </c>
      <c r="B106" s="48" t="s">
        <v>474</v>
      </c>
      <c r="C106" s="49" t="s">
        <v>40</v>
      </c>
      <c r="D106" s="49">
        <v>603.0</v>
      </c>
      <c r="E106" s="50">
        <v>45622.0</v>
      </c>
      <c r="F106" s="51">
        <v>3446435.0</v>
      </c>
      <c r="G106" s="51">
        <v>275715.0</v>
      </c>
      <c r="H106" s="51">
        <v>3722150.0</v>
      </c>
      <c r="I106" s="49" t="s">
        <v>414</v>
      </c>
      <c r="J106" s="52" t="s">
        <v>481</v>
      </c>
      <c r="K106" s="50">
        <v>45807.0</v>
      </c>
      <c r="L106" s="51">
        <v>608195.0</v>
      </c>
      <c r="M106" s="51">
        <v>48656.0</v>
      </c>
      <c r="N106" s="51">
        <v>656851.0</v>
      </c>
      <c r="O106" s="49"/>
      <c r="P106" s="52"/>
      <c r="Q106" s="50"/>
      <c r="R106" s="51"/>
      <c r="S106" s="51"/>
      <c r="T106" s="51"/>
      <c r="U106" s="51">
        <v>4054630.0</v>
      </c>
      <c r="V106" s="51">
        <v>324371.0</v>
      </c>
      <c r="W106" s="51">
        <v>4379001.0</v>
      </c>
      <c r="X106" s="47"/>
      <c r="Y106" s="26"/>
      <c r="Z106" s="26"/>
    </row>
    <row r="107" ht="27.75" customHeight="1">
      <c r="A107" s="47" t="s">
        <v>498</v>
      </c>
      <c r="B107" s="48" t="s">
        <v>497</v>
      </c>
      <c r="C107" s="49" t="s">
        <v>40</v>
      </c>
      <c r="D107" s="49">
        <v>609.0</v>
      </c>
      <c r="E107" s="50">
        <v>45623.0</v>
      </c>
      <c r="F107" s="51">
        <v>2341667.0</v>
      </c>
      <c r="G107" s="51">
        <v>187333.0</v>
      </c>
      <c r="H107" s="51">
        <v>2529000.0</v>
      </c>
      <c r="I107" s="49" t="s">
        <v>414</v>
      </c>
      <c r="J107" s="52" t="s">
        <v>505</v>
      </c>
      <c r="K107" s="50">
        <v>45808.0</v>
      </c>
      <c r="L107" s="51">
        <v>185185.0</v>
      </c>
      <c r="M107" s="51">
        <v>14815.0</v>
      </c>
      <c r="N107" s="51">
        <v>200000.0</v>
      </c>
      <c r="O107" s="49"/>
      <c r="P107" s="52"/>
      <c r="Q107" s="50"/>
      <c r="R107" s="51"/>
      <c r="S107" s="51"/>
      <c r="T107" s="51"/>
      <c r="U107" s="51">
        <v>2526852.0</v>
      </c>
      <c r="V107" s="51">
        <v>202148.0</v>
      </c>
      <c r="W107" s="51">
        <v>2729000.0</v>
      </c>
      <c r="X107" s="47"/>
      <c r="Y107" s="26"/>
      <c r="Z107" s="26"/>
    </row>
    <row r="108" ht="27.75" customHeight="1">
      <c r="A108" s="47" t="s">
        <v>49</v>
      </c>
      <c r="B108" s="48" t="s">
        <v>47</v>
      </c>
      <c r="C108" s="49" t="s">
        <v>40</v>
      </c>
      <c r="D108" s="49">
        <v>634.0</v>
      </c>
      <c r="E108" s="50">
        <v>45629.0</v>
      </c>
      <c r="F108" s="51">
        <v>1517593.0</v>
      </c>
      <c r="G108" s="51">
        <v>121407.0</v>
      </c>
      <c r="H108" s="51">
        <v>1639000.0</v>
      </c>
      <c r="I108" s="49" t="s">
        <v>414</v>
      </c>
      <c r="J108" s="52" t="s">
        <v>69</v>
      </c>
      <c r="K108" s="50">
        <v>45808.0</v>
      </c>
      <c r="L108" s="51">
        <v>185185.0</v>
      </c>
      <c r="M108" s="51">
        <v>14815.0</v>
      </c>
      <c r="N108" s="51">
        <v>200000.0</v>
      </c>
      <c r="O108" s="49"/>
      <c r="P108" s="52"/>
      <c r="Q108" s="50"/>
      <c r="R108" s="51"/>
      <c r="S108" s="51"/>
      <c r="T108" s="51"/>
      <c r="U108" s="51">
        <v>1702778.0</v>
      </c>
      <c r="V108" s="51">
        <v>136222.0</v>
      </c>
      <c r="W108" s="51">
        <v>1839000.0</v>
      </c>
      <c r="X108" s="47"/>
      <c r="Y108" s="26"/>
      <c r="Z108" s="26"/>
    </row>
    <row r="109" ht="27.75" customHeight="1">
      <c r="A109" s="47" t="s">
        <v>121</v>
      </c>
      <c r="B109" s="48" t="s">
        <v>119</v>
      </c>
      <c r="C109" s="49" t="s">
        <v>40</v>
      </c>
      <c r="D109" s="49">
        <v>642.0</v>
      </c>
      <c r="E109" s="50">
        <v>45630.0</v>
      </c>
      <c r="F109" s="51">
        <v>2480556.0</v>
      </c>
      <c r="G109" s="51">
        <v>198444.0</v>
      </c>
      <c r="H109" s="51">
        <v>2679000.0</v>
      </c>
      <c r="I109" s="49" t="s">
        <v>414</v>
      </c>
      <c r="J109" s="52" t="s">
        <v>131</v>
      </c>
      <c r="K109" s="50">
        <v>45808.0</v>
      </c>
      <c r="L109" s="51">
        <v>92592.0</v>
      </c>
      <c r="M109" s="51">
        <v>7407.0</v>
      </c>
      <c r="N109" s="51">
        <v>99999.0</v>
      </c>
      <c r="O109" s="49"/>
      <c r="P109" s="52"/>
      <c r="Q109" s="50"/>
      <c r="R109" s="51"/>
      <c r="S109" s="51"/>
      <c r="T109" s="51"/>
      <c r="U109" s="51">
        <v>2573148.0</v>
      </c>
      <c r="V109" s="51">
        <v>205851.0</v>
      </c>
      <c r="W109" s="51">
        <v>2778999.0</v>
      </c>
      <c r="X109" s="47"/>
      <c r="Y109" s="26"/>
      <c r="Z109" s="26"/>
    </row>
    <row r="110" ht="27.75" customHeight="1">
      <c r="A110" s="47" t="s">
        <v>149</v>
      </c>
      <c r="B110" s="48" t="s">
        <v>148</v>
      </c>
      <c r="C110" s="49" t="s">
        <v>40</v>
      </c>
      <c r="D110" s="49">
        <v>650.0</v>
      </c>
      <c r="E110" s="50">
        <v>45631.0</v>
      </c>
      <c r="F110" s="51">
        <v>2.5555556E7</v>
      </c>
      <c r="G110" s="51">
        <v>2044444.0</v>
      </c>
      <c r="H110" s="51">
        <v>2.76E7</v>
      </c>
      <c r="I110" s="49"/>
      <c r="J110" s="52"/>
      <c r="K110" s="50"/>
      <c r="L110" s="51"/>
      <c r="M110" s="51"/>
      <c r="N110" s="51"/>
      <c r="O110" s="49"/>
      <c r="P110" s="52"/>
      <c r="Q110" s="50"/>
      <c r="R110" s="51"/>
      <c r="S110" s="51"/>
      <c r="T110" s="51"/>
      <c r="U110" s="51">
        <v>2.5555556E7</v>
      </c>
      <c r="V110" s="51">
        <v>2044444.0</v>
      </c>
      <c r="W110" s="51">
        <v>2.76E7</v>
      </c>
      <c r="X110" s="47"/>
      <c r="Y110" s="26"/>
      <c r="Z110" s="26"/>
    </row>
    <row r="111" ht="27.75" customHeight="1">
      <c r="A111" s="47" t="s">
        <v>179</v>
      </c>
      <c r="B111" s="48" t="s">
        <v>177</v>
      </c>
      <c r="C111" s="49" t="s">
        <v>40</v>
      </c>
      <c r="D111" s="49">
        <v>651.0</v>
      </c>
      <c r="E111" s="50">
        <v>45635.0</v>
      </c>
      <c r="F111" s="51">
        <v>2573148.0</v>
      </c>
      <c r="G111" s="51">
        <v>205852.0</v>
      </c>
      <c r="H111" s="51">
        <v>2779000.0</v>
      </c>
      <c r="I111" s="49"/>
      <c r="J111" s="52"/>
      <c r="K111" s="50"/>
      <c r="L111" s="51"/>
      <c r="M111" s="51"/>
      <c r="N111" s="51"/>
      <c r="O111" s="49"/>
      <c r="P111" s="52"/>
      <c r="Q111" s="50"/>
      <c r="R111" s="51"/>
      <c r="S111" s="51"/>
      <c r="T111" s="51"/>
      <c r="U111" s="51">
        <v>2573148.0</v>
      </c>
      <c r="V111" s="51">
        <v>205852.0</v>
      </c>
      <c r="W111" s="51">
        <v>2779000.0</v>
      </c>
      <c r="X111" s="47"/>
      <c r="Y111" s="26"/>
      <c r="Z111" s="26"/>
    </row>
    <row r="112" ht="27.75" customHeight="1">
      <c r="A112" s="47" t="s">
        <v>194</v>
      </c>
      <c r="B112" s="48" t="s">
        <v>192</v>
      </c>
      <c r="C112" s="49" t="s">
        <v>40</v>
      </c>
      <c r="D112" s="49">
        <v>659.0</v>
      </c>
      <c r="E112" s="50">
        <v>45637.0</v>
      </c>
      <c r="F112" s="51">
        <v>2397221.0</v>
      </c>
      <c r="G112" s="51">
        <v>191778.0</v>
      </c>
      <c r="H112" s="51">
        <v>2588999.0</v>
      </c>
      <c r="I112" s="49" t="s">
        <v>414</v>
      </c>
      <c r="J112" s="52" t="s">
        <v>202</v>
      </c>
      <c r="K112" s="50">
        <v>45808.0</v>
      </c>
      <c r="L112" s="51">
        <v>416667.0</v>
      </c>
      <c r="M112" s="51">
        <v>33333.0</v>
      </c>
      <c r="N112" s="51">
        <v>450000.0</v>
      </c>
      <c r="O112" s="49" t="s">
        <v>414</v>
      </c>
      <c r="P112" s="52" t="s">
        <v>2637</v>
      </c>
      <c r="Q112" s="50">
        <v>45853.0</v>
      </c>
      <c r="R112" s="51">
        <v>-416667.0</v>
      </c>
      <c r="S112" s="51">
        <v>-33333.0</v>
      </c>
      <c r="T112" s="51">
        <v>-450000.0</v>
      </c>
      <c r="U112" s="51">
        <v>2397221.0</v>
      </c>
      <c r="V112" s="51">
        <v>191778.0</v>
      </c>
      <c r="W112" s="51">
        <v>2588999.0</v>
      </c>
      <c r="X112" s="47"/>
      <c r="Y112" s="26"/>
      <c r="Z112" s="26"/>
    </row>
    <row r="113" ht="27.75" customHeight="1">
      <c r="A113" s="47" t="s">
        <v>218</v>
      </c>
      <c r="B113" s="48" t="s">
        <v>217</v>
      </c>
      <c r="C113" s="49" t="s">
        <v>40</v>
      </c>
      <c r="D113" s="49">
        <v>660.0</v>
      </c>
      <c r="E113" s="50">
        <v>45639.0</v>
      </c>
      <c r="F113" s="51">
        <v>2276870.0</v>
      </c>
      <c r="G113" s="51">
        <v>182150.0</v>
      </c>
      <c r="H113" s="51">
        <v>2459020.0</v>
      </c>
      <c r="I113" s="49" t="s">
        <v>414</v>
      </c>
      <c r="J113" s="52" t="s">
        <v>225</v>
      </c>
      <c r="K113" s="50">
        <v>45807.0</v>
      </c>
      <c r="L113" s="51">
        <v>296278.0</v>
      </c>
      <c r="M113" s="51">
        <v>23702.0</v>
      </c>
      <c r="N113" s="51">
        <v>319980.0</v>
      </c>
      <c r="O113" s="49"/>
      <c r="P113" s="52"/>
      <c r="Q113" s="50"/>
      <c r="R113" s="51"/>
      <c r="S113" s="51"/>
      <c r="T113" s="51"/>
      <c r="U113" s="51">
        <v>2573148.0</v>
      </c>
      <c r="V113" s="51">
        <v>205852.0</v>
      </c>
      <c r="W113" s="51">
        <v>2779000.0</v>
      </c>
      <c r="X113" s="47"/>
      <c r="Y113" s="26"/>
      <c r="Z113" s="26"/>
    </row>
    <row r="114" ht="27.75" customHeight="1">
      <c r="A114" s="47" t="s">
        <v>238</v>
      </c>
      <c r="B114" s="48" t="s">
        <v>237</v>
      </c>
      <c r="C114" s="49" t="s">
        <v>40</v>
      </c>
      <c r="D114" s="49">
        <v>661.0</v>
      </c>
      <c r="E114" s="50">
        <v>45642.0</v>
      </c>
      <c r="F114" s="51">
        <v>2315833.0</v>
      </c>
      <c r="G114" s="51">
        <v>185267.0</v>
      </c>
      <c r="H114" s="51">
        <v>2501100.0</v>
      </c>
      <c r="I114" s="49" t="s">
        <v>414</v>
      </c>
      <c r="J114" s="52" t="s">
        <v>248</v>
      </c>
      <c r="K114" s="50">
        <v>45807.0</v>
      </c>
      <c r="L114" s="51">
        <v>257315.0</v>
      </c>
      <c r="M114" s="51">
        <v>20585.0</v>
      </c>
      <c r="N114" s="51">
        <v>277900.0</v>
      </c>
      <c r="O114" s="49"/>
      <c r="P114" s="52"/>
      <c r="Q114" s="50"/>
      <c r="R114" s="51"/>
      <c r="S114" s="51"/>
      <c r="T114" s="51"/>
      <c r="U114" s="51">
        <v>2573148.0</v>
      </c>
      <c r="V114" s="51">
        <v>205852.0</v>
      </c>
      <c r="W114" s="51">
        <v>2779000.0</v>
      </c>
      <c r="X114" s="47"/>
      <c r="Y114" s="26"/>
      <c r="Z114" s="26"/>
    </row>
    <row r="115" ht="27.75" customHeight="1">
      <c r="A115" s="47" t="s">
        <v>265</v>
      </c>
      <c r="B115" s="48" t="s">
        <v>262</v>
      </c>
      <c r="C115" s="49" t="s">
        <v>40</v>
      </c>
      <c r="D115" s="49">
        <v>668.0</v>
      </c>
      <c r="E115" s="50">
        <v>45643.0</v>
      </c>
      <c r="F115" s="51">
        <v>846593.0</v>
      </c>
      <c r="G115" s="51">
        <v>67727.0</v>
      </c>
      <c r="H115" s="51">
        <v>914320.0</v>
      </c>
      <c r="I115" s="49" t="s">
        <v>414</v>
      </c>
      <c r="J115" s="52" t="s">
        <v>269</v>
      </c>
      <c r="K115" s="50">
        <v>45808.0</v>
      </c>
      <c r="L115" s="51">
        <v>115444.0</v>
      </c>
      <c r="M115" s="51">
        <v>9236.0</v>
      </c>
      <c r="N115" s="51">
        <v>124680.0</v>
      </c>
      <c r="O115" s="49"/>
      <c r="P115" s="52"/>
      <c r="Q115" s="50"/>
      <c r="R115" s="51"/>
      <c r="S115" s="51"/>
      <c r="T115" s="51"/>
      <c r="U115" s="51">
        <v>962037.0</v>
      </c>
      <c r="V115" s="51">
        <v>76963.0</v>
      </c>
      <c r="W115" s="51">
        <v>1039000.0</v>
      </c>
      <c r="X115" s="47"/>
      <c r="Y115" s="26"/>
      <c r="Z115" s="26"/>
    </row>
    <row r="116" ht="27.75" customHeight="1">
      <c r="A116" s="47" t="s">
        <v>283</v>
      </c>
      <c r="B116" s="48" t="s">
        <v>282</v>
      </c>
      <c r="C116" s="49" t="s">
        <v>40</v>
      </c>
      <c r="D116" s="49">
        <v>696.0</v>
      </c>
      <c r="E116" s="50">
        <v>45647.0</v>
      </c>
      <c r="F116" s="51">
        <v>1149167.0</v>
      </c>
      <c r="G116" s="51">
        <v>91933.0</v>
      </c>
      <c r="H116" s="51">
        <v>1241100.0</v>
      </c>
      <c r="I116" s="49"/>
      <c r="J116" s="52"/>
      <c r="K116" s="50"/>
      <c r="L116" s="51"/>
      <c r="M116" s="51"/>
      <c r="N116" s="51"/>
      <c r="O116" s="49"/>
      <c r="P116" s="52"/>
      <c r="Q116" s="50"/>
      <c r="R116" s="51"/>
      <c r="S116" s="51"/>
      <c r="T116" s="51"/>
      <c r="U116" s="51">
        <v>1149167.0</v>
      </c>
      <c r="V116" s="51">
        <v>91933.0</v>
      </c>
      <c r="W116" s="51">
        <v>1241100.0</v>
      </c>
      <c r="X116" s="47"/>
      <c r="Y116" s="26"/>
      <c r="Z116" s="26"/>
    </row>
    <row r="117" ht="27.75" customHeight="1">
      <c r="A117" s="47" t="s">
        <v>299</v>
      </c>
      <c r="B117" s="48" t="s">
        <v>297</v>
      </c>
      <c r="C117" s="49" t="s">
        <v>40</v>
      </c>
      <c r="D117" s="49">
        <v>698.0</v>
      </c>
      <c r="E117" s="50">
        <v>45647.0</v>
      </c>
      <c r="F117" s="51">
        <v>865574.0</v>
      </c>
      <c r="G117" s="51">
        <v>69246.0</v>
      </c>
      <c r="H117" s="51">
        <v>934820.0</v>
      </c>
      <c r="I117" s="49" t="s">
        <v>414</v>
      </c>
      <c r="J117" s="52" t="s">
        <v>309</v>
      </c>
      <c r="K117" s="50">
        <v>45808.0</v>
      </c>
      <c r="L117" s="51">
        <v>96463.0</v>
      </c>
      <c r="M117" s="51">
        <v>7717.0</v>
      </c>
      <c r="N117" s="51">
        <v>104180.0</v>
      </c>
      <c r="O117" s="49"/>
      <c r="P117" s="52"/>
      <c r="Q117" s="50"/>
      <c r="R117" s="51"/>
      <c r="S117" s="51"/>
      <c r="T117" s="51"/>
      <c r="U117" s="51">
        <v>962037.0</v>
      </c>
      <c r="V117" s="51">
        <v>76963.0</v>
      </c>
      <c r="W117" s="51">
        <v>1039000.0</v>
      </c>
      <c r="X117" s="47"/>
      <c r="Y117" s="26"/>
      <c r="Z117" s="26"/>
    </row>
    <row r="118" ht="27.75" customHeight="1">
      <c r="A118" s="47" t="s">
        <v>329</v>
      </c>
      <c r="B118" s="48" t="s">
        <v>328</v>
      </c>
      <c r="C118" s="49" t="s">
        <v>40</v>
      </c>
      <c r="D118" s="49">
        <v>718.0</v>
      </c>
      <c r="E118" s="50">
        <v>45651.0</v>
      </c>
      <c r="F118" s="51">
        <v>865833.0</v>
      </c>
      <c r="G118" s="51">
        <v>69267.0</v>
      </c>
      <c r="H118" s="51">
        <v>935100.0</v>
      </c>
      <c r="I118" s="49" t="s">
        <v>414</v>
      </c>
      <c r="J118" s="52" t="s">
        <v>335</v>
      </c>
      <c r="K118" s="50">
        <v>45808.0</v>
      </c>
      <c r="L118" s="51">
        <v>96204.0</v>
      </c>
      <c r="M118" s="51">
        <v>7696.0</v>
      </c>
      <c r="N118" s="51">
        <v>103900.0</v>
      </c>
      <c r="O118" s="49"/>
      <c r="P118" s="52"/>
      <c r="Q118" s="50"/>
      <c r="R118" s="51"/>
      <c r="S118" s="51"/>
      <c r="T118" s="51"/>
      <c r="U118" s="51">
        <v>962037.0</v>
      </c>
      <c r="V118" s="51">
        <v>76963.0</v>
      </c>
      <c r="W118" s="51">
        <v>1039000.0</v>
      </c>
      <c r="X118" s="47"/>
      <c r="Y118" s="26"/>
      <c r="Z118" s="26"/>
    </row>
    <row r="119" ht="27.75" customHeight="1">
      <c r="A119" s="47" t="s">
        <v>345</v>
      </c>
      <c r="B119" s="48" t="s">
        <v>344</v>
      </c>
      <c r="C119" s="49" t="s">
        <v>40</v>
      </c>
      <c r="D119" s="49">
        <v>719.0</v>
      </c>
      <c r="E119" s="50">
        <v>45651.0</v>
      </c>
      <c r="F119" s="51">
        <v>6793611.0</v>
      </c>
      <c r="G119" s="51">
        <v>543489.0</v>
      </c>
      <c r="H119" s="51">
        <v>7337100.0</v>
      </c>
      <c r="I119" s="49" t="s">
        <v>414</v>
      </c>
      <c r="J119" s="52" t="s">
        <v>349</v>
      </c>
      <c r="K119" s="50">
        <v>45807.0</v>
      </c>
      <c r="L119" s="51">
        <v>301759.0</v>
      </c>
      <c r="M119" s="51">
        <v>24141.0</v>
      </c>
      <c r="N119" s="51">
        <v>325900.0</v>
      </c>
      <c r="O119" s="49"/>
      <c r="P119" s="52"/>
      <c r="Q119" s="50"/>
      <c r="R119" s="51"/>
      <c r="S119" s="51"/>
      <c r="T119" s="51"/>
      <c r="U119" s="51">
        <v>7095370.0</v>
      </c>
      <c r="V119" s="51">
        <v>567630.0</v>
      </c>
      <c r="W119" s="51">
        <v>7663000.0</v>
      </c>
      <c r="X119" s="47"/>
      <c r="Y119" s="26"/>
      <c r="Z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3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3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3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3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3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3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3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3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3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3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3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3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3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3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3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3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3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3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3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3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3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3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3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3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3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3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3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3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3.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3.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3.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3.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3.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3.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3.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3.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3.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3.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3.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3.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3.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3.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3.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3.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3.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3.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3.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3.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3.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3.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3.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3.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3.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3.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3.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3.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3.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3.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3.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3.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3.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3.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3.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3.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3.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3.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3.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3.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3.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3.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3.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3.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3.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3.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3.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3.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3.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3.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3.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3.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3.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3.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3.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3.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3.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3.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3.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3.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3.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3.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3.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3.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3.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3.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3.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3.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3.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3.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3.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3.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3.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3.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3.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3.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3.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3.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3.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3.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3.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3.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3.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3.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3.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3.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3.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3.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3.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3.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3.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3.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3.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3.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3.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3.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3.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3.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3.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3.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3.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3.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3.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3.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3.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3.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3.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3.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3.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3.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3.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3.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3.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3.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3.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3.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3.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3.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3.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3.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3.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3.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3.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3.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3.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3.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3.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3.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3.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3.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3.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3.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3.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3.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3.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3.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3.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3.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3.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3.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3.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3.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3.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3.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3.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3.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3.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3.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3.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3.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3.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3.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3.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3.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3.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3.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3.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3.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3.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3.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3.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3.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3.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3.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3.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3.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3.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3.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3.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3.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3.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3.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3.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3.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3.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3.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3.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3.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3.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3.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3.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3.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3.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3.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3.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3.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3.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3.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3.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3.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3.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3.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3.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3.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3.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3.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3.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3.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3.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3.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3.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3.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3.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3.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3.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3.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3.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3.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3.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3.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3.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3.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3.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3.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3.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3.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3.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3.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3.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3.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3.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3.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3.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3.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3.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3.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3.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3.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3.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3.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3.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3.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3.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3.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3.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3.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3.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3.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3.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3.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3.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3.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3.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3.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3.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3.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3.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3.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3.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3.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3.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3.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3.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3.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3.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3.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3.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3.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3.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3.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3.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3.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3.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3.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3.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3.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3.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3.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3.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3.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3.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3.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3.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3.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3.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3.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3.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3.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3.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3.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3.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3.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3.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3.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3.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3.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3.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3.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3.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3.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3.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3.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3.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3.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3.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3.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3.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3.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3.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3.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3.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3.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3.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3.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3.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3.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3.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3.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3.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3.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3.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3.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3.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3.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3.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3.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3.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3.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3.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3.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3.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3.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3.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3.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3.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3.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3.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3.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3.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3.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3.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3.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3.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3.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3.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3.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3.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3.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3.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3.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3.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3.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3.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3.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3.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3.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3.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3.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3.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3.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3.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3.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3.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3.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3.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3.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3.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3.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3.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3.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3.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3.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3.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3.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3.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3.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3.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3.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3.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3.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3.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3.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3.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3.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3.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3.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3.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3.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3.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3.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3.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3.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3.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3.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3.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3.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3.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3.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3.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3.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3.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3.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3.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3.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3.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3.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3.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3.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3.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3.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3.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3.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3.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3.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3.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3.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3.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3.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3.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3.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3.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3.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3.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3.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3.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3.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3.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3.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3.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3.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3.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3.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3.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3.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3.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3.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3.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3.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3.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3.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3.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3.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3.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3.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3.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3.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3.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3.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3.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3.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3.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3.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3.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3.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3.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3.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3.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3.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3.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3.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3.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3.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3.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3.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3.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3.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3.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3.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3.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3.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3.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3.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3.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3.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3.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3.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3.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3.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3.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3.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3.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3.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3.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3.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3.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3.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3.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3.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3.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3.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3.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3.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3.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3.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3.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3.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3.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3.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3.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3.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3.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3.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3.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3.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3.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3.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3.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3.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3.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3.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3.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3.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3.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3.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3.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3.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3.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3.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3.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3.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3.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3.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3.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3.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3.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3.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3.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3.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3.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3.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3.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3.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3.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3.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3.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3.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3.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3.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3.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3.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3.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3.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3.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3.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3.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3.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3.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3.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3.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3.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3.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3.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3.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3.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3.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3.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3.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3.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3.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3.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3.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3.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3.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3.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3.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3.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3.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3.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3.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3.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3.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3.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3.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3.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3.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3.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3.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3.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3.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3.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3.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3.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3.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3.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3.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3.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3.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3.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3.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3.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3.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3.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3.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3.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3.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3.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3.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3.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3.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3.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3.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3.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3.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3.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3.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3.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3.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3.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3.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3.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3.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3.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3.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3.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3.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3.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3.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3.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3.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3.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3.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3.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3.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3.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3.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3.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3.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3.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3.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3.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3.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3.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3.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3.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3.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3.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3.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3.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3.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3.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3.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3.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3.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3.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3.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3.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3.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3.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3.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3.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3.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3.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3.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3.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3.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3.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3.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3.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3.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3.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3.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3.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3.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3.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3.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3.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3.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3.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3.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3.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3.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3.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3.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3.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3.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3.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3.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3.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3.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3.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3.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3.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3.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3.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3.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3.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3.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3.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3.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3.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3.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3.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3.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3.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3.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3.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3.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3.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3.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3.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3.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3.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3.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3.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3.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3.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3.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3.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3.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3.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3.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3.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3.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3.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3.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3.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3.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3.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3.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3.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3.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3.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customSheetViews>
    <customSheetView guid="{946229BF-9194-41F0-A90A-A8F90018D446}" filter="1" showAutoFilter="1">
      <autoFilter ref="$A$2:$X$119"/>
      <extLst>
        <ext uri="GoogleSheetsCustomDataVersion1">
          <go:sheetsCustomData xmlns:go="http://customooxmlschemas.google.com/" filterViewId="44839636"/>
        </ext>
      </extLst>
    </customSheetView>
  </customSheetViews>
  <mergeCells count="5">
    <mergeCell ref="A1:B1"/>
    <mergeCell ref="C1:H1"/>
    <mergeCell ref="I1:N1"/>
    <mergeCell ref="O1:T1"/>
    <mergeCell ref="U1:X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" t="s">
        <v>12</v>
      </c>
      <c r="B1" s="8" t="s">
        <v>17</v>
      </c>
      <c r="C1" s="8" t="s">
        <v>18</v>
      </c>
      <c r="D1" s="8" t="s">
        <v>19</v>
      </c>
      <c r="E1" s="8" t="s">
        <v>1</v>
      </c>
      <c r="F1" s="8" t="s">
        <v>20</v>
      </c>
      <c r="G1" s="8" t="s">
        <v>22</v>
      </c>
      <c r="H1" s="8" t="s">
        <v>24</v>
      </c>
      <c r="I1" s="8" t="s">
        <v>26</v>
      </c>
      <c r="J1" s="8" t="s">
        <v>27</v>
      </c>
      <c r="K1" s="8" t="s">
        <v>29</v>
      </c>
      <c r="L1" s="8" t="s">
        <v>30</v>
      </c>
      <c r="M1" s="8" t="s">
        <v>31</v>
      </c>
      <c r="N1" s="8" t="s">
        <v>33</v>
      </c>
      <c r="O1" s="8" t="s">
        <v>34</v>
      </c>
      <c r="P1" s="8" t="s">
        <v>36</v>
      </c>
      <c r="Q1" s="8" t="s">
        <v>9</v>
      </c>
      <c r="R1" s="8" t="s">
        <v>38</v>
      </c>
    </row>
    <row r="2">
      <c r="A2" s="19">
        <v>2.0</v>
      </c>
      <c r="B2" s="19">
        <v>1.0</v>
      </c>
      <c r="C2" s="21" t="s">
        <v>43</v>
      </c>
      <c r="D2" s="21">
        <v>12.0</v>
      </c>
      <c r="E2" s="19">
        <v>24164.0</v>
      </c>
      <c r="F2" s="25">
        <v>45992.0</v>
      </c>
      <c r="G2" s="19">
        <v>3.16520076E8</v>
      </c>
      <c r="H2" s="21" t="s">
        <v>48</v>
      </c>
      <c r="I2" s="19">
        <v>3.18272478E8</v>
      </c>
      <c r="J2" s="21" t="s">
        <v>51</v>
      </c>
      <c r="K2" s="21" t="s">
        <v>52</v>
      </c>
      <c r="L2" s="21"/>
      <c r="M2" s="19" t="s">
        <v>53</v>
      </c>
      <c r="N2" s="19" t="s">
        <v>54</v>
      </c>
      <c r="O2" s="19">
        <v>0.0</v>
      </c>
      <c r="P2" s="19" t="s">
        <v>55</v>
      </c>
      <c r="Q2" s="21" t="s">
        <v>57</v>
      </c>
      <c r="R2" s="21" t="s">
        <v>58</v>
      </c>
    </row>
    <row r="3">
      <c r="A3" s="19">
        <v>86.0</v>
      </c>
      <c r="B3" s="19">
        <v>1.0</v>
      </c>
      <c r="C3" s="21" t="s">
        <v>43</v>
      </c>
      <c r="D3" s="21">
        <v>12.0</v>
      </c>
      <c r="E3" s="19">
        <v>24248.0</v>
      </c>
      <c r="F3" s="25">
        <v>45992.0</v>
      </c>
      <c r="G3" s="19">
        <v>3.16520076E8</v>
      </c>
      <c r="H3" s="21" t="s">
        <v>48</v>
      </c>
      <c r="I3" s="19">
        <v>3.19185531E8</v>
      </c>
      <c r="J3" s="21" t="s">
        <v>63</v>
      </c>
      <c r="K3" s="21" t="s">
        <v>64</v>
      </c>
      <c r="L3" s="21"/>
      <c r="M3" s="19" t="s">
        <v>65</v>
      </c>
      <c r="N3" s="19" t="s">
        <v>67</v>
      </c>
      <c r="O3" s="19">
        <v>0.0</v>
      </c>
      <c r="P3" s="19" t="s">
        <v>68</v>
      </c>
      <c r="Q3" s="21" t="s">
        <v>57</v>
      </c>
      <c r="R3" s="21" t="s">
        <v>58</v>
      </c>
    </row>
    <row r="4">
      <c r="A4" s="19">
        <v>269.0</v>
      </c>
      <c r="B4" s="19">
        <v>1.0</v>
      </c>
      <c r="C4" s="21" t="s">
        <v>43</v>
      </c>
      <c r="D4" s="21">
        <v>12.0</v>
      </c>
      <c r="E4" s="19">
        <v>24431.0</v>
      </c>
      <c r="F4" s="25">
        <v>45992.0</v>
      </c>
      <c r="G4" s="19">
        <v>3.16520076E8</v>
      </c>
      <c r="H4" s="21" t="s">
        <v>48</v>
      </c>
      <c r="I4" s="19">
        <v>3.14125659E8</v>
      </c>
      <c r="J4" s="21" t="s">
        <v>70</v>
      </c>
      <c r="K4" s="21" t="s">
        <v>71</v>
      </c>
      <c r="L4" s="21"/>
      <c r="M4" s="19" t="s">
        <v>72</v>
      </c>
      <c r="N4" s="19" t="s">
        <v>73</v>
      </c>
      <c r="O4" s="19">
        <v>0.0</v>
      </c>
      <c r="P4" s="19" t="s">
        <v>74</v>
      </c>
      <c r="Q4" s="21" t="s">
        <v>57</v>
      </c>
      <c r="R4" s="21" t="s">
        <v>58</v>
      </c>
    </row>
    <row r="5">
      <c r="A5" s="19">
        <v>270.0</v>
      </c>
      <c r="B5" s="19">
        <v>1.0</v>
      </c>
      <c r="C5" s="21" t="s">
        <v>43</v>
      </c>
      <c r="D5" s="21">
        <v>12.0</v>
      </c>
      <c r="E5" s="19">
        <v>24432.0</v>
      </c>
      <c r="F5" s="25">
        <v>45993.0</v>
      </c>
      <c r="G5" s="19">
        <v>3.16520076E8</v>
      </c>
      <c r="H5" s="21" t="s">
        <v>48</v>
      </c>
      <c r="I5" s="19">
        <v>3.1579356E8</v>
      </c>
      <c r="J5" s="21" t="s">
        <v>76</v>
      </c>
      <c r="K5" s="21" t="s">
        <v>77</v>
      </c>
      <c r="L5" s="21"/>
      <c r="M5" s="19" t="s">
        <v>78</v>
      </c>
      <c r="N5" s="19" t="s">
        <v>79</v>
      </c>
      <c r="O5" s="19">
        <v>0.0</v>
      </c>
      <c r="P5" s="19" t="s">
        <v>80</v>
      </c>
      <c r="Q5" s="21" t="s">
        <v>57</v>
      </c>
      <c r="R5" s="21" t="s">
        <v>58</v>
      </c>
    </row>
    <row r="6">
      <c r="A6" s="19">
        <v>373.0</v>
      </c>
      <c r="B6" s="19">
        <v>1.0</v>
      </c>
      <c r="C6" s="21" t="s">
        <v>43</v>
      </c>
      <c r="D6" s="21">
        <v>12.0</v>
      </c>
      <c r="E6" s="19">
        <v>24535.0</v>
      </c>
      <c r="F6" s="25">
        <v>45993.0</v>
      </c>
      <c r="G6" s="19">
        <v>3.16520076E8</v>
      </c>
      <c r="H6" s="21" t="s">
        <v>48</v>
      </c>
      <c r="I6" s="19">
        <v>1.07322137E8</v>
      </c>
      <c r="J6" s="21" t="s">
        <v>81</v>
      </c>
      <c r="K6" s="21" t="s">
        <v>82</v>
      </c>
      <c r="L6" s="21"/>
      <c r="M6" s="19" t="s">
        <v>83</v>
      </c>
      <c r="N6" s="19" t="s">
        <v>84</v>
      </c>
      <c r="O6" s="19">
        <v>0.0</v>
      </c>
      <c r="P6" s="19" t="s">
        <v>86</v>
      </c>
      <c r="Q6" s="21" t="s">
        <v>57</v>
      </c>
      <c r="R6" s="21" t="s">
        <v>58</v>
      </c>
    </row>
    <row r="7">
      <c r="A7" s="19">
        <v>436.0</v>
      </c>
      <c r="B7" s="19">
        <v>1.0</v>
      </c>
      <c r="C7" s="21" t="s">
        <v>43</v>
      </c>
      <c r="D7" s="21">
        <v>12.0</v>
      </c>
      <c r="E7" s="19">
        <v>24598.0</v>
      </c>
      <c r="F7" s="25">
        <v>45995.0</v>
      </c>
      <c r="G7" s="19">
        <v>3.16520076E8</v>
      </c>
      <c r="H7" s="21" t="s">
        <v>48</v>
      </c>
      <c r="I7" s="19" t="s">
        <v>87</v>
      </c>
      <c r="J7" s="21" t="s">
        <v>88</v>
      </c>
      <c r="K7" s="21" t="s">
        <v>89</v>
      </c>
      <c r="L7" s="21"/>
      <c r="M7" s="19" t="s">
        <v>90</v>
      </c>
      <c r="N7" s="19" t="s">
        <v>91</v>
      </c>
      <c r="O7" s="19">
        <v>0.0</v>
      </c>
      <c r="P7" s="19" t="s">
        <v>92</v>
      </c>
      <c r="Q7" s="21" t="s">
        <v>57</v>
      </c>
      <c r="R7" s="21" t="s">
        <v>58</v>
      </c>
    </row>
    <row r="8">
      <c r="A8" s="19">
        <v>486.0</v>
      </c>
      <c r="B8" s="19">
        <v>1.0</v>
      </c>
      <c r="C8" s="21" t="s">
        <v>43</v>
      </c>
      <c r="D8" s="21">
        <v>12.0</v>
      </c>
      <c r="E8" s="19">
        <v>24648.0</v>
      </c>
      <c r="F8" s="25">
        <v>45995.0</v>
      </c>
      <c r="G8" s="19">
        <v>3.16520076E8</v>
      </c>
      <c r="H8" s="21" t="s">
        <v>48</v>
      </c>
      <c r="I8" s="19">
        <v>1.1121629E8</v>
      </c>
      <c r="J8" s="21" t="s">
        <v>95</v>
      </c>
      <c r="K8" s="21" t="s">
        <v>96</v>
      </c>
      <c r="L8" s="21"/>
      <c r="M8" s="19" t="s">
        <v>97</v>
      </c>
      <c r="N8" s="19" t="s">
        <v>99</v>
      </c>
      <c r="O8" s="19">
        <v>0.0</v>
      </c>
      <c r="P8" s="19" t="s">
        <v>100</v>
      </c>
      <c r="Q8" s="21" t="s">
        <v>57</v>
      </c>
      <c r="R8" s="21" t="s">
        <v>58</v>
      </c>
    </row>
    <row r="9">
      <c r="A9" s="19">
        <v>594.0</v>
      </c>
      <c r="B9" s="19">
        <v>1.0</v>
      </c>
      <c r="C9" s="21" t="s">
        <v>43</v>
      </c>
      <c r="D9" s="21">
        <v>12.0</v>
      </c>
      <c r="E9" s="19">
        <v>24756.0</v>
      </c>
      <c r="F9" s="25">
        <v>45995.0</v>
      </c>
      <c r="G9" s="19">
        <v>3.16520076E8</v>
      </c>
      <c r="H9" s="21" t="s">
        <v>48</v>
      </c>
      <c r="I9" s="19">
        <v>1.0923134E8</v>
      </c>
      <c r="J9" s="21" t="s">
        <v>103</v>
      </c>
      <c r="K9" s="21" t="s">
        <v>104</v>
      </c>
      <c r="L9" s="21"/>
      <c r="M9" s="19" t="s">
        <v>105</v>
      </c>
      <c r="N9" s="19" t="s">
        <v>106</v>
      </c>
      <c r="O9" s="19">
        <v>0.0</v>
      </c>
      <c r="P9" s="19" t="s">
        <v>108</v>
      </c>
      <c r="Q9" s="21" t="s">
        <v>57</v>
      </c>
      <c r="R9" s="21" t="s">
        <v>58</v>
      </c>
    </row>
    <row r="10">
      <c r="A10" s="19">
        <v>595.0</v>
      </c>
      <c r="B10" s="19">
        <v>1.0</v>
      </c>
      <c r="C10" s="21" t="s">
        <v>43</v>
      </c>
      <c r="D10" s="21">
        <v>12.0</v>
      </c>
      <c r="E10" s="19">
        <v>24757.0</v>
      </c>
      <c r="F10" s="25">
        <v>45995.0</v>
      </c>
      <c r="G10" s="19">
        <v>3.16520076E8</v>
      </c>
      <c r="H10" s="21" t="s">
        <v>48</v>
      </c>
      <c r="I10" s="19">
        <v>3.1579356E8</v>
      </c>
      <c r="J10" s="21" t="s">
        <v>76</v>
      </c>
      <c r="K10" s="21" t="s">
        <v>77</v>
      </c>
      <c r="L10" s="21"/>
      <c r="M10" s="19" t="s">
        <v>112</v>
      </c>
      <c r="N10" s="19" t="s">
        <v>113</v>
      </c>
      <c r="O10" s="19">
        <v>0.0</v>
      </c>
      <c r="P10" s="19" t="s">
        <v>115</v>
      </c>
      <c r="Q10" s="21" t="s">
        <v>57</v>
      </c>
      <c r="R10" s="21" t="s">
        <v>58</v>
      </c>
    </row>
    <row r="11">
      <c r="A11" s="19">
        <v>1022.0</v>
      </c>
      <c r="B11" s="19">
        <v>1.0</v>
      </c>
      <c r="C11" s="21" t="s">
        <v>43</v>
      </c>
      <c r="D11" s="21">
        <v>12.0</v>
      </c>
      <c r="E11" s="19">
        <v>25184.0</v>
      </c>
      <c r="F11" s="25">
        <v>45997.0</v>
      </c>
      <c r="G11" s="19">
        <v>3.16520076E8</v>
      </c>
      <c r="H11" s="21" t="s">
        <v>48</v>
      </c>
      <c r="I11" s="19">
        <v>3.19252795E8</v>
      </c>
      <c r="J11" s="21" t="s">
        <v>117</v>
      </c>
      <c r="K11" s="21" t="s">
        <v>120</v>
      </c>
      <c r="L11" s="21"/>
      <c r="M11" s="19" t="s">
        <v>122</v>
      </c>
      <c r="N11" s="19" t="s">
        <v>124</v>
      </c>
      <c r="O11" s="19">
        <v>0.0</v>
      </c>
      <c r="P11" s="19" t="s">
        <v>126</v>
      </c>
      <c r="Q11" s="21" t="s">
        <v>57</v>
      </c>
      <c r="R11" s="21" t="s">
        <v>58</v>
      </c>
    </row>
    <row r="12">
      <c r="A12" s="19">
        <v>1069.0</v>
      </c>
      <c r="B12" s="19">
        <v>1.0</v>
      </c>
      <c r="C12" s="21" t="s">
        <v>43</v>
      </c>
      <c r="D12" s="21">
        <v>12.0</v>
      </c>
      <c r="E12" s="19">
        <v>25231.0</v>
      </c>
      <c r="F12" s="25">
        <v>45999.0</v>
      </c>
      <c r="G12" s="19">
        <v>3.16520076E8</v>
      </c>
      <c r="H12" s="21" t="s">
        <v>48</v>
      </c>
      <c r="I12" s="19">
        <v>3.10839155E8</v>
      </c>
      <c r="J12" s="21" t="s">
        <v>132</v>
      </c>
      <c r="K12" s="21" t="s">
        <v>133</v>
      </c>
      <c r="L12" s="21"/>
      <c r="M12" s="19" t="s">
        <v>134</v>
      </c>
      <c r="N12" s="19" t="s">
        <v>135</v>
      </c>
      <c r="O12" s="19">
        <v>0.0</v>
      </c>
      <c r="P12" s="19" t="s">
        <v>136</v>
      </c>
      <c r="Q12" s="21" t="s">
        <v>57</v>
      </c>
      <c r="R12" s="21" t="s">
        <v>58</v>
      </c>
    </row>
    <row r="13">
      <c r="A13" s="19">
        <v>1070.0</v>
      </c>
      <c r="B13" s="19">
        <v>1.0</v>
      </c>
      <c r="C13" s="21" t="s">
        <v>43</v>
      </c>
      <c r="D13" s="21">
        <v>12.0</v>
      </c>
      <c r="E13" s="19">
        <v>25232.0</v>
      </c>
      <c r="F13" s="25">
        <v>45999.0</v>
      </c>
      <c r="G13" s="19">
        <v>3.16520076E8</v>
      </c>
      <c r="H13" s="21" t="s">
        <v>48</v>
      </c>
      <c r="I13" s="19">
        <v>3.60398321E9</v>
      </c>
      <c r="J13" s="21" t="s">
        <v>138</v>
      </c>
      <c r="K13" s="21" t="s">
        <v>140</v>
      </c>
      <c r="L13" s="21"/>
      <c r="M13" s="19" t="s">
        <v>141</v>
      </c>
      <c r="N13" s="19" t="s">
        <v>142</v>
      </c>
      <c r="O13" s="19">
        <v>0.0</v>
      </c>
      <c r="P13" s="19" t="s">
        <v>143</v>
      </c>
      <c r="Q13" s="21" t="s">
        <v>57</v>
      </c>
      <c r="R13" s="21" t="s">
        <v>58</v>
      </c>
    </row>
    <row r="14">
      <c r="A14" s="19">
        <v>1071.0</v>
      </c>
      <c r="B14" s="19">
        <v>1.0</v>
      </c>
      <c r="C14" s="21" t="s">
        <v>43</v>
      </c>
      <c r="D14" s="21">
        <v>12.0</v>
      </c>
      <c r="E14" s="19">
        <v>25233.0</v>
      </c>
      <c r="F14" s="25">
        <v>45999.0</v>
      </c>
      <c r="G14" s="19">
        <v>3.16520076E8</v>
      </c>
      <c r="H14" s="21" t="s">
        <v>48</v>
      </c>
      <c r="I14" s="19">
        <v>3.12392923E8</v>
      </c>
      <c r="J14" s="21" t="s">
        <v>147</v>
      </c>
      <c r="K14" s="21" t="s">
        <v>150</v>
      </c>
      <c r="L14" s="21"/>
      <c r="M14" s="19" t="s">
        <v>152</v>
      </c>
      <c r="N14" s="19" t="s">
        <v>154</v>
      </c>
      <c r="O14" s="19">
        <v>0.0</v>
      </c>
      <c r="P14" s="19" t="s">
        <v>155</v>
      </c>
      <c r="Q14" s="21" t="s">
        <v>57</v>
      </c>
      <c r="R14" s="21" t="s">
        <v>58</v>
      </c>
    </row>
    <row r="15">
      <c r="A15" s="19">
        <v>1483.0</v>
      </c>
      <c r="B15" s="19">
        <v>1.0</v>
      </c>
      <c r="C15" s="21" t="s">
        <v>43</v>
      </c>
      <c r="D15" s="21">
        <v>12.0</v>
      </c>
      <c r="E15" s="19">
        <v>25645.0</v>
      </c>
      <c r="F15" s="25">
        <v>46000.0</v>
      </c>
      <c r="G15" s="19">
        <v>3.16520076E8</v>
      </c>
      <c r="H15" s="21" t="s">
        <v>48</v>
      </c>
      <c r="I15" s="19">
        <v>4.02164551E8</v>
      </c>
      <c r="J15" s="21" t="s">
        <v>161</v>
      </c>
      <c r="K15" s="21" t="s">
        <v>162</v>
      </c>
      <c r="L15" s="21"/>
      <c r="M15" s="19" t="s">
        <v>164</v>
      </c>
      <c r="N15" s="19" t="s">
        <v>165</v>
      </c>
      <c r="O15" s="19">
        <v>0.0</v>
      </c>
      <c r="P15" s="19" t="s">
        <v>166</v>
      </c>
      <c r="Q15" s="21" t="s">
        <v>168</v>
      </c>
      <c r="R15" s="21" t="s">
        <v>58</v>
      </c>
    </row>
    <row r="16">
      <c r="A16" s="19">
        <v>1592.0</v>
      </c>
      <c r="B16" s="19">
        <v>1.0</v>
      </c>
      <c r="C16" s="21" t="s">
        <v>43</v>
      </c>
      <c r="D16" s="21">
        <v>12.0</v>
      </c>
      <c r="E16" s="19">
        <v>25754.0</v>
      </c>
      <c r="F16" s="46">
        <v>46001.0</v>
      </c>
      <c r="G16" s="19">
        <v>3.16520076E8</v>
      </c>
      <c r="H16" s="21" t="s">
        <v>48</v>
      </c>
      <c r="I16" s="19">
        <v>3.1579356E8</v>
      </c>
      <c r="J16" s="21" t="s">
        <v>76</v>
      </c>
      <c r="K16" s="21" t="s">
        <v>77</v>
      </c>
      <c r="L16" s="21"/>
      <c r="M16" s="19" t="s">
        <v>174</v>
      </c>
      <c r="N16" s="19" t="s">
        <v>175</v>
      </c>
      <c r="O16" s="19">
        <v>0.0</v>
      </c>
      <c r="P16" s="19" t="s">
        <v>178</v>
      </c>
      <c r="Q16" s="21" t="s">
        <v>57</v>
      </c>
      <c r="R16" s="21" t="s">
        <v>58</v>
      </c>
    </row>
    <row r="17">
      <c r="A17" s="19">
        <v>1593.0</v>
      </c>
      <c r="B17" s="19">
        <v>1.0</v>
      </c>
      <c r="C17" s="21" t="s">
        <v>43</v>
      </c>
      <c r="D17" s="21">
        <v>12.0</v>
      </c>
      <c r="E17" s="19">
        <v>25755.0</v>
      </c>
      <c r="F17" s="46">
        <v>46001.0</v>
      </c>
      <c r="G17" s="19">
        <v>3.16520076E8</v>
      </c>
      <c r="H17" s="21" t="s">
        <v>48</v>
      </c>
      <c r="I17" s="19">
        <v>3.1579356E8</v>
      </c>
      <c r="J17" s="21" t="s">
        <v>76</v>
      </c>
      <c r="K17" s="21" t="s">
        <v>77</v>
      </c>
      <c r="L17" s="21"/>
      <c r="M17" s="19" t="s">
        <v>186</v>
      </c>
      <c r="N17" s="19" t="s">
        <v>187</v>
      </c>
      <c r="O17" s="19">
        <v>0.0</v>
      </c>
      <c r="P17" s="19" t="s">
        <v>189</v>
      </c>
      <c r="Q17" s="21" t="s">
        <v>57</v>
      </c>
      <c r="R17" s="21" t="s">
        <v>58</v>
      </c>
    </row>
    <row r="18">
      <c r="A18" s="19">
        <v>1594.0</v>
      </c>
      <c r="B18" s="19">
        <v>1.0</v>
      </c>
      <c r="C18" s="21" t="s">
        <v>43</v>
      </c>
      <c r="D18" s="21">
        <v>12.0</v>
      </c>
      <c r="E18" s="19">
        <v>25756.0</v>
      </c>
      <c r="F18" s="46">
        <v>46001.0</v>
      </c>
      <c r="G18" s="19">
        <v>3.16520076E8</v>
      </c>
      <c r="H18" s="21" t="s">
        <v>48</v>
      </c>
      <c r="I18" s="19">
        <v>3.1579356E8</v>
      </c>
      <c r="J18" s="21" t="s">
        <v>76</v>
      </c>
      <c r="K18" s="21" t="s">
        <v>77</v>
      </c>
      <c r="L18" s="21"/>
      <c r="M18" s="19" t="s">
        <v>199</v>
      </c>
      <c r="N18" s="19" t="s">
        <v>201</v>
      </c>
      <c r="O18" s="19">
        <v>0.0</v>
      </c>
      <c r="P18" s="19" t="s">
        <v>203</v>
      </c>
      <c r="Q18" s="21" t="s">
        <v>57</v>
      </c>
      <c r="R18" s="21" t="s">
        <v>58</v>
      </c>
    </row>
    <row r="19">
      <c r="A19" s="19">
        <v>1793.0</v>
      </c>
      <c r="B19" s="19">
        <v>1.0</v>
      </c>
      <c r="C19" s="21" t="s">
        <v>43</v>
      </c>
      <c r="D19" s="21">
        <v>12.0</v>
      </c>
      <c r="E19" s="19">
        <v>25955.0</v>
      </c>
      <c r="F19" s="46">
        <v>46002.0</v>
      </c>
      <c r="G19" s="19">
        <v>3.16520076E8</v>
      </c>
      <c r="H19" s="21" t="s">
        <v>48</v>
      </c>
      <c r="I19" s="19">
        <v>3.19252795E8</v>
      </c>
      <c r="J19" s="21" t="s">
        <v>117</v>
      </c>
      <c r="K19" s="21" t="s">
        <v>206</v>
      </c>
      <c r="L19" s="21"/>
      <c r="M19" s="19" t="s">
        <v>207</v>
      </c>
      <c r="N19" s="19" t="s">
        <v>124</v>
      </c>
      <c r="O19" s="19">
        <v>0.0</v>
      </c>
      <c r="P19" s="19" t="s">
        <v>209</v>
      </c>
      <c r="Q19" s="21" t="s">
        <v>57</v>
      </c>
      <c r="R19" s="21" t="s">
        <v>58</v>
      </c>
    </row>
    <row r="20">
      <c r="A20" s="19">
        <v>1794.0</v>
      </c>
      <c r="B20" s="19">
        <v>1.0</v>
      </c>
      <c r="C20" s="21" t="s">
        <v>43</v>
      </c>
      <c r="D20" s="21">
        <v>12.0</v>
      </c>
      <c r="E20" s="19">
        <v>25956.0</v>
      </c>
      <c r="F20" s="46">
        <v>46002.0</v>
      </c>
      <c r="G20" s="19">
        <v>3.16520076E8</v>
      </c>
      <c r="H20" s="21" t="s">
        <v>48</v>
      </c>
      <c r="I20" s="19">
        <v>3.19185531E8</v>
      </c>
      <c r="J20" s="21" t="s">
        <v>63</v>
      </c>
      <c r="K20" s="21" t="s">
        <v>211</v>
      </c>
      <c r="L20" s="21"/>
      <c r="M20" s="19" t="s">
        <v>212</v>
      </c>
      <c r="N20" s="19" t="s">
        <v>214</v>
      </c>
      <c r="O20" s="19">
        <v>0.0</v>
      </c>
      <c r="P20" s="19" t="s">
        <v>216</v>
      </c>
      <c r="Q20" s="21" t="s">
        <v>57</v>
      </c>
      <c r="R20" s="21" t="s">
        <v>58</v>
      </c>
    </row>
    <row r="21">
      <c r="A21" s="19">
        <v>1795.0</v>
      </c>
      <c r="B21" s="19">
        <v>1.0</v>
      </c>
      <c r="C21" s="21" t="s">
        <v>43</v>
      </c>
      <c r="D21" s="21">
        <v>12.0</v>
      </c>
      <c r="E21" s="19">
        <v>25957.0</v>
      </c>
      <c r="F21" s="46">
        <v>46002.0</v>
      </c>
      <c r="G21" s="19">
        <v>3.16520076E8</v>
      </c>
      <c r="H21" s="21" t="s">
        <v>48</v>
      </c>
      <c r="I21" s="19">
        <v>3.18388031E8</v>
      </c>
      <c r="J21" s="21" t="s">
        <v>224</v>
      </c>
      <c r="K21" s="21" t="s">
        <v>226</v>
      </c>
      <c r="L21" s="21"/>
      <c r="M21" s="19" t="s">
        <v>227</v>
      </c>
      <c r="N21" s="19" t="s">
        <v>228</v>
      </c>
      <c r="O21" s="19">
        <v>0.0</v>
      </c>
      <c r="P21" s="19" t="s">
        <v>229</v>
      </c>
      <c r="Q21" s="21" t="s">
        <v>57</v>
      </c>
      <c r="R21" s="21" t="s">
        <v>58</v>
      </c>
    </row>
    <row r="22">
      <c r="A22" s="19">
        <v>2063.0</v>
      </c>
      <c r="B22" s="19">
        <v>1.0</v>
      </c>
      <c r="C22" s="21" t="s">
        <v>43</v>
      </c>
      <c r="D22" s="21">
        <v>12.0</v>
      </c>
      <c r="E22" s="19">
        <v>26225.0</v>
      </c>
      <c r="F22" s="46">
        <v>46003.0</v>
      </c>
      <c r="G22" s="19">
        <v>3.16520076E8</v>
      </c>
      <c r="H22" s="21" t="s">
        <v>48</v>
      </c>
      <c r="I22" s="19" t="s">
        <v>230</v>
      </c>
      <c r="J22" s="21" t="s">
        <v>231</v>
      </c>
      <c r="K22" s="21" t="s">
        <v>232</v>
      </c>
      <c r="L22" s="21"/>
      <c r="M22" s="19" t="s">
        <v>233</v>
      </c>
      <c r="N22" s="19" t="s">
        <v>234</v>
      </c>
      <c r="O22" s="19">
        <v>0.0</v>
      </c>
      <c r="P22" s="19" t="s">
        <v>235</v>
      </c>
      <c r="Q22" s="21" t="s">
        <v>57</v>
      </c>
      <c r="R22" s="21" t="s">
        <v>58</v>
      </c>
    </row>
    <row r="23">
      <c r="A23" s="19">
        <v>2064.0</v>
      </c>
      <c r="B23" s="19">
        <v>1.0</v>
      </c>
      <c r="C23" s="21" t="s">
        <v>43</v>
      </c>
      <c r="D23" s="21">
        <v>12.0</v>
      </c>
      <c r="E23" s="19">
        <v>26226.0</v>
      </c>
      <c r="F23" s="46">
        <v>46003.0</v>
      </c>
      <c r="G23" s="19">
        <v>3.16520076E8</v>
      </c>
      <c r="H23" s="21" t="s">
        <v>48</v>
      </c>
      <c r="I23" s="19">
        <v>3.19185531E8</v>
      </c>
      <c r="J23" s="21" t="s">
        <v>239</v>
      </c>
      <c r="K23" s="21" t="s">
        <v>242</v>
      </c>
      <c r="L23" s="21"/>
      <c r="M23" s="19" t="s">
        <v>243</v>
      </c>
      <c r="N23" s="19" t="s">
        <v>245</v>
      </c>
      <c r="O23" s="19">
        <v>0.0</v>
      </c>
      <c r="P23" s="19" t="s">
        <v>247</v>
      </c>
      <c r="Q23" s="21" t="s">
        <v>57</v>
      </c>
      <c r="R23" s="21" t="s">
        <v>58</v>
      </c>
    </row>
    <row r="24">
      <c r="A24" s="19">
        <v>2179.0</v>
      </c>
      <c r="B24" s="19">
        <v>1.0</v>
      </c>
      <c r="C24" s="21" t="s">
        <v>43</v>
      </c>
      <c r="D24" s="21">
        <v>12.0</v>
      </c>
      <c r="E24" s="19">
        <v>26341.0</v>
      </c>
      <c r="F24" s="46">
        <v>46003.0</v>
      </c>
      <c r="G24" s="19">
        <v>3.16520076E8</v>
      </c>
      <c r="H24" s="21" t="s">
        <v>48</v>
      </c>
      <c r="I24" s="19">
        <v>4.001091085E9</v>
      </c>
      <c r="J24" s="21" t="s">
        <v>251</v>
      </c>
      <c r="K24" s="21" t="s">
        <v>253</v>
      </c>
      <c r="L24" s="21"/>
      <c r="M24" s="19" t="s">
        <v>164</v>
      </c>
      <c r="N24" s="19" t="s">
        <v>165</v>
      </c>
      <c r="O24" s="19">
        <v>0.0</v>
      </c>
      <c r="P24" s="19" t="s">
        <v>166</v>
      </c>
      <c r="Q24" s="21" t="s">
        <v>57</v>
      </c>
      <c r="R24" s="21" t="s">
        <v>58</v>
      </c>
    </row>
    <row r="25">
      <c r="A25" s="19">
        <v>3072.0</v>
      </c>
      <c r="B25" s="19">
        <v>1.0</v>
      </c>
      <c r="C25" s="21" t="s">
        <v>43</v>
      </c>
      <c r="D25" s="21">
        <v>12.0</v>
      </c>
      <c r="E25" s="19">
        <v>27234.0</v>
      </c>
      <c r="F25" s="46">
        <v>46006.0</v>
      </c>
      <c r="G25" s="19">
        <v>3.16520076E8</v>
      </c>
      <c r="H25" s="21" t="s">
        <v>48</v>
      </c>
      <c r="I25" s="19">
        <v>1.10635002E8</v>
      </c>
      <c r="J25" s="21" t="s">
        <v>256</v>
      </c>
      <c r="K25" s="21" t="s">
        <v>258</v>
      </c>
      <c r="L25" s="21"/>
      <c r="M25" s="19" t="s">
        <v>259</v>
      </c>
      <c r="N25" s="19" t="s">
        <v>261</v>
      </c>
      <c r="O25" s="19">
        <v>0.0</v>
      </c>
      <c r="P25" s="19" t="s">
        <v>263</v>
      </c>
      <c r="Q25" s="21" t="s">
        <v>57</v>
      </c>
      <c r="R25" s="21" t="s">
        <v>58</v>
      </c>
    </row>
    <row r="26">
      <c r="A26" s="19">
        <v>3112.0</v>
      </c>
      <c r="B26" s="19">
        <v>1.0</v>
      </c>
      <c r="C26" s="21" t="s">
        <v>43</v>
      </c>
      <c r="D26" s="21">
        <v>12.0</v>
      </c>
      <c r="E26" s="19">
        <v>27274.0</v>
      </c>
      <c r="F26" s="46">
        <v>46006.0</v>
      </c>
      <c r="G26" s="19">
        <v>3.16520076E8</v>
      </c>
      <c r="H26" s="21" t="s">
        <v>48</v>
      </c>
      <c r="I26" s="19">
        <v>3.16847681E8</v>
      </c>
      <c r="J26" s="21" t="s">
        <v>270</v>
      </c>
      <c r="K26" s="21" t="s">
        <v>272</v>
      </c>
      <c r="L26" s="21"/>
      <c r="M26" s="19" t="s">
        <v>164</v>
      </c>
      <c r="N26" s="19" t="s">
        <v>165</v>
      </c>
      <c r="O26" s="19">
        <v>0.0</v>
      </c>
      <c r="P26" s="19" t="s">
        <v>166</v>
      </c>
      <c r="Q26" s="21" t="s">
        <v>57</v>
      </c>
      <c r="R26" s="21" t="s">
        <v>58</v>
      </c>
    </row>
    <row r="27">
      <c r="A27" s="19">
        <v>3121.0</v>
      </c>
      <c r="B27" s="19">
        <v>1.0</v>
      </c>
      <c r="C27" s="21" t="s">
        <v>43</v>
      </c>
      <c r="D27" s="21">
        <v>12.0</v>
      </c>
      <c r="E27" s="19">
        <v>27283.0</v>
      </c>
      <c r="F27" s="46">
        <v>46006.0</v>
      </c>
      <c r="G27" s="19">
        <v>3.16520076E8</v>
      </c>
      <c r="H27" s="21" t="s">
        <v>48</v>
      </c>
      <c r="I27" s="19">
        <v>3.12459208E8</v>
      </c>
      <c r="J27" s="21" t="s">
        <v>274</v>
      </c>
      <c r="K27" s="21" t="s">
        <v>276</v>
      </c>
      <c r="L27" s="21"/>
      <c r="M27" s="19" t="s">
        <v>277</v>
      </c>
      <c r="N27" s="19" t="s">
        <v>278</v>
      </c>
      <c r="O27" s="19">
        <v>0.0</v>
      </c>
      <c r="P27" s="19" t="s">
        <v>279</v>
      </c>
      <c r="Q27" s="21" t="s">
        <v>57</v>
      </c>
      <c r="R27" s="21" t="s">
        <v>58</v>
      </c>
    </row>
    <row r="28">
      <c r="A28" s="19">
        <v>3585.0</v>
      </c>
      <c r="B28" s="19">
        <v>1.0</v>
      </c>
      <c r="C28" s="21" t="s">
        <v>43</v>
      </c>
      <c r="D28" s="21">
        <v>12.0</v>
      </c>
      <c r="E28" s="19">
        <v>27747.0</v>
      </c>
      <c r="F28" s="46">
        <v>46006.0</v>
      </c>
      <c r="G28" s="19">
        <v>3.16520076E8</v>
      </c>
      <c r="H28" s="21" t="s">
        <v>48</v>
      </c>
      <c r="I28" s="19">
        <v>3.60398321E9</v>
      </c>
      <c r="J28" s="21" t="s">
        <v>138</v>
      </c>
      <c r="K28" s="21" t="s">
        <v>287</v>
      </c>
      <c r="L28" s="21"/>
      <c r="M28" s="19" t="s">
        <v>289</v>
      </c>
      <c r="N28" s="19" t="s">
        <v>291</v>
      </c>
      <c r="O28" s="19">
        <v>0.0</v>
      </c>
      <c r="P28" s="19" t="s">
        <v>292</v>
      </c>
      <c r="Q28" s="21" t="s">
        <v>57</v>
      </c>
      <c r="R28" s="21" t="s">
        <v>58</v>
      </c>
    </row>
    <row r="29">
      <c r="A29" s="19">
        <v>3586.0</v>
      </c>
      <c r="B29" s="19">
        <v>1.0</v>
      </c>
      <c r="C29" s="21" t="s">
        <v>43</v>
      </c>
      <c r="D29" s="21">
        <v>12.0</v>
      </c>
      <c r="E29" s="19">
        <v>27748.0</v>
      </c>
      <c r="F29" s="46">
        <v>46006.0</v>
      </c>
      <c r="G29" s="19">
        <v>3.16520076E8</v>
      </c>
      <c r="H29" s="21" t="s">
        <v>48</v>
      </c>
      <c r="I29" s="19">
        <v>3.60398321E9</v>
      </c>
      <c r="J29" s="21" t="s">
        <v>138</v>
      </c>
      <c r="K29" s="21" t="s">
        <v>287</v>
      </c>
      <c r="L29" s="21"/>
      <c r="M29" s="19" t="s">
        <v>294</v>
      </c>
      <c r="N29" s="19" t="s">
        <v>165</v>
      </c>
      <c r="O29" s="19">
        <v>0.0</v>
      </c>
      <c r="P29" s="19" t="s">
        <v>296</v>
      </c>
      <c r="Q29" s="21" t="s">
        <v>57</v>
      </c>
      <c r="R29" s="21" t="s">
        <v>58</v>
      </c>
    </row>
    <row r="30">
      <c r="A30" s="19">
        <v>4281.0</v>
      </c>
      <c r="B30" s="19">
        <v>1.0</v>
      </c>
      <c r="C30" s="21" t="s">
        <v>43</v>
      </c>
      <c r="D30" s="21">
        <v>12.0</v>
      </c>
      <c r="E30" s="19">
        <v>28443.0</v>
      </c>
      <c r="F30" s="46">
        <v>46007.0</v>
      </c>
      <c r="G30" s="19">
        <v>3.16520076E8</v>
      </c>
      <c r="H30" s="21" t="s">
        <v>48</v>
      </c>
      <c r="I30" s="19">
        <v>3.19204826E8</v>
      </c>
      <c r="J30" s="21" t="s">
        <v>301</v>
      </c>
      <c r="K30" s="21" t="s">
        <v>302</v>
      </c>
      <c r="L30" s="21"/>
      <c r="M30" s="19" t="s">
        <v>305</v>
      </c>
      <c r="N30" s="19" t="s">
        <v>307</v>
      </c>
      <c r="O30" s="19">
        <v>0.0</v>
      </c>
      <c r="P30" s="19" t="s">
        <v>308</v>
      </c>
      <c r="Q30" s="21" t="s">
        <v>168</v>
      </c>
      <c r="R30" s="21" t="s">
        <v>58</v>
      </c>
    </row>
    <row r="31">
      <c r="A31" s="19">
        <v>4282.0</v>
      </c>
      <c r="B31" s="19">
        <v>1.0</v>
      </c>
      <c r="C31" s="21" t="s">
        <v>43</v>
      </c>
      <c r="D31" s="21">
        <v>12.0</v>
      </c>
      <c r="E31" s="19">
        <v>28444.0</v>
      </c>
      <c r="F31" s="46">
        <v>46007.0</v>
      </c>
      <c r="G31" s="19">
        <v>3.16520076E8</v>
      </c>
      <c r="H31" s="21" t="s">
        <v>48</v>
      </c>
      <c r="I31" s="19">
        <v>2.301016007E9</v>
      </c>
      <c r="J31" s="21" t="s">
        <v>311</v>
      </c>
      <c r="K31" s="21" t="s">
        <v>312</v>
      </c>
      <c r="L31" s="21"/>
      <c r="M31" s="19" t="s">
        <v>314</v>
      </c>
      <c r="N31" s="19" t="s">
        <v>315</v>
      </c>
      <c r="O31" s="19">
        <v>0.0</v>
      </c>
      <c r="P31" s="19" t="s">
        <v>317</v>
      </c>
      <c r="Q31" s="21" t="s">
        <v>57</v>
      </c>
      <c r="R31" s="21" t="s">
        <v>58</v>
      </c>
    </row>
    <row r="32">
      <c r="A32" s="19">
        <v>4283.0</v>
      </c>
      <c r="B32" s="19">
        <v>1.0</v>
      </c>
      <c r="C32" s="21" t="s">
        <v>43</v>
      </c>
      <c r="D32" s="21">
        <v>12.0</v>
      </c>
      <c r="E32" s="19">
        <v>28445.0</v>
      </c>
      <c r="F32" s="46">
        <v>46007.0</v>
      </c>
      <c r="G32" s="19">
        <v>3.16520076E8</v>
      </c>
      <c r="H32" s="21" t="s">
        <v>48</v>
      </c>
      <c r="I32" s="19">
        <v>1.10803916E8</v>
      </c>
      <c r="J32" s="21" t="s">
        <v>321</v>
      </c>
      <c r="K32" s="21" t="s">
        <v>322</v>
      </c>
      <c r="L32" s="21"/>
      <c r="M32" s="19" t="s">
        <v>323</v>
      </c>
      <c r="N32" s="19" t="s">
        <v>325</v>
      </c>
      <c r="O32" s="19">
        <v>0.0</v>
      </c>
      <c r="P32" s="19" t="s">
        <v>327</v>
      </c>
      <c r="Q32" s="21" t="s">
        <v>57</v>
      </c>
      <c r="R32" s="21" t="s">
        <v>58</v>
      </c>
    </row>
    <row r="33">
      <c r="A33" s="19">
        <v>4561.0</v>
      </c>
      <c r="B33" s="19">
        <v>1.0</v>
      </c>
      <c r="C33" s="21" t="s">
        <v>43</v>
      </c>
      <c r="D33" s="21">
        <v>12.0</v>
      </c>
      <c r="E33" s="19">
        <v>28723.0</v>
      </c>
      <c r="F33" s="46">
        <v>46007.0</v>
      </c>
      <c r="G33" s="19">
        <v>3.16520076E8</v>
      </c>
      <c r="H33" s="21" t="s">
        <v>48</v>
      </c>
      <c r="I33" s="19">
        <v>2.301290352E9</v>
      </c>
      <c r="J33" s="21" t="s">
        <v>336</v>
      </c>
      <c r="K33" s="21" t="s">
        <v>337</v>
      </c>
      <c r="L33" s="21"/>
      <c r="M33" s="19" t="s">
        <v>164</v>
      </c>
      <c r="N33" s="19" t="s">
        <v>165</v>
      </c>
      <c r="O33" s="19">
        <v>0.0</v>
      </c>
      <c r="P33" s="19" t="s">
        <v>166</v>
      </c>
      <c r="Q33" s="21" t="s">
        <v>57</v>
      </c>
      <c r="R33" s="21" t="s">
        <v>58</v>
      </c>
    </row>
    <row r="34">
      <c r="A34" s="19">
        <v>4562.0</v>
      </c>
      <c r="B34" s="19">
        <v>1.0</v>
      </c>
      <c r="C34" s="21" t="s">
        <v>43</v>
      </c>
      <c r="D34" s="21">
        <v>12.0</v>
      </c>
      <c r="E34" s="19">
        <v>28724.0</v>
      </c>
      <c r="F34" s="46">
        <v>46007.0</v>
      </c>
      <c r="G34" s="19">
        <v>3.16520076E8</v>
      </c>
      <c r="H34" s="21" t="s">
        <v>48</v>
      </c>
      <c r="I34" s="19">
        <v>1.08194537E8</v>
      </c>
      <c r="J34" s="21" t="s">
        <v>340</v>
      </c>
      <c r="K34" s="21" t="s">
        <v>342</v>
      </c>
      <c r="L34" s="21"/>
      <c r="M34" s="19" t="s">
        <v>164</v>
      </c>
      <c r="N34" s="19" t="s">
        <v>165</v>
      </c>
      <c r="O34" s="19">
        <v>0.0</v>
      </c>
      <c r="P34" s="19" t="s">
        <v>166</v>
      </c>
      <c r="Q34" s="21" t="s">
        <v>57</v>
      </c>
      <c r="R34" s="21" t="s">
        <v>58</v>
      </c>
    </row>
    <row r="35">
      <c r="A35" s="19">
        <v>4563.0</v>
      </c>
      <c r="B35" s="19">
        <v>1.0</v>
      </c>
      <c r="C35" s="21" t="s">
        <v>43</v>
      </c>
      <c r="D35" s="21">
        <v>12.0</v>
      </c>
      <c r="E35" s="19">
        <v>28725.0</v>
      </c>
      <c r="F35" s="46">
        <v>46007.0</v>
      </c>
      <c r="G35" s="19">
        <v>3.16520076E8</v>
      </c>
      <c r="H35" s="21" t="s">
        <v>48</v>
      </c>
      <c r="I35" s="19">
        <v>1.1121629E8</v>
      </c>
      <c r="J35" s="21" t="s">
        <v>95</v>
      </c>
      <c r="K35" s="21" t="s">
        <v>350</v>
      </c>
      <c r="L35" s="21"/>
      <c r="M35" s="19" t="s">
        <v>351</v>
      </c>
      <c r="N35" s="19" t="s">
        <v>352</v>
      </c>
      <c r="O35" s="19">
        <v>0.0</v>
      </c>
      <c r="P35" s="19" t="s">
        <v>353</v>
      </c>
      <c r="Q35" s="21" t="s">
        <v>57</v>
      </c>
      <c r="R35" s="21" t="s">
        <v>58</v>
      </c>
    </row>
    <row r="36">
      <c r="A36" s="19">
        <v>4564.0</v>
      </c>
      <c r="B36" s="19">
        <v>1.0</v>
      </c>
      <c r="C36" s="21" t="s">
        <v>43</v>
      </c>
      <c r="D36" s="21">
        <v>12.0</v>
      </c>
      <c r="E36" s="19">
        <v>28726.0</v>
      </c>
      <c r="F36" s="46">
        <v>46007.0</v>
      </c>
      <c r="G36" s="19">
        <v>3.16520076E8</v>
      </c>
      <c r="H36" s="21" t="s">
        <v>48</v>
      </c>
      <c r="I36" s="19">
        <v>5.901189328E9</v>
      </c>
      <c r="J36" s="21" t="s">
        <v>354</v>
      </c>
      <c r="K36" s="21" t="s">
        <v>355</v>
      </c>
      <c r="L36" s="21"/>
      <c r="M36" s="19" t="s">
        <v>356</v>
      </c>
      <c r="N36" s="19" t="s">
        <v>358</v>
      </c>
      <c r="O36" s="19">
        <v>0.0</v>
      </c>
      <c r="P36" s="19" t="s">
        <v>361</v>
      </c>
      <c r="Q36" s="21" t="s">
        <v>57</v>
      </c>
      <c r="R36" s="21" t="s">
        <v>58</v>
      </c>
    </row>
    <row r="37">
      <c r="A37" s="19">
        <v>5188.0</v>
      </c>
      <c r="B37" s="19">
        <v>1.0</v>
      </c>
      <c r="C37" s="21" t="s">
        <v>43</v>
      </c>
      <c r="D37" s="21">
        <v>12.0</v>
      </c>
      <c r="E37" s="19">
        <v>29357.0</v>
      </c>
      <c r="F37" s="46">
        <v>46008.0</v>
      </c>
      <c r="G37" s="19">
        <v>3.16520076E8</v>
      </c>
      <c r="H37" s="21" t="s">
        <v>48</v>
      </c>
      <c r="I37" s="19">
        <v>1.00100632E8</v>
      </c>
      <c r="J37" s="21" t="s">
        <v>366</v>
      </c>
      <c r="K37" s="21" t="s">
        <v>367</v>
      </c>
      <c r="L37" s="21"/>
      <c r="M37" s="19" t="s">
        <v>294</v>
      </c>
      <c r="N37" s="19" t="s">
        <v>165</v>
      </c>
      <c r="O37" s="19">
        <v>0.0</v>
      </c>
      <c r="P37" s="19" t="s">
        <v>296</v>
      </c>
      <c r="Q37" s="21" t="s">
        <v>57</v>
      </c>
      <c r="R37" s="21" t="s">
        <v>58</v>
      </c>
    </row>
    <row r="38">
      <c r="A38" s="19">
        <v>5280.0</v>
      </c>
      <c r="B38" s="19">
        <v>1.0</v>
      </c>
      <c r="C38" s="21" t="s">
        <v>43</v>
      </c>
      <c r="D38" s="21">
        <v>12.0</v>
      </c>
      <c r="E38" s="19">
        <v>29453.0</v>
      </c>
      <c r="F38" s="46">
        <v>46009.0</v>
      </c>
      <c r="G38" s="19">
        <v>3.16520076E8</v>
      </c>
      <c r="H38" s="21" t="s">
        <v>48</v>
      </c>
      <c r="I38" s="19">
        <v>1.1060336E8</v>
      </c>
      <c r="J38" s="21" t="s">
        <v>370</v>
      </c>
      <c r="K38" s="21" t="s">
        <v>371</v>
      </c>
      <c r="L38" s="21"/>
      <c r="M38" s="19" t="s">
        <v>372</v>
      </c>
      <c r="N38" s="19" t="s">
        <v>373</v>
      </c>
      <c r="O38" s="19">
        <v>0.0</v>
      </c>
      <c r="P38" s="19" t="s">
        <v>374</v>
      </c>
      <c r="Q38" s="21" t="s">
        <v>57</v>
      </c>
      <c r="R38" s="21" t="s">
        <v>58</v>
      </c>
    </row>
    <row r="39">
      <c r="A39" s="19">
        <v>5285.0</v>
      </c>
      <c r="B39" s="19">
        <v>1.0</v>
      </c>
      <c r="C39" s="21" t="s">
        <v>43</v>
      </c>
      <c r="D39" s="21">
        <v>12.0</v>
      </c>
      <c r="E39" s="19">
        <v>29458.0</v>
      </c>
      <c r="F39" s="46">
        <v>46009.0</v>
      </c>
      <c r="G39" s="19">
        <v>3.16520076E8</v>
      </c>
      <c r="H39" s="21" t="s">
        <v>48</v>
      </c>
      <c r="I39" s="19">
        <v>5.701492285E9</v>
      </c>
      <c r="J39" s="21" t="s">
        <v>377</v>
      </c>
      <c r="K39" s="21" t="s">
        <v>379</v>
      </c>
      <c r="L39" s="21"/>
      <c r="M39" s="19" t="s">
        <v>380</v>
      </c>
      <c r="N39" s="19" t="s">
        <v>382</v>
      </c>
      <c r="O39" s="19">
        <v>0.0</v>
      </c>
      <c r="P39" s="19" t="s">
        <v>383</v>
      </c>
      <c r="Q39" s="21" t="s">
        <v>57</v>
      </c>
      <c r="R39" s="21" t="s">
        <v>58</v>
      </c>
    </row>
    <row r="40">
      <c r="A40" s="19">
        <v>5296.0</v>
      </c>
      <c r="B40" s="19">
        <v>1.0</v>
      </c>
      <c r="C40" s="21" t="s">
        <v>43</v>
      </c>
      <c r="D40" s="21">
        <v>12.0</v>
      </c>
      <c r="E40" s="19">
        <v>29469.0</v>
      </c>
      <c r="F40" s="46">
        <v>46009.0</v>
      </c>
      <c r="G40" s="19">
        <v>3.16520076E8</v>
      </c>
      <c r="H40" s="21" t="s">
        <v>48</v>
      </c>
      <c r="I40" s="19">
        <v>1.05749653E8</v>
      </c>
      <c r="J40" s="21" t="s">
        <v>386</v>
      </c>
      <c r="K40" s="21" t="s">
        <v>387</v>
      </c>
      <c r="L40" s="21"/>
      <c r="M40" s="19" t="s">
        <v>72</v>
      </c>
      <c r="N40" s="19" t="s">
        <v>73</v>
      </c>
      <c r="O40" s="19">
        <v>0.0</v>
      </c>
      <c r="P40" s="19" t="s">
        <v>74</v>
      </c>
      <c r="Q40" s="21" t="s">
        <v>57</v>
      </c>
      <c r="R40" s="21" t="s">
        <v>58</v>
      </c>
    </row>
    <row r="41">
      <c r="A41" s="19">
        <v>5346.0</v>
      </c>
      <c r="B41" s="19">
        <v>1.0</v>
      </c>
      <c r="C41" s="21" t="s">
        <v>43</v>
      </c>
      <c r="D41" s="21">
        <v>12.0</v>
      </c>
      <c r="E41" s="19">
        <v>29519.0</v>
      </c>
      <c r="F41" s="46">
        <v>46009.0</v>
      </c>
      <c r="G41" s="19">
        <v>3.16520076E8</v>
      </c>
      <c r="H41" s="21" t="s">
        <v>48</v>
      </c>
      <c r="I41" s="19">
        <v>3.12403614E8</v>
      </c>
      <c r="J41" s="21" t="s">
        <v>388</v>
      </c>
      <c r="K41" s="21" t="s">
        <v>390</v>
      </c>
      <c r="L41" s="21"/>
      <c r="M41" s="19" t="s">
        <v>391</v>
      </c>
      <c r="N41" s="19" t="s">
        <v>392</v>
      </c>
      <c r="O41" s="19">
        <v>0.0</v>
      </c>
      <c r="P41" s="19" t="s">
        <v>393</v>
      </c>
      <c r="Q41" s="21" t="s">
        <v>57</v>
      </c>
      <c r="R41" s="21" t="s">
        <v>58</v>
      </c>
    </row>
    <row r="42">
      <c r="A42" s="19">
        <v>5402.0</v>
      </c>
      <c r="B42" s="19">
        <v>1.0</v>
      </c>
      <c r="C42" s="21" t="s">
        <v>43</v>
      </c>
      <c r="D42" s="21">
        <v>12.0</v>
      </c>
      <c r="E42" s="19">
        <v>29575.0</v>
      </c>
      <c r="F42" s="46">
        <v>46009.0</v>
      </c>
      <c r="G42" s="19">
        <v>3.16520076E8</v>
      </c>
      <c r="H42" s="21" t="s">
        <v>48</v>
      </c>
      <c r="I42" s="19">
        <v>1.0847503E8</v>
      </c>
      <c r="J42" s="21" t="s">
        <v>397</v>
      </c>
      <c r="K42" s="21" t="s">
        <v>398</v>
      </c>
      <c r="L42" s="21"/>
      <c r="M42" s="19" t="s">
        <v>399</v>
      </c>
      <c r="N42" s="19" t="s">
        <v>400</v>
      </c>
      <c r="O42" s="19">
        <v>0.0</v>
      </c>
      <c r="P42" s="19" t="s">
        <v>401</v>
      </c>
      <c r="Q42" s="21" t="s">
        <v>57</v>
      </c>
      <c r="R42" s="21" t="s">
        <v>58</v>
      </c>
    </row>
    <row r="43">
      <c r="A43" s="19">
        <v>5439.0</v>
      </c>
      <c r="B43" s="19">
        <v>1.0</v>
      </c>
      <c r="C43" s="21" t="s">
        <v>43</v>
      </c>
      <c r="D43" s="21">
        <v>12.0</v>
      </c>
      <c r="E43" s="19">
        <v>29613.0</v>
      </c>
      <c r="F43" s="46">
        <v>46009.0</v>
      </c>
      <c r="G43" s="19">
        <v>3.16520076E8</v>
      </c>
      <c r="H43" s="21" t="s">
        <v>48</v>
      </c>
      <c r="I43" s="19">
        <v>3.18386115E8</v>
      </c>
      <c r="J43" s="21" t="s">
        <v>402</v>
      </c>
      <c r="K43" s="21" t="s">
        <v>403</v>
      </c>
      <c r="L43" s="21"/>
      <c r="M43" s="19" t="s">
        <v>164</v>
      </c>
      <c r="N43" s="19" t="s">
        <v>165</v>
      </c>
      <c r="O43" s="19">
        <v>0.0</v>
      </c>
      <c r="P43" s="19" t="s">
        <v>166</v>
      </c>
      <c r="Q43" s="21" t="s">
        <v>57</v>
      </c>
      <c r="R43" s="21" t="s">
        <v>58</v>
      </c>
    </row>
    <row r="44">
      <c r="A44" s="19">
        <v>5491.0</v>
      </c>
      <c r="B44" s="19">
        <v>1.0</v>
      </c>
      <c r="C44" s="21" t="s">
        <v>43</v>
      </c>
      <c r="D44" s="21">
        <v>12.0</v>
      </c>
      <c r="E44" s="19">
        <v>29667.0</v>
      </c>
      <c r="F44" s="46">
        <v>46009.0</v>
      </c>
      <c r="G44" s="19">
        <v>3.16520076E8</v>
      </c>
      <c r="H44" s="21" t="s">
        <v>48</v>
      </c>
      <c r="I44" s="19">
        <v>3.14604108E8</v>
      </c>
      <c r="J44" s="21" t="s">
        <v>411</v>
      </c>
      <c r="K44" s="21" t="s">
        <v>412</v>
      </c>
      <c r="L44" s="21"/>
      <c r="M44" s="19" t="s">
        <v>415</v>
      </c>
      <c r="N44" s="19" t="s">
        <v>416</v>
      </c>
      <c r="O44" s="19">
        <v>0.0</v>
      </c>
      <c r="P44" s="19" t="s">
        <v>417</v>
      </c>
      <c r="Q44" s="21" t="s">
        <v>57</v>
      </c>
      <c r="R44" s="21" t="s">
        <v>58</v>
      </c>
    </row>
    <row r="45">
      <c r="A45" s="19">
        <v>5492.0</v>
      </c>
      <c r="B45" s="19">
        <v>1.0</v>
      </c>
      <c r="C45" s="21" t="s">
        <v>43</v>
      </c>
      <c r="D45" s="21">
        <v>12.0</v>
      </c>
      <c r="E45" s="19">
        <v>29668.0</v>
      </c>
      <c r="F45" s="46">
        <v>46009.0</v>
      </c>
      <c r="G45" s="19">
        <v>3.16520076E8</v>
      </c>
      <c r="H45" s="21" t="s">
        <v>48</v>
      </c>
      <c r="I45" s="19">
        <v>3.700690178E9</v>
      </c>
      <c r="J45" s="21" t="s">
        <v>419</v>
      </c>
      <c r="K45" s="21" t="s">
        <v>420</v>
      </c>
      <c r="L45" s="21"/>
      <c r="M45" s="19" t="s">
        <v>305</v>
      </c>
      <c r="N45" s="19" t="s">
        <v>307</v>
      </c>
      <c r="O45" s="19">
        <v>0.0</v>
      </c>
      <c r="P45" s="19" t="s">
        <v>308</v>
      </c>
      <c r="Q45" s="21" t="s">
        <v>57</v>
      </c>
      <c r="R45" s="21" t="s">
        <v>58</v>
      </c>
    </row>
    <row r="46">
      <c r="A46" s="19">
        <v>5493.0</v>
      </c>
      <c r="B46" s="19">
        <v>1.0</v>
      </c>
      <c r="C46" s="21" t="s">
        <v>43</v>
      </c>
      <c r="D46" s="21">
        <v>12.0</v>
      </c>
      <c r="E46" s="19">
        <v>29669.0</v>
      </c>
      <c r="F46" s="46">
        <v>46009.0</v>
      </c>
      <c r="G46" s="19">
        <v>3.16520076E8</v>
      </c>
      <c r="H46" s="21" t="s">
        <v>48</v>
      </c>
      <c r="I46" s="19">
        <v>3.1579356E8</v>
      </c>
      <c r="J46" s="21" t="s">
        <v>76</v>
      </c>
      <c r="K46" s="21" t="s">
        <v>77</v>
      </c>
      <c r="L46" s="21"/>
      <c r="M46" s="19" t="s">
        <v>426</v>
      </c>
      <c r="N46" s="19" t="s">
        <v>427</v>
      </c>
      <c r="O46" s="19">
        <v>0.0</v>
      </c>
      <c r="P46" s="19" t="s">
        <v>430</v>
      </c>
      <c r="Q46" s="21" t="s">
        <v>57</v>
      </c>
      <c r="R46" s="21" t="s">
        <v>58</v>
      </c>
    </row>
    <row r="47">
      <c r="A47" s="19">
        <v>5494.0</v>
      </c>
      <c r="B47" s="19">
        <v>1.0</v>
      </c>
      <c r="C47" s="21" t="s">
        <v>43</v>
      </c>
      <c r="D47" s="21">
        <v>12.0</v>
      </c>
      <c r="E47" s="19">
        <v>29670.0</v>
      </c>
      <c r="F47" s="46">
        <v>46009.0</v>
      </c>
      <c r="G47" s="19">
        <v>3.16520076E8</v>
      </c>
      <c r="H47" s="21" t="s">
        <v>48</v>
      </c>
      <c r="I47" s="19">
        <v>3.1579356E8</v>
      </c>
      <c r="J47" s="21" t="s">
        <v>76</v>
      </c>
      <c r="K47" s="21" t="s">
        <v>77</v>
      </c>
      <c r="L47" s="21"/>
      <c r="M47" s="19" t="s">
        <v>432</v>
      </c>
      <c r="N47" s="19" t="s">
        <v>433</v>
      </c>
      <c r="O47" s="19">
        <v>0.0</v>
      </c>
      <c r="P47" s="19" t="s">
        <v>434</v>
      </c>
      <c r="Q47" s="21" t="s">
        <v>57</v>
      </c>
      <c r="R47" s="21" t="s">
        <v>58</v>
      </c>
    </row>
    <row r="48">
      <c r="A48" s="19">
        <v>5495.0</v>
      </c>
      <c r="B48" s="19">
        <v>1.0</v>
      </c>
      <c r="C48" s="21" t="s">
        <v>43</v>
      </c>
      <c r="D48" s="21">
        <v>12.0</v>
      </c>
      <c r="E48" s="19">
        <v>29671.0</v>
      </c>
      <c r="F48" s="46">
        <v>46009.0</v>
      </c>
      <c r="G48" s="19">
        <v>3.16520076E8</v>
      </c>
      <c r="H48" s="21" t="s">
        <v>48</v>
      </c>
      <c r="I48" s="19">
        <v>3.1579356E8</v>
      </c>
      <c r="J48" s="21" t="s">
        <v>76</v>
      </c>
      <c r="K48" s="21" t="s">
        <v>77</v>
      </c>
      <c r="L48" s="21"/>
      <c r="M48" s="19" t="s">
        <v>435</v>
      </c>
      <c r="N48" s="19" t="s">
        <v>436</v>
      </c>
      <c r="O48" s="19">
        <v>0.0</v>
      </c>
      <c r="P48" s="19" t="s">
        <v>437</v>
      </c>
      <c r="Q48" s="21" t="s">
        <v>57</v>
      </c>
      <c r="R48" s="21" t="s">
        <v>58</v>
      </c>
    </row>
    <row r="49">
      <c r="A49" s="19">
        <v>5496.0</v>
      </c>
      <c r="B49" s="19">
        <v>1.0</v>
      </c>
      <c r="C49" s="21" t="s">
        <v>43</v>
      </c>
      <c r="D49" s="21">
        <v>12.0</v>
      </c>
      <c r="E49" s="19">
        <v>29672.0</v>
      </c>
      <c r="F49" s="46">
        <v>46009.0</v>
      </c>
      <c r="G49" s="19">
        <v>3.16520076E8</v>
      </c>
      <c r="H49" s="21" t="s">
        <v>48</v>
      </c>
      <c r="I49" s="19">
        <v>3.1579356E8</v>
      </c>
      <c r="J49" s="21" t="s">
        <v>76</v>
      </c>
      <c r="K49" s="21" t="s">
        <v>77</v>
      </c>
      <c r="L49" s="21"/>
      <c r="M49" s="19" t="s">
        <v>445</v>
      </c>
      <c r="N49" s="19" t="s">
        <v>446</v>
      </c>
      <c r="O49" s="19">
        <v>0.0</v>
      </c>
      <c r="P49" s="19" t="s">
        <v>447</v>
      </c>
      <c r="Q49" s="21" t="s">
        <v>57</v>
      </c>
      <c r="R49" s="21" t="s">
        <v>58</v>
      </c>
    </row>
    <row r="50">
      <c r="A50" s="19">
        <v>5497.0</v>
      </c>
      <c r="B50" s="19">
        <v>1.0</v>
      </c>
      <c r="C50" s="21" t="s">
        <v>43</v>
      </c>
      <c r="D50" s="21">
        <v>12.0</v>
      </c>
      <c r="E50" s="19">
        <v>29673.0</v>
      </c>
      <c r="F50" s="46">
        <v>46009.0</v>
      </c>
      <c r="G50" s="19">
        <v>3.16520076E8</v>
      </c>
      <c r="H50" s="21" t="s">
        <v>48</v>
      </c>
      <c r="I50" s="19">
        <v>3.1579356E8</v>
      </c>
      <c r="J50" s="21" t="s">
        <v>76</v>
      </c>
      <c r="K50" s="21" t="s">
        <v>77</v>
      </c>
      <c r="L50" s="21"/>
      <c r="M50" s="19" t="s">
        <v>448</v>
      </c>
      <c r="N50" s="19" t="s">
        <v>449</v>
      </c>
      <c r="O50" s="19">
        <v>0.0</v>
      </c>
      <c r="P50" s="19" t="s">
        <v>450</v>
      </c>
      <c r="Q50" s="21" t="s">
        <v>57</v>
      </c>
      <c r="R50" s="21" t="s">
        <v>58</v>
      </c>
    </row>
    <row r="51">
      <c r="A51" s="19">
        <v>5498.0</v>
      </c>
      <c r="B51" s="19">
        <v>1.0</v>
      </c>
      <c r="C51" s="21" t="s">
        <v>43</v>
      </c>
      <c r="D51" s="21">
        <v>12.0</v>
      </c>
      <c r="E51" s="19">
        <v>29674.0</v>
      </c>
      <c r="F51" s="46">
        <v>46009.0</v>
      </c>
      <c r="G51" s="19">
        <v>3.16520076E8</v>
      </c>
      <c r="H51" s="21" t="s">
        <v>48</v>
      </c>
      <c r="I51" s="19">
        <v>3.1579356E8</v>
      </c>
      <c r="J51" s="21" t="s">
        <v>76</v>
      </c>
      <c r="K51" s="21" t="s">
        <v>77</v>
      </c>
      <c r="L51" s="21"/>
      <c r="M51" s="19" t="s">
        <v>459</v>
      </c>
      <c r="N51" s="19" t="s">
        <v>460</v>
      </c>
      <c r="O51" s="19">
        <v>0.0</v>
      </c>
      <c r="P51" s="19" t="s">
        <v>462</v>
      </c>
      <c r="Q51" s="21" t="s">
        <v>57</v>
      </c>
      <c r="R51" s="21" t="s">
        <v>58</v>
      </c>
    </row>
    <row r="52">
      <c r="A52" s="19">
        <v>5499.0</v>
      </c>
      <c r="B52" s="19">
        <v>1.0</v>
      </c>
      <c r="C52" s="21" t="s">
        <v>43</v>
      </c>
      <c r="D52" s="21">
        <v>12.0</v>
      </c>
      <c r="E52" s="19">
        <v>29675.0</v>
      </c>
      <c r="F52" s="46">
        <v>46009.0</v>
      </c>
      <c r="G52" s="19">
        <v>3.16520076E8</v>
      </c>
      <c r="H52" s="21" t="s">
        <v>48</v>
      </c>
      <c r="I52" s="19">
        <v>3.1579356E8</v>
      </c>
      <c r="J52" s="21" t="s">
        <v>76</v>
      </c>
      <c r="K52" s="21" t="s">
        <v>77</v>
      </c>
      <c r="L52" s="21"/>
      <c r="M52" s="19" t="s">
        <v>465</v>
      </c>
      <c r="N52" s="19" t="s">
        <v>466</v>
      </c>
      <c r="O52" s="19">
        <v>0.0</v>
      </c>
      <c r="P52" s="19" t="s">
        <v>467</v>
      </c>
      <c r="Q52" s="21" t="s">
        <v>57</v>
      </c>
      <c r="R52" s="21" t="s">
        <v>58</v>
      </c>
    </row>
    <row r="53">
      <c r="A53" s="19">
        <v>5500.0</v>
      </c>
      <c r="B53" s="19">
        <v>1.0</v>
      </c>
      <c r="C53" s="21" t="s">
        <v>43</v>
      </c>
      <c r="D53" s="21">
        <v>12.0</v>
      </c>
      <c r="E53" s="19">
        <v>29676.0</v>
      </c>
      <c r="F53" s="46">
        <v>46009.0</v>
      </c>
      <c r="G53" s="19">
        <v>3.16520076E8</v>
      </c>
      <c r="H53" s="21" t="s">
        <v>48</v>
      </c>
      <c r="I53" s="19">
        <v>3.1579356E8</v>
      </c>
      <c r="J53" s="21" t="s">
        <v>76</v>
      </c>
      <c r="K53" s="21" t="s">
        <v>77</v>
      </c>
      <c r="L53" s="21"/>
      <c r="M53" s="19" t="s">
        <v>468</v>
      </c>
      <c r="N53" s="19" t="s">
        <v>469</v>
      </c>
      <c r="O53" s="19">
        <v>0.0</v>
      </c>
      <c r="P53" s="19" t="s">
        <v>471</v>
      </c>
      <c r="Q53" s="21" t="s">
        <v>57</v>
      </c>
      <c r="R53" s="21" t="s">
        <v>58</v>
      </c>
    </row>
    <row r="54">
      <c r="A54" s="19">
        <v>6236.0</v>
      </c>
      <c r="B54" s="19">
        <v>1.0</v>
      </c>
      <c r="C54" s="21" t="s">
        <v>43</v>
      </c>
      <c r="D54" s="21">
        <v>12.0</v>
      </c>
      <c r="E54" s="19">
        <v>30447.0</v>
      </c>
      <c r="F54" s="46">
        <v>46009.0</v>
      </c>
      <c r="G54" s="19">
        <v>3.16520076E8</v>
      </c>
      <c r="H54" s="21" t="s">
        <v>48</v>
      </c>
      <c r="I54" s="19">
        <v>1.02640785E8</v>
      </c>
      <c r="J54" s="21" t="s">
        <v>477</v>
      </c>
      <c r="K54" s="21" t="s">
        <v>479</v>
      </c>
      <c r="L54" s="21"/>
      <c r="M54" s="19" t="s">
        <v>164</v>
      </c>
      <c r="N54" s="19" t="s">
        <v>165</v>
      </c>
      <c r="O54" s="19">
        <v>0.0</v>
      </c>
      <c r="P54" s="19" t="s">
        <v>166</v>
      </c>
      <c r="Q54" s="21" t="s">
        <v>57</v>
      </c>
      <c r="R54" s="21" t="s">
        <v>58</v>
      </c>
    </row>
    <row r="55">
      <c r="A55" s="19">
        <v>6258.0</v>
      </c>
      <c r="B55" s="19">
        <v>1.0</v>
      </c>
      <c r="C55" s="21" t="s">
        <v>43</v>
      </c>
      <c r="D55" s="21">
        <v>12.0</v>
      </c>
      <c r="E55" s="19">
        <v>30469.0</v>
      </c>
      <c r="F55" s="46">
        <v>46010.0</v>
      </c>
      <c r="G55" s="19">
        <v>3.16520076E8</v>
      </c>
      <c r="H55" s="21" t="s">
        <v>48</v>
      </c>
      <c r="I55" s="19">
        <v>1.06730052E8</v>
      </c>
      <c r="J55" s="21" t="s">
        <v>482</v>
      </c>
      <c r="K55" s="21" t="s">
        <v>483</v>
      </c>
      <c r="L55" s="21"/>
      <c r="M55" s="19" t="s">
        <v>484</v>
      </c>
      <c r="N55" s="19" t="s">
        <v>485</v>
      </c>
      <c r="O55" s="19">
        <v>0.0</v>
      </c>
      <c r="P55" s="19" t="s">
        <v>486</v>
      </c>
      <c r="Q55" s="21" t="s">
        <v>57</v>
      </c>
      <c r="R55" s="21" t="s">
        <v>58</v>
      </c>
    </row>
    <row r="56">
      <c r="A56" s="19">
        <v>7286.0</v>
      </c>
      <c r="B56" s="19">
        <v>1.0</v>
      </c>
      <c r="C56" s="21" t="s">
        <v>43</v>
      </c>
      <c r="D56" s="21">
        <v>12.0</v>
      </c>
      <c r="E56" s="19">
        <v>31533.0</v>
      </c>
      <c r="F56" s="46">
        <v>46010.0</v>
      </c>
      <c r="G56" s="19">
        <v>3.16520076E8</v>
      </c>
      <c r="H56" s="21" t="s">
        <v>48</v>
      </c>
      <c r="I56" s="19">
        <v>2.500732051E9</v>
      </c>
      <c r="J56" s="21" t="s">
        <v>487</v>
      </c>
      <c r="K56" s="21" t="s">
        <v>488</v>
      </c>
      <c r="L56" s="21"/>
      <c r="M56" s="19" t="s">
        <v>489</v>
      </c>
      <c r="N56" s="19" t="s">
        <v>490</v>
      </c>
      <c r="O56" s="19">
        <v>0.0</v>
      </c>
      <c r="P56" s="19" t="s">
        <v>491</v>
      </c>
      <c r="Q56" s="21" t="s">
        <v>57</v>
      </c>
      <c r="R56" s="21" t="s">
        <v>58</v>
      </c>
    </row>
    <row r="57">
      <c r="A57" s="19">
        <v>7338.0</v>
      </c>
      <c r="B57" s="19">
        <v>1.0</v>
      </c>
      <c r="C57" s="21" t="s">
        <v>43</v>
      </c>
      <c r="D57" s="21">
        <v>12.0</v>
      </c>
      <c r="E57" s="19">
        <v>31587.0</v>
      </c>
      <c r="F57" s="46">
        <v>46010.0</v>
      </c>
      <c r="G57" s="19">
        <v>3.16520076E8</v>
      </c>
      <c r="H57" s="21" t="s">
        <v>48</v>
      </c>
      <c r="I57" s="19">
        <v>1.02640785E8</v>
      </c>
      <c r="J57" s="21" t="s">
        <v>477</v>
      </c>
      <c r="K57" s="21" t="s">
        <v>492</v>
      </c>
      <c r="L57" s="21"/>
      <c r="M57" s="19" t="s">
        <v>493</v>
      </c>
      <c r="N57" s="19" t="s">
        <v>494</v>
      </c>
      <c r="O57" s="19">
        <v>0.0</v>
      </c>
      <c r="P57" s="19" t="s">
        <v>495</v>
      </c>
      <c r="Q57" s="21" t="s">
        <v>57</v>
      </c>
      <c r="R57" s="21" t="s">
        <v>58</v>
      </c>
    </row>
    <row r="58">
      <c r="A58" s="19">
        <v>7363.0</v>
      </c>
      <c r="B58" s="19">
        <v>1.0</v>
      </c>
      <c r="C58" s="21" t="s">
        <v>43</v>
      </c>
      <c r="D58" s="21">
        <v>12.0</v>
      </c>
      <c r="E58" s="19">
        <v>31614.0</v>
      </c>
      <c r="F58" s="46">
        <v>46010.0</v>
      </c>
      <c r="G58" s="19">
        <v>3.16520076E8</v>
      </c>
      <c r="H58" s="21" t="s">
        <v>48</v>
      </c>
      <c r="I58" s="19">
        <v>1.02640785E8</v>
      </c>
      <c r="J58" s="21" t="s">
        <v>477</v>
      </c>
      <c r="K58" s="21" t="s">
        <v>492</v>
      </c>
      <c r="L58" s="21"/>
      <c r="M58" s="19" t="s">
        <v>501</v>
      </c>
      <c r="N58" s="19" t="s">
        <v>502</v>
      </c>
      <c r="O58" s="19">
        <v>0.0</v>
      </c>
      <c r="P58" s="19" t="s">
        <v>504</v>
      </c>
      <c r="Q58" s="21" t="s">
        <v>57</v>
      </c>
      <c r="R58" s="21" t="s">
        <v>58</v>
      </c>
    </row>
    <row r="59">
      <c r="A59" s="19">
        <v>7392.0</v>
      </c>
      <c r="B59" s="19">
        <v>1.0</v>
      </c>
      <c r="C59" s="21" t="s">
        <v>43</v>
      </c>
      <c r="D59" s="21">
        <v>12.0</v>
      </c>
      <c r="E59" s="19">
        <v>31644.0</v>
      </c>
      <c r="F59" s="46">
        <v>46011.0</v>
      </c>
      <c r="G59" s="19">
        <v>3.16520076E8</v>
      </c>
      <c r="H59" s="21" t="s">
        <v>48</v>
      </c>
      <c r="I59" s="19">
        <v>3.1579356E8</v>
      </c>
      <c r="J59" s="21" t="s">
        <v>76</v>
      </c>
      <c r="K59" s="21" t="s">
        <v>77</v>
      </c>
      <c r="L59" s="21"/>
      <c r="M59" s="19" t="s">
        <v>508</v>
      </c>
      <c r="N59" s="19" t="s">
        <v>509</v>
      </c>
      <c r="O59" s="19">
        <v>0.0</v>
      </c>
      <c r="P59" s="19" t="s">
        <v>510</v>
      </c>
      <c r="Q59" s="21" t="s">
        <v>57</v>
      </c>
      <c r="R59" s="21" t="s">
        <v>58</v>
      </c>
    </row>
    <row r="60">
      <c r="A60" s="19">
        <v>7437.0</v>
      </c>
      <c r="B60" s="19">
        <v>1.0</v>
      </c>
      <c r="C60" s="21" t="s">
        <v>43</v>
      </c>
      <c r="D60" s="21">
        <v>12.0</v>
      </c>
      <c r="E60" s="19">
        <v>31691.0</v>
      </c>
      <c r="F60" s="46">
        <v>46011.0</v>
      </c>
      <c r="G60" s="19">
        <v>3.16520076E8</v>
      </c>
      <c r="H60" s="21" t="s">
        <v>48</v>
      </c>
      <c r="I60" s="19">
        <v>6.001705162E9</v>
      </c>
      <c r="J60" s="21" t="s">
        <v>511</v>
      </c>
      <c r="K60" s="21" t="s">
        <v>512</v>
      </c>
      <c r="L60" s="21"/>
      <c r="M60" s="19" t="s">
        <v>207</v>
      </c>
      <c r="N60" s="19" t="s">
        <v>124</v>
      </c>
      <c r="O60" s="19">
        <v>0.0</v>
      </c>
      <c r="P60" s="19" t="s">
        <v>209</v>
      </c>
      <c r="Q60" s="21" t="s">
        <v>57</v>
      </c>
      <c r="R60" s="21" t="s">
        <v>58</v>
      </c>
    </row>
    <row r="61">
      <c r="A61" s="19">
        <v>7929.0</v>
      </c>
      <c r="B61" s="19">
        <v>1.0</v>
      </c>
      <c r="C61" s="21" t="s">
        <v>43</v>
      </c>
      <c r="D61" s="21">
        <v>12.0</v>
      </c>
      <c r="E61" s="19">
        <v>32203.0</v>
      </c>
      <c r="F61" s="46">
        <v>46013.0</v>
      </c>
      <c r="G61" s="19">
        <v>3.16520076E8</v>
      </c>
      <c r="H61" s="21" t="s">
        <v>48</v>
      </c>
      <c r="I61" s="19">
        <v>1.0532664E8</v>
      </c>
      <c r="J61" s="21" t="s">
        <v>520</v>
      </c>
      <c r="K61" s="21" t="s">
        <v>521</v>
      </c>
      <c r="L61" s="21"/>
      <c r="M61" s="19" t="s">
        <v>164</v>
      </c>
      <c r="N61" s="19" t="s">
        <v>165</v>
      </c>
      <c r="O61" s="19">
        <v>0.0</v>
      </c>
      <c r="P61" s="19" t="s">
        <v>166</v>
      </c>
      <c r="Q61" s="21" t="s">
        <v>57</v>
      </c>
      <c r="R61" s="21" t="s">
        <v>58</v>
      </c>
    </row>
    <row r="62">
      <c r="A62" s="19">
        <v>8320.0</v>
      </c>
      <c r="B62" s="19">
        <v>1.0</v>
      </c>
      <c r="C62" s="21" t="s">
        <v>43</v>
      </c>
      <c r="D62" s="21">
        <v>12.0</v>
      </c>
      <c r="E62" s="19">
        <v>32610.0</v>
      </c>
      <c r="F62" s="46">
        <v>46014.0</v>
      </c>
      <c r="G62" s="19">
        <v>3.16520076E8</v>
      </c>
      <c r="H62" s="21" t="s">
        <v>48</v>
      </c>
      <c r="I62" s="19">
        <v>4.601610649E9</v>
      </c>
      <c r="J62" s="21" t="s">
        <v>523</v>
      </c>
      <c r="K62" s="21" t="s">
        <v>524</v>
      </c>
      <c r="L62" s="21"/>
      <c r="M62" s="19" t="s">
        <v>525</v>
      </c>
      <c r="N62" s="19" t="s">
        <v>325</v>
      </c>
      <c r="O62" s="19">
        <v>0.0</v>
      </c>
      <c r="P62" s="19" t="s">
        <v>526</v>
      </c>
      <c r="Q62" s="21" t="s">
        <v>57</v>
      </c>
      <c r="R62" s="21" t="s">
        <v>58</v>
      </c>
    </row>
    <row r="63">
      <c r="A63" s="19">
        <v>8658.0</v>
      </c>
      <c r="B63" s="19">
        <v>1.0</v>
      </c>
      <c r="C63" s="21" t="s">
        <v>43</v>
      </c>
      <c r="D63" s="21">
        <v>12.0</v>
      </c>
      <c r="E63" s="19">
        <v>32961.0</v>
      </c>
      <c r="F63" s="46">
        <v>46014.0</v>
      </c>
      <c r="G63" s="19">
        <v>3.16520076E8</v>
      </c>
      <c r="H63" s="21" t="s">
        <v>48</v>
      </c>
      <c r="I63" s="19">
        <v>1.10347318E8</v>
      </c>
      <c r="J63" s="21" t="s">
        <v>531</v>
      </c>
      <c r="K63" s="21" t="s">
        <v>533</v>
      </c>
      <c r="L63" s="21"/>
      <c r="M63" s="19" t="s">
        <v>164</v>
      </c>
      <c r="N63" s="19" t="s">
        <v>165</v>
      </c>
      <c r="O63" s="19">
        <v>0.0</v>
      </c>
      <c r="P63" s="19" t="s">
        <v>166</v>
      </c>
      <c r="Q63" s="21" t="s">
        <v>57</v>
      </c>
      <c r="R63" s="21" t="s">
        <v>58</v>
      </c>
    </row>
    <row r="64">
      <c r="A64" s="19">
        <v>8661.0</v>
      </c>
      <c r="B64" s="19">
        <v>1.0</v>
      </c>
      <c r="C64" s="21" t="s">
        <v>43</v>
      </c>
      <c r="D64" s="21">
        <v>12.0</v>
      </c>
      <c r="E64" s="19">
        <v>32964.0</v>
      </c>
      <c r="F64" s="46">
        <v>46015.0</v>
      </c>
      <c r="G64" s="19">
        <v>3.16520076E8</v>
      </c>
      <c r="H64" s="21" t="s">
        <v>48</v>
      </c>
      <c r="I64" s="19" t="s">
        <v>537</v>
      </c>
      <c r="J64" s="21" t="s">
        <v>538</v>
      </c>
      <c r="K64" s="21" t="s">
        <v>539</v>
      </c>
      <c r="L64" s="21"/>
      <c r="M64" s="19" t="s">
        <v>540</v>
      </c>
      <c r="N64" s="19" t="s">
        <v>541</v>
      </c>
      <c r="O64" s="19">
        <v>0.0</v>
      </c>
      <c r="P64" s="19" t="s">
        <v>542</v>
      </c>
      <c r="Q64" s="21" t="s">
        <v>57</v>
      </c>
      <c r="R64" s="21" t="s">
        <v>58</v>
      </c>
    </row>
    <row r="65">
      <c r="A65" s="19">
        <v>8662.0</v>
      </c>
      <c r="B65" s="19">
        <v>1.0</v>
      </c>
      <c r="C65" s="21" t="s">
        <v>43</v>
      </c>
      <c r="D65" s="21">
        <v>12.0</v>
      </c>
      <c r="E65" s="19">
        <v>32965.0</v>
      </c>
      <c r="F65" s="46">
        <v>46015.0</v>
      </c>
      <c r="G65" s="19">
        <v>3.16520076E8</v>
      </c>
      <c r="H65" s="21" t="s">
        <v>48</v>
      </c>
      <c r="I65" s="19">
        <v>1.07342895E8</v>
      </c>
      <c r="J65" s="21" t="s">
        <v>546</v>
      </c>
      <c r="K65" s="21" t="s">
        <v>547</v>
      </c>
      <c r="L65" s="21"/>
      <c r="M65" s="19" t="s">
        <v>548</v>
      </c>
      <c r="N65" s="19" t="s">
        <v>550</v>
      </c>
      <c r="O65" s="19">
        <v>0.0</v>
      </c>
      <c r="P65" s="19" t="s">
        <v>552</v>
      </c>
      <c r="Q65" s="21" t="s">
        <v>168</v>
      </c>
      <c r="R65" s="21" t="s">
        <v>58</v>
      </c>
    </row>
    <row r="66">
      <c r="A66" s="19">
        <v>9158.0</v>
      </c>
      <c r="B66" s="19">
        <v>1.0</v>
      </c>
      <c r="C66" s="21" t="s">
        <v>43</v>
      </c>
      <c r="D66" s="21">
        <v>12.0</v>
      </c>
      <c r="E66" s="19">
        <v>33494.0</v>
      </c>
      <c r="F66" s="46">
        <v>46017.0</v>
      </c>
      <c r="G66" s="19">
        <v>3.16520076E8</v>
      </c>
      <c r="H66" s="21" t="s">
        <v>48</v>
      </c>
      <c r="I66" s="19">
        <v>1.08050704E8</v>
      </c>
      <c r="J66" s="21" t="s">
        <v>555</v>
      </c>
      <c r="K66" s="21" t="s">
        <v>556</v>
      </c>
      <c r="L66" s="21"/>
      <c r="M66" s="19" t="s">
        <v>164</v>
      </c>
      <c r="N66" s="19" t="s">
        <v>165</v>
      </c>
      <c r="O66" s="19">
        <v>0.0</v>
      </c>
      <c r="P66" s="19" t="s">
        <v>166</v>
      </c>
      <c r="Q66" s="21" t="s">
        <v>57</v>
      </c>
      <c r="R66" s="21" t="s">
        <v>58</v>
      </c>
    </row>
    <row r="67">
      <c r="A67" s="19">
        <v>9159.0</v>
      </c>
      <c r="B67" s="19">
        <v>1.0</v>
      </c>
      <c r="C67" s="21" t="s">
        <v>43</v>
      </c>
      <c r="D67" s="21">
        <v>12.0</v>
      </c>
      <c r="E67" s="19">
        <v>33495.0</v>
      </c>
      <c r="F67" s="46">
        <v>46017.0</v>
      </c>
      <c r="G67" s="19">
        <v>3.16520076E8</v>
      </c>
      <c r="H67" s="21" t="s">
        <v>48</v>
      </c>
      <c r="I67" s="19">
        <v>1.07342895E8</v>
      </c>
      <c r="J67" s="21" t="s">
        <v>546</v>
      </c>
      <c r="K67" s="21" t="s">
        <v>547</v>
      </c>
      <c r="L67" s="21"/>
      <c r="M67" s="19" t="s">
        <v>559</v>
      </c>
      <c r="N67" s="19" t="s">
        <v>561</v>
      </c>
      <c r="O67" s="19">
        <v>0.0</v>
      </c>
      <c r="P67" s="19" t="s">
        <v>564</v>
      </c>
      <c r="Q67" s="21" t="s">
        <v>57</v>
      </c>
      <c r="R67" s="21" t="s">
        <v>58</v>
      </c>
    </row>
    <row r="68">
      <c r="A68" s="19">
        <v>9233.0</v>
      </c>
      <c r="B68" s="19">
        <v>1.0</v>
      </c>
      <c r="C68" s="21" t="s">
        <v>43</v>
      </c>
      <c r="D68" s="21">
        <v>12.0</v>
      </c>
      <c r="E68" s="19">
        <v>33575.0</v>
      </c>
      <c r="F68" s="46">
        <v>46017.0</v>
      </c>
      <c r="G68" s="19">
        <v>3.16520076E8</v>
      </c>
      <c r="H68" s="21" t="s">
        <v>48</v>
      </c>
      <c r="I68" s="19">
        <v>3.17022556E8</v>
      </c>
      <c r="J68" s="21" t="s">
        <v>568</v>
      </c>
      <c r="K68" s="21" t="s">
        <v>569</v>
      </c>
      <c r="L68" s="21"/>
      <c r="M68" s="19" t="s">
        <v>489</v>
      </c>
      <c r="N68" s="19" t="s">
        <v>490</v>
      </c>
      <c r="O68" s="19">
        <v>0.0</v>
      </c>
      <c r="P68" s="19" t="s">
        <v>491</v>
      </c>
      <c r="Q68" s="21" t="s">
        <v>57</v>
      </c>
      <c r="R68" s="21" t="s">
        <v>58</v>
      </c>
    </row>
    <row r="69">
      <c r="A69" s="19">
        <v>9450.0</v>
      </c>
      <c r="B69" s="19">
        <v>1.0</v>
      </c>
      <c r="C69" s="21" t="s">
        <v>43</v>
      </c>
      <c r="D69" s="21">
        <v>12.0</v>
      </c>
      <c r="E69" s="19">
        <v>33806.0</v>
      </c>
      <c r="F69" s="46">
        <v>46018.0</v>
      </c>
      <c r="G69" s="19">
        <v>3.16520076E8</v>
      </c>
      <c r="H69" s="21" t="s">
        <v>48</v>
      </c>
      <c r="I69" s="19">
        <v>3.1579356E8</v>
      </c>
      <c r="J69" s="21" t="s">
        <v>76</v>
      </c>
      <c r="K69" s="21" t="s">
        <v>77</v>
      </c>
      <c r="L69" s="21"/>
      <c r="M69" s="19" t="s">
        <v>572</v>
      </c>
      <c r="N69" s="19" t="s">
        <v>574</v>
      </c>
      <c r="O69" s="19">
        <v>0.0</v>
      </c>
      <c r="P69" s="19" t="s">
        <v>576</v>
      </c>
      <c r="Q69" s="21" t="s">
        <v>57</v>
      </c>
      <c r="R69" s="21" t="s">
        <v>58</v>
      </c>
    </row>
    <row r="70">
      <c r="A70" s="19">
        <v>9451.0</v>
      </c>
      <c r="B70" s="19">
        <v>1.0</v>
      </c>
      <c r="C70" s="21" t="s">
        <v>43</v>
      </c>
      <c r="D70" s="21">
        <v>12.0</v>
      </c>
      <c r="E70" s="19">
        <v>33807.0</v>
      </c>
      <c r="F70" s="46">
        <v>46018.0</v>
      </c>
      <c r="G70" s="19">
        <v>3.16520076E8</v>
      </c>
      <c r="H70" s="21" t="s">
        <v>48</v>
      </c>
      <c r="I70" s="19">
        <v>3.1579356E8</v>
      </c>
      <c r="J70" s="21" t="s">
        <v>76</v>
      </c>
      <c r="K70" s="21" t="s">
        <v>77</v>
      </c>
      <c r="L70" s="21"/>
      <c r="M70" s="19" t="s">
        <v>579</v>
      </c>
      <c r="N70" s="19" t="s">
        <v>580</v>
      </c>
      <c r="O70" s="19">
        <v>0.0</v>
      </c>
      <c r="P70" s="19" t="s">
        <v>581</v>
      </c>
      <c r="Q70" s="21" t="s">
        <v>57</v>
      </c>
      <c r="R70" s="21" t="s">
        <v>58</v>
      </c>
    </row>
    <row r="71">
      <c r="A71" s="19">
        <v>9452.0</v>
      </c>
      <c r="B71" s="19">
        <v>1.0</v>
      </c>
      <c r="C71" s="21" t="s">
        <v>43</v>
      </c>
      <c r="D71" s="21">
        <v>12.0</v>
      </c>
      <c r="E71" s="19">
        <v>33808.0</v>
      </c>
      <c r="F71" s="46">
        <v>46018.0</v>
      </c>
      <c r="G71" s="19">
        <v>3.16520076E8</v>
      </c>
      <c r="H71" s="21" t="s">
        <v>48</v>
      </c>
      <c r="I71" s="19">
        <v>3.1579356E8</v>
      </c>
      <c r="J71" s="21" t="s">
        <v>76</v>
      </c>
      <c r="K71" s="21" t="s">
        <v>77</v>
      </c>
      <c r="L71" s="21"/>
      <c r="M71" s="19" t="s">
        <v>587</v>
      </c>
      <c r="N71" s="19" t="s">
        <v>589</v>
      </c>
      <c r="O71" s="19">
        <v>0.0</v>
      </c>
      <c r="P71" s="19" t="s">
        <v>590</v>
      </c>
      <c r="Q71" s="21" t="s">
        <v>57</v>
      </c>
      <c r="R71" s="21" t="s">
        <v>58</v>
      </c>
    </row>
    <row r="72">
      <c r="A72" s="19">
        <v>9671.0</v>
      </c>
      <c r="B72" s="19">
        <v>1.0</v>
      </c>
      <c r="C72" s="21" t="s">
        <v>43</v>
      </c>
      <c r="D72" s="21">
        <v>12.0</v>
      </c>
      <c r="E72" s="19">
        <v>34037.0</v>
      </c>
      <c r="F72" s="46">
        <v>46020.0</v>
      </c>
      <c r="G72" s="19">
        <v>3.16520076E8</v>
      </c>
      <c r="H72" s="21" t="s">
        <v>48</v>
      </c>
      <c r="I72" s="19">
        <v>3.14549619E8</v>
      </c>
      <c r="J72" s="21" t="s">
        <v>592</v>
      </c>
      <c r="K72" s="21" t="s">
        <v>593</v>
      </c>
      <c r="L72" s="21"/>
      <c r="M72" s="19" t="s">
        <v>207</v>
      </c>
      <c r="N72" s="19" t="s">
        <v>124</v>
      </c>
      <c r="O72" s="19">
        <v>0.0</v>
      </c>
      <c r="P72" s="19" t="s">
        <v>209</v>
      </c>
      <c r="Q72" s="21" t="s">
        <v>168</v>
      </c>
      <c r="R72" s="21" t="s">
        <v>58</v>
      </c>
    </row>
    <row r="73">
      <c r="A73" s="19">
        <v>9672.0</v>
      </c>
      <c r="B73" s="19">
        <v>1.0</v>
      </c>
      <c r="C73" s="21" t="s">
        <v>43</v>
      </c>
      <c r="D73" s="21">
        <v>12.0</v>
      </c>
      <c r="E73" s="19">
        <v>34038.0</v>
      </c>
      <c r="F73" s="46">
        <v>46020.0</v>
      </c>
      <c r="G73" s="19">
        <v>3.16520076E8</v>
      </c>
      <c r="H73" s="21" t="s">
        <v>48</v>
      </c>
      <c r="I73" s="19">
        <v>3.14549619E8</v>
      </c>
      <c r="J73" s="21" t="s">
        <v>592</v>
      </c>
      <c r="K73" s="21" t="s">
        <v>593</v>
      </c>
      <c r="L73" s="21"/>
      <c r="M73" s="19" t="s">
        <v>207</v>
      </c>
      <c r="N73" s="19" t="s">
        <v>124</v>
      </c>
      <c r="O73" s="19">
        <v>0.0</v>
      </c>
      <c r="P73" s="19" t="s">
        <v>209</v>
      </c>
      <c r="Q73" s="21" t="s">
        <v>168</v>
      </c>
      <c r="R73" s="21" t="s">
        <v>58</v>
      </c>
    </row>
    <row r="74">
      <c r="A74" s="19">
        <v>9673.0</v>
      </c>
      <c r="B74" s="19">
        <v>1.0</v>
      </c>
      <c r="C74" s="21" t="s">
        <v>43</v>
      </c>
      <c r="D74" s="21">
        <v>12.0</v>
      </c>
      <c r="E74" s="19">
        <v>34039.0</v>
      </c>
      <c r="F74" s="46">
        <v>46020.0</v>
      </c>
      <c r="G74" s="19">
        <v>3.16520076E8</v>
      </c>
      <c r="H74" s="21" t="s">
        <v>48</v>
      </c>
      <c r="I74" s="19">
        <v>3.14549619E8</v>
      </c>
      <c r="J74" s="21" t="s">
        <v>592</v>
      </c>
      <c r="K74" s="21" t="s">
        <v>593</v>
      </c>
      <c r="L74" s="21"/>
      <c r="M74" s="19" t="s">
        <v>207</v>
      </c>
      <c r="N74" s="19" t="s">
        <v>124</v>
      </c>
      <c r="O74" s="19">
        <v>0.0</v>
      </c>
      <c r="P74" s="19" t="s">
        <v>209</v>
      </c>
      <c r="Q74" s="21" t="s">
        <v>168</v>
      </c>
      <c r="R74" s="21" t="s">
        <v>58</v>
      </c>
    </row>
    <row r="75">
      <c r="A75" s="19">
        <v>9721.0</v>
      </c>
      <c r="B75" s="19">
        <v>1.0</v>
      </c>
      <c r="C75" s="21" t="s">
        <v>43</v>
      </c>
      <c r="D75" s="21">
        <v>12.0</v>
      </c>
      <c r="E75" s="19">
        <v>34090.0</v>
      </c>
      <c r="F75" s="46">
        <v>46020.0</v>
      </c>
      <c r="G75" s="19">
        <v>3.16520076E8</v>
      </c>
      <c r="H75" s="21" t="s">
        <v>48</v>
      </c>
      <c r="I75" s="19">
        <v>3.1579356E8</v>
      </c>
      <c r="J75" s="21" t="s">
        <v>76</v>
      </c>
      <c r="K75" s="21" t="s">
        <v>77</v>
      </c>
      <c r="L75" s="21"/>
      <c r="M75" s="19" t="s">
        <v>601</v>
      </c>
      <c r="N75" s="19" t="s">
        <v>602</v>
      </c>
      <c r="O75" s="19">
        <v>0.0</v>
      </c>
      <c r="P75" s="19" t="s">
        <v>603</v>
      </c>
      <c r="Q75" s="21" t="s">
        <v>57</v>
      </c>
      <c r="R75" s="21" t="s">
        <v>58</v>
      </c>
    </row>
    <row r="76">
      <c r="A76" s="19">
        <v>9722.0</v>
      </c>
      <c r="B76" s="19">
        <v>1.0</v>
      </c>
      <c r="C76" s="21" t="s">
        <v>43</v>
      </c>
      <c r="D76" s="21">
        <v>12.0</v>
      </c>
      <c r="E76" s="19">
        <v>34091.0</v>
      </c>
      <c r="F76" s="46">
        <v>46020.0</v>
      </c>
      <c r="G76" s="19">
        <v>3.16520076E8</v>
      </c>
      <c r="H76" s="21" t="s">
        <v>48</v>
      </c>
      <c r="I76" s="19">
        <v>3.1579356E8</v>
      </c>
      <c r="J76" s="21" t="s">
        <v>76</v>
      </c>
      <c r="K76" s="21" t="s">
        <v>77</v>
      </c>
      <c r="L76" s="21"/>
      <c r="M76" s="19" t="s">
        <v>605</v>
      </c>
      <c r="N76" s="19" t="s">
        <v>607</v>
      </c>
      <c r="O76" s="19">
        <v>0.0</v>
      </c>
      <c r="P76" s="19" t="s">
        <v>609</v>
      </c>
      <c r="Q76" s="21" t="s">
        <v>57</v>
      </c>
      <c r="R76" s="21" t="s">
        <v>58</v>
      </c>
    </row>
    <row r="77">
      <c r="A77" s="19">
        <v>9728.0</v>
      </c>
      <c r="B77" s="19">
        <v>1.0</v>
      </c>
      <c r="C77" s="21" t="s">
        <v>43</v>
      </c>
      <c r="D77" s="21">
        <v>12.0</v>
      </c>
      <c r="E77" s="19">
        <v>34097.0</v>
      </c>
      <c r="F77" s="46">
        <v>46020.0</v>
      </c>
      <c r="G77" s="19">
        <v>3.16520076E8</v>
      </c>
      <c r="H77" s="21" t="s">
        <v>48</v>
      </c>
      <c r="I77" s="19">
        <v>1.08050704E8</v>
      </c>
      <c r="J77" s="21" t="s">
        <v>613</v>
      </c>
      <c r="K77" s="21" t="s">
        <v>614</v>
      </c>
      <c r="L77" s="21"/>
      <c r="M77" s="19" t="s">
        <v>615</v>
      </c>
      <c r="N77" s="19" t="s">
        <v>616</v>
      </c>
      <c r="O77" s="19">
        <v>0.0</v>
      </c>
      <c r="P77" s="19" t="s">
        <v>617</v>
      </c>
      <c r="Q77" s="21" t="s">
        <v>57</v>
      </c>
      <c r="R77" s="21" t="s">
        <v>58</v>
      </c>
    </row>
    <row r="78">
      <c r="A78" s="19">
        <v>10040.0</v>
      </c>
      <c r="B78" s="19">
        <v>1.0</v>
      </c>
      <c r="C78" s="21" t="s">
        <v>43</v>
      </c>
      <c r="D78" s="21">
        <v>12.0</v>
      </c>
      <c r="E78" s="19">
        <v>34424.0</v>
      </c>
      <c r="F78" s="46">
        <v>46021.0</v>
      </c>
      <c r="G78" s="19">
        <v>3.16520076E8</v>
      </c>
      <c r="H78" s="21" t="s">
        <v>48</v>
      </c>
      <c r="I78" s="19">
        <v>3.17526049E8</v>
      </c>
      <c r="J78" s="21" t="s">
        <v>620</v>
      </c>
      <c r="K78" s="21" t="s">
        <v>622</v>
      </c>
      <c r="L78" s="21"/>
      <c r="M78" s="19" t="s">
        <v>623</v>
      </c>
      <c r="N78" s="19" t="s">
        <v>625</v>
      </c>
      <c r="O78" s="19">
        <v>0.0</v>
      </c>
      <c r="P78" s="19" t="s">
        <v>627</v>
      </c>
      <c r="Q78" s="21" t="s">
        <v>57</v>
      </c>
      <c r="R78" s="21" t="s">
        <v>58</v>
      </c>
    </row>
    <row r="79">
      <c r="A79" s="19">
        <v>10097.0</v>
      </c>
      <c r="B79" s="19">
        <v>1.0</v>
      </c>
      <c r="C79" s="21" t="s">
        <v>43</v>
      </c>
      <c r="D79" s="21">
        <v>12.0</v>
      </c>
      <c r="E79" s="19">
        <v>34481.0</v>
      </c>
      <c r="F79" s="46">
        <v>46021.0</v>
      </c>
      <c r="G79" s="19">
        <v>3.16520076E8</v>
      </c>
      <c r="H79" s="21" t="s">
        <v>48</v>
      </c>
      <c r="I79" s="19">
        <v>3.701816345E9</v>
      </c>
      <c r="J79" s="21" t="s">
        <v>630</v>
      </c>
      <c r="K79" s="21" t="s">
        <v>631</v>
      </c>
      <c r="L79" s="21"/>
      <c r="M79" s="19" t="s">
        <v>391</v>
      </c>
      <c r="N79" s="19" t="s">
        <v>392</v>
      </c>
      <c r="O79" s="19">
        <v>0.0</v>
      </c>
      <c r="P79" s="19" t="s">
        <v>393</v>
      </c>
      <c r="Q79" s="21" t="s">
        <v>57</v>
      </c>
      <c r="R79" s="21" t="s">
        <v>58</v>
      </c>
    </row>
    <row r="80">
      <c r="A80" s="19">
        <v>10144.0</v>
      </c>
      <c r="B80" s="19">
        <v>1.0</v>
      </c>
      <c r="C80" s="21" t="s">
        <v>43</v>
      </c>
      <c r="D80" s="21">
        <v>12.0</v>
      </c>
      <c r="E80" s="19">
        <v>34528.0</v>
      </c>
      <c r="F80" s="46">
        <v>46021.0</v>
      </c>
      <c r="G80" s="19">
        <v>3.16520076E8</v>
      </c>
      <c r="H80" s="21" t="s">
        <v>48</v>
      </c>
      <c r="I80" s="19">
        <v>3.17526049E8</v>
      </c>
      <c r="J80" s="21" t="s">
        <v>620</v>
      </c>
      <c r="K80" s="21" t="s">
        <v>632</v>
      </c>
      <c r="L80" s="21"/>
      <c r="M80" s="19" t="s">
        <v>633</v>
      </c>
      <c r="N80" s="19" t="s">
        <v>634</v>
      </c>
      <c r="O80" s="19">
        <v>0.0</v>
      </c>
      <c r="P80" s="19" t="s">
        <v>635</v>
      </c>
      <c r="Q80" s="21" t="s">
        <v>57</v>
      </c>
      <c r="R80" s="21" t="s">
        <v>58</v>
      </c>
    </row>
    <row r="81">
      <c r="A81" s="19">
        <v>10154.0</v>
      </c>
      <c r="B81" s="19">
        <v>1.0</v>
      </c>
      <c r="C81" s="21" t="s">
        <v>43</v>
      </c>
      <c r="D81" s="21">
        <v>12.0</v>
      </c>
      <c r="E81" s="19">
        <v>34538.0</v>
      </c>
      <c r="F81" s="46">
        <v>46022.0</v>
      </c>
      <c r="G81" s="19">
        <v>3.16520076E8</v>
      </c>
      <c r="H81" s="21" t="s">
        <v>48</v>
      </c>
      <c r="I81" s="19">
        <v>3.1579356E8</v>
      </c>
      <c r="J81" s="21" t="s">
        <v>76</v>
      </c>
      <c r="K81" s="21" t="s">
        <v>77</v>
      </c>
      <c r="L81" s="21"/>
      <c r="M81" s="19" t="s">
        <v>643</v>
      </c>
      <c r="N81" s="19" t="s">
        <v>645</v>
      </c>
      <c r="O81" s="19">
        <v>0.0</v>
      </c>
      <c r="P81" s="19" t="s">
        <v>646</v>
      </c>
      <c r="Q81" s="21" t="s">
        <v>57</v>
      </c>
      <c r="R81" s="21" t="s">
        <v>58</v>
      </c>
    </row>
    <row r="82">
      <c r="A82" s="19">
        <v>10165.0</v>
      </c>
      <c r="B82" s="19">
        <v>1.0</v>
      </c>
      <c r="C82" s="21" t="s">
        <v>43</v>
      </c>
      <c r="D82" s="21">
        <v>12.0</v>
      </c>
      <c r="E82" s="19">
        <v>34549.0</v>
      </c>
      <c r="F82" s="46">
        <v>46022.0</v>
      </c>
      <c r="G82" s="19">
        <v>3.16520076E8</v>
      </c>
      <c r="H82" s="21" t="s">
        <v>48</v>
      </c>
      <c r="I82" s="19">
        <v>3.1579356E8</v>
      </c>
      <c r="J82" s="21" t="s">
        <v>76</v>
      </c>
      <c r="K82" s="21" t="s">
        <v>77</v>
      </c>
      <c r="L82" s="21"/>
      <c r="M82" s="19" t="s">
        <v>648</v>
      </c>
      <c r="N82" s="19" t="s">
        <v>649</v>
      </c>
      <c r="O82" s="19">
        <v>0.0</v>
      </c>
      <c r="P82" s="19" t="s">
        <v>650</v>
      </c>
      <c r="Q82" s="21" t="s">
        <v>57</v>
      </c>
      <c r="R82" s="21" t="s">
        <v>58</v>
      </c>
    </row>
    <row r="83">
      <c r="A83" s="19">
        <v>10290.0</v>
      </c>
      <c r="B83" s="19">
        <v>1.0</v>
      </c>
      <c r="C83" s="21" t="s">
        <v>43</v>
      </c>
      <c r="D83" s="21">
        <v>12.0</v>
      </c>
      <c r="E83" s="19">
        <v>34674.0</v>
      </c>
      <c r="F83" s="46">
        <v>46022.0</v>
      </c>
      <c r="G83" s="19">
        <v>3.16520076E8</v>
      </c>
      <c r="H83" s="21" t="s">
        <v>48</v>
      </c>
      <c r="I83" s="19">
        <v>1.08593193E8</v>
      </c>
      <c r="J83" s="21" t="s">
        <v>652</v>
      </c>
      <c r="K83" s="21" t="s">
        <v>654</v>
      </c>
      <c r="L83" s="21"/>
      <c r="M83" s="19" t="s">
        <v>356</v>
      </c>
      <c r="N83" s="19" t="s">
        <v>358</v>
      </c>
      <c r="O83" s="19">
        <v>0.0</v>
      </c>
      <c r="P83" s="19" t="s">
        <v>361</v>
      </c>
      <c r="Q83" s="21" t="s">
        <v>57</v>
      </c>
      <c r="R83" s="21" t="s">
        <v>58</v>
      </c>
    </row>
    <row r="84">
      <c r="A84" s="19">
        <v>1.0</v>
      </c>
      <c r="B84" s="19">
        <v>1.0</v>
      </c>
      <c r="C84" s="21" t="s">
        <v>43</v>
      </c>
      <c r="D84" s="21">
        <v>11.0</v>
      </c>
      <c r="E84" s="19">
        <v>19661.0</v>
      </c>
      <c r="F84" s="25">
        <v>45962.0</v>
      </c>
      <c r="G84" s="19">
        <v>3.16520076E8</v>
      </c>
      <c r="H84" s="21" t="s">
        <v>48</v>
      </c>
      <c r="I84" s="19">
        <v>3.1579356E8</v>
      </c>
      <c r="J84" s="21" t="s">
        <v>76</v>
      </c>
      <c r="K84" s="21" t="s">
        <v>77</v>
      </c>
      <c r="L84" s="21"/>
      <c r="M84" s="19" t="s">
        <v>660</v>
      </c>
      <c r="N84" s="19" t="s">
        <v>661</v>
      </c>
      <c r="O84" s="19">
        <v>0.0</v>
      </c>
      <c r="P84" s="19" t="s">
        <v>662</v>
      </c>
      <c r="Q84" s="21" t="s">
        <v>57</v>
      </c>
      <c r="R84" s="21" t="s">
        <v>58</v>
      </c>
    </row>
    <row r="85">
      <c r="A85" s="19">
        <v>83.0</v>
      </c>
      <c r="B85" s="19">
        <v>1.0</v>
      </c>
      <c r="C85" s="21" t="s">
        <v>43</v>
      </c>
      <c r="D85" s="21">
        <v>11.0</v>
      </c>
      <c r="E85" s="19">
        <v>19743.0</v>
      </c>
      <c r="F85" s="25">
        <v>45962.0</v>
      </c>
      <c r="G85" s="19">
        <v>3.16520076E8</v>
      </c>
      <c r="H85" s="21" t="s">
        <v>48</v>
      </c>
      <c r="I85" s="19">
        <v>3.163645E8</v>
      </c>
      <c r="J85" s="21" t="s">
        <v>664</v>
      </c>
      <c r="K85" s="21" t="s">
        <v>665</v>
      </c>
      <c r="L85" s="21"/>
      <c r="M85" s="19" t="s">
        <v>207</v>
      </c>
      <c r="N85" s="19" t="s">
        <v>124</v>
      </c>
      <c r="O85" s="19">
        <v>0.0</v>
      </c>
      <c r="P85" s="19" t="s">
        <v>209</v>
      </c>
      <c r="Q85" s="21" t="s">
        <v>57</v>
      </c>
      <c r="R85" s="21" t="s">
        <v>58</v>
      </c>
    </row>
    <row r="86">
      <c r="A86" s="19">
        <v>84.0</v>
      </c>
      <c r="B86" s="19">
        <v>1.0</v>
      </c>
      <c r="C86" s="21" t="s">
        <v>43</v>
      </c>
      <c r="D86" s="21">
        <v>11.0</v>
      </c>
      <c r="E86" s="19">
        <v>19744.0</v>
      </c>
      <c r="F86" s="25">
        <v>45962.0</v>
      </c>
      <c r="G86" s="19">
        <v>3.16520076E8</v>
      </c>
      <c r="H86" s="21" t="s">
        <v>48</v>
      </c>
      <c r="I86" s="19" t="s">
        <v>670</v>
      </c>
      <c r="J86" s="21" t="s">
        <v>672</v>
      </c>
      <c r="K86" s="21" t="s">
        <v>674</v>
      </c>
      <c r="L86" s="21"/>
      <c r="M86" s="19" t="s">
        <v>207</v>
      </c>
      <c r="N86" s="19" t="s">
        <v>124</v>
      </c>
      <c r="O86" s="19">
        <v>0.0</v>
      </c>
      <c r="P86" s="19" t="s">
        <v>209</v>
      </c>
      <c r="Q86" s="21" t="s">
        <v>57</v>
      </c>
      <c r="R86" s="21" t="s">
        <v>58</v>
      </c>
    </row>
    <row r="87">
      <c r="A87" s="19">
        <v>500.0</v>
      </c>
      <c r="B87" s="19">
        <v>1.0</v>
      </c>
      <c r="C87" s="21" t="s">
        <v>43</v>
      </c>
      <c r="D87" s="21">
        <v>11.0</v>
      </c>
      <c r="E87" s="19">
        <v>20160.0</v>
      </c>
      <c r="F87" s="25">
        <v>45965.0</v>
      </c>
      <c r="G87" s="19">
        <v>3.16520076E8</v>
      </c>
      <c r="H87" s="21" t="s">
        <v>48</v>
      </c>
      <c r="I87" s="19">
        <v>3.1579356E8</v>
      </c>
      <c r="J87" s="21" t="s">
        <v>76</v>
      </c>
      <c r="K87" s="21" t="s">
        <v>77</v>
      </c>
      <c r="L87" s="21"/>
      <c r="M87" s="19" t="s">
        <v>685</v>
      </c>
      <c r="N87" s="19" t="s">
        <v>686</v>
      </c>
      <c r="O87" s="19">
        <v>0.0</v>
      </c>
      <c r="P87" s="19" t="s">
        <v>687</v>
      </c>
      <c r="Q87" s="21" t="s">
        <v>57</v>
      </c>
      <c r="R87" s="21" t="s">
        <v>58</v>
      </c>
    </row>
    <row r="88">
      <c r="A88" s="19">
        <v>816.0</v>
      </c>
      <c r="B88" s="19">
        <v>1.0</v>
      </c>
      <c r="C88" s="21" t="s">
        <v>43</v>
      </c>
      <c r="D88" s="21">
        <v>11.0</v>
      </c>
      <c r="E88" s="19">
        <v>20476.0</v>
      </c>
      <c r="F88" s="25">
        <v>45968.0</v>
      </c>
      <c r="G88" s="19">
        <v>3.16520076E8</v>
      </c>
      <c r="H88" s="21" t="s">
        <v>48</v>
      </c>
      <c r="I88" s="19">
        <v>3.07899531E8</v>
      </c>
      <c r="J88" s="21" t="s">
        <v>691</v>
      </c>
      <c r="K88" s="21" t="s">
        <v>692</v>
      </c>
      <c r="L88" s="21"/>
      <c r="M88" s="19" t="s">
        <v>693</v>
      </c>
      <c r="N88" s="19" t="s">
        <v>694</v>
      </c>
      <c r="O88" s="19">
        <v>0.0</v>
      </c>
      <c r="P88" s="19" t="s">
        <v>695</v>
      </c>
      <c r="Q88" s="21" t="s">
        <v>57</v>
      </c>
      <c r="R88" s="21" t="s">
        <v>58</v>
      </c>
    </row>
    <row r="89">
      <c r="A89" s="19">
        <v>817.0</v>
      </c>
      <c r="B89" s="19">
        <v>1.0</v>
      </c>
      <c r="C89" s="21" t="s">
        <v>43</v>
      </c>
      <c r="D89" s="21">
        <v>11.0</v>
      </c>
      <c r="E89" s="19">
        <v>20477.0</v>
      </c>
      <c r="F89" s="25">
        <v>45968.0</v>
      </c>
      <c r="G89" s="19">
        <v>3.16520076E8</v>
      </c>
      <c r="H89" s="21" t="s">
        <v>48</v>
      </c>
      <c r="I89" s="19">
        <v>3.1579356E8</v>
      </c>
      <c r="J89" s="21" t="s">
        <v>76</v>
      </c>
      <c r="K89" s="21" t="s">
        <v>77</v>
      </c>
      <c r="L89" s="21"/>
      <c r="M89" s="19" t="s">
        <v>696</v>
      </c>
      <c r="N89" s="19" t="s">
        <v>697</v>
      </c>
      <c r="O89" s="19">
        <v>0.0</v>
      </c>
      <c r="P89" s="19" t="s">
        <v>698</v>
      </c>
      <c r="Q89" s="21" t="s">
        <v>57</v>
      </c>
      <c r="R89" s="21" t="s">
        <v>58</v>
      </c>
    </row>
    <row r="90">
      <c r="A90" s="19">
        <v>971.0</v>
      </c>
      <c r="B90" s="19">
        <v>1.0</v>
      </c>
      <c r="C90" s="21" t="s">
        <v>43</v>
      </c>
      <c r="D90" s="21">
        <v>11.0</v>
      </c>
      <c r="E90" s="19">
        <v>20631.0</v>
      </c>
      <c r="F90" s="25">
        <v>45969.0</v>
      </c>
      <c r="G90" s="19">
        <v>3.16520076E8</v>
      </c>
      <c r="H90" s="21" t="s">
        <v>48</v>
      </c>
      <c r="I90" s="19" t="s">
        <v>702</v>
      </c>
      <c r="J90" s="21" t="s">
        <v>704</v>
      </c>
      <c r="K90" s="21" t="s">
        <v>705</v>
      </c>
      <c r="L90" s="21"/>
      <c r="M90" s="19" t="s">
        <v>708</v>
      </c>
      <c r="N90" s="19" t="s">
        <v>709</v>
      </c>
      <c r="O90" s="19">
        <v>0.0</v>
      </c>
      <c r="P90" s="19" t="s">
        <v>711</v>
      </c>
      <c r="Q90" s="21" t="s">
        <v>57</v>
      </c>
      <c r="R90" s="21" t="s">
        <v>58</v>
      </c>
    </row>
    <row r="91">
      <c r="A91" s="19">
        <v>972.0</v>
      </c>
      <c r="B91" s="19">
        <v>1.0</v>
      </c>
      <c r="C91" s="21" t="s">
        <v>43</v>
      </c>
      <c r="D91" s="21">
        <v>11.0</v>
      </c>
      <c r="E91" s="19">
        <v>20632.0</v>
      </c>
      <c r="F91" s="25">
        <v>45969.0</v>
      </c>
      <c r="G91" s="19">
        <v>3.16520076E8</v>
      </c>
      <c r="H91" s="21" t="s">
        <v>48</v>
      </c>
      <c r="I91" s="19" t="s">
        <v>712</v>
      </c>
      <c r="J91" s="21" t="s">
        <v>713</v>
      </c>
      <c r="K91" s="21" t="s">
        <v>714</v>
      </c>
      <c r="L91" s="21"/>
      <c r="M91" s="19" t="s">
        <v>715</v>
      </c>
      <c r="N91" s="19" t="s">
        <v>716</v>
      </c>
      <c r="O91" s="19">
        <v>0.0</v>
      </c>
      <c r="P91" s="19" t="s">
        <v>717</v>
      </c>
      <c r="Q91" s="21" t="s">
        <v>57</v>
      </c>
      <c r="R91" s="21" t="s">
        <v>58</v>
      </c>
    </row>
    <row r="92">
      <c r="A92" s="19">
        <v>973.0</v>
      </c>
      <c r="B92" s="19">
        <v>1.0</v>
      </c>
      <c r="C92" s="21" t="s">
        <v>43</v>
      </c>
      <c r="D92" s="21">
        <v>11.0</v>
      </c>
      <c r="E92" s="19">
        <v>20633.0</v>
      </c>
      <c r="F92" s="25">
        <v>45969.0</v>
      </c>
      <c r="G92" s="19">
        <v>3.16520076E8</v>
      </c>
      <c r="H92" s="21" t="s">
        <v>48</v>
      </c>
      <c r="I92" s="19" t="s">
        <v>712</v>
      </c>
      <c r="J92" s="21" t="s">
        <v>713</v>
      </c>
      <c r="K92" s="21" t="s">
        <v>714</v>
      </c>
      <c r="L92" s="21"/>
      <c r="M92" s="19" t="s">
        <v>720</v>
      </c>
      <c r="N92" s="19" t="s">
        <v>722</v>
      </c>
      <c r="O92" s="19">
        <v>0.0</v>
      </c>
      <c r="P92" s="19" t="s">
        <v>724</v>
      </c>
      <c r="Q92" s="21" t="s">
        <v>57</v>
      </c>
      <c r="R92" s="21" t="s">
        <v>58</v>
      </c>
    </row>
    <row r="93">
      <c r="A93" s="19">
        <v>974.0</v>
      </c>
      <c r="B93" s="19">
        <v>1.0</v>
      </c>
      <c r="C93" s="21" t="s">
        <v>43</v>
      </c>
      <c r="D93" s="21">
        <v>11.0</v>
      </c>
      <c r="E93" s="19">
        <v>20634.0</v>
      </c>
      <c r="F93" s="25">
        <v>45969.0</v>
      </c>
      <c r="G93" s="19">
        <v>3.16520076E8</v>
      </c>
      <c r="H93" s="21" t="s">
        <v>48</v>
      </c>
      <c r="I93" s="19">
        <v>3.12107333E8</v>
      </c>
      <c r="J93" s="21" t="s">
        <v>728</v>
      </c>
      <c r="K93" s="21" t="s">
        <v>729</v>
      </c>
      <c r="L93" s="21"/>
      <c r="M93" s="19" t="s">
        <v>207</v>
      </c>
      <c r="N93" s="19" t="s">
        <v>124</v>
      </c>
      <c r="O93" s="19">
        <v>0.0</v>
      </c>
      <c r="P93" s="19" t="s">
        <v>209</v>
      </c>
      <c r="Q93" s="21" t="s">
        <v>57</v>
      </c>
      <c r="R93" s="21" t="s">
        <v>58</v>
      </c>
    </row>
    <row r="94">
      <c r="A94" s="19">
        <v>1366.0</v>
      </c>
      <c r="B94" s="19">
        <v>1.0</v>
      </c>
      <c r="C94" s="21" t="s">
        <v>43</v>
      </c>
      <c r="D94" s="21">
        <v>11.0</v>
      </c>
      <c r="E94" s="19">
        <v>21026.0</v>
      </c>
      <c r="F94" s="46">
        <v>45971.0</v>
      </c>
      <c r="G94" s="19">
        <v>3.16520076E8</v>
      </c>
      <c r="H94" s="21" t="s">
        <v>48</v>
      </c>
      <c r="I94" s="19">
        <v>2.100708495E9</v>
      </c>
      <c r="J94" s="21" t="s">
        <v>730</v>
      </c>
      <c r="K94" s="21" t="s">
        <v>731</v>
      </c>
      <c r="L94" s="21"/>
      <c r="M94" s="19" t="s">
        <v>732</v>
      </c>
      <c r="N94" s="19" t="s">
        <v>733</v>
      </c>
      <c r="O94" s="19">
        <v>0.0</v>
      </c>
      <c r="P94" s="19" t="s">
        <v>734</v>
      </c>
      <c r="Q94" s="21" t="s">
        <v>57</v>
      </c>
      <c r="R94" s="21" t="s">
        <v>58</v>
      </c>
    </row>
    <row r="95">
      <c r="A95" s="19">
        <v>1606.0</v>
      </c>
      <c r="B95" s="19">
        <v>1.0</v>
      </c>
      <c r="C95" s="21" t="s">
        <v>43</v>
      </c>
      <c r="D95" s="21">
        <v>11.0</v>
      </c>
      <c r="E95" s="19">
        <v>21266.0</v>
      </c>
      <c r="F95" s="46">
        <v>45973.0</v>
      </c>
      <c r="G95" s="19">
        <v>3.16520076E8</v>
      </c>
      <c r="H95" s="21" t="s">
        <v>48</v>
      </c>
      <c r="I95" s="19" t="s">
        <v>537</v>
      </c>
      <c r="J95" s="21" t="s">
        <v>538</v>
      </c>
      <c r="K95" s="21" t="s">
        <v>741</v>
      </c>
      <c r="L95" s="21"/>
      <c r="M95" s="19" t="s">
        <v>743</v>
      </c>
      <c r="N95" s="19" t="s">
        <v>744</v>
      </c>
      <c r="O95" s="19">
        <v>0.0</v>
      </c>
      <c r="P95" s="19" t="s">
        <v>745</v>
      </c>
      <c r="Q95" s="21" t="s">
        <v>57</v>
      </c>
      <c r="R95" s="21" t="s">
        <v>58</v>
      </c>
    </row>
    <row r="96">
      <c r="A96" s="19">
        <v>1607.0</v>
      </c>
      <c r="B96" s="19">
        <v>1.0</v>
      </c>
      <c r="C96" s="21" t="s">
        <v>43</v>
      </c>
      <c r="D96" s="21">
        <v>11.0</v>
      </c>
      <c r="E96" s="19">
        <v>21267.0</v>
      </c>
      <c r="F96" s="46">
        <v>45973.0</v>
      </c>
      <c r="G96" s="19">
        <v>3.16520076E8</v>
      </c>
      <c r="H96" s="21" t="s">
        <v>48</v>
      </c>
      <c r="I96" s="19" t="s">
        <v>537</v>
      </c>
      <c r="J96" s="21" t="s">
        <v>538</v>
      </c>
      <c r="K96" s="21" t="s">
        <v>741</v>
      </c>
      <c r="L96" s="21"/>
      <c r="M96" s="19" t="s">
        <v>747</v>
      </c>
      <c r="N96" s="19" t="s">
        <v>748</v>
      </c>
      <c r="O96" s="19">
        <v>0.0</v>
      </c>
      <c r="P96" s="19" t="s">
        <v>749</v>
      </c>
      <c r="Q96" s="21" t="s">
        <v>57</v>
      </c>
      <c r="R96" s="21" t="s">
        <v>58</v>
      </c>
    </row>
    <row r="97">
      <c r="A97" s="19">
        <v>1654.0</v>
      </c>
      <c r="B97" s="19">
        <v>1.0</v>
      </c>
      <c r="C97" s="21" t="s">
        <v>43</v>
      </c>
      <c r="D97" s="21">
        <v>11.0</v>
      </c>
      <c r="E97" s="19">
        <v>21314.0</v>
      </c>
      <c r="F97" s="46">
        <v>45973.0</v>
      </c>
      <c r="G97" s="19">
        <v>3.16520076E8</v>
      </c>
      <c r="H97" s="21" t="s">
        <v>48</v>
      </c>
      <c r="I97" s="19">
        <v>3.16092769E8</v>
      </c>
      <c r="J97" s="21" t="s">
        <v>752</v>
      </c>
      <c r="K97" s="21" t="s">
        <v>754</v>
      </c>
      <c r="L97" s="21"/>
      <c r="M97" s="19" t="s">
        <v>164</v>
      </c>
      <c r="N97" s="19" t="s">
        <v>165</v>
      </c>
      <c r="O97" s="19">
        <v>0.0</v>
      </c>
      <c r="P97" s="19" t="s">
        <v>166</v>
      </c>
      <c r="Q97" s="21" t="s">
        <v>57</v>
      </c>
      <c r="R97" s="21" t="s">
        <v>58</v>
      </c>
    </row>
    <row r="98">
      <c r="A98" s="19">
        <v>1718.0</v>
      </c>
      <c r="B98" s="19">
        <v>1.0</v>
      </c>
      <c r="C98" s="21" t="s">
        <v>43</v>
      </c>
      <c r="D98" s="21">
        <v>11.0</v>
      </c>
      <c r="E98" s="19">
        <v>21378.0</v>
      </c>
      <c r="F98" s="46">
        <v>45973.0</v>
      </c>
      <c r="G98" s="19">
        <v>3.16520076E8</v>
      </c>
      <c r="H98" s="21" t="s">
        <v>48</v>
      </c>
      <c r="I98" s="19">
        <v>3.109223E8</v>
      </c>
      <c r="J98" s="21" t="s">
        <v>757</v>
      </c>
      <c r="K98" s="21" t="s">
        <v>758</v>
      </c>
      <c r="L98" s="21"/>
      <c r="M98" s="19" t="s">
        <v>759</v>
      </c>
      <c r="N98" s="19" t="s">
        <v>760</v>
      </c>
      <c r="O98" s="19">
        <v>0.0</v>
      </c>
      <c r="P98" s="19" t="s">
        <v>761</v>
      </c>
      <c r="Q98" s="21" t="s">
        <v>57</v>
      </c>
      <c r="R98" s="21" t="s">
        <v>58</v>
      </c>
    </row>
    <row r="99">
      <c r="A99" s="19">
        <v>1833.0</v>
      </c>
      <c r="B99" s="19">
        <v>1.0</v>
      </c>
      <c r="C99" s="21" t="s">
        <v>43</v>
      </c>
      <c r="D99" s="21">
        <v>11.0</v>
      </c>
      <c r="E99" s="19">
        <v>21493.0</v>
      </c>
      <c r="F99" s="46">
        <v>45973.0</v>
      </c>
      <c r="G99" s="19">
        <v>3.16520076E8</v>
      </c>
      <c r="H99" s="21" t="s">
        <v>48</v>
      </c>
      <c r="I99" s="19">
        <v>3.1579356E8</v>
      </c>
      <c r="J99" s="21" t="s">
        <v>76</v>
      </c>
      <c r="K99" s="21" t="s">
        <v>77</v>
      </c>
      <c r="L99" s="21"/>
      <c r="M99" s="19" t="s">
        <v>767</v>
      </c>
      <c r="N99" s="19" t="s">
        <v>768</v>
      </c>
      <c r="O99" s="19">
        <v>0.0</v>
      </c>
      <c r="P99" s="19" t="s">
        <v>771</v>
      </c>
      <c r="Q99" s="21" t="s">
        <v>57</v>
      </c>
      <c r="R99" s="21" t="s">
        <v>58</v>
      </c>
    </row>
    <row r="100">
      <c r="A100" s="19">
        <v>1834.0</v>
      </c>
      <c r="B100" s="19">
        <v>1.0</v>
      </c>
      <c r="C100" s="21" t="s">
        <v>43</v>
      </c>
      <c r="D100" s="21">
        <v>11.0</v>
      </c>
      <c r="E100" s="19">
        <v>21494.0</v>
      </c>
      <c r="F100" s="46">
        <v>45973.0</v>
      </c>
      <c r="G100" s="19">
        <v>3.16520076E8</v>
      </c>
      <c r="H100" s="21" t="s">
        <v>48</v>
      </c>
      <c r="I100" s="19">
        <v>3.1579356E8</v>
      </c>
      <c r="J100" s="21" t="s">
        <v>76</v>
      </c>
      <c r="K100" s="21" t="s">
        <v>77</v>
      </c>
      <c r="L100" s="21"/>
      <c r="M100" s="19" t="s">
        <v>774</v>
      </c>
      <c r="N100" s="19" t="s">
        <v>775</v>
      </c>
      <c r="O100" s="19">
        <v>0.0</v>
      </c>
      <c r="P100" s="19" t="s">
        <v>776</v>
      </c>
      <c r="Q100" s="21" t="s">
        <v>57</v>
      </c>
      <c r="R100" s="21" t="s">
        <v>58</v>
      </c>
    </row>
    <row r="101">
      <c r="A101" s="19">
        <v>1835.0</v>
      </c>
      <c r="B101" s="19">
        <v>1.0</v>
      </c>
      <c r="C101" s="21" t="s">
        <v>43</v>
      </c>
      <c r="D101" s="21">
        <v>11.0</v>
      </c>
      <c r="E101" s="19">
        <v>21495.0</v>
      </c>
      <c r="F101" s="46">
        <v>45973.0</v>
      </c>
      <c r="G101" s="19">
        <v>3.16520076E8</v>
      </c>
      <c r="H101" s="21" t="s">
        <v>48</v>
      </c>
      <c r="I101" s="19">
        <v>3.1579356E8</v>
      </c>
      <c r="J101" s="21" t="s">
        <v>76</v>
      </c>
      <c r="K101" s="21" t="s">
        <v>77</v>
      </c>
      <c r="L101" s="21"/>
      <c r="M101" s="19" t="s">
        <v>777</v>
      </c>
      <c r="N101" s="19" t="s">
        <v>778</v>
      </c>
      <c r="O101" s="19">
        <v>0.0</v>
      </c>
      <c r="P101" s="19" t="s">
        <v>779</v>
      </c>
      <c r="Q101" s="21" t="s">
        <v>57</v>
      </c>
      <c r="R101" s="21" t="s">
        <v>58</v>
      </c>
    </row>
    <row r="102">
      <c r="A102" s="19">
        <v>1850.0</v>
      </c>
      <c r="B102" s="19">
        <v>1.0</v>
      </c>
      <c r="C102" s="21" t="s">
        <v>43</v>
      </c>
      <c r="D102" s="21">
        <v>11.0</v>
      </c>
      <c r="E102" s="19">
        <v>21510.0</v>
      </c>
      <c r="F102" s="46">
        <v>45974.0</v>
      </c>
      <c r="G102" s="19">
        <v>3.16520076E8</v>
      </c>
      <c r="H102" s="21" t="s">
        <v>48</v>
      </c>
      <c r="I102" s="19">
        <v>3.07899531E8</v>
      </c>
      <c r="J102" s="21" t="s">
        <v>691</v>
      </c>
      <c r="K102" s="21" t="s">
        <v>692</v>
      </c>
      <c r="L102" s="21"/>
      <c r="M102" s="19" t="s">
        <v>781</v>
      </c>
      <c r="N102" s="19" t="s">
        <v>782</v>
      </c>
      <c r="O102" s="19">
        <v>0.0</v>
      </c>
      <c r="P102" s="19" t="s">
        <v>783</v>
      </c>
      <c r="Q102" s="21" t="s">
        <v>57</v>
      </c>
      <c r="R102" s="21" t="s">
        <v>58</v>
      </c>
    </row>
    <row r="103">
      <c r="A103" s="19">
        <v>2132.0</v>
      </c>
      <c r="B103" s="19">
        <v>1.0</v>
      </c>
      <c r="C103" s="21" t="s">
        <v>43</v>
      </c>
      <c r="D103" s="21">
        <v>11.0</v>
      </c>
      <c r="E103" s="19">
        <v>21792.0</v>
      </c>
      <c r="F103" s="46">
        <v>45975.0</v>
      </c>
      <c r="G103" s="19">
        <v>3.16520076E8</v>
      </c>
      <c r="H103" s="21" t="s">
        <v>48</v>
      </c>
      <c r="I103" s="19">
        <v>3.1579356E8</v>
      </c>
      <c r="J103" s="21" t="s">
        <v>76</v>
      </c>
      <c r="K103" s="21" t="s">
        <v>77</v>
      </c>
      <c r="L103" s="21"/>
      <c r="M103" s="19" t="s">
        <v>789</v>
      </c>
      <c r="N103" s="19" t="s">
        <v>790</v>
      </c>
      <c r="O103" s="19">
        <v>0.0</v>
      </c>
      <c r="P103" s="19" t="s">
        <v>791</v>
      </c>
      <c r="Q103" s="21" t="s">
        <v>57</v>
      </c>
      <c r="R103" s="21" t="s">
        <v>58</v>
      </c>
    </row>
    <row r="104">
      <c r="A104" s="19">
        <v>2320.0</v>
      </c>
      <c r="B104" s="19">
        <v>1.0</v>
      </c>
      <c r="C104" s="21" t="s">
        <v>43</v>
      </c>
      <c r="D104" s="21">
        <v>11.0</v>
      </c>
      <c r="E104" s="19">
        <v>21980.0</v>
      </c>
      <c r="F104" s="46">
        <v>45975.0</v>
      </c>
      <c r="G104" s="19">
        <v>3.16520076E8</v>
      </c>
      <c r="H104" s="21" t="s">
        <v>48</v>
      </c>
      <c r="I104" s="19">
        <v>3.18226288E8</v>
      </c>
      <c r="J104" s="21" t="s">
        <v>792</v>
      </c>
      <c r="K104" s="21" t="s">
        <v>793</v>
      </c>
      <c r="L104" s="21"/>
      <c r="M104" s="19" t="s">
        <v>207</v>
      </c>
      <c r="N104" s="19" t="s">
        <v>124</v>
      </c>
      <c r="O104" s="19">
        <v>0.0</v>
      </c>
      <c r="P104" s="19" t="s">
        <v>209</v>
      </c>
      <c r="Q104" s="21" t="s">
        <v>57</v>
      </c>
      <c r="R104" s="21" t="s">
        <v>58</v>
      </c>
    </row>
    <row r="105">
      <c r="A105" s="19">
        <v>2849.0</v>
      </c>
      <c r="B105" s="19">
        <v>1.0</v>
      </c>
      <c r="C105" s="21" t="s">
        <v>43</v>
      </c>
      <c r="D105" s="21">
        <v>11.0</v>
      </c>
      <c r="E105" s="19">
        <v>22509.0</v>
      </c>
      <c r="F105" s="46">
        <v>45978.0</v>
      </c>
      <c r="G105" s="19">
        <v>3.16520076E8</v>
      </c>
      <c r="H105" s="21" t="s">
        <v>48</v>
      </c>
      <c r="I105" s="19">
        <v>3.19222871E8</v>
      </c>
      <c r="J105" s="21" t="s">
        <v>800</v>
      </c>
      <c r="K105" s="21" t="s">
        <v>802</v>
      </c>
      <c r="L105" s="21"/>
      <c r="M105" s="19" t="s">
        <v>803</v>
      </c>
      <c r="N105" s="19" t="s">
        <v>307</v>
      </c>
      <c r="O105" s="19">
        <v>0.0</v>
      </c>
      <c r="P105" s="19" t="s">
        <v>804</v>
      </c>
      <c r="Q105" s="21" t="s">
        <v>57</v>
      </c>
      <c r="R105" s="21" t="s">
        <v>58</v>
      </c>
    </row>
    <row r="106">
      <c r="A106" s="19">
        <v>2966.0</v>
      </c>
      <c r="B106" s="19">
        <v>1.0</v>
      </c>
      <c r="C106" s="21" t="s">
        <v>43</v>
      </c>
      <c r="D106" s="21">
        <v>11.0</v>
      </c>
      <c r="E106" s="19">
        <v>22626.0</v>
      </c>
      <c r="F106" s="46">
        <v>45979.0</v>
      </c>
      <c r="G106" s="19">
        <v>3.16520076E8</v>
      </c>
      <c r="H106" s="21" t="s">
        <v>48</v>
      </c>
      <c r="I106" s="19">
        <v>3.17628749E8</v>
      </c>
      <c r="J106" s="21" t="s">
        <v>805</v>
      </c>
      <c r="K106" s="21" t="s">
        <v>806</v>
      </c>
      <c r="L106" s="21"/>
      <c r="M106" s="19" t="s">
        <v>164</v>
      </c>
      <c r="N106" s="19" t="s">
        <v>165</v>
      </c>
      <c r="O106" s="19">
        <v>0.0</v>
      </c>
      <c r="P106" s="19" t="s">
        <v>166</v>
      </c>
      <c r="Q106" s="21" t="s">
        <v>168</v>
      </c>
      <c r="R106" s="21" t="s">
        <v>58</v>
      </c>
    </row>
    <row r="107">
      <c r="A107" s="19">
        <v>2967.0</v>
      </c>
      <c r="B107" s="19">
        <v>1.0</v>
      </c>
      <c r="C107" s="21" t="s">
        <v>43</v>
      </c>
      <c r="D107" s="21">
        <v>11.0</v>
      </c>
      <c r="E107" s="19">
        <v>22627.0</v>
      </c>
      <c r="F107" s="46">
        <v>45979.0</v>
      </c>
      <c r="G107" s="19">
        <v>3.16520076E8</v>
      </c>
      <c r="H107" s="21" t="s">
        <v>48</v>
      </c>
      <c r="I107" s="19">
        <v>3.17628749E8</v>
      </c>
      <c r="J107" s="21" t="s">
        <v>805</v>
      </c>
      <c r="K107" s="21" t="s">
        <v>806</v>
      </c>
      <c r="L107" s="21"/>
      <c r="M107" s="19" t="s">
        <v>807</v>
      </c>
      <c r="N107" s="19" t="s">
        <v>808</v>
      </c>
      <c r="O107" s="19">
        <v>0.0</v>
      </c>
      <c r="P107" s="19" t="s">
        <v>811</v>
      </c>
      <c r="Q107" s="21" t="s">
        <v>168</v>
      </c>
      <c r="R107" s="21" t="s">
        <v>58</v>
      </c>
    </row>
    <row r="108">
      <c r="A108" s="19">
        <v>3117.0</v>
      </c>
      <c r="B108" s="19">
        <v>1.0</v>
      </c>
      <c r="C108" s="21" t="s">
        <v>43</v>
      </c>
      <c r="D108" s="21">
        <v>11.0</v>
      </c>
      <c r="E108" s="19">
        <v>22777.0</v>
      </c>
      <c r="F108" s="46">
        <v>45980.0</v>
      </c>
      <c r="G108" s="19">
        <v>3.16520076E8</v>
      </c>
      <c r="H108" s="21" t="s">
        <v>48</v>
      </c>
      <c r="I108" s="19">
        <v>3.1579356E8</v>
      </c>
      <c r="J108" s="21" t="s">
        <v>76</v>
      </c>
      <c r="K108" s="21" t="s">
        <v>77</v>
      </c>
      <c r="L108" s="21"/>
      <c r="M108" s="19" t="s">
        <v>816</v>
      </c>
      <c r="N108" s="19" t="s">
        <v>817</v>
      </c>
      <c r="O108" s="19">
        <v>0.0</v>
      </c>
      <c r="P108" s="19" t="s">
        <v>818</v>
      </c>
      <c r="Q108" s="21" t="s">
        <v>57</v>
      </c>
      <c r="R108" s="21" t="s">
        <v>58</v>
      </c>
    </row>
    <row r="109">
      <c r="A109" s="19">
        <v>3118.0</v>
      </c>
      <c r="B109" s="19">
        <v>1.0</v>
      </c>
      <c r="C109" s="21" t="s">
        <v>43</v>
      </c>
      <c r="D109" s="21">
        <v>11.0</v>
      </c>
      <c r="E109" s="19">
        <v>22778.0</v>
      </c>
      <c r="F109" s="46">
        <v>45980.0</v>
      </c>
      <c r="G109" s="19">
        <v>3.16520076E8</v>
      </c>
      <c r="H109" s="21" t="s">
        <v>48</v>
      </c>
      <c r="I109" s="19">
        <v>3.1173157E8</v>
      </c>
      <c r="J109" s="21" t="s">
        <v>819</v>
      </c>
      <c r="K109" s="21" t="s">
        <v>820</v>
      </c>
      <c r="L109" s="21"/>
      <c r="M109" s="19" t="s">
        <v>207</v>
      </c>
      <c r="N109" s="19" t="s">
        <v>124</v>
      </c>
      <c r="O109" s="19">
        <v>0.0</v>
      </c>
      <c r="P109" s="19" t="s">
        <v>209</v>
      </c>
      <c r="Q109" s="21" t="s">
        <v>57</v>
      </c>
      <c r="R109" s="21" t="s">
        <v>58</v>
      </c>
    </row>
    <row r="110">
      <c r="A110" s="19">
        <v>3119.0</v>
      </c>
      <c r="B110" s="19">
        <v>1.0</v>
      </c>
      <c r="C110" s="21" t="s">
        <v>43</v>
      </c>
      <c r="D110" s="21">
        <v>11.0</v>
      </c>
      <c r="E110" s="19">
        <v>22779.0</v>
      </c>
      <c r="F110" s="46">
        <v>45980.0</v>
      </c>
      <c r="G110" s="19">
        <v>3.16520076E8</v>
      </c>
      <c r="H110" s="21" t="s">
        <v>48</v>
      </c>
      <c r="I110" s="19">
        <v>3.1173157E8</v>
      </c>
      <c r="J110" s="21" t="s">
        <v>819</v>
      </c>
      <c r="K110" s="21" t="s">
        <v>820</v>
      </c>
      <c r="L110" s="21"/>
      <c r="M110" s="19" t="s">
        <v>207</v>
      </c>
      <c r="N110" s="19" t="s">
        <v>124</v>
      </c>
      <c r="O110" s="19">
        <v>0.0</v>
      </c>
      <c r="P110" s="19" t="s">
        <v>209</v>
      </c>
      <c r="Q110" s="21" t="s">
        <v>57</v>
      </c>
      <c r="R110" s="21" t="s">
        <v>58</v>
      </c>
    </row>
    <row r="111">
      <c r="A111" s="19">
        <v>3233.0</v>
      </c>
      <c r="B111" s="19">
        <v>1.0</v>
      </c>
      <c r="C111" s="21" t="s">
        <v>43</v>
      </c>
      <c r="D111" s="21">
        <v>11.0</v>
      </c>
      <c r="E111" s="19">
        <v>22893.0</v>
      </c>
      <c r="F111" s="46">
        <v>45981.0</v>
      </c>
      <c r="G111" s="19">
        <v>3.16520076E8</v>
      </c>
      <c r="H111" s="21" t="s">
        <v>48</v>
      </c>
      <c r="I111" s="19">
        <v>3.1579356E8</v>
      </c>
      <c r="J111" s="21" t="s">
        <v>76</v>
      </c>
      <c r="K111" s="21" t="s">
        <v>77</v>
      </c>
      <c r="L111" s="21"/>
      <c r="M111" s="19" t="s">
        <v>827</v>
      </c>
      <c r="N111" s="19" t="s">
        <v>828</v>
      </c>
      <c r="O111" s="19">
        <v>0.0</v>
      </c>
      <c r="P111" s="19" t="s">
        <v>829</v>
      </c>
      <c r="Q111" s="21" t="s">
        <v>57</v>
      </c>
      <c r="R111" s="21" t="s">
        <v>58</v>
      </c>
    </row>
    <row r="112">
      <c r="A112" s="19">
        <v>3234.0</v>
      </c>
      <c r="B112" s="19">
        <v>1.0</v>
      </c>
      <c r="C112" s="21" t="s">
        <v>43</v>
      </c>
      <c r="D112" s="21">
        <v>11.0</v>
      </c>
      <c r="E112" s="19">
        <v>22894.0</v>
      </c>
      <c r="F112" s="46">
        <v>45981.0</v>
      </c>
      <c r="G112" s="19">
        <v>3.16520076E8</v>
      </c>
      <c r="H112" s="21" t="s">
        <v>48</v>
      </c>
      <c r="I112" s="19">
        <v>1.10385345E8</v>
      </c>
      <c r="J112" s="21" t="s">
        <v>831</v>
      </c>
      <c r="K112" s="21" t="s">
        <v>833</v>
      </c>
      <c r="L112" s="21"/>
      <c r="M112" s="19" t="s">
        <v>835</v>
      </c>
      <c r="N112" s="19" t="s">
        <v>836</v>
      </c>
      <c r="O112" s="19">
        <v>0.0</v>
      </c>
      <c r="P112" s="19" t="s">
        <v>838</v>
      </c>
      <c r="Q112" s="21" t="s">
        <v>168</v>
      </c>
      <c r="R112" s="21" t="s">
        <v>58</v>
      </c>
    </row>
    <row r="113">
      <c r="A113" s="19">
        <v>3235.0</v>
      </c>
      <c r="B113" s="19">
        <v>1.0</v>
      </c>
      <c r="C113" s="21" t="s">
        <v>43</v>
      </c>
      <c r="D113" s="21">
        <v>11.0</v>
      </c>
      <c r="E113" s="19">
        <v>22895.0</v>
      </c>
      <c r="F113" s="46">
        <v>45981.0</v>
      </c>
      <c r="G113" s="19">
        <v>3.16520076E8</v>
      </c>
      <c r="H113" s="21" t="s">
        <v>48</v>
      </c>
      <c r="I113" s="19">
        <v>2.301326746E9</v>
      </c>
      <c r="J113" s="21" t="s">
        <v>840</v>
      </c>
      <c r="K113" s="21" t="s">
        <v>841</v>
      </c>
      <c r="L113" s="21"/>
      <c r="M113" s="19" t="s">
        <v>615</v>
      </c>
      <c r="N113" s="19" t="s">
        <v>616</v>
      </c>
      <c r="O113" s="19">
        <v>0.0</v>
      </c>
      <c r="P113" s="19" t="s">
        <v>617</v>
      </c>
      <c r="Q113" s="21" t="s">
        <v>57</v>
      </c>
      <c r="R113" s="21" t="s">
        <v>58</v>
      </c>
    </row>
    <row r="114">
      <c r="A114" s="19">
        <v>3346.0</v>
      </c>
      <c r="B114" s="19">
        <v>1.0</v>
      </c>
      <c r="C114" s="21" t="s">
        <v>43</v>
      </c>
      <c r="D114" s="21">
        <v>11.0</v>
      </c>
      <c r="E114" s="19">
        <v>23006.0</v>
      </c>
      <c r="F114" s="46">
        <v>45983.0</v>
      </c>
      <c r="G114" s="19">
        <v>3.16520076E8</v>
      </c>
      <c r="H114" s="21" t="s">
        <v>48</v>
      </c>
      <c r="I114" s="19">
        <v>3.19222871E8</v>
      </c>
      <c r="J114" s="21" t="s">
        <v>800</v>
      </c>
      <c r="K114" s="21" t="s">
        <v>802</v>
      </c>
      <c r="L114" s="21"/>
      <c r="M114" s="19" t="s">
        <v>803</v>
      </c>
      <c r="N114" s="19" t="s">
        <v>307</v>
      </c>
      <c r="O114" s="19">
        <v>0.0</v>
      </c>
      <c r="P114" s="19" t="s">
        <v>804</v>
      </c>
      <c r="Q114" s="21" t="s">
        <v>57</v>
      </c>
      <c r="R114" s="21" t="s">
        <v>58</v>
      </c>
    </row>
    <row r="115">
      <c r="A115" s="19">
        <v>3431.0</v>
      </c>
      <c r="B115" s="19">
        <v>1.0</v>
      </c>
      <c r="C115" s="21" t="s">
        <v>43</v>
      </c>
      <c r="D115" s="21">
        <v>11.0</v>
      </c>
      <c r="E115" s="19">
        <v>23091.0</v>
      </c>
      <c r="F115" s="46">
        <v>45983.0</v>
      </c>
      <c r="G115" s="19">
        <v>3.16520076E8</v>
      </c>
      <c r="H115" s="21" t="s">
        <v>48</v>
      </c>
      <c r="I115" s="19">
        <v>3.18487681E8</v>
      </c>
      <c r="J115" s="21" t="s">
        <v>849</v>
      </c>
      <c r="K115" s="21" t="s">
        <v>850</v>
      </c>
      <c r="L115" s="21"/>
      <c r="M115" s="19" t="s">
        <v>851</v>
      </c>
      <c r="N115" s="19" t="s">
        <v>852</v>
      </c>
      <c r="O115" s="19">
        <v>0.0</v>
      </c>
      <c r="P115" s="19" t="s">
        <v>853</v>
      </c>
      <c r="Q115" s="21" t="s">
        <v>57</v>
      </c>
      <c r="R115" s="21" t="s">
        <v>58</v>
      </c>
    </row>
    <row r="116">
      <c r="A116" s="19">
        <v>3548.0</v>
      </c>
      <c r="B116" s="19">
        <v>1.0</v>
      </c>
      <c r="C116" s="21" t="s">
        <v>43</v>
      </c>
      <c r="D116" s="21">
        <v>11.0</v>
      </c>
      <c r="E116" s="19">
        <v>23208.0</v>
      </c>
      <c r="F116" s="46">
        <v>45985.0</v>
      </c>
      <c r="G116" s="19">
        <v>3.16520076E8</v>
      </c>
      <c r="H116" s="21" t="s">
        <v>48</v>
      </c>
      <c r="I116" s="19">
        <v>3.18937193E8</v>
      </c>
      <c r="J116" s="21" t="s">
        <v>855</v>
      </c>
      <c r="K116" s="21"/>
      <c r="L116" s="21"/>
      <c r="M116" s="19" t="s">
        <v>207</v>
      </c>
      <c r="N116" s="19" t="s">
        <v>124</v>
      </c>
      <c r="O116" s="19">
        <v>0.0</v>
      </c>
      <c r="P116" s="19" t="s">
        <v>209</v>
      </c>
      <c r="Q116" s="21" t="s">
        <v>57</v>
      </c>
      <c r="R116" s="21" t="s">
        <v>58</v>
      </c>
    </row>
    <row r="117">
      <c r="A117" s="19">
        <v>3549.0</v>
      </c>
      <c r="B117" s="19">
        <v>1.0</v>
      </c>
      <c r="C117" s="21" t="s">
        <v>43</v>
      </c>
      <c r="D117" s="21">
        <v>11.0</v>
      </c>
      <c r="E117" s="19">
        <v>23209.0</v>
      </c>
      <c r="F117" s="46">
        <v>45985.0</v>
      </c>
      <c r="G117" s="19">
        <v>3.16520076E8</v>
      </c>
      <c r="H117" s="21" t="s">
        <v>48</v>
      </c>
      <c r="I117" s="19">
        <v>3.19209687E8</v>
      </c>
      <c r="J117" s="21" t="s">
        <v>861</v>
      </c>
      <c r="K117" s="21"/>
      <c r="L117" s="21"/>
      <c r="M117" s="19" t="s">
        <v>863</v>
      </c>
      <c r="N117" s="19" t="s">
        <v>864</v>
      </c>
      <c r="O117" s="19">
        <v>0.0</v>
      </c>
      <c r="P117" s="19" t="s">
        <v>865</v>
      </c>
      <c r="Q117" s="21" t="s">
        <v>57</v>
      </c>
      <c r="R117" s="21" t="s">
        <v>58</v>
      </c>
    </row>
    <row r="118">
      <c r="A118" s="19">
        <v>3727.0</v>
      </c>
      <c r="B118" s="19">
        <v>1.0</v>
      </c>
      <c r="C118" s="21" t="s">
        <v>43</v>
      </c>
      <c r="D118" s="21">
        <v>11.0</v>
      </c>
      <c r="E118" s="19">
        <v>23387.0</v>
      </c>
      <c r="F118" s="46">
        <v>45986.0</v>
      </c>
      <c r="G118" s="19">
        <v>3.16520076E8</v>
      </c>
      <c r="H118" s="21" t="s">
        <v>48</v>
      </c>
      <c r="I118" s="19">
        <v>3.1579356E8</v>
      </c>
      <c r="J118" s="21" t="s">
        <v>76</v>
      </c>
      <c r="K118" s="21" t="s">
        <v>77</v>
      </c>
      <c r="L118" s="21"/>
      <c r="M118" s="19" t="s">
        <v>866</v>
      </c>
      <c r="N118" s="19" t="s">
        <v>867</v>
      </c>
      <c r="O118" s="19">
        <v>0.0</v>
      </c>
      <c r="P118" s="19" t="s">
        <v>868</v>
      </c>
      <c r="Q118" s="21" t="s">
        <v>57</v>
      </c>
      <c r="R118" s="21" t="s">
        <v>58</v>
      </c>
    </row>
    <row r="119">
      <c r="A119" s="19">
        <v>3728.0</v>
      </c>
      <c r="B119" s="19">
        <v>1.0</v>
      </c>
      <c r="C119" s="21" t="s">
        <v>43</v>
      </c>
      <c r="D119" s="21">
        <v>11.0</v>
      </c>
      <c r="E119" s="19">
        <v>23388.0</v>
      </c>
      <c r="F119" s="46">
        <v>45986.0</v>
      </c>
      <c r="G119" s="19">
        <v>3.16520076E8</v>
      </c>
      <c r="H119" s="21" t="s">
        <v>48</v>
      </c>
      <c r="I119" s="19">
        <v>3.02217087E8</v>
      </c>
      <c r="J119" s="21" t="s">
        <v>876</v>
      </c>
      <c r="K119" s="21" t="s">
        <v>878</v>
      </c>
      <c r="L119" s="21"/>
      <c r="M119" s="19" t="s">
        <v>879</v>
      </c>
      <c r="N119" s="19" t="s">
        <v>880</v>
      </c>
      <c r="O119" s="19">
        <v>0.0</v>
      </c>
      <c r="P119" s="19" t="s">
        <v>881</v>
      </c>
      <c r="Q119" s="21" t="s">
        <v>57</v>
      </c>
      <c r="R119" s="21" t="s">
        <v>58</v>
      </c>
    </row>
    <row r="120">
      <c r="A120" s="19">
        <v>3874.0</v>
      </c>
      <c r="B120" s="19">
        <v>1.0</v>
      </c>
      <c r="C120" s="21" t="s">
        <v>43</v>
      </c>
      <c r="D120" s="21">
        <v>11.0</v>
      </c>
      <c r="E120" s="19">
        <v>23534.0</v>
      </c>
      <c r="F120" s="46">
        <v>45987.0</v>
      </c>
      <c r="G120" s="19">
        <v>3.16520076E8</v>
      </c>
      <c r="H120" s="21" t="s">
        <v>48</v>
      </c>
      <c r="I120" s="19">
        <v>3.15568621E8</v>
      </c>
      <c r="J120" s="21" t="s">
        <v>882</v>
      </c>
      <c r="K120" s="21" t="s">
        <v>883</v>
      </c>
      <c r="L120" s="21"/>
      <c r="M120" s="19" t="s">
        <v>884</v>
      </c>
      <c r="N120" s="19" t="s">
        <v>885</v>
      </c>
      <c r="O120" s="19">
        <v>0.0</v>
      </c>
      <c r="P120" s="19" t="s">
        <v>887</v>
      </c>
      <c r="Q120" s="21" t="s">
        <v>57</v>
      </c>
      <c r="R120" s="21" t="s">
        <v>58</v>
      </c>
    </row>
    <row r="121">
      <c r="A121" s="19">
        <v>3877.0</v>
      </c>
      <c r="B121" s="19">
        <v>1.0</v>
      </c>
      <c r="C121" s="21" t="s">
        <v>43</v>
      </c>
      <c r="D121" s="21">
        <v>11.0</v>
      </c>
      <c r="E121" s="19">
        <v>23537.0</v>
      </c>
      <c r="F121" s="46">
        <v>45987.0</v>
      </c>
      <c r="G121" s="19">
        <v>3.16520076E8</v>
      </c>
      <c r="H121" s="21" t="s">
        <v>48</v>
      </c>
      <c r="I121" s="19">
        <v>3.1173157E8</v>
      </c>
      <c r="J121" s="21" t="s">
        <v>819</v>
      </c>
      <c r="K121" s="21" t="s">
        <v>820</v>
      </c>
      <c r="L121" s="21"/>
      <c r="M121" s="19" t="s">
        <v>889</v>
      </c>
      <c r="N121" s="19" t="s">
        <v>891</v>
      </c>
      <c r="O121" s="19">
        <v>0.0</v>
      </c>
      <c r="P121" s="19" t="s">
        <v>894</v>
      </c>
      <c r="Q121" s="21" t="s">
        <v>57</v>
      </c>
      <c r="R121" s="21" t="s">
        <v>58</v>
      </c>
    </row>
    <row r="122">
      <c r="A122" s="19">
        <v>4031.0</v>
      </c>
      <c r="B122" s="19">
        <v>1.0</v>
      </c>
      <c r="C122" s="21" t="s">
        <v>43</v>
      </c>
      <c r="D122" s="21">
        <v>11.0</v>
      </c>
      <c r="E122" s="19">
        <v>23691.0</v>
      </c>
      <c r="F122" s="46">
        <v>45988.0</v>
      </c>
      <c r="G122" s="19">
        <v>3.16520076E8</v>
      </c>
      <c r="H122" s="21" t="s">
        <v>48</v>
      </c>
      <c r="I122" s="19">
        <v>3.1579356E8</v>
      </c>
      <c r="J122" s="21" t="s">
        <v>76</v>
      </c>
      <c r="K122" s="21" t="s">
        <v>77</v>
      </c>
      <c r="L122" s="21"/>
      <c r="M122" s="19" t="s">
        <v>899</v>
      </c>
      <c r="N122" s="19" t="s">
        <v>900</v>
      </c>
      <c r="O122" s="19">
        <v>0.0</v>
      </c>
      <c r="P122" s="19" t="s">
        <v>901</v>
      </c>
      <c r="Q122" s="21" t="s">
        <v>57</v>
      </c>
      <c r="R122" s="21" t="s">
        <v>58</v>
      </c>
    </row>
    <row r="123">
      <c r="A123" s="19">
        <v>4038.0</v>
      </c>
      <c r="B123" s="19">
        <v>1.0</v>
      </c>
      <c r="C123" s="21" t="s">
        <v>43</v>
      </c>
      <c r="D123" s="21">
        <v>11.0</v>
      </c>
      <c r="E123" s="19">
        <v>23698.0</v>
      </c>
      <c r="F123" s="46">
        <v>45988.0</v>
      </c>
      <c r="G123" s="19">
        <v>3.16520076E8</v>
      </c>
      <c r="H123" s="21" t="s">
        <v>48</v>
      </c>
      <c r="I123" s="19">
        <v>3.14425444E8</v>
      </c>
      <c r="J123" s="21" t="s">
        <v>902</v>
      </c>
      <c r="K123" s="21" t="s">
        <v>903</v>
      </c>
      <c r="L123" s="21"/>
      <c r="M123" s="19" t="s">
        <v>904</v>
      </c>
      <c r="N123" s="19" t="s">
        <v>905</v>
      </c>
      <c r="O123" s="19">
        <v>0.0</v>
      </c>
      <c r="P123" s="19" t="s">
        <v>906</v>
      </c>
      <c r="Q123" s="21" t="s">
        <v>57</v>
      </c>
      <c r="R123" s="21" t="s">
        <v>58</v>
      </c>
    </row>
    <row r="124">
      <c r="A124" s="19">
        <v>4186.0</v>
      </c>
      <c r="B124" s="19">
        <v>1.0</v>
      </c>
      <c r="C124" s="21" t="s">
        <v>43</v>
      </c>
      <c r="D124" s="21">
        <v>11.0</v>
      </c>
      <c r="E124" s="19">
        <v>23846.0</v>
      </c>
      <c r="F124" s="46">
        <v>45989.0</v>
      </c>
      <c r="G124" s="19">
        <v>3.16520076E8</v>
      </c>
      <c r="H124" s="21" t="s">
        <v>48</v>
      </c>
      <c r="I124" s="19">
        <v>3.1579356E8</v>
      </c>
      <c r="J124" s="21" t="s">
        <v>76</v>
      </c>
      <c r="K124" s="21" t="s">
        <v>77</v>
      </c>
      <c r="L124" s="21"/>
      <c r="M124" s="19" t="s">
        <v>913</v>
      </c>
      <c r="N124" s="19" t="s">
        <v>914</v>
      </c>
      <c r="O124" s="19">
        <v>0.0</v>
      </c>
      <c r="P124" s="19" t="s">
        <v>916</v>
      </c>
      <c r="Q124" s="21" t="s">
        <v>57</v>
      </c>
      <c r="R124" s="21" t="s">
        <v>58</v>
      </c>
    </row>
    <row r="125">
      <c r="A125" s="19">
        <v>18.0</v>
      </c>
      <c r="B125" s="19">
        <v>1.0</v>
      </c>
      <c r="C125" s="21" t="s">
        <v>43</v>
      </c>
      <c r="D125" s="21">
        <v>10.0</v>
      </c>
      <c r="E125" s="19">
        <v>14923.0</v>
      </c>
      <c r="F125" s="25">
        <v>45931.0</v>
      </c>
      <c r="G125" s="19">
        <v>3.16520076E8</v>
      </c>
      <c r="H125" s="21" t="s">
        <v>48</v>
      </c>
      <c r="I125" s="19">
        <v>3.03742924E8</v>
      </c>
      <c r="J125" s="21" t="s">
        <v>919</v>
      </c>
      <c r="K125" s="21" t="s">
        <v>920</v>
      </c>
      <c r="L125" s="21"/>
      <c r="M125" s="19" t="s">
        <v>921</v>
      </c>
      <c r="N125" s="19" t="s">
        <v>922</v>
      </c>
      <c r="O125" s="19">
        <v>0.0</v>
      </c>
      <c r="P125" s="19" t="s">
        <v>923</v>
      </c>
      <c r="Q125" s="21" t="s">
        <v>57</v>
      </c>
      <c r="R125" s="21" t="s">
        <v>58</v>
      </c>
    </row>
    <row r="126">
      <c r="A126" s="19">
        <v>138.0</v>
      </c>
      <c r="B126" s="19">
        <v>1.0</v>
      </c>
      <c r="C126" s="21" t="s">
        <v>43</v>
      </c>
      <c r="D126" s="21">
        <v>10.0</v>
      </c>
      <c r="E126" s="19">
        <v>15043.0</v>
      </c>
      <c r="F126" s="25">
        <v>45931.0</v>
      </c>
      <c r="G126" s="19">
        <v>3.16520076E8</v>
      </c>
      <c r="H126" s="21" t="s">
        <v>48</v>
      </c>
      <c r="I126" s="19">
        <v>3.400453105E9</v>
      </c>
      <c r="J126" s="21" t="s">
        <v>924</v>
      </c>
      <c r="K126" s="21" t="s">
        <v>925</v>
      </c>
      <c r="L126" s="21"/>
      <c r="M126" s="19" t="s">
        <v>926</v>
      </c>
      <c r="N126" s="19" t="s">
        <v>927</v>
      </c>
      <c r="O126" s="19">
        <v>0.0</v>
      </c>
      <c r="P126" s="19" t="s">
        <v>928</v>
      </c>
      <c r="Q126" s="21" t="s">
        <v>57</v>
      </c>
      <c r="R126" s="21" t="s">
        <v>58</v>
      </c>
    </row>
    <row r="127">
      <c r="A127" s="19">
        <v>482.0</v>
      </c>
      <c r="B127" s="19">
        <v>1.0</v>
      </c>
      <c r="C127" s="21" t="s">
        <v>43</v>
      </c>
      <c r="D127" s="21">
        <v>10.0</v>
      </c>
      <c r="E127" s="19">
        <v>15387.0</v>
      </c>
      <c r="F127" s="25">
        <v>45934.0</v>
      </c>
      <c r="G127" s="19">
        <v>3.16520076E8</v>
      </c>
      <c r="H127" s="21" t="s">
        <v>48</v>
      </c>
      <c r="I127" s="19">
        <v>3.17476969E8</v>
      </c>
      <c r="J127" s="21" t="s">
        <v>936</v>
      </c>
      <c r="K127" s="21" t="s">
        <v>938</v>
      </c>
      <c r="L127" s="21"/>
      <c r="M127" s="19" t="s">
        <v>939</v>
      </c>
      <c r="N127" s="19" t="s">
        <v>940</v>
      </c>
      <c r="O127" s="19">
        <v>0.0</v>
      </c>
      <c r="P127" s="19" t="s">
        <v>941</v>
      </c>
      <c r="Q127" s="21" t="s">
        <v>57</v>
      </c>
      <c r="R127" s="21" t="s">
        <v>58</v>
      </c>
    </row>
    <row r="128">
      <c r="A128" s="19">
        <v>483.0</v>
      </c>
      <c r="B128" s="19">
        <v>1.0</v>
      </c>
      <c r="C128" s="21" t="s">
        <v>43</v>
      </c>
      <c r="D128" s="21">
        <v>10.0</v>
      </c>
      <c r="E128" s="19">
        <v>15388.0</v>
      </c>
      <c r="F128" s="25">
        <v>45934.0</v>
      </c>
      <c r="G128" s="19">
        <v>3.16520076E8</v>
      </c>
      <c r="H128" s="21" t="s">
        <v>48</v>
      </c>
      <c r="I128" s="19">
        <v>3.901312384E9</v>
      </c>
      <c r="J128" s="21" t="s">
        <v>942</v>
      </c>
      <c r="K128" s="21" t="s">
        <v>943</v>
      </c>
      <c r="L128" s="21"/>
      <c r="M128" s="19" t="s">
        <v>944</v>
      </c>
      <c r="N128" s="19" t="s">
        <v>945</v>
      </c>
      <c r="O128" s="19">
        <v>0.0</v>
      </c>
      <c r="P128" s="19" t="s">
        <v>946</v>
      </c>
      <c r="Q128" s="21" t="s">
        <v>57</v>
      </c>
      <c r="R128" s="21" t="s">
        <v>58</v>
      </c>
    </row>
    <row r="129">
      <c r="A129" s="19">
        <v>484.0</v>
      </c>
      <c r="B129" s="19">
        <v>1.0</v>
      </c>
      <c r="C129" s="21" t="s">
        <v>43</v>
      </c>
      <c r="D129" s="21">
        <v>10.0</v>
      </c>
      <c r="E129" s="19">
        <v>15389.0</v>
      </c>
      <c r="F129" s="25">
        <v>45934.0</v>
      </c>
      <c r="G129" s="19">
        <v>3.16520076E8</v>
      </c>
      <c r="H129" s="21" t="s">
        <v>48</v>
      </c>
      <c r="I129" s="19">
        <v>3.12163747E8</v>
      </c>
      <c r="J129" s="21" t="s">
        <v>947</v>
      </c>
      <c r="K129" s="21" t="s">
        <v>950</v>
      </c>
      <c r="L129" s="21"/>
      <c r="M129" s="19" t="s">
        <v>952</v>
      </c>
      <c r="N129" s="19" t="s">
        <v>954</v>
      </c>
      <c r="O129" s="19">
        <v>0.0</v>
      </c>
      <c r="P129" s="19" t="s">
        <v>955</v>
      </c>
      <c r="Q129" s="21" t="s">
        <v>57</v>
      </c>
      <c r="R129" s="21" t="s">
        <v>58</v>
      </c>
    </row>
    <row r="130">
      <c r="A130" s="19">
        <v>604.0</v>
      </c>
      <c r="B130" s="19">
        <v>1.0</v>
      </c>
      <c r="C130" s="21" t="s">
        <v>43</v>
      </c>
      <c r="D130" s="21">
        <v>10.0</v>
      </c>
      <c r="E130" s="19">
        <v>15509.0</v>
      </c>
      <c r="F130" s="25">
        <v>45936.0</v>
      </c>
      <c r="G130" s="19">
        <v>3.16520076E8</v>
      </c>
      <c r="H130" s="21" t="s">
        <v>48</v>
      </c>
      <c r="I130" s="19">
        <v>3.901312384E9</v>
      </c>
      <c r="J130" s="21" t="s">
        <v>942</v>
      </c>
      <c r="K130" s="21" t="s">
        <v>943</v>
      </c>
      <c r="L130" s="21"/>
      <c r="M130" s="19" t="s">
        <v>959</v>
      </c>
      <c r="N130" s="19" t="s">
        <v>960</v>
      </c>
      <c r="O130" s="19">
        <v>0.0</v>
      </c>
      <c r="P130" s="19" t="s">
        <v>961</v>
      </c>
      <c r="Q130" s="21" t="s">
        <v>57</v>
      </c>
      <c r="R130" s="21" t="s">
        <v>58</v>
      </c>
    </row>
    <row r="131">
      <c r="A131" s="19">
        <v>933.0</v>
      </c>
      <c r="B131" s="19">
        <v>1.0</v>
      </c>
      <c r="C131" s="21" t="s">
        <v>43</v>
      </c>
      <c r="D131" s="21">
        <v>10.0</v>
      </c>
      <c r="E131" s="19">
        <v>15838.0</v>
      </c>
      <c r="F131" s="25">
        <v>45938.0</v>
      </c>
      <c r="G131" s="19">
        <v>3.16520076E8</v>
      </c>
      <c r="H131" s="21" t="s">
        <v>48</v>
      </c>
      <c r="I131" s="19">
        <v>3.1579356E8</v>
      </c>
      <c r="J131" s="21" t="s">
        <v>76</v>
      </c>
      <c r="K131" s="21" t="s">
        <v>77</v>
      </c>
      <c r="L131" s="21"/>
      <c r="M131" s="19" t="s">
        <v>962</v>
      </c>
      <c r="N131" s="19" t="s">
        <v>963</v>
      </c>
      <c r="O131" s="19">
        <v>0.0</v>
      </c>
      <c r="P131" s="19" t="s">
        <v>964</v>
      </c>
      <c r="Q131" s="21" t="s">
        <v>57</v>
      </c>
      <c r="R131" s="21" t="s">
        <v>58</v>
      </c>
    </row>
    <row r="132">
      <c r="A132" s="19">
        <v>1068.0</v>
      </c>
      <c r="B132" s="19">
        <v>1.0</v>
      </c>
      <c r="C132" s="21" t="s">
        <v>43</v>
      </c>
      <c r="D132" s="21">
        <v>10.0</v>
      </c>
      <c r="E132" s="19">
        <v>15973.0</v>
      </c>
      <c r="F132" s="25">
        <v>45938.0</v>
      </c>
      <c r="G132" s="19">
        <v>3.16520076E8</v>
      </c>
      <c r="H132" s="21" t="s">
        <v>48</v>
      </c>
      <c r="I132" s="19">
        <v>3.16045913E8</v>
      </c>
      <c r="J132" s="21" t="s">
        <v>968</v>
      </c>
      <c r="K132" s="21" t="s">
        <v>970</v>
      </c>
      <c r="L132" s="21"/>
      <c r="M132" s="19" t="s">
        <v>207</v>
      </c>
      <c r="N132" s="19" t="s">
        <v>124</v>
      </c>
      <c r="O132" s="19">
        <v>0.0</v>
      </c>
      <c r="P132" s="19" t="s">
        <v>209</v>
      </c>
      <c r="Q132" s="21" t="s">
        <v>57</v>
      </c>
      <c r="R132" s="21" t="s">
        <v>58</v>
      </c>
    </row>
    <row r="133">
      <c r="A133" s="19">
        <v>1286.0</v>
      </c>
      <c r="B133" s="19">
        <v>1.0</v>
      </c>
      <c r="C133" s="21" t="s">
        <v>43</v>
      </c>
      <c r="D133" s="21">
        <v>10.0</v>
      </c>
      <c r="E133" s="19">
        <v>16191.0</v>
      </c>
      <c r="F133" s="46">
        <v>45941.0</v>
      </c>
      <c r="G133" s="19">
        <v>3.16520076E8</v>
      </c>
      <c r="H133" s="21" t="s">
        <v>48</v>
      </c>
      <c r="I133" s="19">
        <v>3.17765431E8</v>
      </c>
      <c r="J133" s="21" t="s">
        <v>977</v>
      </c>
      <c r="K133" s="21" t="s">
        <v>978</v>
      </c>
      <c r="L133" s="21"/>
      <c r="M133" s="19" t="s">
        <v>90</v>
      </c>
      <c r="N133" s="19" t="s">
        <v>91</v>
      </c>
      <c r="O133" s="19">
        <v>0.0</v>
      </c>
      <c r="P133" s="19" t="s">
        <v>92</v>
      </c>
      <c r="Q133" s="21" t="s">
        <v>57</v>
      </c>
      <c r="R133" s="21" t="s">
        <v>58</v>
      </c>
    </row>
    <row r="134">
      <c r="A134" s="19">
        <v>1287.0</v>
      </c>
      <c r="B134" s="19">
        <v>1.0</v>
      </c>
      <c r="C134" s="21" t="s">
        <v>43</v>
      </c>
      <c r="D134" s="21">
        <v>10.0</v>
      </c>
      <c r="E134" s="19">
        <v>16192.0</v>
      </c>
      <c r="F134" s="46">
        <v>45941.0</v>
      </c>
      <c r="G134" s="19">
        <v>3.16520076E8</v>
      </c>
      <c r="H134" s="21" t="s">
        <v>48</v>
      </c>
      <c r="I134" s="19">
        <v>6.30033653E9</v>
      </c>
      <c r="J134" s="21" t="s">
        <v>979</v>
      </c>
      <c r="K134" s="21" t="s">
        <v>980</v>
      </c>
      <c r="L134" s="21"/>
      <c r="M134" s="19" t="s">
        <v>164</v>
      </c>
      <c r="N134" s="19" t="s">
        <v>165</v>
      </c>
      <c r="O134" s="19">
        <v>0.0</v>
      </c>
      <c r="P134" s="19" t="s">
        <v>166</v>
      </c>
      <c r="Q134" s="21" t="s">
        <v>57</v>
      </c>
      <c r="R134" s="21" t="s">
        <v>58</v>
      </c>
    </row>
    <row r="135">
      <c r="A135" s="19">
        <v>1860.0</v>
      </c>
      <c r="B135" s="19">
        <v>1.0</v>
      </c>
      <c r="C135" s="21" t="s">
        <v>43</v>
      </c>
      <c r="D135" s="21">
        <v>10.0</v>
      </c>
      <c r="E135" s="19">
        <v>16766.0</v>
      </c>
      <c r="F135" s="46">
        <v>45943.0</v>
      </c>
      <c r="G135" s="19">
        <v>3.16520076E8</v>
      </c>
      <c r="H135" s="21" t="s">
        <v>48</v>
      </c>
      <c r="I135" s="19">
        <v>3.1579356E8</v>
      </c>
      <c r="J135" s="21" t="s">
        <v>76</v>
      </c>
      <c r="K135" s="21" t="s">
        <v>77</v>
      </c>
      <c r="L135" s="21"/>
      <c r="M135" s="19" t="s">
        <v>987</v>
      </c>
      <c r="N135" s="19" t="s">
        <v>988</v>
      </c>
      <c r="O135" s="19">
        <v>0.0</v>
      </c>
      <c r="P135" s="19" t="s">
        <v>989</v>
      </c>
      <c r="Q135" s="21" t="s">
        <v>57</v>
      </c>
      <c r="R135" s="21" t="s">
        <v>58</v>
      </c>
    </row>
    <row r="136">
      <c r="A136" s="19">
        <v>1861.0</v>
      </c>
      <c r="B136" s="19">
        <v>1.0</v>
      </c>
      <c r="C136" s="21" t="s">
        <v>43</v>
      </c>
      <c r="D136" s="21">
        <v>10.0</v>
      </c>
      <c r="E136" s="19">
        <v>16767.0</v>
      </c>
      <c r="F136" s="46">
        <v>45943.0</v>
      </c>
      <c r="G136" s="19">
        <v>3.16520076E8</v>
      </c>
      <c r="H136" s="21" t="s">
        <v>48</v>
      </c>
      <c r="I136" s="19">
        <v>3.1579356E8</v>
      </c>
      <c r="J136" s="21" t="s">
        <v>76</v>
      </c>
      <c r="K136" s="21" t="s">
        <v>77</v>
      </c>
      <c r="L136" s="21"/>
      <c r="M136" s="19" t="s">
        <v>990</v>
      </c>
      <c r="N136" s="19" t="s">
        <v>991</v>
      </c>
      <c r="O136" s="19">
        <v>0.0</v>
      </c>
      <c r="P136" s="19" t="s">
        <v>992</v>
      </c>
      <c r="Q136" s="21" t="s">
        <v>57</v>
      </c>
      <c r="R136" s="21" t="s">
        <v>58</v>
      </c>
    </row>
    <row r="137">
      <c r="A137" s="19">
        <v>1954.0</v>
      </c>
      <c r="B137" s="19">
        <v>1.0</v>
      </c>
      <c r="C137" s="21" t="s">
        <v>43</v>
      </c>
      <c r="D137" s="21">
        <v>10.0</v>
      </c>
      <c r="E137" s="19">
        <v>16860.0</v>
      </c>
      <c r="F137" s="46">
        <v>45944.0</v>
      </c>
      <c r="G137" s="19">
        <v>3.16520076E8</v>
      </c>
      <c r="H137" s="21" t="s">
        <v>48</v>
      </c>
      <c r="I137" s="19">
        <v>3.19115439E8</v>
      </c>
      <c r="J137" s="21" t="s">
        <v>996</v>
      </c>
      <c r="K137" s="21" t="s">
        <v>997</v>
      </c>
      <c r="L137" s="21"/>
      <c r="M137" s="19" t="s">
        <v>999</v>
      </c>
      <c r="N137" s="19" t="s">
        <v>1000</v>
      </c>
      <c r="O137" s="19">
        <v>0.0</v>
      </c>
      <c r="P137" s="19" t="s">
        <v>1002</v>
      </c>
      <c r="Q137" s="21" t="s">
        <v>57</v>
      </c>
      <c r="R137" s="21" t="s">
        <v>58</v>
      </c>
    </row>
    <row r="138">
      <c r="A138" s="19">
        <v>2009.0</v>
      </c>
      <c r="B138" s="19">
        <v>1.0</v>
      </c>
      <c r="C138" s="21" t="s">
        <v>43</v>
      </c>
      <c r="D138" s="21">
        <v>10.0</v>
      </c>
      <c r="E138" s="19">
        <v>16915.0</v>
      </c>
      <c r="F138" s="46">
        <v>45944.0</v>
      </c>
      <c r="G138" s="19">
        <v>3.16520076E8</v>
      </c>
      <c r="H138" s="21" t="s">
        <v>48</v>
      </c>
      <c r="I138" s="19" t="s">
        <v>1004</v>
      </c>
      <c r="J138" s="21" t="s">
        <v>1005</v>
      </c>
      <c r="K138" s="21" t="s">
        <v>1006</v>
      </c>
      <c r="L138" s="21"/>
      <c r="M138" s="19" t="s">
        <v>1007</v>
      </c>
      <c r="N138" s="19" t="s">
        <v>1008</v>
      </c>
      <c r="O138" s="19">
        <v>0.0</v>
      </c>
      <c r="P138" s="19" t="s">
        <v>1009</v>
      </c>
      <c r="Q138" s="21" t="s">
        <v>168</v>
      </c>
      <c r="R138" s="21" t="s">
        <v>58</v>
      </c>
    </row>
    <row r="139">
      <c r="A139" s="19">
        <v>2010.0</v>
      </c>
      <c r="B139" s="19">
        <v>1.0</v>
      </c>
      <c r="C139" s="21" t="s">
        <v>43</v>
      </c>
      <c r="D139" s="21">
        <v>10.0</v>
      </c>
      <c r="E139" s="19">
        <v>16916.0</v>
      </c>
      <c r="F139" s="46">
        <v>45944.0</v>
      </c>
      <c r="G139" s="19">
        <v>3.16520076E8</v>
      </c>
      <c r="H139" s="21" t="s">
        <v>48</v>
      </c>
      <c r="I139" s="19">
        <v>3.14215951E8</v>
      </c>
      <c r="J139" s="21" t="s">
        <v>172</v>
      </c>
      <c r="K139" s="21" t="s">
        <v>1010</v>
      </c>
      <c r="L139" s="21"/>
      <c r="M139" s="19" t="s">
        <v>1011</v>
      </c>
      <c r="N139" s="19" t="s">
        <v>1013</v>
      </c>
      <c r="O139" s="19">
        <v>0.0</v>
      </c>
      <c r="P139" s="19" t="s">
        <v>1016</v>
      </c>
      <c r="Q139" s="21" t="s">
        <v>57</v>
      </c>
      <c r="R139" s="21" t="s">
        <v>58</v>
      </c>
    </row>
    <row r="140">
      <c r="A140" s="19">
        <v>2214.0</v>
      </c>
      <c r="B140" s="19">
        <v>1.0</v>
      </c>
      <c r="C140" s="21" t="s">
        <v>43</v>
      </c>
      <c r="D140" s="21">
        <v>10.0</v>
      </c>
      <c r="E140" s="19">
        <v>17120.0</v>
      </c>
      <c r="F140" s="46">
        <v>45945.0</v>
      </c>
      <c r="G140" s="19">
        <v>3.16520076E8</v>
      </c>
      <c r="H140" s="21" t="s">
        <v>48</v>
      </c>
      <c r="I140" s="19">
        <v>3.901329726E9</v>
      </c>
      <c r="J140" s="21" t="s">
        <v>1021</v>
      </c>
      <c r="K140" s="21" t="s">
        <v>1023</v>
      </c>
      <c r="L140" s="21"/>
      <c r="M140" s="19" t="s">
        <v>1007</v>
      </c>
      <c r="N140" s="19" t="s">
        <v>1008</v>
      </c>
      <c r="O140" s="19">
        <v>0.0</v>
      </c>
      <c r="P140" s="19" t="s">
        <v>1009</v>
      </c>
      <c r="Q140" s="21" t="s">
        <v>168</v>
      </c>
      <c r="R140" s="21" t="s">
        <v>58</v>
      </c>
    </row>
    <row r="141">
      <c r="A141" s="19">
        <v>2595.0</v>
      </c>
      <c r="B141" s="19">
        <v>1.0</v>
      </c>
      <c r="C141" s="21" t="s">
        <v>43</v>
      </c>
      <c r="D141" s="21">
        <v>10.0</v>
      </c>
      <c r="E141" s="19">
        <v>17501.0</v>
      </c>
      <c r="F141" s="46">
        <v>45947.0</v>
      </c>
      <c r="G141" s="19">
        <v>3.16520076E8</v>
      </c>
      <c r="H141" s="21" t="s">
        <v>48</v>
      </c>
      <c r="I141" s="19">
        <v>2.01276745E8</v>
      </c>
      <c r="J141" s="21" t="s">
        <v>1025</v>
      </c>
      <c r="K141" s="21" t="s">
        <v>1026</v>
      </c>
      <c r="L141" s="21"/>
      <c r="M141" s="19" t="s">
        <v>1027</v>
      </c>
      <c r="N141" s="19" t="s">
        <v>1028</v>
      </c>
      <c r="O141" s="19">
        <v>0.0</v>
      </c>
      <c r="P141" s="19" t="s">
        <v>1029</v>
      </c>
      <c r="Q141" s="21" t="s">
        <v>168</v>
      </c>
      <c r="R141" s="21" t="s">
        <v>58</v>
      </c>
    </row>
    <row r="142">
      <c r="A142" s="19">
        <v>3025.0</v>
      </c>
      <c r="B142" s="19">
        <v>1.0</v>
      </c>
      <c r="C142" s="21" t="s">
        <v>43</v>
      </c>
      <c r="D142" s="21">
        <v>10.0</v>
      </c>
      <c r="E142" s="19">
        <v>17931.0</v>
      </c>
      <c r="F142" s="46">
        <v>45950.0</v>
      </c>
      <c r="G142" s="19">
        <v>3.16520076E8</v>
      </c>
      <c r="H142" s="21" t="s">
        <v>48</v>
      </c>
      <c r="I142" s="19">
        <v>3.1579356E8</v>
      </c>
      <c r="J142" s="21" t="s">
        <v>76</v>
      </c>
      <c r="K142" s="21" t="s">
        <v>77</v>
      </c>
      <c r="L142" s="21"/>
      <c r="M142" s="19" t="s">
        <v>1036</v>
      </c>
      <c r="N142" s="19" t="s">
        <v>1037</v>
      </c>
      <c r="O142" s="19">
        <v>0.0</v>
      </c>
      <c r="P142" s="19" t="s">
        <v>1038</v>
      </c>
      <c r="Q142" s="21" t="s">
        <v>57</v>
      </c>
      <c r="R142" s="21" t="s">
        <v>58</v>
      </c>
    </row>
    <row r="143">
      <c r="A143" s="19">
        <v>3026.0</v>
      </c>
      <c r="B143" s="19">
        <v>1.0</v>
      </c>
      <c r="C143" s="21" t="s">
        <v>43</v>
      </c>
      <c r="D143" s="21">
        <v>10.0</v>
      </c>
      <c r="E143" s="19">
        <v>17932.0</v>
      </c>
      <c r="F143" s="46">
        <v>45950.0</v>
      </c>
      <c r="G143" s="19">
        <v>3.16520076E8</v>
      </c>
      <c r="H143" s="21" t="s">
        <v>48</v>
      </c>
      <c r="I143" s="19">
        <v>3.14221507E8</v>
      </c>
      <c r="J143" s="21" t="s">
        <v>1039</v>
      </c>
      <c r="K143" s="21" t="s">
        <v>1040</v>
      </c>
      <c r="L143" s="21"/>
      <c r="M143" s="19" t="s">
        <v>1041</v>
      </c>
      <c r="N143" s="19" t="s">
        <v>1042</v>
      </c>
      <c r="O143" s="19">
        <v>0.0</v>
      </c>
      <c r="P143" s="19" t="s">
        <v>1045</v>
      </c>
      <c r="Q143" s="21" t="s">
        <v>57</v>
      </c>
      <c r="R143" s="21" t="s">
        <v>58</v>
      </c>
    </row>
    <row r="144">
      <c r="A144" s="19">
        <v>3474.0</v>
      </c>
      <c r="B144" s="19">
        <v>1.0</v>
      </c>
      <c r="C144" s="21" t="s">
        <v>43</v>
      </c>
      <c r="D144" s="21">
        <v>10.0</v>
      </c>
      <c r="E144" s="19">
        <v>18380.0</v>
      </c>
      <c r="F144" s="46">
        <v>45953.0</v>
      </c>
      <c r="G144" s="19">
        <v>3.16520076E8</v>
      </c>
      <c r="H144" s="21" t="s">
        <v>48</v>
      </c>
      <c r="I144" s="19">
        <v>3.1579356E8</v>
      </c>
      <c r="J144" s="21" t="s">
        <v>76</v>
      </c>
      <c r="K144" s="21" t="s">
        <v>77</v>
      </c>
      <c r="L144" s="21"/>
      <c r="M144" s="19" t="s">
        <v>1051</v>
      </c>
      <c r="N144" s="19" t="s">
        <v>1052</v>
      </c>
      <c r="O144" s="19">
        <v>0.0</v>
      </c>
      <c r="P144" s="19" t="s">
        <v>1053</v>
      </c>
      <c r="Q144" s="21" t="s">
        <v>57</v>
      </c>
      <c r="R144" s="21" t="s">
        <v>58</v>
      </c>
    </row>
    <row r="145">
      <c r="A145" s="19">
        <v>3476.0</v>
      </c>
      <c r="B145" s="19">
        <v>1.0</v>
      </c>
      <c r="C145" s="21" t="s">
        <v>43</v>
      </c>
      <c r="D145" s="21">
        <v>10.0</v>
      </c>
      <c r="E145" s="19">
        <v>18382.0</v>
      </c>
      <c r="F145" s="46">
        <v>45953.0</v>
      </c>
      <c r="G145" s="19">
        <v>3.16520076E8</v>
      </c>
      <c r="H145" s="21" t="s">
        <v>48</v>
      </c>
      <c r="I145" s="19" t="s">
        <v>1054</v>
      </c>
      <c r="J145" s="21" t="s">
        <v>1055</v>
      </c>
      <c r="K145" s="21" t="s">
        <v>1056</v>
      </c>
      <c r="L145" s="21"/>
      <c r="M145" s="19" t="s">
        <v>1057</v>
      </c>
      <c r="N145" s="19" t="s">
        <v>1058</v>
      </c>
      <c r="O145" s="19">
        <v>0.0</v>
      </c>
      <c r="P145" s="19" t="s">
        <v>1059</v>
      </c>
      <c r="Q145" s="21" t="s">
        <v>57</v>
      </c>
      <c r="R145" s="21" t="s">
        <v>58</v>
      </c>
    </row>
    <row r="146">
      <c r="A146" s="19">
        <v>3628.0</v>
      </c>
      <c r="B146" s="19">
        <v>1.0</v>
      </c>
      <c r="C146" s="21" t="s">
        <v>43</v>
      </c>
      <c r="D146" s="21">
        <v>10.0</v>
      </c>
      <c r="E146" s="19">
        <v>18534.0</v>
      </c>
      <c r="F146" s="46">
        <v>45954.0</v>
      </c>
      <c r="G146" s="19">
        <v>3.16520076E8</v>
      </c>
      <c r="H146" s="21" t="s">
        <v>48</v>
      </c>
      <c r="I146" s="19">
        <v>3.05260845E8</v>
      </c>
      <c r="J146" s="21" t="s">
        <v>1061</v>
      </c>
      <c r="K146" s="21" t="s">
        <v>1063</v>
      </c>
      <c r="L146" s="21"/>
      <c r="M146" s="19" t="s">
        <v>1057</v>
      </c>
      <c r="N146" s="19" t="s">
        <v>1058</v>
      </c>
      <c r="O146" s="19">
        <v>0.0</v>
      </c>
      <c r="P146" s="19" t="s">
        <v>1059</v>
      </c>
      <c r="Q146" s="21" t="s">
        <v>57</v>
      </c>
      <c r="R146" s="21" t="s">
        <v>58</v>
      </c>
    </row>
    <row r="147">
      <c r="A147" s="19">
        <v>3827.0</v>
      </c>
      <c r="B147" s="19">
        <v>1.0</v>
      </c>
      <c r="C147" s="21" t="s">
        <v>43</v>
      </c>
      <c r="D147" s="21">
        <v>10.0</v>
      </c>
      <c r="E147" s="19">
        <v>18733.0</v>
      </c>
      <c r="F147" s="46">
        <v>45955.0</v>
      </c>
      <c r="G147" s="19">
        <v>3.16520076E8</v>
      </c>
      <c r="H147" s="21" t="s">
        <v>48</v>
      </c>
      <c r="I147" s="19">
        <v>3.15799724E8</v>
      </c>
      <c r="J147" s="21" t="s">
        <v>1068</v>
      </c>
      <c r="K147" s="21" t="s">
        <v>1069</v>
      </c>
      <c r="L147" s="21"/>
      <c r="M147" s="19" t="s">
        <v>164</v>
      </c>
      <c r="N147" s="19" t="s">
        <v>165</v>
      </c>
      <c r="O147" s="19">
        <v>0.0</v>
      </c>
      <c r="P147" s="19" t="s">
        <v>166</v>
      </c>
      <c r="Q147" s="21" t="s">
        <v>57</v>
      </c>
      <c r="R147" s="21" t="s">
        <v>58</v>
      </c>
    </row>
    <row r="148">
      <c r="A148" s="19">
        <v>3894.0</v>
      </c>
      <c r="B148" s="19">
        <v>1.0</v>
      </c>
      <c r="C148" s="21" t="s">
        <v>43</v>
      </c>
      <c r="D148" s="21">
        <v>10.0</v>
      </c>
      <c r="E148" s="19">
        <v>18800.0</v>
      </c>
      <c r="F148" s="46">
        <v>45957.0</v>
      </c>
      <c r="G148" s="19">
        <v>3.16520076E8</v>
      </c>
      <c r="H148" s="21" t="s">
        <v>48</v>
      </c>
      <c r="I148" s="19">
        <v>3.18085848E8</v>
      </c>
      <c r="J148" s="21" t="s">
        <v>1070</v>
      </c>
      <c r="K148" s="21" t="s">
        <v>1071</v>
      </c>
      <c r="L148" s="21"/>
      <c r="M148" s="19" t="s">
        <v>305</v>
      </c>
      <c r="N148" s="19" t="s">
        <v>307</v>
      </c>
      <c r="O148" s="19">
        <v>0.0</v>
      </c>
      <c r="P148" s="19" t="s">
        <v>308</v>
      </c>
      <c r="Q148" s="21" t="s">
        <v>57</v>
      </c>
      <c r="R148" s="21" t="s">
        <v>58</v>
      </c>
    </row>
    <row r="149">
      <c r="A149" s="19">
        <v>3949.0</v>
      </c>
      <c r="B149" s="19">
        <v>1.0</v>
      </c>
      <c r="C149" s="21" t="s">
        <v>43</v>
      </c>
      <c r="D149" s="21">
        <v>10.0</v>
      </c>
      <c r="E149" s="19">
        <v>18855.0</v>
      </c>
      <c r="F149" s="46">
        <v>45957.0</v>
      </c>
      <c r="G149" s="19">
        <v>3.16520076E8</v>
      </c>
      <c r="H149" s="21" t="s">
        <v>48</v>
      </c>
      <c r="I149" s="19">
        <v>3.15799724E8</v>
      </c>
      <c r="J149" s="21" t="s">
        <v>1068</v>
      </c>
      <c r="K149" s="21" t="s">
        <v>1069</v>
      </c>
      <c r="L149" s="21"/>
      <c r="M149" s="19" t="s">
        <v>391</v>
      </c>
      <c r="N149" s="19" t="s">
        <v>392</v>
      </c>
      <c r="O149" s="19">
        <v>0.0</v>
      </c>
      <c r="P149" s="19" t="s">
        <v>393</v>
      </c>
      <c r="Q149" s="21" t="s">
        <v>57</v>
      </c>
      <c r="R149" s="21" t="s">
        <v>58</v>
      </c>
    </row>
    <row r="150">
      <c r="A150" s="19">
        <v>3950.0</v>
      </c>
      <c r="B150" s="19">
        <v>1.0</v>
      </c>
      <c r="C150" s="21" t="s">
        <v>43</v>
      </c>
      <c r="D150" s="21">
        <v>10.0</v>
      </c>
      <c r="E150" s="19">
        <v>18856.0</v>
      </c>
      <c r="F150" s="46">
        <v>45957.0</v>
      </c>
      <c r="G150" s="19">
        <v>3.16520076E8</v>
      </c>
      <c r="H150" s="21" t="s">
        <v>48</v>
      </c>
      <c r="I150" s="19">
        <v>3.15799724E8</v>
      </c>
      <c r="J150" s="21" t="s">
        <v>1068</v>
      </c>
      <c r="K150" s="21" t="s">
        <v>1069</v>
      </c>
      <c r="L150" s="21"/>
      <c r="M150" s="19" t="s">
        <v>207</v>
      </c>
      <c r="N150" s="19" t="s">
        <v>124</v>
      </c>
      <c r="O150" s="19">
        <v>0.0</v>
      </c>
      <c r="P150" s="19" t="s">
        <v>209</v>
      </c>
      <c r="Q150" s="21" t="s">
        <v>57</v>
      </c>
      <c r="R150" s="21" t="s">
        <v>58</v>
      </c>
    </row>
    <row r="151">
      <c r="A151" s="19">
        <v>4181.0</v>
      </c>
      <c r="B151" s="19">
        <v>1.0</v>
      </c>
      <c r="C151" s="21" t="s">
        <v>43</v>
      </c>
      <c r="D151" s="21">
        <v>10.0</v>
      </c>
      <c r="E151" s="19">
        <v>19087.0</v>
      </c>
      <c r="F151" s="46">
        <v>45958.0</v>
      </c>
      <c r="G151" s="19">
        <v>3.16520076E8</v>
      </c>
      <c r="H151" s="21" t="s">
        <v>48</v>
      </c>
      <c r="I151" s="19">
        <v>3.19130839E8</v>
      </c>
      <c r="J151" s="21" t="s">
        <v>1080</v>
      </c>
      <c r="K151" s="21" t="s">
        <v>1083</v>
      </c>
      <c r="L151" s="21"/>
      <c r="M151" s="19" t="s">
        <v>1085</v>
      </c>
      <c r="N151" s="19" t="s">
        <v>1087</v>
      </c>
      <c r="O151" s="19">
        <v>0.0</v>
      </c>
      <c r="P151" s="19" t="s">
        <v>1088</v>
      </c>
      <c r="Q151" s="21" t="s">
        <v>57</v>
      </c>
      <c r="R151" s="21" t="s">
        <v>58</v>
      </c>
    </row>
    <row r="152">
      <c r="A152" s="19">
        <v>4182.0</v>
      </c>
      <c r="B152" s="19">
        <v>1.0</v>
      </c>
      <c r="C152" s="21" t="s">
        <v>43</v>
      </c>
      <c r="D152" s="21">
        <v>10.0</v>
      </c>
      <c r="E152" s="19">
        <v>19088.0</v>
      </c>
      <c r="F152" s="46">
        <v>45958.0</v>
      </c>
      <c r="G152" s="19">
        <v>3.16520076E8</v>
      </c>
      <c r="H152" s="21" t="s">
        <v>48</v>
      </c>
      <c r="I152" s="19">
        <v>3.1579356E8</v>
      </c>
      <c r="J152" s="21" t="s">
        <v>76</v>
      </c>
      <c r="K152" s="21" t="s">
        <v>77</v>
      </c>
      <c r="L152" s="21"/>
      <c r="M152" s="19" t="s">
        <v>1091</v>
      </c>
      <c r="N152" s="19" t="s">
        <v>1092</v>
      </c>
      <c r="O152" s="19">
        <v>0.0</v>
      </c>
      <c r="P152" s="19" t="s">
        <v>1093</v>
      </c>
      <c r="Q152" s="21" t="s">
        <v>57</v>
      </c>
      <c r="R152" s="21" t="s">
        <v>58</v>
      </c>
    </row>
    <row r="153">
      <c r="A153" s="19">
        <v>4183.0</v>
      </c>
      <c r="B153" s="19">
        <v>1.0</v>
      </c>
      <c r="C153" s="21" t="s">
        <v>43</v>
      </c>
      <c r="D153" s="21">
        <v>10.0</v>
      </c>
      <c r="E153" s="19">
        <v>19089.0</v>
      </c>
      <c r="F153" s="46">
        <v>45958.0</v>
      </c>
      <c r="G153" s="19">
        <v>3.16520076E8</v>
      </c>
      <c r="H153" s="21" t="s">
        <v>48</v>
      </c>
      <c r="I153" s="19">
        <v>3.17640633E8</v>
      </c>
      <c r="J153" s="21" t="s">
        <v>1097</v>
      </c>
      <c r="K153" s="21" t="s">
        <v>1099</v>
      </c>
      <c r="L153" s="21"/>
      <c r="M153" s="19" t="s">
        <v>207</v>
      </c>
      <c r="N153" s="19" t="s">
        <v>124</v>
      </c>
      <c r="O153" s="19">
        <v>0.0</v>
      </c>
      <c r="P153" s="19" t="s">
        <v>209</v>
      </c>
      <c r="Q153" s="21" t="s">
        <v>57</v>
      </c>
      <c r="R153" s="21" t="s">
        <v>58</v>
      </c>
    </row>
    <row r="154">
      <c r="A154" s="19">
        <v>4184.0</v>
      </c>
      <c r="B154" s="19">
        <v>1.0</v>
      </c>
      <c r="C154" s="21" t="s">
        <v>43</v>
      </c>
      <c r="D154" s="21">
        <v>10.0</v>
      </c>
      <c r="E154" s="19">
        <v>19090.0</v>
      </c>
      <c r="F154" s="46">
        <v>45958.0</v>
      </c>
      <c r="G154" s="19">
        <v>3.16520076E8</v>
      </c>
      <c r="H154" s="21" t="s">
        <v>48</v>
      </c>
      <c r="I154" s="19">
        <v>3.60052659E9</v>
      </c>
      <c r="J154" s="21" t="s">
        <v>1102</v>
      </c>
      <c r="K154" s="21" t="s">
        <v>1103</v>
      </c>
      <c r="L154" s="21"/>
      <c r="M154" s="19" t="s">
        <v>277</v>
      </c>
      <c r="N154" s="19" t="s">
        <v>278</v>
      </c>
      <c r="O154" s="19">
        <v>0.0</v>
      </c>
      <c r="P154" s="19" t="s">
        <v>279</v>
      </c>
      <c r="Q154" s="21" t="s">
        <v>57</v>
      </c>
      <c r="R154" s="21" t="s">
        <v>58</v>
      </c>
    </row>
    <row r="155">
      <c r="A155" s="19">
        <v>4450.0</v>
      </c>
      <c r="B155" s="19">
        <v>1.0</v>
      </c>
      <c r="C155" s="21" t="s">
        <v>43</v>
      </c>
      <c r="D155" s="21">
        <v>10.0</v>
      </c>
      <c r="E155" s="19">
        <v>19356.0</v>
      </c>
      <c r="F155" s="46">
        <v>45960.0</v>
      </c>
      <c r="G155" s="19">
        <v>3.16520076E8</v>
      </c>
      <c r="H155" s="21" t="s">
        <v>48</v>
      </c>
      <c r="I155" s="19">
        <v>3.1579356E8</v>
      </c>
      <c r="J155" s="21" t="s">
        <v>76</v>
      </c>
      <c r="K155" s="21" t="s">
        <v>77</v>
      </c>
      <c r="L155" s="21"/>
      <c r="M155" s="19" t="s">
        <v>1109</v>
      </c>
      <c r="N155" s="19" t="s">
        <v>1111</v>
      </c>
      <c r="O155" s="19">
        <v>0.0</v>
      </c>
      <c r="P155" s="19" t="s">
        <v>1112</v>
      </c>
      <c r="Q155" s="21" t="s">
        <v>57</v>
      </c>
      <c r="R155" s="21" t="s">
        <v>58</v>
      </c>
    </row>
    <row r="156">
      <c r="A156" s="19">
        <v>4559.0</v>
      </c>
      <c r="B156" s="19">
        <v>1.0</v>
      </c>
      <c r="C156" s="21" t="s">
        <v>43</v>
      </c>
      <c r="D156" s="21">
        <v>10.0</v>
      </c>
      <c r="E156" s="19">
        <v>19465.0</v>
      </c>
      <c r="F156" s="46">
        <v>45960.0</v>
      </c>
      <c r="G156" s="19">
        <v>3.16520076E8</v>
      </c>
      <c r="H156" s="21" t="s">
        <v>48</v>
      </c>
      <c r="I156" s="19">
        <v>3.02262146E8</v>
      </c>
      <c r="J156" s="21" t="s">
        <v>1113</v>
      </c>
      <c r="K156" s="21" t="s">
        <v>1114</v>
      </c>
      <c r="L156" s="21"/>
      <c r="M156" s="19" t="s">
        <v>1115</v>
      </c>
      <c r="N156" s="19" t="s">
        <v>1116</v>
      </c>
      <c r="O156" s="19">
        <v>0.0</v>
      </c>
      <c r="P156" s="19" t="s">
        <v>1117</v>
      </c>
      <c r="Q156" s="21" t="s">
        <v>57</v>
      </c>
      <c r="R156" s="21" t="s">
        <v>58</v>
      </c>
    </row>
    <row r="157">
      <c r="A157" s="19">
        <v>31.0</v>
      </c>
      <c r="B157" s="19">
        <v>1.0</v>
      </c>
      <c r="C157" s="21" t="s">
        <v>43</v>
      </c>
      <c r="D157" s="21">
        <v>9.0</v>
      </c>
      <c r="E157" s="19">
        <v>10030.0</v>
      </c>
      <c r="F157" s="25">
        <v>45903.0</v>
      </c>
      <c r="G157" s="19">
        <v>3.16520076E8</v>
      </c>
      <c r="H157" s="21" t="s">
        <v>48</v>
      </c>
      <c r="I157" s="19">
        <v>3.0927195E8</v>
      </c>
      <c r="J157" s="21" t="s">
        <v>1121</v>
      </c>
      <c r="K157" s="21" t="s">
        <v>1122</v>
      </c>
      <c r="L157" s="21"/>
      <c r="M157" s="19" t="s">
        <v>1123</v>
      </c>
      <c r="N157" s="19" t="s">
        <v>1124</v>
      </c>
      <c r="O157" s="19">
        <v>0.0</v>
      </c>
      <c r="P157" s="19" t="s">
        <v>1125</v>
      </c>
      <c r="Q157" s="21" t="s">
        <v>57</v>
      </c>
      <c r="R157" s="21" t="s">
        <v>58</v>
      </c>
    </row>
    <row r="158">
      <c r="A158" s="19">
        <v>54.0</v>
      </c>
      <c r="B158" s="19">
        <v>1.0</v>
      </c>
      <c r="C158" s="21" t="s">
        <v>43</v>
      </c>
      <c r="D158" s="21">
        <v>9.0</v>
      </c>
      <c r="E158" s="19">
        <v>10053.0</v>
      </c>
      <c r="F158" s="25">
        <v>45904.0</v>
      </c>
      <c r="G158" s="19">
        <v>3.16520076E8</v>
      </c>
      <c r="H158" s="21" t="s">
        <v>48</v>
      </c>
      <c r="I158" s="19">
        <v>3.1579356E8</v>
      </c>
      <c r="J158" s="21" t="s">
        <v>76</v>
      </c>
      <c r="K158" s="21" t="s">
        <v>77</v>
      </c>
      <c r="L158" s="21"/>
      <c r="M158" s="19" t="s">
        <v>1126</v>
      </c>
      <c r="N158" s="19" t="s">
        <v>1127</v>
      </c>
      <c r="O158" s="19">
        <v>0.0</v>
      </c>
      <c r="P158" s="19" t="s">
        <v>1128</v>
      </c>
      <c r="Q158" s="21" t="s">
        <v>57</v>
      </c>
      <c r="R158" s="21" t="s">
        <v>58</v>
      </c>
    </row>
    <row r="159">
      <c r="A159" s="19">
        <v>484.0</v>
      </c>
      <c r="B159" s="19">
        <v>1.0</v>
      </c>
      <c r="C159" s="21" t="s">
        <v>43</v>
      </c>
      <c r="D159" s="21">
        <v>9.0</v>
      </c>
      <c r="E159" s="19">
        <v>10483.0</v>
      </c>
      <c r="F159" s="25">
        <v>45906.0</v>
      </c>
      <c r="G159" s="19">
        <v>3.16520076E8</v>
      </c>
      <c r="H159" s="21" t="s">
        <v>48</v>
      </c>
      <c r="I159" s="19">
        <v>1.001203E8</v>
      </c>
      <c r="J159" s="21" t="s">
        <v>1131</v>
      </c>
      <c r="K159" s="21" t="s">
        <v>1132</v>
      </c>
      <c r="L159" s="21"/>
      <c r="M159" s="19" t="s">
        <v>391</v>
      </c>
      <c r="N159" s="19" t="s">
        <v>392</v>
      </c>
      <c r="O159" s="19">
        <v>0.0</v>
      </c>
      <c r="P159" s="19" t="s">
        <v>393</v>
      </c>
      <c r="Q159" s="21" t="s">
        <v>57</v>
      </c>
      <c r="R159" s="21" t="s">
        <v>58</v>
      </c>
    </row>
    <row r="160">
      <c r="A160" s="19">
        <v>769.0</v>
      </c>
      <c r="B160" s="19">
        <v>1.0</v>
      </c>
      <c r="C160" s="21" t="s">
        <v>43</v>
      </c>
      <c r="D160" s="21">
        <v>9.0</v>
      </c>
      <c r="E160" s="19">
        <v>10768.0</v>
      </c>
      <c r="F160" s="25">
        <v>45909.0</v>
      </c>
      <c r="G160" s="19">
        <v>3.16520076E8</v>
      </c>
      <c r="H160" s="21" t="s">
        <v>48</v>
      </c>
      <c r="I160" s="19">
        <v>3.1579356E8</v>
      </c>
      <c r="J160" s="21" t="s">
        <v>76</v>
      </c>
      <c r="K160" s="21" t="s">
        <v>77</v>
      </c>
      <c r="L160" s="21"/>
      <c r="M160" s="19" t="s">
        <v>1135</v>
      </c>
      <c r="N160" s="19" t="s">
        <v>1137</v>
      </c>
      <c r="O160" s="19">
        <v>0.0</v>
      </c>
      <c r="P160" s="19" t="s">
        <v>1139</v>
      </c>
      <c r="Q160" s="21" t="s">
        <v>57</v>
      </c>
      <c r="R160" s="21" t="s">
        <v>58</v>
      </c>
    </row>
    <row r="161">
      <c r="A161" s="19">
        <v>770.0</v>
      </c>
      <c r="B161" s="19">
        <v>1.0</v>
      </c>
      <c r="C161" s="21" t="s">
        <v>43</v>
      </c>
      <c r="D161" s="21">
        <v>9.0</v>
      </c>
      <c r="E161" s="19">
        <v>10769.0</v>
      </c>
      <c r="F161" s="25">
        <v>45909.0</v>
      </c>
      <c r="G161" s="19">
        <v>3.16520076E8</v>
      </c>
      <c r="H161" s="21" t="s">
        <v>48</v>
      </c>
      <c r="I161" s="19">
        <v>3.1579356E8</v>
      </c>
      <c r="J161" s="21" t="s">
        <v>76</v>
      </c>
      <c r="K161" s="21" t="s">
        <v>77</v>
      </c>
      <c r="L161" s="21"/>
      <c r="M161" s="19" t="s">
        <v>1143</v>
      </c>
      <c r="N161" s="19" t="s">
        <v>1144</v>
      </c>
      <c r="O161" s="19">
        <v>0.0</v>
      </c>
      <c r="P161" s="19" t="s">
        <v>1145</v>
      </c>
      <c r="Q161" s="21" t="s">
        <v>57</v>
      </c>
      <c r="R161" s="21" t="s">
        <v>58</v>
      </c>
    </row>
    <row r="162">
      <c r="A162" s="19">
        <v>974.0</v>
      </c>
      <c r="B162" s="19">
        <v>1.0</v>
      </c>
      <c r="C162" s="21" t="s">
        <v>43</v>
      </c>
      <c r="D162" s="21">
        <v>9.0</v>
      </c>
      <c r="E162" s="19">
        <v>10974.0</v>
      </c>
      <c r="F162" s="25">
        <v>45909.0</v>
      </c>
      <c r="G162" s="19">
        <v>3.16520076E8</v>
      </c>
      <c r="H162" s="21" t="s">
        <v>48</v>
      </c>
      <c r="I162" s="19">
        <v>3.801289967E9</v>
      </c>
      <c r="J162" s="21" t="s">
        <v>1146</v>
      </c>
      <c r="K162" s="21" t="s">
        <v>1147</v>
      </c>
      <c r="L162" s="21"/>
      <c r="M162" s="19" t="s">
        <v>807</v>
      </c>
      <c r="N162" s="19" t="s">
        <v>808</v>
      </c>
      <c r="O162" s="19">
        <v>0.0</v>
      </c>
      <c r="P162" s="19" t="s">
        <v>811</v>
      </c>
      <c r="Q162" s="21" t="s">
        <v>57</v>
      </c>
      <c r="R162" s="21" t="s">
        <v>58</v>
      </c>
    </row>
    <row r="163">
      <c r="A163" s="19">
        <v>1123.0</v>
      </c>
      <c r="B163" s="19">
        <v>1.0</v>
      </c>
      <c r="C163" s="21" t="s">
        <v>43</v>
      </c>
      <c r="D163" s="21">
        <v>9.0</v>
      </c>
      <c r="E163" s="19">
        <v>11123.0</v>
      </c>
      <c r="F163" s="25">
        <v>45911.0</v>
      </c>
      <c r="G163" s="19">
        <v>3.16520076E8</v>
      </c>
      <c r="H163" s="21" t="s">
        <v>48</v>
      </c>
      <c r="I163" s="19">
        <v>1.01399976E8</v>
      </c>
      <c r="J163" s="21" t="s">
        <v>1150</v>
      </c>
      <c r="K163" s="21" t="s">
        <v>1152</v>
      </c>
      <c r="L163" s="21"/>
      <c r="M163" s="19" t="s">
        <v>305</v>
      </c>
      <c r="N163" s="19" t="s">
        <v>307</v>
      </c>
      <c r="O163" s="19">
        <v>0.0</v>
      </c>
      <c r="P163" s="19" t="s">
        <v>308</v>
      </c>
      <c r="Q163" s="21" t="s">
        <v>57</v>
      </c>
      <c r="R163" s="21" t="s">
        <v>58</v>
      </c>
    </row>
    <row r="164">
      <c r="A164" s="19">
        <v>1388.0</v>
      </c>
      <c r="B164" s="19">
        <v>1.0</v>
      </c>
      <c r="C164" s="21" t="s">
        <v>43</v>
      </c>
      <c r="D164" s="21">
        <v>9.0</v>
      </c>
      <c r="E164" s="19">
        <v>11388.0</v>
      </c>
      <c r="F164" s="25">
        <v>45911.0</v>
      </c>
      <c r="G164" s="19">
        <v>3.16520076E8</v>
      </c>
      <c r="H164" s="21" t="s">
        <v>48</v>
      </c>
      <c r="I164" s="19">
        <v>3.17268503E8</v>
      </c>
      <c r="J164" s="21" t="s">
        <v>1156</v>
      </c>
      <c r="K164" s="21" t="s">
        <v>1157</v>
      </c>
      <c r="L164" s="21"/>
      <c r="M164" s="19" t="s">
        <v>356</v>
      </c>
      <c r="N164" s="19" t="s">
        <v>358</v>
      </c>
      <c r="O164" s="19">
        <v>0.0</v>
      </c>
      <c r="P164" s="19" t="s">
        <v>361</v>
      </c>
      <c r="Q164" s="21" t="s">
        <v>57</v>
      </c>
      <c r="R164" s="21" t="s">
        <v>58</v>
      </c>
    </row>
    <row r="165">
      <c r="A165" s="19">
        <v>1551.0</v>
      </c>
      <c r="B165" s="19">
        <v>1.0</v>
      </c>
      <c r="C165" s="21" t="s">
        <v>43</v>
      </c>
      <c r="D165" s="21">
        <v>9.0</v>
      </c>
      <c r="E165" s="19">
        <v>11551.0</v>
      </c>
      <c r="F165" s="25">
        <v>45912.0</v>
      </c>
      <c r="G165" s="19">
        <v>3.16520076E8</v>
      </c>
      <c r="H165" s="21" t="s">
        <v>48</v>
      </c>
      <c r="I165" s="19">
        <v>3.02918999E8</v>
      </c>
      <c r="J165" s="21" t="s">
        <v>1161</v>
      </c>
      <c r="K165" s="21" t="s">
        <v>1163</v>
      </c>
      <c r="L165" s="21"/>
      <c r="M165" s="19" t="s">
        <v>305</v>
      </c>
      <c r="N165" s="19" t="s">
        <v>307</v>
      </c>
      <c r="O165" s="19">
        <v>0.0</v>
      </c>
      <c r="P165" s="19" t="s">
        <v>308</v>
      </c>
      <c r="Q165" s="21" t="s">
        <v>57</v>
      </c>
      <c r="R165" s="21" t="s">
        <v>58</v>
      </c>
    </row>
    <row r="166">
      <c r="A166" s="19">
        <v>1762.0</v>
      </c>
      <c r="B166" s="19">
        <v>1.0</v>
      </c>
      <c r="C166" s="21" t="s">
        <v>43</v>
      </c>
      <c r="D166" s="21">
        <v>9.0</v>
      </c>
      <c r="E166" s="19">
        <v>11762.0</v>
      </c>
      <c r="F166" s="25">
        <v>45913.0</v>
      </c>
      <c r="G166" s="19">
        <v>3.16520076E8</v>
      </c>
      <c r="H166" s="21" t="s">
        <v>48</v>
      </c>
      <c r="I166" s="19">
        <v>3.1579356E8</v>
      </c>
      <c r="J166" s="21" t="s">
        <v>76</v>
      </c>
      <c r="K166" s="21" t="s">
        <v>77</v>
      </c>
      <c r="L166" s="21"/>
      <c r="M166" s="19" t="s">
        <v>1166</v>
      </c>
      <c r="N166" s="19" t="s">
        <v>1167</v>
      </c>
      <c r="O166" s="19">
        <v>0.0</v>
      </c>
      <c r="P166" s="19" t="s">
        <v>1168</v>
      </c>
      <c r="Q166" s="21" t="s">
        <v>57</v>
      </c>
      <c r="R166" s="21" t="s">
        <v>58</v>
      </c>
    </row>
    <row r="167">
      <c r="A167" s="19">
        <v>1812.0</v>
      </c>
      <c r="B167" s="19">
        <v>1.0</v>
      </c>
      <c r="C167" s="21" t="s">
        <v>43</v>
      </c>
      <c r="D167" s="21">
        <v>9.0</v>
      </c>
      <c r="E167" s="19">
        <v>11812.0</v>
      </c>
      <c r="F167" s="25">
        <v>45913.0</v>
      </c>
      <c r="G167" s="19">
        <v>3.16520076E8</v>
      </c>
      <c r="H167" s="21" t="s">
        <v>48</v>
      </c>
      <c r="I167" s="19">
        <v>1.08110061E8</v>
      </c>
      <c r="J167" s="21" t="s">
        <v>1169</v>
      </c>
      <c r="K167" s="21" t="s">
        <v>1170</v>
      </c>
      <c r="L167" s="21"/>
      <c r="M167" s="19" t="s">
        <v>1171</v>
      </c>
      <c r="N167" s="19" t="s">
        <v>1172</v>
      </c>
      <c r="O167" s="19">
        <v>0.0</v>
      </c>
      <c r="P167" s="19" t="s">
        <v>1173</v>
      </c>
      <c r="Q167" s="21" t="s">
        <v>57</v>
      </c>
      <c r="R167" s="21" t="s">
        <v>58</v>
      </c>
    </row>
    <row r="168">
      <c r="A168" s="19">
        <v>2005.0</v>
      </c>
      <c r="B168" s="19">
        <v>1.0</v>
      </c>
      <c r="C168" s="21" t="s">
        <v>43</v>
      </c>
      <c r="D168" s="21">
        <v>9.0</v>
      </c>
      <c r="E168" s="19">
        <v>12005.0</v>
      </c>
      <c r="F168" s="25">
        <v>45913.0</v>
      </c>
      <c r="G168" s="19">
        <v>3.16520076E8</v>
      </c>
      <c r="H168" s="21" t="s">
        <v>48</v>
      </c>
      <c r="I168" s="19">
        <v>3.18693155E8</v>
      </c>
      <c r="J168" s="21" t="s">
        <v>1174</v>
      </c>
      <c r="K168" s="21" t="s">
        <v>1175</v>
      </c>
      <c r="L168" s="21"/>
      <c r="M168" s="19" t="s">
        <v>1177</v>
      </c>
      <c r="N168" s="19" t="s">
        <v>1178</v>
      </c>
      <c r="O168" s="19">
        <v>0.0</v>
      </c>
      <c r="P168" s="19" t="s">
        <v>1179</v>
      </c>
      <c r="Q168" s="21" t="s">
        <v>57</v>
      </c>
      <c r="R168" s="21" t="s">
        <v>58</v>
      </c>
    </row>
    <row r="169">
      <c r="A169" s="19">
        <v>2357.0</v>
      </c>
      <c r="B169" s="19">
        <v>1.0</v>
      </c>
      <c r="C169" s="21" t="s">
        <v>43</v>
      </c>
      <c r="D169" s="21">
        <v>9.0</v>
      </c>
      <c r="E169" s="19">
        <v>12357.0</v>
      </c>
      <c r="F169" s="25">
        <v>45915.0</v>
      </c>
      <c r="G169" s="19">
        <v>3.16520076E8</v>
      </c>
      <c r="H169" s="21" t="s">
        <v>48</v>
      </c>
      <c r="I169" s="19">
        <v>3.502439043E9</v>
      </c>
      <c r="J169" s="21" t="s">
        <v>1183</v>
      </c>
      <c r="K169" s="21" t="s">
        <v>1185</v>
      </c>
      <c r="L169" s="21"/>
      <c r="M169" s="19" t="s">
        <v>1186</v>
      </c>
      <c r="N169" s="19" t="s">
        <v>1188</v>
      </c>
      <c r="O169" s="19">
        <v>0.0</v>
      </c>
      <c r="P169" s="19" t="s">
        <v>1190</v>
      </c>
      <c r="Q169" s="21" t="s">
        <v>57</v>
      </c>
      <c r="R169" s="21" t="s">
        <v>58</v>
      </c>
    </row>
    <row r="170">
      <c r="A170" s="19">
        <v>2602.0</v>
      </c>
      <c r="B170" s="19">
        <v>1.0</v>
      </c>
      <c r="C170" s="21" t="s">
        <v>43</v>
      </c>
      <c r="D170" s="21">
        <v>9.0</v>
      </c>
      <c r="E170" s="19">
        <v>12603.0</v>
      </c>
      <c r="F170" s="25">
        <v>45916.0</v>
      </c>
      <c r="G170" s="19">
        <v>3.16520076E8</v>
      </c>
      <c r="H170" s="21" t="s">
        <v>48</v>
      </c>
      <c r="I170" s="19">
        <v>3.15573332E8</v>
      </c>
      <c r="J170" s="21" t="s">
        <v>1191</v>
      </c>
      <c r="K170" s="21" t="s">
        <v>1192</v>
      </c>
      <c r="L170" s="21"/>
      <c r="M170" s="19" t="s">
        <v>164</v>
      </c>
      <c r="N170" s="19" t="s">
        <v>165</v>
      </c>
      <c r="O170" s="19">
        <v>0.0</v>
      </c>
      <c r="P170" s="19" t="s">
        <v>166</v>
      </c>
      <c r="Q170" s="21" t="s">
        <v>57</v>
      </c>
      <c r="R170" s="21" t="s">
        <v>58</v>
      </c>
    </row>
    <row r="171">
      <c r="A171" s="19">
        <v>3015.0</v>
      </c>
      <c r="B171" s="19">
        <v>1.0</v>
      </c>
      <c r="C171" s="21" t="s">
        <v>43</v>
      </c>
      <c r="D171" s="21">
        <v>9.0</v>
      </c>
      <c r="E171" s="19">
        <v>13016.0</v>
      </c>
      <c r="F171" s="25">
        <v>45917.0</v>
      </c>
      <c r="G171" s="19">
        <v>3.16520076E8</v>
      </c>
      <c r="H171" s="21" t="s">
        <v>48</v>
      </c>
      <c r="I171" s="19">
        <v>3.1740887E8</v>
      </c>
      <c r="J171" s="21" t="s">
        <v>1199</v>
      </c>
      <c r="K171" s="21" t="s">
        <v>1201</v>
      </c>
      <c r="L171" s="21"/>
      <c r="M171" s="19" t="s">
        <v>90</v>
      </c>
      <c r="N171" s="19" t="s">
        <v>91</v>
      </c>
      <c r="O171" s="19">
        <v>0.0</v>
      </c>
      <c r="P171" s="19" t="s">
        <v>92</v>
      </c>
      <c r="Q171" s="21" t="s">
        <v>57</v>
      </c>
      <c r="R171" s="21" t="s">
        <v>58</v>
      </c>
    </row>
    <row r="172">
      <c r="A172" s="19">
        <v>3016.0</v>
      </c>
      <c r="B172" s="19">
        <v>1.0</v>
      </c>
      <c r="C172" s="21" t="s">
        <v>43</v>
      </c>
      <c r="D172" s="21">
        <v>9.0</v>
      </c>
      <c r="E172" s="19">
        <v>13017.0</v>
      </c>
      <c r="F172" s="25">
        <v>45917.0</v>
      </c>
      <c r="G172" s="19">
        <v>3.16520076E8</v>
      </c>
      <c r="H172" s="21" t="s">
        <v>48</v>
      </c>
      <c r="I172" s="19">
        <v>3.1579356E8</v>
      </c>
      <c r="J172" s="21" t="s">
        <v>76</v>
      </c>
      <c r="K172" s="21" t="s">
        <v>77</v>
      </c>
      <c r="L172" s="21"/>
      <c r="M172" s="19" t="s">
        <v>1202</v>
      </c>
      <c r="N172" s="19" t="s">
        <v>1204</v>
      </c>
      <c r="O172" s="19">
        <v>0.0</v>
      </c>
      <c r="P172" s="19" t="s">
        <v>1206</v>
      </c>
      <c r="Q172" s="21" t="s">
        <v>57</v>
      </c>
      <c r="R172" s="21" t="s">
        <v>58</v>
      </c>
    </row>
    <row r="173">
      <c r="A173" s="19">
        <v>3017.0</v>
      </c>
      <c r="B173" s="19">
        <v>1.0</v>
      </c>
      <c r="C173" s="21" t="s">
        <v>43</v>
      </c>
      <c r="D173" s="21">
        <v>9.0</v>
      </c>
      <c r="E173" s="19">
        <v>13018.0</v>
      </c>
      <c r="F173" s="25">
        <v>45917.0</v>
      </c>
      <c r="G173" s="19">
        <v>3.16520076E8</v>
      </c>
      <c r="H173" s="21" t="s">
        <v>48</v>
      </c>
      <c r="I173" s="19">
        <v>3.1579356E8</v>
      </c>
      <c r="J173" s="21" t="s">
        <v>76</v>
      </c>
      <c r="K173" s="21" t="s">
        <v>77</v>
      </c>
      <c r="L173" s="21"/>
      <c r="M173" s="19" t="s">
        <v>1211</v>
      </c>
      <c r="N173" s="19" t="s">
        <v>1212</v>
      </c>
      <c r="O173" s="19">
        <v>0.0</v>
      </c>
      <c r="P173" s="19" t="s">
        <v>1213</v>
      </c>
      <c r="Q173" s="21" t="s">
        <v>57</v>
      </c>
      <c r="R173" s="21" t="s">
        <v>58</v>
      </c>
    </row>
    <row r="174">
      <c r="A174" s="19">
        <v>3018.0</v>
      </c>
      <c r="B174" s="19">
        <v>1.0</v>
      </c>
      <c r="C174" s="21" t="s">
        <v>43</v>
      </c>
      <c r="D174" s="21">
        <v>9.0</v>
      </c>
      <c r="E174" s="19">
        <v>13019.0</v>
      </c>
      <c r="F174" s="25">
        <v>45917.0</v>
      </c>
      <c r="G174" s="19">
        <v>3.16520076E8</v>
      </c>
      <c r="H174" s="21" t="s">
        <v>48</v>
      </c>
      <c r="I174" s="19">
        <v>3.1579356E8</v>
      </c>
      <c r="J174" s="21" t="s">
        <v>76</v>
      </c>
      <c r="K174" s="21" t="s">
        <v>77</v>
      </c>
      <c r="L174" s="21"/>
      <c r="M174" s="19" t="s">
        <v>1214</v>
      </c>
      <c r="N174" s="19" t="s">
        <v>1216</v>
      </c>
      <c r="O174" s="19">
        <v>0.0</v>
      </c>
      <c r="P174" s="19" t="s">
        <v>1218</v>
      </c>
      <c r="Q174" s="21" t="s">
        <v>57</v>
      </c>
      <c r="R174" s="21" t="s">
        <v>58</v>
      </c>
    </row>
    <row r="175">
      <c r="A175" s="19">
        <v>3321.0</v>
      </c>
      <c r="B175" s="19">
        <v>1.0</v>
      </c>
      <c r="C175" s="21" t="s">
        <v>43</v>
      </c>
      <c r="D175" s="21">
        <v>9.0</v>
      </c>
      <c r="E175" s="19">
        <v>13322.0</v>
      </c>
      <c r="F175" s="25">
        <v>45919.0</v>
      </c>
      <c r="G175" s="19">
        <v>3.16520076E8</v>
      </c>
      <c r="H175" s="21" t="s">
        <v>48</v>
      </c>
      <c r="I175" s="19">
        <v>3.17480595E8</v>
      </c>
      <c r="J175" s="21" t="s">
        <v>1223</v>
      </c>
      <c r="K175" s="21" t="s">
        <v>1224</v>
      </c>
      <c r="L175" s="21"/>
      <c r="M175" s="19" t="s">
        <v>1057</v>
      </c>
      <c r="N175" s="19" t="s">
        <v>1058</v>
      </c>
      <c r="O175" s="19">
        <v>0.0</v>
      </c>
      <c r="P175" s="19" t="s">
        <v>1059</v>
      </c>
      <c r="Q175" s="21" t="s">
        <v>57</v>
      </c>
      <c r="R175" s="21" t="s">
        <v>58</v>
      </c>
    </row>
    <row r="176">
      <c r="A176" s="19">
        <v>3953.0</v>
      </c>
      <c r="B176" s="19">
        <v>1.0</v>
      </c>
      <c r="C176" s="21" t="s">
        <v>43</v>
      </c>
      <c r="D176" s="21">
        <v>9.0</v>
      </c>
      <c r="E176" s="19">
        <v>13954.0</v>
      </c>
      <c r="F176" s="25">
        <v>45924.0</v>
      </c>
      <c r="G176" s="19">
        <v>3.16520076E8</v>
      </c>
      <c r="H176" s="21" t="s">
        <v>48</v>
      </c>
      <c r="I176" s="19">
        <v>3.1579356E8</v>
      </c>
      <c r="J176" s="21" t="s">
        <v>76</v>
      </c>
      <c r="K176" s="21" t="s">
        <v>77</v>
      </c>
      <c r="L176" s="21"/>
      <c r="M176" s="19" t="s">
        <v>1225</v>
      </c>
      <c r="N176" s="19" t="s">
        <v>1226</v>
      </c>
      <c r="O176" s="19">
        <v>0.0</v>
      </c>
      <c r="P176" s="19" t="s">
        <v>1229</v>
      </c>
      <c r="Q176" s="21" t="s">
        <v>57</v>
      </c>
      <c r="R176" s="21" t="s">
        <v>58</v>
      </c>
    </row>
    <row r="177">
      <c r="A177" s="19">
        <v>4165.0</v>
      </c>
      <c r="B177" s="19">
        <v>1.0</v>
      </c>
      <c r="C177" s="21" t="s">
        <v>43</v>
      </c>
      <c r="D177" s="21">
        <v>9.0</v>
      </c>
      <c r="E177" s="19">
        <v>14166.0</v>
      </c>
      <c r="F177" s="25">
        <v>45925.0</v>
      </c>
      <c r="G177" s="19">
        <v>3.16520076E8</v>
      </c>
      <c r="H177" s="21" t="s">
        <v>48</v>
      </c>
      <c r="I177" s="19">
        <v>3.1579356E8</v>
      </c>
      <c r="J177" s="21" t="s">
        <v>76</v>
      </c>
      <c r="K177" s="21" t="s">
        <v>77</v>
      </c>
      <c r="L177" s="21"/>
      <c r="M177" s="19" t="s">
        <v>1234</v>
      </c>
      <c r="N177" s="19" t="s">
        <v>1235</v>
      </c>
      <c r="O177" s="19">
        <v>0.0</v>
      </c>
      <c r="P177" s="19" t="s">
        <v>1236</v>
      </c>
      <c r="Q177" s="21" t="s">
        <v>57</v>
      </c>
      <c r="R177" s="21" t="s">
        <v>58</v>
      </c>
    </row>
    <row r="178">
      <c r="A178" s="19">
        <v>4213.0</v>
      </c>
      <c r="B178" s="19">
        <v>1.0</v>
      </c>
      <c r="C178" s="21" t="s">
        <v>43</v>
      </c>
      <c r="D178" s="21">
        <v>9.0</v>
      </c>
      <c r="E178" s="19">
        <v>14214.0</v>
      </c>
      <c r="F178" s="25">
        <v>45926.0</v>
      </c>
      <c r="G178" s="19">
        <v>3.16520076E8</v>
      </c>
      <c r="H178" s="21" t="s">
        <v>48</v>
      </c>
      <c r="I178" s="19">
        <v>3.0927195E8</v>
      </c>
      <c r="J178" s="21" t="s">
        <v>1121</v>
      </c>
      <c r="K178" s="21" t="s">
        <v>1238</v>
      </c>
      <c r="L178" s="21"/>
      <c r="M178" s="19" t="s">
        <v>207</v>
      </c>
      <c r="N178" s="19" t="s">
        <v>124</v>
      </c>
      <c r="O178" s="19">
        <v>0.0</v>
      </c>
      <c r="P178" s="19" t="s">
        <v>209</v>
      </c>
      <c r="Q178" s="21" t="s">
        <v>57</v>
      </c>
      <c r="R178" s="21" t="s">
        <v>58</v>
      </c>
    </row>
    <row r="179">
      <c r="A179" s="19">
        <v>4420.0</v>
      </c>
      <c r="B179" s="19">
        <v>1.0</v>
      </c>
      <c r="C179" s="21" t="s">
        <v>43</v>
      </c>
      <c r="D179" s="21">
        <v>9.0</v>
      </c>
      <c r="E179" s="19">
        <v>14421.0</v>
      </c>
      <c r="F179" s="25">
        <v>45926.0</v>
      </c>
      <c r="G179" s="19">
        <v>3.16520076E8</v>
      </c>
      <c r="H179" s="21" t="s">
        <v>48</v>
      </c>
      <c r="I179" s="19">
        <v>3.16136751E8</v>
      </c>
      <c r="J179" s="21" t="s">
        <v>1242</v>
      </c>
      <c r="K179" s="21" t="s">
        <v>1244</v>
      </c>
      <c r="L179" s="21"/>
      <c r="M179" s="19" t="s">
        <v>356</v>
      </c>
      <c r="N179" s="19" t="s">
        <v>358</v>
      </c>
      <c r="O179" s="19">
        <v>0.0</v>
      </c>
      <c r="P179" s="19" t="s">
        <v>361</v>
      </c>
      <c r="Q179" s="21" t="s">
        <v>57</v>
      </c>
      <c r="R179" s="21" t="s">
        <v>58</v>
      </c>
    </row>
    <row r="180">
      <c r="A180" s="19">
        <v>4699.0</v>
      </c>
      <c r="B180" s="19">
        <v>1.0</v>
      </c>
      <c r="C180" s="21" t="s">
        <v>43</v>
      </c>
      <c r="D180" s="21">
        <v>9.0</v>
      </c>
      <c r="E180" s="19">
        <v>14700.0</v>
      </c>
      <c r="F180" s="25">
        <v>45929.0</v>
      </c>
      <c r="G180" s="19">
        <v>3.16520076E8</v>
      </c>
      <c r="H180" s="21" t="s">
        <v>48</v>
      </c>
      <c r="I180" s="19">
        <v>3.1579356E8</v>
      </c>
      <c r="J180" s="21" t="s">
        <v>76</v>
      </c>
      <c r="K180" s="21" t="s">
        <v>77</v>
      </c>
      <c r="L180" s="21"/>
      <c r="M180" s="19" t="s">
        <v>1248</v>
      </c>
      <c r="N180" s="19" t="s">
        <v>1249</v>
      </c>
      <c r="O180" s="19">
        <v>0.0</v>
      </c>
      <c r="P180" s="19" t="s">
        <v>1250</v>
      </c>
      <c r="Q180" s="21" t="s">
        <v>57</v>
      </c>
      <c r="R180" s="21" t="s">
        <v>58</v>
      </c>
    </row>
    <row r="181">
      <c r="A181" s="19">
        <v>4789.0</v>
      </c>
      <c r="B181" s="19">
        <v>1.0</v>
      </c>
      <c r="C181" s="21" t="s">
        <v>43</v>
      </c>
      <c r="D181" s="21">
        <v>9.0</v>
      </c>
      <c r="E181" s="19">
        <v>14790.0</v>
      </c>
      <c r="F181" s="25">
        <v>45930.0</v>
      </c>
      <c r="G181" s="19">
        <v>3.16520076E8</v>
      </c>
      <c r="H181" s="21" t="s">
        <v>48</v>
      </c>
      <c r="I181" s="19">
        <v>1.702313076E9</v>
      </c>
      <c r="J181" s="21" t="s">
        <v>1256</v>
      </c>
      <c r="K181" s="21" t="s">
        <v>1257</v>
      </c>
      <c r="L181" s="21"/>
      <c r="M181" s="19" t="s">
        <v>1258</v>
      </c>
      <c r="N181" s="19" t="s">
        <v>1260</v>
      </c>
      <c r="O181" s="19">
        <v>0.0</v>
      </c>
      <c r="P181" s="19" t="s">
        <v>1262</v>
      </c>
      <c r="Q181" s="21" t="s">
        <v>168</v>
      </c>
      <c r="R181" s="21" t="s">
        <v>58</v>
      </c>
    </row>
    <row r="182">
      <c r="A182" s="19">
        <v>4790.0</v>
      </c>
      <c r="B182" s="19">
        <v>1.0</v>
      </c>
      <c r="C182" s="21" t="s">
        <v>43</v>
      </c>
      <c r="D182" s="21">
        <v>9.0</v>
      </c>
      <c r="E182" s="19">
        <v>14791.0</v>
      </c>
      <c r="F182" s="25">
        <v>45930.0</v>
      </c>
      <c r="G182" s="19">
        <v>3.16520076E8</v>
      </c>
      <c r="H182" s="21" t="s">
        <v>48</v>
      </c>
      <c r="I182" s="19">
        <v>3.1579356E8</v>
      </c>
      <c r="J182" s="21" t="s">
        <v>76</v>
      </c>
      <c r="K182" s="21" t="s">
        <v>77</v>
      </c>
      <c r="L182" s="21"/>
      <c r="M182" s="19" t="s">
        <v>1263</v>
      </c>
      <c r="N182" s="19" t="s">
        <v>1264</v>
      </c>
      <c r="O182" s="19">
        <v>0.0</v>
      </c>
      <c r="P182" s="19" t="s">
        <v>1265</v>
      </c>
      <c r="Q182" s="21" t="s">
        <v>57</v>
      </c>
      <c r="R182" s="21" t="s">
        <v>58</v>
      </c>
    </row>
    <row r="183">
      <c r="A183" s="19">
        <v>4905.0</v>
      </c>
      <c r="B183" s="19">
        <v>1.0</v>
      </c>
      <c r="C183" s="21" t="s">
        <v>43</v>
      </c>
      <c r="D183" s="21">
        <v>9.0</v>
      </c>
      <c r="E183" s="19">
        <v>9830.0</v>
      </c>
      <c r="F183" s="25">
        <v>45901.0</v>
      </c>
      <c r="G183" s="19">
        <v>3.16520076E8</v>
      </c>
      <c r="H183" s="21" t="s">
        <v>48</v>
      </c>
      <c r="I183" s="19">
        <v>3.603943955E9</v>
      </c>
      <c r="J183" s="21" t="s">
        <v>1272</v>
      </c>
      <c r="K183" s="21" t="s">
        <v>1274</v>
      </c>
      <c r="L183" s="21"/>
      <c r="M183" s="19" t="s">
        <v>391</v>
      </c>
      <c r="N183" s="19" t="s">
        <v>392</v>
      </c>
      <c r="O183" s="19">
        <v>0.0</v>
      </c>
      <c r="P183" s="19" t="s">
        <v>393</v>
      </c>
      <c r="Q183" s="21" t="s">
        <v>57</v>
      </c>
      <c r="R183" s="21" t="s">
        <v>58</v>
      </c>
    </row>
    <row r="184">
      <c r="A184" s="19">
        <v>1.0</v>
      </c>
      <c r="B184" s="19">
        <v>1.0</v>
      </c>
      <c r="C184" s="21" t="s">
        <v>43</v>
      </c>
      <c r="D184" s="21">
        <v>8.0</v>
      </c>
      <c r="E184" s="19">
        <v>3414.0</v>
      </c>
      <c r="F184" s="25">
        <v>45870.0</v>
      </c>
      <c r="G184" s="19">
        <v>3.16520076E8</v>
      </c>
      <c r="H184" s="21" t="s">
        <v>48</v>
      </c>
      <c r="I184" s="19">
        <v>3.1579356E8</v>
      </c>
      <c r="J184" s="21" t="s">
        <v>76</v>
      </c>
      <c r="K184" s="21" t="s">
        <v>1275</v>
      </c>
      <c r="L184" s="21"/>
      <c r="M184" s="19" t="s">
        <v>789</v>
      </c>
      <c r="N184" s="19" t="s">
        <v>790</v>
      </c>
      <c r="O184" s="19">
        <v>0.0</v>
      </c>
      <c r="P184" s="19" t="s">
        <v>791</v>
      </c>
      <c r="Q184" s="21" t="s">
        <v>57</v>
      </c>
      <c r="R184" s="21" t="s">
        <v>58</v>
      </c>
    </row>
    <row r="185">
      <c r="A185" s="19">
        <v>113.0</v>
      </c>
      <c r="B185" s="19">
        <v>1.0</v>
      </c>
      <c r="C185" s="21" t="s">
        <v>43</v>
      </c>
      <c r="D185" s="21">
        <v>8.0</v>
      </c>
      <c r="E185" s="19">
        <v>3526.0</v>
      </c>
      <c r="F185" s="25">
        <v>45870.0</v>
      </c>
      <c r="G185" s="19">
        <v>3.16520076E8</v>
      </c>
      <c r="H185" s="21" t="s">
        <v>48</v>
      </c>
      <c r="I185" s="19">
        <v>3.15091593E8</v>
      </c>
      <c r="J185" s="21" t="s">
        <v>1276</v>
      </c>
      <c r="K185" s="21" t="s">
        <v>1278</v>
      </c>
      <c r="L185" s="21"/>
      <c r="M185" s="19" t="s">
        <v>1279</v>
      </c>
      <c r="N185" s="19" t="s">
        <v>1280</v>
      </c>
      <c r="O185" s="19">
        <v>0.0</v>
      </c>
      <c r="P185" s="19" t="s">
        <v>1282</v>
      </c>
      <c r="Q185" s="21" t="s">
        <v>57</v>
      </c>
      <c r="R185" s="21" t="s">
        <v>58</v>
      </c>
    </row>
    <row r="186">
      <c r="A186" s="19">
        <v>180.0</v>
      </c>
      <c r="B186" s="19">
        <v>1.0</v>
      </c>
      <c r="C186" s="21" t="s">
        <v>43</v>
      </c>
      <c r="D186" s="21">
        <v>8.0</v>
      </c>
      <c r="E186" s="19">
        <v>3593.0</v>
      </c>
      <c r="F186" s="25">
        <v>45871.0</v>
      </c>
      <c r="G186" s="19">
        <v>3.16520076E8</v>
      </c>
      <c r="H186" s="21" t="s">
        <v>48</v>
      </c>
      <c r="I186" s="19">
        <v>3.1579356E8</v>
      </c>
      <c r="J186" s="21" t="s">
        <v>76</v>
      </c>
      <c r="K186" s="21" t="s">
        <v>1275</v>
      </c>
      <c r="L186" s="21"/>
      <c r="M186" s="19" t="s">
        <v>1289</v>
      </c>
      <c r="N186" s="19" t="s">
        <v>1290</v>
      </c>
      <c r="O186" s="19">
        <v>0.0</v>
      </c>
      <c r="P186" s="19" t="s">
        <v>1291</v>
      </c>
      <c r="Q186" s="21" t="s">
        <v>57</v>
      </c>
      <c r="R186" s="21" t="s">
        <v>58</v>
      </c>
    </row>
    <row r="187">
      <c r="A187" s="19">
        <v>183.0</v>
      </c>
      <c r="B187" s="19">
        <v>1.0</v>
      </c>
      <c r="C187" s="21" t="s">
        <v>43</v>
      </c>
      <c r="D187" s="21">
        <v>8.0</v>
      </c>
      <c r="E187" s="19">
        <v>3596.0</v>
      </c>
      <c r="F187" s="25">
        <v>45871.0</v>
      </c>
      <c r="G187" s="19">
        <v>3.16520076E8</v>
      </c>
      <c r="H187" s="21" t="s">
        <v>48</v>
      </c>
      <c r="I187" s="19">
        <v>3.502439043E9</v>
      </c>
      <c r="J187" s="21" t="s">
        <v>1183</v>
      </c>
      <c r="K187" s="21" t="s">
        <v>1292</v>
      </c>
      <c r="L187" s="21"/>
      <c r="M187" s="19" t="s">
        <v>1293</v>
      </c>
      <c r="N187" s="19" t="s">
        <v>1294</v>
      </c>
      <c r="O187" s="19">
        <v>0.0</v>
      </c>
      <c r="P187" s="19" t="s">
        <v>1295</v>
      </c>
      <c r="Q187" s="21" t="s">
        <v>57</v>
      </c>
      <c r="R187" s="21" t="s">
        <v>58</v>
      </c>
    </row>
    <row r="188">
      <c r="A188" s="19">
        <v>540.0</v>
      </c>
      <c r="B188" s="19">
        <v>1.0</v>
      </c>
      <c r="C188" s="21" t="s">
        <v>43</v>
      </c>
      <c r="D188" s="21">
        <v>8.0</v>
      </c>
      <c r="E188" s="19">
        <v>3953.0</v>
      </c>
      <c r="F188" s="25">
        <v>45873.0</v>
      </c>
      <c r="G188" s="19">
        <v>3.16520076E8</v>
      </c>
      <c r="H188" s="21" t="s">
        <v>48</v>
      </c>
      <c r="I188" s="19">
        <v>8.325310697E9</v>
      </c>
      <c r="J188" s="21"/>
      <c r="K188" s="21" t="s">
        <v>1298</v>
      </c>
      <c r="L188" s="21"/>
      <c r="M188" s="19" t="s">
        <v>1300</v>
      </c>
      <c r="N188" s="19" t="s">
        <v>1302</v>
      </c>
      <c r="O188" s="19">
        <v>0.0</v>
      </c>
      <c r="P188" s="19" t="s">
        <v>1303</v>
      </c>
      <c r="Q188" s="21" t="s">
        <v>57</v>
      </c>
      <c r="R188" s="21" t="s">
        <v>58</v>
      </c>
    </row>
    <row r="189">
      <c r="A189" s="19">
        <v>656.0</v>
      </c>
      <c r="B189" s="19">
        <v>1.0</v>
      </c>
      <c r="C189" s="21" t="s">
        <v>43</v>
      </c>
      <c r="D189" s="21">
        <v>8.0</v>
      </c>
      <c r="E189" s="19">
        <v>4069.0</v>
      </c>
      <c r="F189" s="25">
        <v>45873.0</v>
      </c>
      <c r="G189" s="19">
        <v>3.16520076E8</v>
      </c>
      <c r="H189" s="21" t="s">
        <v>48</v>
      </c>
      <c r="I189" s="19">
        <v>1.02641429E8</v>
      </c>
      <c r="J189" s="21" t="s">
        <v>1307</v>
      </c>
      <c r="K189" s="21" t="s">
        <v>1308</v>
      </c>
      <c r="L189" s="21"/>
      <c r="M189" s="19" t="s">
        <v>807</v>
      </c>
      <c r="N189" s="19" t="s">
        <v>808</v>
      </c>
      <c r="O189" s="19">
        <v>0.0</v>
      </c>
      <c r="P189" s="19" t="s">
        <v>811</v>
      </c>
      <c r="Q189" s="21" t="s">
        <v>57</v>
      </c>
      <c r="R189" s="21" t="s">
        <v>58</v>
      </c>
    </row>
    <row r="190">
      <c r="A190" s="19">
        <v>666.0</v>
      </c>
      <c r="B190" s="19">
        <v>1.0</v>
      </c>
      <c r="C190" s="21" t="s">
        <v>43</v>
      </c>
      <c r="D190" s="21">
        <v>8.0</v>
      </c>
      <c r="E190" s="19">
        <v>4079.0</v>
      </c>
      <c r="F190" s="25">
        <v>45873.0</v>
      </c>
      <c r="G190" s="19">
        <v>3.16520076E8</v>
      </c>
      <c r="H190" s="21" t="s">
        <v>48</v>
      </c>
      <c r="I190" s="19" t="s">
        <v>1309</v>
      </c>
      <c r="J190" s="21" t="s">
        <v>1310</v>
      </c>
      <c r="K190" s="21" t="s">
        <v>1311</v>
      </c>
      <c r="L190" s="21"/>
      <c r="M190" s="19" t="s">
        <v>1312</v>
      </c>
      <c r="N190" s="19" t="s">
        <v>1313</v>
      </c>
      <c r="O190" s="19">
        <v>0.0</v>
      </c>
      <c r="P190" s="19" t="s">
        <v>1314</v>
      </c>
      <c r="Q190" s="21" t="s">
        <v>57</v>
      </c>
      <c r="R190" s="21" t="s">
        <v>58</v>
      </c>
    </row>
    <row r="191">
      <c r="A191" s="19">
        <v>667.0</v>
      </c>
      <c r="B191" s="19">
        <v>1.0</v>
      </c>
      <c r="C191" s="21" t="s">
        <v>43</v>
      </c>
      <c r="D191" s="21">
        <v>8.0</v>
      </c>
      <c r="E191" s="19">
        <v>4080.0</v>
      </c>
      <c r="F191" s="25">
        <v>45873.0</v>
      </c>
      <c r="G191" s="19">
        <v>3.16520076E8</v>
      </c>
      <c r="H191" s="21" t="s">
        <v>48</v>
      </c>
      <c r="I191" s="19">
        <v>1.05434036E8</v>
      </c>
      <c r="J191" s="21" t="s">
        <v>1319</v>
      </c>
      <c r="K191" s="21" t="s">
        <v>1321</v>
      </c>
      <c r="L191" s="21"/>
      <c r="M191" s="19" t="s">
        <v>391</v>
      </c>
      <c r="N191" s="19" t="s">
        <v>392</v>
      </c>
      <c r="O191" s="19">
        <v>0.0</v>
      </c>
      <c r="P191" s="19" t="s">
        <v>393</v>
      </c>
      <c r="Q191" s="21" t="s">
        <v>57</v>
      </c>
      <c r="R191" s="21" t="s">
        <v>58</v>
      </c>
    </row>
    <row r="192">
      <c r="A192" s="19">
        <v>972.0</v>
      </c>
      <c r="B192" s="19">
        <v>1.0</v>
      </c>
      <c r="C192" s="21" t="s">
        <v>43</v>
      </c>
      <c r="D192" s="21">
        <v>8.0</v>
      </c>
      <c r="E192" s="19">
        <v>4385.0</v>
      </c>
      <c r="F192" s="25">
        <v>45875.0</v>
      </c>
      <c r="G192" s="19">
        <v>3.16520076E8</v>
      </c>
      <c r="H192" s="21" t="s">
        <v>48</v>
      </c>
      <c r="I192" s="19">
        <v>3.1579356E8</v>
      </c>
      <c r="J192" s="21" t="s">
        <v>76</v>
      </c>
      <c r="K192" s="21" t="s">
        <v>1275</v>
      </c>
      <c r="L192" s="21"/>
      <c r="M192" s="19" t="s">
        <v>1324</v>
      </c>
      <c r="N192" s="19" t="s">
        <v>1325</v>
      </c>
      <c r="O192" s="19">
        <v>0.0</v>
      </c>
      <c r="P192" s="19" t="s">
        <v>1326</v>
      </c>
      <c r="Q192" s="21" t="s">
        <v>57</v>
      </c>
      <c r="R192" s="21" t="s">
        <v>58</v>
      </c>
    </row>
    <row r="193">
      <c r="A193" s="19">
        <v>974.0</v>
      </c>
      <c r="B193" s="19">
        <v>1.0</v>
      </c>
      <c r="C193" s="21" t="s">
        <v>43</v>
      </c>
      <c r="D193" s="21">
        <v>8.0</v>
      </c>
      <c r="E193" s="19">
        <v>4387.0</v>
      </c>
      <c r="F193" s="25">
        <v>45875.0</v>
      </c>
      <c r="G193" s="19">
        <v>3.16520076E8</v>
      </c>
      <c r="H193" s="21" t="s">
        <v>48</v>
      </c>
      <c r="I193" s="19">
        <v>3.702297043E9</v>
      </c>
      <c r="J193" s="21" t="s">
        <v>1329</v>
      </c>
      <c r="K193" s="21" t="s">
        <v>1330</v>
      </c>
      <c r="L193" s="21"/>
      <c r="M193" s="19" t="s">
        <v>1332</v>
      </c>
      <c r="N193" s="19" t="s">
        <v>1334</v>
      </c>
      <c r="O193" s="19">
        <v>0.0</v>
      </c>
      <c r="P193" s="19" t="s">
        <v>1336</v>
      </c>
      <c r="Q193" s="21" t="s">
        <v>57</v>
      </c>
      <c r="R193" s="21" t="s">
        <v>58</v>
      </c>
    </row>
    <row r="194">
      <c r="A194" s="19">
        <v>1285.0</v>
      </c>
      <c r="B194" s="19">
        <v>1.0</v>
      </c>
      <c r="C194" s="21" t="s">
        <v>43</v>
      </c>
      <c r="D194" s="21">
        <v>8.0</v>
      </c>
      <c r="E194" s="19">
        <v>4698.0</v>
      </c>
      <c r="F194" s="25">
        <v>45876.0</v>
      </c>
      <c r="G194" s="19">
        <v>3.16520076E8</v>
      </c>
      <c r="H194" s="21" t="s">
        <v>48</v>
      </c>
      <c r="I194" s="19">
        <v>1.01297501E8</v>
      </c>
      <c r="J194" s="21" t="s">
        <v>1341</v>
      </c>
      <c r="K194" s="21" t="s">
        <v>1342</v>
      </c>
      <c r="L194" s="21"/>
      <c r="M194" s="19" t="s">
        <v>1343</v>
      </c>
      <c r="N194" s="19" t="s">
        <v>1344</v>
      </c>
      <c r="O194" s="19">
        <v>0.0</v>
      </c>
      <c r="P194" s="19" t="s">
        <v>1345</v>
      </c>
      <c r="Q194" s="21" t="s">
        <v>57</v>
      </c>
      <c r="R194" s="21" t="s">
        <v>58</v>
      </c>
    </row>
    <row r="195">
      <c r="A195" s="19">
        <v>1775.0</v>
      </c>
      <c r="B195" s="19">
        <v>1.0</v>
      </c>
      <c r="C195" s="21" t="s">
        <v>43</v>
      </c>
      <c r="D195" s="21">
        <v>8.0</v>
      </c>
      <c r="E195" s="19">
        <v>5188.0</v>
      </c>
      <c r="F195" s="25">
        <v>45878.0</v>
      </c>
      <c r="G195" s="19">
        <v>3.16520076E8</v>
      </c>
      <c r="H195" s="21" t="s">
        <v>48</v>
      </c>
      <c r="I195" s="19">
        <v>3.1579356E8</v>
      </c>
      <c r="J195" s="21" t="s">
        <v>76</v>
      </c>
      <c r="K195" s="21" t="s">
        <v>1275</v>
      </c>
      <c r="L195" s="21"/>
      <c r="M195" s="19" t="s">
        <v>1346</v>
      </c>
      <c r="N195" s="19" t="s">
        <v>1347</v>
      </c>
      <c r="O195" s="19">
        <v>0.0</v>
      </c>
      <c r="P195" s="19" t="s">
        <v>1348</v>
      </c>
      <c r="Q195" s="21" t="s">
        <v>57</v>
      </c>
      <c r="R195" s="21" t="s">
        <v>58</v>
      </c>
    </row>
    <row r="196">
      <c r="A196" s="19">
        <v>1776.0</v>
      </c>
      <c r="B196" s="19">
        <v>1.0</v>
      </c>
      <c r="C196" s="21" t="s">
        <v>43</v>
      </c>
      <c r="D196" s="21">
        <v>8.0</v>
      </c>
      <c r="E196" s="19">
        <v>5189.0</v>
      </c>
      <c r="F196" s="25">
        <v>45878.0</v>
      </c>
      <c r="G196" s="19">
        <v>3.16520076E8</v>
      </c>
      <c r="H196" s="21" t="s">
        <v>48</v>
      </c>
      <c r="I196" s="19">
        <v>3.1579356E8</v>
      </c>
      <c r="J196" s="21" t="s">
        <v>76</v>
      </c>
      <c r="K196" s="21" t="s">
        <v>1275</v>
      </c>
      <c r="L196" s="21"/>
      <c r="M196" s="19" t="s">
        <v>1354</v>
      </c>
      <c r="N196" s="19" t="s">
        <v>1356</v>
      </c>
      <c r="O196" s="19">
        <v>0.0</v>
      </c>
      <c r="P196" s="19" t="s">
        <v>1357</v>
      </c>
      <c r="Q196" s="21" t="s">
        <v>57</v>
      </c>
      <c r="R196" s="21" t="s">
        <v>58</v>
      </c>
    </row>
    <row r="197">
      <c r="A197" s="19">
        <v>2160.0</v>
      </c>
      <c r="B197" s="19">
        <v>1.0</v>
      </c>
      <c r="C197" s="21" t="s">
        <v>43</v>
      </c>
      <c r="D197" s="21">
        <v>8.0</v>
      </c>
      <c r="E197" s="19">
        <v>5573.0</v>
      </c>
      <c r="F197" s="25">
        <v>45879.0</v>
      </c>
      <c r="G197" s="19">
        <v>3.16520076E8</v>
      </c>
      <c r="H197" s="21" t="s">
        <v>48</v>
      </c>
      <c r="I197" s="19">
        <v>3.1252614E8</v>
      </c>
      <c r="J197" s="21" t="s">
        <v>1359</v>
      </c>
      <c r="K197" s="21" t="s">
        <v>1360</v>
      </c>
      <c r="L197" s="21"/>
      <c r="M197" s="19" t="s">
        <v>207</v>
      </c>
      <c r="N197" s="19" t="s">
        <v>124</v>
      </c>
      <c r="O197" s="19">
        <v>0.0</v>
      </c>
      <c r="P197" s="19" t="s">
        <v>209</v>
      </c>
      <c r="Q197" s="21" t="s">
        <v>57</v>
      </c>
      <c r="R197" s="21" t="s">
        <v>58</v>
      </c>
    </row>
    <row r="198">
      <c r="A198" s="19">
        <v>2832.0</v>
      </c>
      <c r="B198" s="19">
        <v>1.0</v>
      </c>
      <c r="C198" s="21" t="s">
        <v>43</v>
      </c>
      <c r="D198" s="21">
        <v>8.0</v>
      </c>
      <c r="E198" s="19">
        <v>6245.0</v>
      </c>
      <c r="F198" s="25">
        <v>45880.0</v>
      </c>
      <c r="G198" s="19">
        <v>3.16520076E8</v>
      </c>
      <c r="H198" s="21" t="s">
        <v>48</v>
      </c>
      <c r="I198" s="19">
        <v>3.1579356E8</v>
      </c>
      <c r="J198" s="21" t="s">
        <v>76</v>
      </c>
      <c r="K198" s="21" t="s">
        <v>1275</v>
      </c>
      <c r="L198" s="21"/>
      <c r="M198" s="19" t="s">
        <v>1361</v>
      </c>
      <c r="N198" s="19" t="s">
        <v>1362</v>
      </c>
      <c r="O198" s="19">
        <v>0.0</v>
      </c>
      <c r="P198" s="19" t="s">
        <v>1365</v>
      </c>
      <c r="Q198" s="21" t="s">
        <v>57</v>
      </c>
      <c r="R198" s="21" t="s">
        <v>58</v>
      </c>
    </row>
    <row r="199">
      <c r="A199" s="19">
        <v>2835.0</v>
      </c>
      <c r="B199" s="19">
        <v>1.0</v>
      </c>
      <c r="C199" s="21" t="s">
        <v>43</v>
      </c>
      <c r="D199" s="21">
        <v>8.0</v>
      </c>
      <c r="E199" s="19">
        <v>6248.0</v>
      </c>
      <c r="F199" s="25">
        <v>45881.0</v>
      </c>
      <c r="G199" s="19">
        <v>3.16520076E8</v>
      </c>
      <c r="H199" s="21" t="s">
        <v>48</v>
      </c>
      <c r="I199" s="19" t="s">
        <v>1370</v>
      </c>
      <c r="J199" s="21" t="s">
        <v>1372</v>
      </c>
      <c r="K199" s="21" t="s">
        <v>1373</v>
      </c>
      <c r="L199" s="21"/>
      <c r="M199" s="19" t="s">
        <v>1374</v>
      </c>
      <c r="N199" s="19" t="s">
        <v>1375</v>
      </c>
      <c r="O199" s="19">
        <v>0.0</v>
      </c>
      <c r="P199" s="19" t="s">
        <v>1376</v>
      </c>
      <c r="Q199" s="21" t="s">
        <v>57</v>
      </c>
      <c r="R199" s="21" t="s">
        <v>58</v>
      </c>
    </row>
    <row r="200">
      <c r="A200" s="19">
        <v>2951.0</v>
      </c>
      <c r="B200" s="19">
        <v>1.0</v>
      </c>
      <c r="C200" s="21" t="s">
        <v>43</v>
      </c>
      <c r="D200" s="21">
        <v>8.0</v>
      </c>
      <c r="E200" s="19">
        <v>6364.0</v>
      </c>
      <c r="F200" s="25">
        <v>45881.0</v>
      </c>
      <c r="G200" s="19">
        <v>3.16520076E8</v>
      </c>
      <c r="H200" s="21" t="s">
        <v>48</v>
      </c>
      <c r="I200" s="19">
        <v>3.1579356E8</v>
      </c>
      <c r="J200" s="21" t="s">
        <v>76</v>
      </c>
      <c r="K200" s="21" t="s">
        <v>1275</v>
      </c>
      <c r="L200" s="21"/>
      <c r="M200" s="19" t="s">
        <v>1379</v>
      </c>
      <c r="N200" s="19" t="s">
        <v>1380</v>
      </c>
      <c r="O200" s="19">
        <v>0.0</v>
      </c>
      <c r="P200" s="19" t="s">
        <v>1381</v>
      </c>
      <c r="Q200" s="21" t="s">
        <v>57</v>
      </c>
      <c r="R200" s="21" t="s">
        <v>58</v>
      </c>
    </row>
    <row r="201">
      <c r="A201" s="19">
        <v>3252.0</v>
      </c>
      <c r="B201" s="19">
        <v>1.0</v>
      </c>
      <c r="C201" s="21" t="s">
        <v>43</v>
      </c>
      <c r="D201" s="21">
        <v>8.0</v>
      </c>
      <c r="E201" s="19">
        <v>6665.0</v>
      </c>
      <c r="F201" s="25">
        <v>45882.0</v>
      </c>
      <c r="G201" s="19">
        <v>3.16520076E8</v>
      </c>
      <c r="H201" s="21" t="s">
        <v>48</v>
      </c>
      <c r="I201" s="19">
        <v>3.05289315E8</v>
      </c>
      <c r="J201" s="21" t="s">
        <v>1383</v>
      </c>
      <c r="K201" s="21" t="s">
        <v>1384</v>
      </c>
      <c r="L201" s="21"/>
      <c r="M201" s="19" t="s">
        <v>356</v>
      </c>
      <c r="N201" s="19" t="s">
        <v>358</v>
      </c>
      <c r="O201" s="19">
        <v>0.0</v>
      </c>
      <c r="P201" s="19" t="s">
        <v>361</v>
      </c>
      <c r="Q201" s="21" t="s">
        <v>1387</v>
      </c>
      <c r="R201" s="21" t="s">
        <v>58</v>
      </c>
    </row>
    <row r="202">
      <c r="A202" s="19">
        <v>3422.0</v>
      </c>
      <c r="B202" s="19">
        <v>1.0</v>
      </c>
      <c r="C202" s="21" t="s">
        <v>43</v>
      </c>
      <c r="D202" s="21">
        <v>8.0</v>
      </c>
      <c r="E202" s="19">
        <v>6835.0</v>
      </c>
      <c r="F202" s="25">
        <v>45883.0</v>
      </c>
      <c r="G202" s="19">
        <v>3.16520076E8</v>
      </c>
      <c r="H202" s="21" t="s">
        <v>48</v>
      </c>
      <c r="I202" s="19">
        <v>3.702297043E9</v>
      </c>
      <c r="J202" s="21" t="s">
        <v>1329</v>
      </c>
      <c r="K202" s="21" t="s">
        <v>1330</v>
      </c>
      <c r="L202" s="21"/>
      <c r="M202" s="19" t="s">
        <v>1332</v>
      </c>
      <c r="N202" s="19" t="s">
        <v>1334</v>
      </c>
      <c r="O202" s="19">
        <v>0.0</v>
      </c>
      <c r="P202" s="19" t="s">
        <v>1336</v>
      </c>
      <c r="Q202" s="21" t="s">
        <v>168</v>
      </c>
      <c r="R202" s="21" t="s">
        <v>58</v>
      </c>
    </row>
    <row r="203">
      <c r="A203" s="19">
        <v>3596.0</v>
      </c>
      <c r="B203" s="19">
        <v>1.0</v>
      </c>
      <c r="C203" s="21" t="s">
        <v>43</v>
      </c>
      <c r="D203" s="21">
        <v>8.0</v>
      </c>
      <c r="E203" s="19">
        <v>7009.0</v>
      </c>
      <c r="F203" s="25">
        <v>45883.0</v>
      </c>
      <c r="G203" s="19">
        <v>3.16520076E8</v>
      </c>
      <c r="H203" s="21" t="s">
        <v>48</v>
      </c>
      <c r="I203" s="19">
        <v>1.03216882E8</v>
      </c>
      <c r="J203" s="21" t="s">
        <v>1390</v>
      </c>
      <c r="K203" s="21" t="s">
        <v>1391</v>
      </c>
      <c r="L203" s="21"/>
      <c r="M203" s="19" t="s">
        <v>807</v>
      </c>
      <c r="N203" s="19" t="s">
        <v>808</v>
      </c>
      <c r="O203" s="19">
        <v>0.0</v>
      </c>
      <c r="P203" s="19" t="s">
        <v>811</v>
      </c>
      <c r="Q203" s="21" t="s">
        <v>57</v>
      </c>
      <c r="R203" s="21" t="s">
        <v>58</v>
      </c>
    </row>
    <row r="204">
      <c r="A204" s="19">
        <v>3597.0</v>
      </c>
      <c r="B204" s="19">
        <v>1.0</v>
      </c>
      <c r="C204" s="21" t="s">
        <v>43</v>
      </c>
      <c r="D204" s="21">
        <v>8.0</v>
      </c>
      <c r="E204" s="19">
        <v>7010.0</v>
      </c>
      <c r="F204" s="25">
        <v>45883.0</v>
      </c>
      <c r="G204" s="19">
        <v>3.16520076E8</v>
      </c>
      <c r="H204" s="21" t="s">
        <v>48</v>
      </c>
      <c r="I204" s="19">
        <v>3.1579356E8</v>
      </c>
      <c r="J204" s="21" t="s">
        <v>76</v>
      </c>
      <c r="K204" s="21" t="s">
        <v>1275</v>
      </c>
      <c r="L204" s="21"/>
      <c r="M204" s="19" t="s">
        <v>1399</v>
      </c>
      <c r="N204" s="19" t="s">
        <v>1400</v>
      </c>
      <c r="O204" s="19">
        <v>0.0</v>
      </c>
      <c r="P204" s="19" t="s">
        <v>1401</v>
      </c>
      <c r="Q204" s="21" t="s">
        <v>57</v>
      </c>
      <c r="R204" s="21" t="s">
        <v>58</v>
      </c>
    </row>
    <row r="205">
      <c r="A205" s="19">
        <v>3601.0</v>
      </c>
      <c r="B205" s="19">
        <v>1.0</v>
      </c>
      <c r="C205" s="21" t="s">
        <v>43</v>
      </c>
      <c r="D205" s="21">
        <v>8.0</v>
      </c>
      <c r="E205" s="19">
        <v>7014.0</v>
      </c>
      <c r="F205" s="25">
        <v>45883.0</v>
      </c>
      <c r="G205" s="19">
        <v>3.16520076E8</v>
      </c>
      <c r="H205" s="21" t="s">
        <v>48</v>
      </c>
      <c r="I205" s="19">
        <v>1.07924597E8</v>
      </c>
      <c r="J205" s="21" t="s">
        <v>1402</v>
      </c>
      <c r="K205" s="21" t="s">
        <v>1403</v>
      </c>
      <c r="L205" s="21"/>
      <c r="M205" s="19" t="s">
        <v>1404</v>
      </c>
      <c r="N205" s="19" t="s">
        <v>1405</v>
      </c>
      <c r="O205" s="19">
        <v>0.0</v>
      </c>
      <c r="P205" s="19" t="s">
        <v>1406</v>
      </c>
      <c r="Q205" s="21" t="s">
        <v>57</v>
      </c>
      <c r="R205" s="21" t="s">
        <v>58</v>
      </c>
    </row>
    <row r="206">
      <c r="A206" s="19">
        <v>3602.0</v>
      </c>
      <c r="B206" s="19">
        <v>1.0</v>
      </c>
      <c r="C206" s="21" t="s">
        <v>43</v>
      </c>
      <c r="D206" s="21">
        <v>8.0</v>
      </c>
      <c r="E206" s="19">
        <v>7015.0</v>
      </c>
      <c r="F206" s="25">
        <v>45884.0</v>
      </c>
      <c r="G206" s="19">
        <v>3.16520076E8</v>
      </c>
      <c r="H206" s="21" t="s">
        <v>48</v>
      </c>
      <c r="I206" s="19">
        <v>3.05289315E8</v>
      </c>
      <c r="J206" s="21" t="s">
        <v>1409</v>
      </c>
      <c r="K206" s="21" t="s">
        <v>1410</v>
      </c>
      <c r="L206" s="21"/>
      <c r="M206" s="19" t="s">
        <v>356</v>
      </c>
      <c r="N206" s="19" t="s">
        <v>358</v>
      </c>
      <c r="O206" s="19">
        <v>0.0</v>
      </c>
      <c r="P206" s="19" t="s">
        <v>361</v>
      </c>
      <c r="Q206" s="21" t="s">
        <v>168</v>
      </c>
      <c r="R206" s="21" t="s">
        <v>58</v>
      </c>
    </row>
    <row r="207">
      <c r="A207" s="19">
        <v>3690.0</v>
      </c>
      <c r="B207" s="19">
        <v>1.0</v>
      </c>
      <c r="C207" s="21" t="s">
        <v>43</v>
      </c>
      <c r="D207" s="21">
        <v>8.0</v>
      </c>
      <c r="E207" s="19">
        <v>7103.0</v>
      </c>
      <c r="F207" s="25">
        <v>45884.0</v>
      </c>
      <c r="G207" s="19">
        <v>3.16520076E8</v>
      </c>
      <c r="H207" s="21" t="s">
        <v>48</v>
      </c>
      <c r="I207" s="19" t="s">
        <v>1413</v>
      </c>
      <c r="J207" s="21" t="s">
        <v>1414</v>
      </c>
      <c r="K207" s="21" t="s">
        <v>1415</v>
      </c>
      <c r="L207" s="21"/>
      <c r="M207" s="19" t="s">
        <v>1416</v>
      </c>
      <c r="N207" s="19" t="s">
        <v>1417</v>
      </c>
      <c r="O207" s="19">
        <v>0.0</v>
      </c>
      <c r="P207" s="19" t="s">
        <v>1418</v>
      </c>
      <c r="Q207" s="21" t="s">
        <v>57</v>
      </c>
      <c r="R207" s="21" t="s">
        <v>58</v>
      </c>
    </row>
    <row r="208">
      <c r="A208" s="19">
        <v>3691.0</v>
      </c>
      <c r="B208" s="19">
        <v>1.0</v>
      </c>
      <c r="C208" s="21" t="s">
        <v>43</v>
      </c>
      <c r="D208" s="21">
        <v>8.0</v>
      </c>
      <c r="E208" s="19">
        <v>7104.0</v>
      </c>
      <c r="F208" s="25">
        <v>45884.0</v>
      </c>
      <c r="G208" s="19">
        <v>3.16520076E8</v>
      </c>
      <c r="H208" s="21" t="s">
        <v>48</v>
      </c>
      <c r="I208" s="19" t="s">
        <v>1413</v>
      </c>
      <c r="J208" s="21" t="s">
        <v>1414</v>
      </c>
      <c r="K208" s="21" t="s">
        <v>1415</v>
      </c>
      <c r="L208" s="21"/>
      <c r="M208" s="19" t="s">
        <v>207</v>
      </c>
      <c r="N208" s="19" t="s">
        <v>124</v>
      </c>
      <c r="O208" s="19">
        <v>0.0</v>
      </c>
      <c r="P208" s="19" t="s">
        <v>209</v>
      </c>
      <c r="Q208" s="21" t="s">
        <v>57</v>
      </c>
      <c r="R208" s="21" t="s">
        <v>58</v>
      </c>
    </row>
    <row r="209">
      <c r="A209" s="19">
        <v>3816.0</v>
      </c>
      <c r="B209" s="19">
        <v>1.0</v>
      </c>
      <c r="C209" s="21" t="s">
        <v>43</v>
      </c>
      <c r="D209" s="21">
        <v>8.0</v>
      </c>
      <c r="E209" s="19">
        <v>7229.0</v>
      </c>
      <c r="F209" s="25">
        <v>45885.0</v>
      </c>
      <c r="G209" s="19">
        <v>3.16520076E8</v>
      </c>
      <c r="H209" s="21" t="s">
        <v>48</v>
      </c>
      <c r="I209" s="19" t="s">
        <v>1413</v>
      </c>
      <c r="J209" s="21" t="s">
        <v>1414</v>
      </c>
      <c r="K209" s="21" t="s">
        <v>1426</v>
      </c>
      <c r="L209" s="21"/>
      <c r="M209" s="19" t="s">
        <v>391</v>
      </c>
      <c r="N209" s="19" t="s">
        <v>392</v>
      </c>
      <c r="O209" s="19">
        <v>0.0</v>
      </c>
      <c r="P209" s="19" t="s">
        <v>393</v>
      </c>
      <c r="Q209" s="21" t="s">
        <v>57</v>
      </c>
      <c r="R209" s="21" t="s">
        <v>58</v>
      </c>
    </row>
    <row r="210">
      <c r="A210" s="19">
        <v>4181.0</v>
      </c>
      <c r="B210" s="19">
        <v>1.0</v>
      </c>
      <c r="C210" s="21" t="s">
        <v>43</v>
      </c>
      <c r="D210" s="21">
        <v>8.0</v>
      </c>
      <c r="E210" s="19">
        <v>7594.0</v>
      </c>
      <c r="F210" s="25">
        <v>45887.0</v>
      </c>
      <c r="G210" s="19">
        <v>3.16520076E8</v>
      </c>
      <c r="H210" s="21" t="s">
        <v>48</v>
      </c>
      <c r="I210" s="19">
        <v>3.1579356E8</v>
      </c>
      <c r="J210" s="21" t="s">
        <v>76</v>
      </c>
      <c r="K210" s="21" t="s">
        <v>1275</v>
      </c>
      <c r="L210" s="21"/>
      <c r="M210" s="19" t="s">
        <v>1429</v>
      </c>
      <c r="N210" s="19" t="s">
        <v>1430</v>
      </c>
      <c r="O210" s="19">
        <v>0.0</v>
      </c>
      <c r="P210" s="19" t="s">
        <v>1431</v>
      </c>
      <c r="Q210" s="21" t="s">
        <v>57</v>
      </c>
      <c r="R210" s="21" t="s">
        <v>58</v>
      </c>
    </row>
    <row r="211">
      <c r="A211" s="19">
        <v>4182.0</v>
      </c>
      <c r="B211" s="19">
        <v>1.0</v>
      </c>
      <c r="C211" s="21" t="s">
        <v>43</v>
      </c>
      <c r="D211" s="21">
        <v>8.0</v>
      </c>
      <c r="E211" s="19">
        <v>7595.0</v>
      </c>
      <c r="F211" s="25">
        <v>45887.0</v>
      </c>
      <c r="G211" s="19">
        <v>3.16520076E8</v>
      </c>
      <c r="H211" s="21" t="s">
        <v>48</v>
      </c>
      <c r="I211" s="19">
        <v>3.1579356E8</v>
      </c>
      <c r="J211" s="21" t="s">
        <v>76</v>
      </c>
      <c r="K211" s="21" t="s">
        <v>1275</v>
      </c>
      <c r="L211" s="21"/>
      <c r="M211" s="19" t="s">
        <v>1432</v>
      </c>
      <c r="N211" s="19" t="s">
        <v>1433</v>
      </c>
      <c r="O211" s="19">
        <v>0.0</v>
      </c>
      <c r="P211" s="19" t="s">
        <v>1434</v>
      </c>
      <c r="Q211" s="21" t="s">
        <v>57</v>
      </c>
      <c r="R211" s="21" t="s">
        <v>58</v>
      </c>
    </row>
    <row r="212">
      <c r="A212" s="19">
        <v>4336.0</v>
      </c>
      <c r="B212" s="19">
        <v>1.0</v>
      </c>
      <c r="C212" s="21" t="s">
        <v>43</v>
      </c>
      <c r="D212" s="21">
        <v>8.0</v>
      </c>
      <c r="E212" s="19">
        <v>7749.0</v>
      </c>
      <c r="F212" s="25">
        <v>45888.0</v>
      </c>
      <c r="G212" s="19">
        <v>3.16520076E8</v>
      </c>
      <c r="H212" s="21" t="s">
        <v>48</v>
      </c>
      <c r="I212" s="19">
        <v>3.18487681E8</v>
      </c>
      <c r="J212" s="21" t="s">
        <v>849</v>
      </c>
      <c r="K212" s="21" t="s">
        <v>1441</v>
      </c>
      <c r="L212" s="21"/>
      <c r="M212" s="19" t="s">
        <v>1443</v>
      </c>
      <c r="N212" s="19" t="s">
        <v>1444</v>
      </c>
      <c r="O212" s="19">
        <v>0.0</v>
      </c>
      <c r="P212" s="19" t="s">
        <v>1445</v>
      </c>
      <c r="Q212" s="21" t="s">
        <v>57</v>
      </c>
      <c r="R212" s="21" t="s">
        <v>58</v>
      </c>
    </row>
    <row r="213">
      <c r="A213" s="19">
        <v>4491.0</v>
      </c>
      <c r="B213" s="19">
        <v>1.0</v>
      </c>
      <c r="C213" s="21" t="s">
        <v>43</v>
      </c>
      <c r="D213" s="21">
        <v>8.0</v>
      </c>
      <c r="E213" s="19">
        <v>7904.0</v>
      </c>
      <c r="F213" s="25">
        <v>45889.0</v>
      </c>
      <c r="G213" s="19">
        <v>3.16520076E8</v>
      </c>
      <c r="H213" s="21" t="s">
        <v>48</v>
      </c>
      <c r="I213" s="19">
        <v>3.1716784E8</v>
      </c>
      <c r="J213" s="21" t="s">
        <v>1446</v>
      </c>
      <c r="K213" s="21" t="s">
        <v>1447</v>
      </c>
      <c r="L213" s="21"/>
      <c r="M213" s="19" t="s">
        <v>1448</v>
      </c>
      <c r="N213" s="19" t="s">
        <v>1449</v>
      </c>
      <c r="O213" s="19">
        <v>0.0</v>
      </c>
      <c r="P213" s="19" t="s">
        <v>1450</v>
      </c>
      <c r="Q213" s="21" t="s">
        <v>57</v>
      </c>
      <c r="R213" s="21" t="s">
        <v>58</v>
      </c>
    </row>
    <row r="214">
      <c r="A214" s="19">
        <v>4492.0</v>
      </c>
      <c r="B214" s="19">
        <v>1.0</v>
      </c>
      <c r="C214" s="21" t="s">
        <v>43</v>
      </c>
      <c r="D214" s="21">
        <v>8.0</v>
      </c>
      <c r="E214" s="19">
        <v>7905.0</v>
      </c>
      <c r="F214" s="25">
        <v>45889.0</v>
      </c>
      <c r="G214" s="19">
        <v>3.16520076E8</v>
      </c>
      <c r="H214" s="21" t="s">
        <v>48</v>
      </c>
      <c r="I214" s="19">
        <v>3.1579356E8</v>
      </c>
      <c r="J214" s="21" t="s">
        <v>76</v>
      </c>
      <c r="K214" s="21" t="s">
        <v>1275</v>
      </c>
      <c r="L214" s="21"/>
      <c r="M214" s="19" t="s">
        <v>1452</v>
      </c>
      <c r="N214" s="19" t="s">
        <v>1453</v>
      </c>
      <c r="O214" s="19">
        <v>0.0</v>
      </c>
      <c r="P214" s="19" t="s">
        <v>1454</v>
      </c>
      <c r="Q214" s="21" t="s">
        <v>57</v>
      </c>
      <c r="R214" s="21" t="s">
        <v>58</v>
      </c>
    </row>
    <row r="215">
      <c r="A215" s="19">
        <v>4493.0</v>
      </c>
      <c r="B215" s="19">
        <v>1.0</v>
      </c>
      <c r="C215" s="21" t="s">
        <v>43</v>
      </c>
      <c r="D215" s="21">
        <v>8.0</v>
      </c>
      <c r="E215" s="19">
        <v>7906.0</v>
      </c>
      <c r="F215" s="25">
        <v>45889.0</v>
      </c>
      <c r="G215" s="19">
        <v>3.16520076E8</v>
      </c>
      <c r="H215" s="21" t="s">
        <v>48</v>
      </c>
      <c r="I215" s="19">
        <v>3.1579356E8</v>
      </c>
      <c r="J215" s="21" t="s">
        <v>76</v>
      </c>
      <c r="K215" s="21" t="s">
        <v>1275</v>
      </c>
      <c r="L215" s="21"/>
      <c r="M215" s="19" t="s">
        <v>1458</v>
      </c>
      <c r="N215" s="19" t="s">
        <v>1459</v>
      </c>
      <c r="O215" s="19">
        <v>0.0</v>
      </c>
      <c r="P215" s="19" t="s">
        <v>1460</v>
      </c>
      <c r="Q215" s="21" t="s">
        <v>57</v>
      </c>
      <c r="R215" s="21" t="s">
        <v>58</v>
      </c>
    </row>
    <row r="216">
      <c r="A216" s="19">
        <v>4499.0</v>
      </c>
      <c r="B216" s="19">
        <v>1.0</v>
      </c>
      <c r="C216" s="21" t="s">
        <v>43</v>
      </c>
      <c r="D216" s="21">
        <v>8.0</v>
      </c>
      <c r="E216" s="19">
        <v>7912.0</v>
      </c>
      <c r="F216" s="25">
        <v>45890.0</v>
      </c>
      <c r="G216" s="19">
        <v>3.16520076E8</v>
      </c>
      <c r="H216" s="21" t="s">
        <v>48</v>
      </c>
      <c r="I216" s="19">
        <v>3.1579356E8</v>
      </c>
      <c r="J216" s="21" t="s">
        <v>76</v>
      </c>
      <c r="K216" s="21" t="s">
        <v>1275</v>
      </c>
      <c r="L216" s="21"/>
      <c r="M216" s="19" t="s">
        <v>1462</v>
      </c>
      <c r="N216" s="19" t="s">
        <v>1464</v>
      </c>
      <c r="O216" s="19">
        <v>0.0</v>
      </c>
      <c r="P216" s="19" t="s">
        <v>1465</v>
      </c>
      <c r="Q216" s="21" t="s">
        <v>57</v>
      </c>
      <c r="R216" s="21" t="s">
        <v>58</v>
      </c>
    </row>
    <row r="217">
      <c r="A217" s="19">
        <v>5264.0</v>
      </c>
      <c r="B217" s="19">
        <v>1.0</v>
      </c>
      <c r="C217" s="21" t="s">
        <v>43</v>
      </c>
      <c r="D217" s="21">
        <v>8.0</v>
      </c>
      <c r="E217" s="19">
        <v>8677.0</v>
      </c>
      <c r="F217" s="25">
        <v>45892.0</v>
      </c>
      <c r="G217" s="19">
        <v>3.16520076E8</v>
      </c>
      <c r="H217" s="21" t="s">
        <v>48</v>
      </c>
      <c r="I217" s="19">
        <v>3.13359189E8</v>
      </c>
      <c r="J217" s="21" t="s">
        <v>1469</v>
      </c>
      <c r="K217" s="21" t="s">
        <v>1470</v>
      </c>
      <c r="L217" s="21"/>
      <c r="M217" s="19" t="s">
        <v>1471</v>
      </c>
      <c r="N217" s="19" t="s">
        <v>1472</v>
      </c>
      <c r="O217" s="19">
        <v>0.0</v>
      </c>
      <c r="P217" s="19" t="s">
        <v>1473</v>
      </c>
      <c r="Q217" s="21" t="s">
        <v>57</v>
      </c>
      <c r="R217" s="21" t="s">
        <v>58</v>
      </c>
    </row>
    <row r="218">
      <c r="A218" s="19">
        <v>5410.0</v>
      </c>
      <c r="B218" s="19">
        <v>1.0</v>
      </c>
      <c r="C218" s="21" t="s">
        <v>43</v>
      </c>
      <c r="D218" s="21">
        <v>8.0</v>
      </c>
      <c r="E218" s="19">
        <v>8823.0</v>
      </c>
      <c r="F218" s="25">
        <v>45894.0</v>
      </c>
      <c r="G218" s="19">
        <v>3.16520076E8</v>
      </c>
      <c r="H218" s="21" t="s">
        <v>48</v>
      </c>
      <c r="I218" s="19">
        <v>3.1579356E8</v>
      </c>
      <c r="J218" s="21" t="s">
        <v>76</v>
      </c>
      <c r="K218" s="21" t="s">
        <v>77</v>
      </c>
      <c r="L218" s="21"/>
      <c r="M218" s="19" t="s">
        <v>1474</v>
      </c>
      <c r="N218" s="19" t="s">
        <v>1475</v>
      </c>
      <c r="O218" s="19">
        <v>0.0</v>
      </c>
      <c r="P218" s="19" t="s">
        <v>1476</v>
      </c>
      <c r="Q218" s="21" t="s">
        <v>57</v>
      </c>
      <c r="R218" s="21" t="s">
        <v>58</v>
      </c>
    </row>
    <row r="219">
      <c r="A219" s="19">
        <v>5411.0</v>
      </c>
      <c r="B219" s="19">
        <v>1.0</v>
      </c>
      <c r="C219" s="21" t="s">
        <v>43</v>
      </c>
      <c r="D219" s="21">
        <v>8.0</v>
      </c>
      <c r="E219" s="19">
        <v>8824.0</v>
      </c>
      <c r="F219" s="25">
        <v>45894.0</v>
      </c>
      <c r="G219" s="19">
        <v>3.16520076E8</v>
      </c>
      <c r="H219" s="21" t="s">
        <v>48</v>
      </c>
      <c r="I219" s="19">
        <v>3.1579356E8</v>
      </c>
      <c r="J219" s="21" t="s">
        <v>76</v>
      </c>
      <c r="K219" s="21" t="s">
        <v>1275</v>
      </c>
      <c r="L219" s="21"/>
      <c r="M219" s="19" t="s">
        <v>1482</v>
      </c>
      <c r="N219" s="19" t="s">
        <v>1483</v>
      </c>
      <c r="O219" s="19">
        <v>0.0</v>
      </c>
      <c r="P219" s="19" t="s">
        <v>1484</v>
      </c>
      <c r="Q219" s="21" t="s">
        <v>57</v>
      </c>
      <c r="R219" s="21" t="s">
        <v>58</v>
      </c>
    </row>
    <row r="220">
      <c r="A220" s="19">
        <v>5434.0</v>
      </c>
      <c r="B220" s="19">
        <v>1.0</v>
      </c>
      <c r="C220" s="21" t="s">
        <v>43</v>
      </c>
      <c r="D220" s="21">
        <v>8.0</v>
      </c>
      <c r="E220" s="19">
        <v>8847.0</v>
      </c>
      <c r="F220" s="25">
        <v>45894.0</v>
      </c>
      <c r="G220" s="19">
        <v>3.16520076E8</v>
      </c>
      <c r="H220" s="21" t="s">
        <v>48</v>
      </c>
      <c r="I220" s="19">
        <v>3.17891997E8</v>
      </c>
      <c r="J220" s="21" t="s">
        <v>1485</v>
      </c>
      <c r="K220" s="21" t="s">
        <v>1486</v>
      </c>
      <c r="L220" s="21"/>
      <c r="M220" s="19" t="s">
        <v>207</v>
      </c>
      <c r="N220" s="19" t="s">
        <v>124</v>
      </c>
      <c r="O220" s="19">
        <v>0.0</v>
      </c>
      <c r="P220" s="19" t="s">
        <v>209</v>
      </c>
      <c r="Q220" s="21" t="s">
        <v>57</v>
      </c>
      <c r="R220" s="21" t="s">
        <v>58</v>
      </c>
    </row>
    <row r="221">
      <c r="A221" s="19">
        <v>5495.0</v>
      </c>
      <c r="B221" s="19">
        <v>1.0</v>
      </c>
      <c r="C221" s="21" t="s">
        <v>43</v>
      </c>
      <c r="D221" s="21">
        <v>8.0</v>
      </c>
      <c r="E221" s="19">
        <v>8908.0</v>
      </c>
      <c r="F221" s="25">
        <v>45895.0</v>
      </c>
      <c r="G221" s="19">
        <v>3.16520076E8</v>
      </c>
      <c r="H221" s="21" t="s">
        <v>48</v>
      </c>
      <c r="I221" s="19">
        <v>3.1579356E8</v>
      </c>
      <c r="J221" s="21" t="s">
        <v>76</v>
      </c>
      <c r="K221" s="21" t="s">
        <v>77</v>
      </c>
      <c r="L221" s="21"/>
      <c r="M221" s="19" t="s">
        <v>1487</v>
      </c>
      <c r="N221" s="19" t="s">
        <v>1488</v>
      </c>
      <c r="O221" s="19">
        <v>0.0</v>
      </c>
      <c r="P221" s="19" t="s">
        <v>1489</v>
      </c>
      <c r="Q221" s="21" t="s">
        <v>57</v>
      </c>
      <c r="R221" s="21" t="s">
        <v>58</v>
      </c>
    </row>
    <row r="222">
      <c r="A222" s="19">
        <v>5649.0</v>
      </c>
      <c r="B222" s="19">
        <v>1.0</v>
      </c>
      <c r="C222" s="21" t="s">
        <v>43</v>
      </c>
      <c r="D222" s="21">
        <v>8.0</v>
      </c>
      <c r="E222" s="19">
        <v>9062.0</v>
      </c>
      <c r="F222" s="25">
        <v>45895.0</v>
      </c>
      <c r="G222" s="19">
        <v>3.16520076E8</v>
      </c>
      <c r="H222" s="21" t="s">
        <v>48</v>
      </c>
      <c r="I222" s="19">
        <v>1.801578517E9</v>
      </c>
      <c r="J222" s="21" t="s">
        <v>1493</v>
      </c>
      <c r="K222" s="21" t="s">
        <v>1494</v>
      </c>
      <c r="L222" s="21"/>
      <c r="M222" s="19" t="s">
        <v>807</v>
      </c>
      <c r="N222" s="19" t="s">
        <v>808</v>
      </c>
      <c r="O222" s="19">
        <v>0.0</v>
      </c>
      <c r="P222" s="19" t="s">
        <v>811</v>
      </c>
      <c r="Q222" s="21" t="s">
        <v>57</v>
      </c>
      <c r="R222" s="21" t="s">
        <v>58</v>
      </c>
    </row>
    <row r="223">
      <c r="A223" s="19">
        <v>5656.0</v>
      </c>
      <c r="B223" s="19">
        <v>1.0</v>
      </c>
      <c r="C223" s="21" t="s">
        <v>43</v>
      </c>
      <c r="D223" s="21">
        <v>8.0</v>
      </c>
      <c r="E223" s="19">
        <v>9069.0</v>
      </c>
      <c r="F223" s="25">
        <v>45895.0</v>
      </c>
      <c r="G223" s="19">
        <v>3.16520076E8</v>
      </c>
      <c r="H223" s="21" t="s">
        <v>48</v>
      </c>
      <c r="I223" s="19">
        <v>3.1579356E8</v>
      </c>
      <c r="J223" s="21" t="s">
        <v>76</v>
      </c>
      <c r="K223" s="21" t="s">
        <v>77</v>
      </c>
      <c r="L223" s="21"/>
      <c r="M223" s="19" t="s">
        <v>1495</v>
      </c>
      <c r="N223" s="19" t="s">
        <v>1496</v>
      </c>
      <c r="O223" s="19">
        <v>0.0</v>
      </c>
      <c r="P223" s="19" t="s">
        <v>1497</v>
      </c>
      <c r="Q223" s="21" t="s">
        <v>57</v>
      </c>
      <c r="R223" s="21" t="s">
        <v>58</v>
      </c>
    </row>
    <row r="224">
      <c r="A224" s="19">
        <v>5906.0</v>
      </c>
      <c r="B224" s="19">
        <v>1.0</v>
      </c>
      <c r="C224" s="21" t="s">
        <v>43</v>
      </c>
      <c r="D224" s="21">
        <v>8.0</v>
      </c>
      <c r="E224" s="19">
        <v>9319.0</v>
      </c>
      <c r="F224" s="25">
        <v>45897.0</v>
      </c>
      <c r="G224" s="19">
        <v>3.16520076E8</v>
      </c>
      <c r="H224" s="21" t="s">
        <v>48</v>
      </c>
      <c r="I224" s="19">
        <v>3.703239446E9</v>
      </c>
      <c r="J224" s="21" t="s">
        <v>1499</v>
      </c>
      <c r="K224" s="21" t="s">
        <v>1501</v>
      </c>
      <c r="L224" s="21"/>
      <c r="M224" s="19" t="s">
        <v>1502</v>
      </c>
      <c r="N224" s="19" t="s">
        <v>1504</v>
      </c>
      <c r="O224" s="19">
        <v>0.0</v>
      </c>
      <c r="P224" s="19" t="s">
        <v>1506</v>
      </c>
      <c r="Q224" s="21" t="s">
        <v>57</v>
      </c>
      <c r="R224" s="21" t="s">
        <v>58</v>
      </c>
    </row>
    <row r="225">
      <c r="A225" s="19">
        <v>6068.0</v>
      </c>
      <c r="B225" s="19">
        <v>1.0</v>
      </c>
      <c r="C225" s="21" t="s">
        <v>43</v>
      </c>
      <c r="D225" s="21">
        <v>8.0</v>
      </c>
      <c r="E225" s="19">
        <v>9481.0</v>
      </c>
      <c r="F225" s="25">
        <v>45897.0</v>
      </c>
      <c r="G225" s="19">
        <v>3.16520076E8</v>
      </c>
      <c r="H225" s="21" t="s">
        <v>48</v>
      </c>
      <c r="I225" s="19">
        <v>3.1579356E8</v>
      </c>
      <c r="J225" s="21" t="s">
        <v>76</v>
      </c>
      <c r="K225" s="21" t="s">
        <v>77</v>
      </c>
      <c r="L225" s="21"/>
      <c r="M225" s="19" t="s">
        <v>1509</v>
      </c>
      <c r="N225" s="19" t="s">
        <v>1510</v>
      </c>
      <c r="O225" s="19">
        <v>0.0</v>
      </c>
      <c r="P225" s="19" t="s">
        <v>1511</v>
      </c>
      <c r="Q225" s="21" t="s">
        <v>57</v>
      </c>
      <c r="R225" s="21" t="s">
        <v>58</v>
      </c>
    </row>
    <row r="226">
      <c r="A226" s="19">
        <v>6107.0</v>
      </c>
      <c r="B226" s="19">
        <v>1.0</v>
      </c>
      <c r="C226" s="21" t="s">
        <v>43</v>
      </c>
      <c r="D226" s="21">
        <v>8.0</v>
      </c>
      <c r="E226" s="19">
        <v>9520.0</v>
      </c>
      <c r="F226" s="25">
        <v>45898.0</v>
      </c>
      <c r="G226" s="19">
        <v>3.16520076E8</v>
      </c>
      <c r="H226" s="21" t="s">
        <v>48</v>
      </c>
      <c r="I226" s="19">
        <v>3.1579356E8</v>
      </c>
      <c r="J226" s="21" t="s">
        <v>76</v>
      </c>
      <c r="K226" s="21" t="s">
        <v>77</v>
      </c>
      <c r="L226" s="21"/>
      <c r="M226" s="19" t="s">
        <v>1514</v>
      </c>
      <c r="N226" s="19" t="s">
        <v>1515</v>
      </c>
      <c r="O226" s="19">
        <v>0.0</v>
      </c>
      <c r="P226" s="19" t="s">
        <v>1517</v>
      </c>
      <c r="Q226" s="21" t="s">
        <v>57</v>
      </c>
      <c r="R226" s="21" t="s">
        <v>58</v>
      </c>
    </row>
    <row r="227">
      <c r="A227" s="19">
        <v>6281.0</v>
      </c>
      <c r="B227" s="19">
        <v>1.0</v>
      </c>
      <c r="C227" s="21" t="s">
        <v>43</v>
      </c>
      <c r="D227" s="21">
        <v>8.0</v>
      </c>
      <c r="E227" s="19">
        <v>9694.0</v>
      </c>
      <c r="F227" s="25">
        <v>45900.0</v>
      </c>
      <c r="G227" s="19">
        <v>3.16520076E8</v>
      </c>
      <c r="H227" s="21" t="s">
        <v>48</v>
      </c>
      <c r="I227" s="19">
        <v>4.001274716E9</v>
      </c>
      <c r="J227" s="21" t="s">
        <v>1520</v>
      </c>
      <c r="K227" s="21" t="s">
        <v>1521</v>
      </c>
      <c r="L227" s="21"/>
      <c r="M227" s="19" t="s">
        <v>1522</v>
      </c>
      <c r="N227" s="19" t="s">
        <v>1523</v>
      </c>
      <c r="O227" s="19">
        <v>0.0</v>
      </c>
      <c r="P227" s="19" t="s">
        <v>1524</v>
      </c>
      <c r="Q227" s="21" t="s">
        <v>57</v>
      </c>
      <c r="R227" s="21" t="s">
        <v>58</v>
      </c>
    </row>
    <row r="228">
      <c r="A228" s="19">
        <v>10.0</v>
      </c>
      <c r="B228" s="19">
        <v>1.0</v>
      </c>
      <c r="C228" s="21" t="s">
        <v>43</v>
      </c>
      <c r="D228" s="21">
        <v>7.0</v>
      </c>
      <c r="E228" s="19">
        <v>1006.0</v>
      </c>
      <c r="F228" s="25">
        <v>45855.0</v>
      </c>
      <c r="G228" s="19">
        <v>3.16520076E8</v>
      </c>
      <c r="H228" s="21" t="s">
        <v>48</v>
      </c>
      <c r="I228" s="19">
        <v>3.14604108E8</v>
      </c>
      <c r="J228" s="21" t="s">
        <v>411</v>
      </c>
      <c r="K228" s="21" t="s">
        <v>1526</v>
      </c>
      <c r="L228" s="21"/>
      <c r="M228" s="19" t="s">
        <v>207</v>
      </c>
      <c r="N228" s="19" t="s">
        <v>124</v>
      </c>
      <c r="O228" s="19">
        <v>0.0</v>
      </c>
      <c r="P228" s="19" t="s">
        <v>209</v>
      </c>
      <c r="Q228" s="21" t="s">
        <v>57</v>
      </c>
      <c r="R228" s="21" t="s">
        <v>58</v>
      </c>
    </row>
    <row r="229">
      <c r="A229" s="19">
        <v>217.0</v>
      </c>
      <c r="B229" s="19">
        <v>1.0</v>
      </c>
      <c r="C229" s="21" t="s">
        <v>43</v>
      </c>
      <c r="D229" s="21">
        <v>7.0</v>
      </c>
      <c r="E229" s="19">
        <v>1193.0</v>
      </c>
      <c r="F229" s="25">
        <v>45856.0</v>
      </c>
      <c r="G229" s="19">
        <v>3.16520076E8</v>
      </c>
      <c r="H229" s="21" t="s">
        <v>48</v>
      </c>
      <c r="I229" s="19">
        <v>3.1579356E8</v>
      </c>
      <c r="J229" s="21" t="s">
        <v>76</v>
      </c>
      <c r="K229" s="21" t="s">
        <v>1530</v>
      </c>
      <c r="L229" s="21"/>
      <c r="M229" s="19" t="s">
        <v>1531</v>
      </c>
      <c r="N229" s="19" t="s">
        <v>1532</v>
      </c>
      <c r="O229" s="19">
        <v>0.0</v>
      </c>
      <c r="P229" s="19" t="s">
        <v>1533</v>
      </c>
      <c r="Q229" s="21" t="s">
        <v>57</v>
      </c>
      <c r="R229" s="21" t="s">
        <v>58</v>
      </c>
    </row>
    <row r="230">
      <c r="A230" s="19">
        <v>645.0</v>
      </c>
      <c r="B230" s="19">
        <v>1.0</v>
      </c>
      <c r="C230" s="21" t="s">
        <v>43</v>
      </c>
      <c r="D230" s="21">
        <v>7.0</v>
      </c>
      <c r="E230" s="19">
        <v>1579.0</v>
      </c>
      <c r="F230" s="25">
        <v>45858.0</v>
      </c>
      <c r="G230" s="19">
        <v>3.16520076E8</v>
      </c>
      <c r="H230" s="21" t="s">
        <v>48</v>
      </c>
      <c r="I230" s="19">
        <v>3.16047325E8</v>
      </c>
      <c r="J230" s="21" t="s">
        <v>1534</v>
      </c>
      <c r="K230" s="21" t="s">
        <v>1535</v>
      </c>
      <c r="L230" s="21"/>
      <c r="M230" s="19" t="s">
        <v>1536</v>
      </c>
      <c r="N230" s="19" t="s">
        <v>1537</v>
      </c>
      <c r="O230" s="19">
        <v>0.0</v>
      </c>
      <c r="P230" s="19" t="s">
        <v>1538</v>
      </c>
      <c r="Q230" s="21" t="s">
        <v>57</v>
      </c>
      <c r="R230" s="21" t="s">
        <v>58</v>
      </c>
    </row>
    <row r="231">
      <c r="A231" s="19">
        <v>939.0</v>
      </c>
      <c r="B231" s="19">
        <v>1.0</v>
      </c>
      <c r="C231" s="21" t="s">
        <v>43</v>
      </c>
      <c r="D231" s="21">
        <v>7.0</v>
      </c>
      <c r="E231" s="19">
        <v>1843.0</v>
      </c>
      <c r="F231" s="25">
        <v>45859.0</v>
      </c>
      <c r="G231" s="19">
        <v>3.16520076E8</v>
      </c>
      <c r="H231" s="21" t="s">
        <v>48</v>
      </c>
      <c r="I231" s="19">
        <v>1.10666184E8</v>
      </c>
      <c r="J231" s="21" t="s">
        <v>1542</v>
      </c>
      <c r="K231" s="21" t="s">
        <v>1543</v>
      </c>
      <c r="L231" s="21"/>
      <c r="M231" s="19" t="s">
        <v>1522</v>
      </c>
      <c r="N231" s="19" t="s">
        <v>1523</v>
      </c>
      <c r="O231" s="19">
        <v>0.0</v>
      </c>
      <c r="P231" s="19" t="s">
        <v>1524</v>
      </c>
      <c r="Q231" s="21" t="s">
        <v>57</v>
      </c>
      <c r="R231" s="21" t="s">
        <v>58</v>
      </c>
    </row>
    <row r="232">
      <c r="A232" s="19">
        <v>940.0</v>
      </c>
      <c r="B232" s="19">
        <v>1.0</v>
      </c>
      <c r="C232" s="21" t="s">
        <v>43</v>
      </c>
      <c r="D232" s="21">
        <v>7.0</v>
      </c>
      <c r="E232" s="19">
        <v>1844.0</v>
      </c>
      <c r="F232" s="25">
        <v>45860.0</v>
      </c>
      <c r="G232" s="19">
        <v>3.16520076E8</v>
      </c>
      <c r="H232" s="21" t="s">
        <v>48</v>
      </c>
      <c r="I232" s="19">
        <v>3.05774706E8</v>
      </c>
      <c r="J232" s="21" t="s">
        <v>1548</v>
      </c>
      <c r="K232" s="21" t="s">
        <v>1550</v>
      </c>
      <c r="L232" s="21"/>
      <c r="M232" s="19" t="s">
        <v>1551</v>
      </c>
      <c r="N232" s="19" t="s">
        <v>1552</v>
      </c>
      <c r="O232" s="19">
        <v>0.0</v>
      </c>
      <c r="P232" s="19" t="s">
        <v>1553</v>
      </c>
      <c r="Q232" s="21" t="s">
        <v>57</v>
      </c>
      <c r="R232" s="21" t="s">
        <v>58</v>
      </c>
    </row>
    <row r="233">
      <c r="A233" s="19">
        <v>945.0</v>
      </c>
      <c r="B233" s="19">
        <v>1.0</v>
      </c>
      <c r="C233" s="21" t="s">
        <v>43</v>
      </c>
      <c r="D233" s="21">
        <v>7.0</v>
      </c>
      <c r="E233" s="19">
        <v>1849.0</v>
      </c>
      <c r="F233" s="25">
        <v>45860.0</v>
      </c>
      <c r="G233" s="19">
        <v>3.16520076E8</v>
      </c>
      <c r="H233" s="21" t="s">
        <v>48</v>
      </c>
      <c r="I233" s="19">
        <v>3.1579356E8</v>
      </c>
      <c r="J233" s="21" t="s">
        <v>76</v>
      </c>
      <c r="K233" s="21" t="s">
        <v>1530</v>
      </c>
      <c r="L233" s="21"/>
      <c r="M233" s="19" t="s">
        <v>1554</v>
      </c>
      <c r="N233" s="19" t="s">
        <v>1555</v>
      </c>
      <c r="O233" s="19">
        <v>0.0</v>
      </c>
      <c r="P233" s="19" t="s">
        <v>1556</v>
      </c>
      <c r="Q233" s="21" t="s">
        <v>57</v>
      </c>
      <c r="R233" s="21" t="s">
        <v>58</v>
      </c>
    </row>
    <row r="234">
      <c r="A234" s="19">
        <v>1241.0</v>
      </c>
      <c r="B234" s="19">
        <v>1.0</v>
      </c>
      <c r="C234" s="21" t="s">
        <v>43</v>
      </c>
      <c r="D234" s="21">
        <v>7.0</v>
      </c>
      <c r="E234" s="19">
        <v>2114.0</v>
      </c>
      <c r="F234" s="25">
        <v>45862.0</v>
      </c>
      <c r="G234" s="19">
        <v>3.16520076E8</v>
      </c>
      <c r="H234" s="21" t="s">
        <v>48</v>
      </c>
      <c r="I234" s="19">
        <v>3.1579356E8</v>
      </c>
      <c r="J234" s="21" t="s">
        <v>76</v>
      </c>
      <c r="K234" s="21" t="s">
        <v>1275</v>
      </c>
      <c r="L234" s="21"/>
      <c r="M234" s="19" t="s">
        <v>1558</v>
      </c>
      <c r="N234" s="19" t="s">
        <v>1560</v>
      </c>
      <c r="O234" s="19">
        <v>0.0</v>
      </c>
      <c r="P234" s="19" t="s">
        <v>1561</v>
      </c>
      <c r="Q234" s="21" t="s">
        <v>57</v>
      </c>
      <c r="R234" s="21" t="s">
        <v>58</v>
      </c>
    </row>
    <row r="235">
      <c r="A235" s="19">
        <v>1253.0</v>
      </c>
      <c r="B235" s="19">
        <v>1.0</v>
      </c>
      <c r="C235" s="21" t="s">
        <v>43</v>
      </c>
      <c r="D235" s="21">
        <v>7.0</v>
      </c>
      <c r="E235" s="19">
        <v>2125.0</v>
      </c>
      <c r="F235" s="25">
        <v>45862.0</v>
      </c>
      <c r="G235" s="19">
        <v>3.16520076E8</v>
      </c>
      <c r="H235" s="21" t="s">
        <v>48</v>
      </c>
      <c r="I235" s="19">
        <v>4.02021264E8</v>
      </c>
      <c r="J235" s="21" t="s">
        <v>1565</v>
      </c>
      <c r="K235" s="21" t="s">
        <v>1566</v>
      </c>
      <c r="L235" s="21"/>
      <c r="M235" s="19" t="s">
        <v>1416</v>
      </c>
      <c r="N235" s="19" t="s">
        <v>1417</v>
      </c>
      <c r="O235" s="19">
        <v>0.0</v>
      </c>
      <c r="P235" s="19" t="s">
        <v>1418</v>
      </c>
      <c r="Q235" s="21" t="s">
        <v>57</v>
      </c>
      <c r="R235" s="21" t="s">
        <v>58</v>
      </c>
    </row>
    <row r="236">
      <c r="A236" s="19">
        <v>1445.0</v>
      </c>
      <c r="B236" s="19">
        <v>1.0</v>
      </c>
      <c r="C236" s="21" t="s">
        <v>43</v>
      </c>
      <c r="D236" s="21">
        <v>7.0</v>
      </c>
      <c r="E236" s="19">
        <v>2299.0</v>
      </c>
      <c r="F236" s="25">
        <v>45863.0</v>
      </c>
      <c r="G236" s="19">
        <v>3.16520076E8</v>
      </c>
      <c r="H236" s="21" t="s">
        <v>48</v>
      </c>
      <c r="I236" s="19">
        <v>3.502234945E9</v>
      </c>
      <c r="J236" s="21" t="s">
        <v>1567</v>
      </c>
      <c r="K236" s="21" t="s">
        <v>1568</v>
      </c>
      <c r="L236" s="21"/>
      <c r="M236" s="19" t="s">
        <v>305</v>
      </c>
      <c r="N236" s="19" t="s">
        <v>307</v>
      </c>
      <c r="O236" s="19">
        <v>0.0</v>
      </c>
      <c r="P236" s="19" t="s">
        <v>308</v>
      </c>
      <c r="Q236" s="21" t="s">
        <v>1570</v>
      </c>
      <c r="R236" s="21" t="s">
        <v>58</v>
      </c>
    </row>
    <row r="237">
      <c r="A237" s="19">
        <v>1598.0</v>
      </c>
      <c r="B237" s="19">
        <v>1.0</v>
      </c>
      <c r="C237" s="21" t="s">
        <v>43</v>
      </c>
      <c r="D237" s="21">
        <v>7.0</v>
      </c>
      <c r="E237" s="19">
        <v>2436.0</v>
      </c>
      <c r="F237" s="25">
        <v>45864.0</v>
      </c>
      <c r="G237" s="19">
        <v>3.16520076E8</v>
      </c>
      <c r="H237" s="21" t="s">
        <v>48</v>
      </c>
      <c r="I237" s="19">
        <v>4.02177014E8</v>
      </c>
      <c r="J237" s="21" t="s">
        <v>1573</v>
      </c>
      <c r="K237" s="21" t="s">
        <v>1574</v>
      </c>
      <c r="L237" s="21"/>
      <c r="M237" s="19" t="s">
        <v>1575</v>
      </c>
      <c r="N237" s="19" t="s">
        <v>1576</v>
      </c>
      <c r="O237" s="19">
        <v>0.0</v>
      </c>
      <c r="P237" s="19" t="s">
        <v>1577</v>
      </c>
      <c r="Q237" s="21" t="s">
        <v>57</v>
      </c>
      <c r="R237" s="21" t="s">
        <v>58</v>
      </c>
    </row>
    <row r="238">
      <c r="A238" s="19">
        <v>2010.0</v>
      </c>
      <c r="B238" s="19">
        <v>1.0</v>
      </c>
      <c r="C238" s="21" t="s">
        <v>43</v>
      </c>
      <c r="D238" s="21">
        <v>7.0</v>
      </c>
      <c r="E238" s="19">
        <v>2807.0</v>
      </c>
      <c r="F238" s="25">
        <v>45866.0</v>
      </c>
      <c r="G238" s="19">
        <v>3.16520076E8</v>
      </c>
      <c r="H238" s="21" t="s">
        <v>48</v>
      </c>
      <c r="I238" s="19">
        <v>3.1579356E8</v>
      </c>
      <c r="J238" s="21" t="s">
        <v>76</v>
      </c>
      <c r="K238" s="21" t="s">
        <v>1275</v>
      </c>
      <c r="L238" s="21"/>
      <c r="M238" s="19" t="s">
        <v>1578</v>
      </c>
      <c r="N238" s="19" t="s">
        <v>1580</v>
      </c>
      <c r="O238" s="19">
        <v>0.0</v>
      </c>
      <c r="P238" s="19" t="s">
        <v>1582</v>
      </c>
      <c r="Q238" s="21" t="s">
        <v>57</v>
      </c>
      <c r="R238" s="21" t="s">
        <v>58</v>
      </c>
    </row>
    <row r="239">
      <c r="A239" s="19">
        <v>2011.0</v>
      </c>
      <c r="B239" s="19">
        <v>1.0</v>
      </c>
      <c r="C239" s="21" t="s">
        <v>43</v>
      </c>
      <c r="D239" s="21">
        <v>7.0</v>
      </c>
      <c r="E239" s="19">
        <v>2808.0</v>
      </c>
      <c r="F239" s="25">
        <v>45866.0</v>
      </c>
      <c r="G239" s="19">
        <v>3.16520076E8</v>
      </c>
      <c r="H239" s="21" t="s">
        <v>48</v>
      </c>
      <c r="I239" s="19">
        <v>3.1579356E8</v>
      </c>
      <c r="J239" s="21" t="s">
        <v>76</v>
      </c>
      <c r="K239" s="21" t="s">
        <v>1275</v>
      </c>
      <c r="L239" s="21"/>
      <c r="M239" s="19" t="s">
        <v>1584</v>
      </c>
      <c r="N239" s="19" t="s">
        <v>1585</v>
      </c>
      <c r="O239" s="19">
        <v>0.0</v>
      </c>
      <c r="P239" s="19" t="s">
        <v>1586</v>
      </c>
      <c r="Q239" s="21" t="s">
        <v>57</v>
      </c>
      <c r="R239" s="21" t="s">
        <v>58</v>
      </c>
    </row>
    <row r="240">
      <c r="A240" s="19">
        <v>2145.0</v>
      </c>
      <c r="B240" s="19">
        <v>1.0</v>
      </c>
      <c r="C240" s="21" t="s">
        <v>43</v>
      </c>
      <c r="D240" s="21">
        <v>7.0</v>
      </c>
      <c r="E240" s="19">
        <v>2929.0</v>
      </c>
      <c r="F240" s="25">
        <v>45867.0</v>
      </c>
      <c r="G240" s="19">
        <v>3.16520076E8</v>
      </c>
      <c r="H240" s="21" t="s">
        <v>48</v>
      </c>
      <c r="I240" s="19">
        <v>3.1579356E8</v>
      </c>
      <c r="J240" s="21" t="s">
        <v>76</v>
      </c>
      <c r="K240" s="21" t="s">
        <v>1275</v>
      </c>
      <c r="L240" s="21"/>
      <c r="M240" s="19" t="s">
        <v>1588</v>
      </c>
      <c r="N240" s="19" t="s">
        <v>1589</v>
      </c>
      <c r="O240" s="19">
        <v>0.0</v>
      </c>
      <c r="P240" s="19" t="s">
        <v>1591</v>
      </c>
      <c r="Q240" s="21" t="s">
        <v>57</v>
      </c>
      <c r="R240" s="21" t="s">
        <v>58</v>
      </c>
    </row>
    <row r="241">
      <c r="A241" s="19">
        <v>2277.0</v>
      </c>
      <c r="B241" s="19">
        <v>1.0</v>
      </c>
      <c r="C241" s="21" t="s">
        <v>43</v>
      </c>
      <c r="D241" s="21">
        <v>7.0</v>
      </c>
      <c r="E241" s="19">
        <v>3047.0</v>
      </c>
      <c r="F241" s="25">
        <v>45867.0</v>
      </c>
      <c r="G241" s="19">
        <v>3.16520076E8</v>
      </c>
      <c r="H241" s="21" t="s">
        <v>48</v>
      </c>
      <c r="I241" s="19">
        <v>3.702646657E9</v>
      </c>
      <c r="J241" s="21" t="s">
        <v>1594</v>
      </c>
      <c r="K241" s="21" t="s">
        <v>1595</v>
      </c>
      <c r="L241" s="21"/>
      <c r="M241" s="19" t="s">
        <v>1312</v>
      </c>
      <c r="N241" s="19" t="s">
        <v>1596</v>
      </c>
      <c r="O241" s="19">
        <v>0.0</v>
      </c>
      <c r="P241" s="19" t="s">
        <v>1597</v>
      </c>
      <c r="Q241" s="21" t="s">
        <v>57</v>
      </c>
      <c r="R241" s="21" t="s">
        <v>58</v>
      </c>
    </row>
    <row r="242">
      <c r="A242" s="19">
        <v>2507.0</v>
      </c>
      <c r="B242" s="19">
        <v>1.0</v>
      </c>
      <c r="C242" s="21" t="s">
        <v>43</v>
      </c>
      <c r="D242" s="21">
        <v>7.0</v>
      </c>
      <c r="E242" s="19">
        <v>3254.0</v>
      </c>
      <c r="F242" s="25">
        <v>45869.0</v>
      </c>
      <c r="G242" s="19">
        <v>3.16520076E8</v>
      </c>
      <c r="H242" s="21" t="s">
        <v>48</v>
      </c>
      <c r="I242" s="19">
        <v>5.801534813E9</v>
      </c>
      <c r="J242" s="21" t="s">
        <v>1598</v>
      </c>
      <c r="K242" s="21" t="s">
        <v>1599</v>
      </c>
      <c r="L242" s="21"/>
      <c r="M242" s="19" t="s">
        <v>1600</v>
      </c>
      <c r="N242" s="19" t="s">
        <v>1602</v>
      </c>
      <c r="O242" s="19">
        <v>0.0</v>
      </c>
      <c r="P242" s="19" t="s">
        <v>1603</v>
      </c>
      <c r="Q242" s="21" t="s">
        <v>57</v>
      </c>
      <c r="R242" s="21" t="s">
        <v>58</v>
      </c>
    </row>
    <row r="243">
      <c r="A243" s="19">
        <v>2806.0</v>
      </c>
      <c r="B243" s="19">
        <v>1.0</v>
      </c>
      <c r="C243" s="21" t="s">
        <v>43</v>
      </c>
      <c r="D243" s="21">
        <v>7.0</v>
      </c>
      <c r="E243" s="19">
        <v>451.0</v>
      </c>
      <c r="F243" s="25">
        <v>45851.0</v>
      </c>
      <c r="G243" s="19">
        <v>3.16520076E8</v>
      </c>
      <c r="H243" s="21" t="s">
        <v>48</v>
      </c>
      <c r="I243" s="19">
        <v>1.07612407E8</v>
      </c>
      <c r="J243" s="21" t="s">
        <v>1606</v>
      </c>
      <c r="K243" s="21" t="s">
        <v>1607</v>
      </c>
      <c r="L243" s="21"/>
      <c r="M243" s="19" t="s">
        <v>391</v>
      </c>
      <c r="N243" s="19" t="s">
        <v>392</v>
      </c>
      <c r="O243" s="19">
        <v>0.0</v>
      </c>
      <c r="P243" s="19" t="s">
        <v>393</v>
      </c>
      <c r="Q243" s="21" t="s">
        <v>57</v>
      </c>
      <c r="R243" s="21" t="s">
        <v>58</v>
      </c>
    </row>
    <row r="244">
      <c r="A244" s="19">
        <v>2807.0</v>
      </c>
      <c r="B244" s="19">
        <v>1.0</v>
      </c>
      <c r="C244" s="21" t="s">
        <v>43</v>
      </c>
      <c r="D244" s="21">
        <v>7.0</v>
      </c>
      <c r="E244" s="19">
        <v>452.0</v>
      </c>
      <c r="F244" s="25">
        <v>45852.0</v>
      </c>
      <c r="G244" s="19">
        <v>3.16520076E8</v>
      </c>
      <c r="H244" s="21" t="s">
        <v>48</v>
      </c>
      <c r="I244" s="19">
        <v>3.1579356E8</v>
      </c>
      <c r="J244" s="21" t="s">
        <v>76</v>
      </c>
      <c r="K244" s="21" t="s">
        <v>1530</v>
      </c>
      <c r="L244" s="21"/>
      <c r="M244" s="19" t="s">
        <v>1609</v>
      </c>
      <c r="N244" s="19" t="s">
        <v>1610</v>
      </c>
      <c r="O244" s="19">
        <v>0.0</v>
      </c>
      <c r="P244" s="19" t="s">
        <v>1611</v>
      </c>
      <c r="Q244" s="21" t="s">
        <v>57</v>
      </c>
      <c r="R244" s="21" t="s">
        <v>58</v>
      </c>
    </row>
    <row r="245">
      <c r="A245" s="19">
        <v>2960.0</v>
      </c>
      <c r="B245" s="19">
        <v>1.0</v>
      </c>
      <c r="C245" s="21" t="s">
        <v>43</v>
      </c>
      <c r="D245" s="21">
        <v>7.0</v>
      </c>
      <c r="E245" s="19">
        <v>590.0</v>
      </c>
      <c r="F245" s="25">
        <v>45853.0</v>
      </c>
      <c r="G245" s="19">
        <v>3.16520076E8</v>
      </c>
      <c r="H245" s="21" t="s">
        <v>48</v>
      </c>
      <c r="I245" s="19">
        <v>3.1579356E8</v>
      </c>
      <c r="J245" s="21" t="s">
        <v>76</v>
      </c>
      <c r="K245" s="21" t="s">
        <v>1530</v>
      </c>
      <c r="L245" s="21"/>
      <c r="M245" s="19" t="s">
        <v>1615</v>
      </c>
      <c r="N245" s="19" t="s">
        <v>1616</v>
      </c>
      <c r="O245" s="19">
        <v>0.0</v>
      </c>
      <c r="P245" s="19" t="s">
        <v>1617</v>
      </c>
      <c r="Q245" s="21" t="s">
        <v>57</v>
      </c>
      <c r="R245" s="21" t="s">
        <v>58</v>
      </c>
    </row>
    <row r="246">
      <c r="A246" s="19">
        <v>2961.0</v>
      </c>
      <c r="B246" s="19">
        <v>1.0</v>
      </c>
      <c r="C246" s="21" t="s">
        <v>43</v>
      </c>
      <c r="D246" s="21">
        <v>7.0</v>
      </c>
      <c r="E246" s="19">
        <v>591.0</v>
      </c>
      <c r="F246" s="25">
        <v>45853.0</v>
      </c>
      <c r="G246" s="19">
        <v>3.16520076E8</v>
      </c>
      <c r="H246" s="21" t="s">
        <v>48</v>
      </c>
      <c r="I246" s="19">
        <v>3.17781592E8</v>
      </c>
      <c r="J246" s="21" t="s">
        <v>1618</v>
      </c>
      <c r="K246" s="21" t="s">
        <v>1619</v>
      </c>
      <c r="L246" s="21"/>
      <c r="M246" s="19" t="s">
        <v>1522</v>
      </c>
      <c r="N246" s="19" t="s">
        <v>1523</v>
      </c>
      <c r="O246" s="19">
        <v>0.0</v>
      </c>
      <c r="P246" s="19" t="s">
        <v>1524</v>
      </c>
      <c r="Q246" s="21" t="s">
        <v>57</v>
      </c>
      <c r="R246" s="21" t="s">
        <v>58</v>
      </c>
    </row>
    <row r="247">
      <c r="A247" s="19">
        <v>3199.0</v>
      </c>
      <c r="B247" s="19">
        <v>1.0</v>
      </c>
      <c r="C247" s="21" t="s">
        <v>43</v>
      </c>
      <c r="D247" s="21">
        <v>7.0</v>
      </c>
      <c r="E247" s="19">
        <v>805.0</v>
      </c>
      <c r="F247" s="25">
        <v>45854.0</v>
      </c>
      <c r="G247" s="19">
        <v>3.16520076E8</v>
      </c>
      <c r="H247" s="21" t="s">
        <v>48</v>
      </c>
      <c r="I247" s="19">
        <v>3.18591516E8</v>
      </c>
      <c r="J247" s="21" t="s">
        <v>1620</v>
      </c>
      <c r="K247" s="21" t="s">
        <v>1622</v>
      </c>
      <c r="L247" s="21"/>
      <c r="M247" s="19" t="s">
        <v>1343</v>
      </c>
      <c r="N247" s="19" t="s">
        <v>1344</v>
      </c>
      <c r="O247" s="19">
        <v>0.0</v>
      </c>
      <c r="P247" s="19" t="s">
        <v>1345</v>
      </c>
      <c r="Q247" s="21" t="s">
        <v>57</v>
      </c>
      <c r="R247" s="21" t="s">
        <v>58</v>
      </c>
    </row>
    <row r="248">
      <c r="A248" s="19">
        <v>3400.0</v>
      </c>
      <c r="B248" s="19">
        <v>1.0</v>
      </c>
      <c r="C248" s="21" t="s">
        <v>43</v>
      </c>
      <c r="D248" s="21">
        <v>7.0</v>
      </c>
      <c r="E248" s="19">
        <v>987.0</v>
      </c>
      <c r="F248" s="25">
        <v>45855.0</v>
      </c>
      <c r="G248" s="19">
        <v>3.16520076E8</v>
      </c>
      <c r="H248" s="21" t="s">
        <v>48</v>
      </c>
      <c r="I248" s="19">
        <v>3.1819454E8</v>
      </c>
      <c r="J248" s="21" t="s">
        <v>1625</v>
      </c>
      <c r="K248" s="21" t="s">
        <v>1626</v>
      </c>
      <c r="L248" s="21"/>
      <c r="M248" s="19" t="s">
        <v>1627</v>
      </c>
      <c r="N248" s="19" t="s">
        <v>1628</v>
      </c>
      <c r="O248" s="19">
        <v>0.0</v>
      </c>
      <c r="P248" s="19" t="s">
        <v>1629</v>
      </c>
      <c r="Q248" s="21" t="s">
        <v>57</v>
      </c>
      <c r="R248" s="21" t="s">
        <v>58</v>
      </c>
    </row>
    <row r="249">
      <c r="A249" s="19">
        <v>159.0</v>
      </c>
      <c r="B249" s="19">
        <v>1.0</v>
      </c>
      <c r="C249" s="21" t="s">
        <v>1630</v>
      </c>
      <c r="D249" s="21">
        <v>6.0</v>
      </c>
      <c r="E249" s="19">
        <v>2832.0</v>
      </c>
      <c r="F249" s="25">
        <v>45810.0</v>
      </c>
      <c r="G249" s="19">
        <v>3.16520076E8</v>
      </c>
      <c r="H249" s="21" t="s">
        <v>48</v>
      </c>
      <c r="I249" s="19">
        <v>3.15905179E8</v>
      </c>
      <c r="J249" s="21" t="s">
        <v>1631</v>
      </c>
      <c r="K249" s="21" t="s">
        <v>1632</v>
      </c>
      <c r="L249" s="42"/>
      <c r="M249" s="19" t="s">
        <v>305</v>
      </c>
      <c r="N249" s="19" t="s">
        <v>307</v>
      </c>
      <c r="O249" s="19"/>
      <c r="P249" s="19" t="s">
        <v>308</v>
      </c>
      <c r="Q249" s="21" t="s">
        <v>57</v>
      </c>
      <c r="R249" s="21" t="s">
        <v>1637</v>
      </c>
    </row>
    <row r="250">
      <c r="A250" s="19">
        <v>253.0</v>
      </c>
      <c r="B250" s="19">
        <v>1.0</v>
      </c>
      <c r="C250" s="21" t="s">
        <v>1630</v>
      </c>
      <c r="D250" s="21">
        <v>6.0</v>
      </c>
      <c r="E250" s="19">
        <v>2926.0</v>
      </c>
      <c r="F250" s="25">
        <v>45811.0</v>
      </c>
      <c r="G250" s="19">
        <v>3.16520076E8</v>
      </c>
      <c r="H250" s="21" t="s">
        <v>48</v>
      </c>
      <c r="I250" s="19">
        <v>3.603598642E9</v>
      </c>
      <c r="J250" s="21" t="s">
        <v>1639</v>
      </c>
      <c r="K250" s="21" t="s">
        <v>1640</v>
      </c>
      <c r="L250" s="42"/>
      <c r="M250" s="19" t="s">
        <v>1641</v>
      </c>
      <c r="N250" s="19" t="s">
        <v>1642</v>
      </c>
      <c r="O250" s="19"/>
      <c r="P250" s="19" t="s">
        <v>1643</v>
      </c>
      <c r="Q250" s="21" t="s">
        <v>57</v>
      </c>
      <c r="R250" s="21" t="s">
        <v>1637</v>
      </c>
    </row>
    <row r="251">
      <c r="A251" s="19">
        <v>390.0</v>
      </c>
      <c r="B251" s="19">
        <v>1.0</v>
      </c>
      <c r="C251" s="21" t="s">
        <v>1630</v>
      </c>
      <c r="D251" s="21">
        <v>6.0</v>
      </c>
      <c r="E251" s="19">
        <v>3063.0</v>
      </c>
      <c r="F251" s="25">
        <v>45811.0</v>
      </c>
      <c r="G251" s="19">
        <v>3.16520076E8</v>
      </c>
      <c r="H251" s="21" t="s">
        <v>48</v>
      </c>
      <c r="I251" s="19">
        <v>3.1579356E8</v>
      </c>
      <c r="J251" s="21" t="s">
        <v>76</v>
      </c>
      <c r="K251" s="21" t="s">
        <v>1104</v>
      </c>
      <c r="L251" s="42"/>
      <c r="M251" s="19" t="s">
        <v>1645</v>
      </c>
      <c r="N251" s="19" t="s">
        <v>1646</v>
      </c>
      <c r="O251" s="19"/>
      <c r="P251" s="19" t="s">
        <v>1647</v>
      </c>
      <c r="Q251" s="21" t="s">
        <v>57</v>
      </c>
      <c r="R251" s="21" t="s">
        <v>1637</v>
      </c>
    </row>
    <row r="252">
      <c r="A252" s="19">
        <v>393.0</v>
      </c>
      <c r="B252" s="19">
        <v>1.0</v>
      </c>
      <c r="C252" s="21" t="s">
        <v>1630</v>
      </c>
      <c r="D252" s="21">
        <v>6.0</v>
      </c>
      <c r="E252" s="19">
        <v>3066.0</v>
      </c>
      <c r="F252" s="25">
        <v>45812.0</v>
      </c>
      <c r="G252" s="19">
        <v>3.16520076E8</v>
      </c>
      <c r="H252" s="21" t="s">
        <v>48</v>
      </c>
      <c r="I252" s="19">
        <v>3.1579356E8</v>
      </c>
      <c r="J252" s="21" t="s">
        <v>76</v>
      </c>
      <c r="K252" s="21" t="s">
        <v>1104</v>
      </c>
      <c r="L252" s="42"/>
      <c r="M252" s="19" t="s">
        <v>1649</v>
      </c>
      <c r="N252" s="19" t="s">
        <v>1650</v>
      </c>
      <c r="O252" s="19"/>
      <c r="P252" s="19" t="s">
        <v>1651</v>
      </c>
      <c r="Q252" s="21" t="s">
        <v>57</v>
      </c>
      <c r="R252" s="21" t="s">
        <v>1637</v>
      </c>
    </row>
    <row r="253">
      <c r="A253" s="19">
        <v>548.0</v>
      </c>
      <c r="B253" s="19">
        <v>1.0</v>
      </c>
      <c r="C253" s="21" t="s">
        <v>1630</v>
      </c>
      <c r="D253" s="21">
        <v>6.0</v>
      </c>
      <c r="E253" s="19">
        <v>3221.0</v>
      </c>
      <c r="F253" s="25">
        <v>45813.0</v>
      </c>
      <c r="G253" s="19">
        <v>3.16520076E8</v>
      </c>
      <c r="H253" s="21" t="s">
        <v>48</v>
      </c>
      <c r="I253" s="19">
        <v>3.602357362E9</v>
      </c>
      <c r="J253" s="21" t="s">
        <v>1653</v>
      </c>
      <c r="K253" s="21" t="s">
        <v>1654</v>
      </c>
      <c r="L253" s="42"/>
      <c r="M253" s="19" t="s">
        <v>1655</v>
      </c>
      <c r="N253" s="19" t="s">
        <v>1656</v>
      </c>
      <c r="O253" s="19"/>
      <c r="P253" s="19" t="s">
        <v>1657</v>
      </c>
      <c r="Q253" s="21" t="s">
        <v>57</v>
      </c>
      <c r="R253" s="21" t="s">
        <v>1637</v>
      </c>
    </row>
    <row r="254">
      <c r="A254" s="19">
        <v>1160.0</v>
      </c>
      <c r="B254" s="19">
        <v>1.0</v>
      </c>
      <c r="C254" s="21" t="s">
        <v>1630</v>
      </c>
      <c r="D254" s="21">
        <v>6.0</v>
      </c>
      <c r="E254" s="19">
        <v>3833.0</v>
      </c>
      <c r="F254" s="25">
        <v>45815.0</v>
      </c>
      <c r="G254" s="19">
        <v>3.16520076E8</v>
      </c>
      <c r="H254" s="21" t="s">
        <v>48</v>
      </c>
      <c r="I254" s="19">
        <v>3.702966456E9</v>
      </c>
      <c r="J254" s="21" t="s">
        <v>1658</v>
      </c>
      <c r="K254" s="21" t="s">
        <v>1659</v>
      </c>
      <c r="L254" s="42"/>
      <c r="M254" s="19" t="s">
        <v>207</v>
      </c>
      <c r="N254" s="19" t="s">
        <v>124</v>
      </c>
      <c r="O254" s="19"/>
      <c r="P254" s="19" t="s">
        <v>209</v>
      </c>
      <c r="Q254" s="21" t="s">
        <v>57</v>
      </c>
      <c r="R254" s="21" t="s">
        <v>1637</v>
      </c>
    </row>
    <row r="255">
      <c r="A255" s="19">
        <v>1716.0</v>
      </c>
      <c r="B255" s="19">
        <v>1.0</v>
      </c>
      <c r="C255" s="21" t="s">
        <v>1630</v>
      </c>
      <c r="D255" s="21">
        <v>6.0</v>
      </c>
      <c r="E255" s="19">
        <v>4389.0</v>
      </c>
      <c r="F255" s="25">
        <v>45817.0</v>
      </c>
      <c r="G255" s="19">
        <v>3.16520076E8</v>
      </c>
      <c r="H255" s="21" t="s">
        <v>48</v>
      </c>
      <c r="I255" s="19">
        <v>3.1579356E8</v>
      </c>
      <c r="J255" s="21" t="s">
        <v>76</v>
      </c>
      <c r="K255" s="21" t="s">
        <v>1104</v>
      </c>
      <c r="L255" s="42"/>
      <c r="M255" s="19" t="s">
        <v>1662</v>
      </c>
      <c r="N255" s="19" t="s">
        <v>1663</v>
      </c>
      <c r="O255" s="19"/>
      <c r="P255" s="19" t="s">
        <v>1664</v>
      </c>
      <c r="Q255" s="21" t="s">
        <v>57</v>
      </c>
      <c r="R255" s="21" t="s">
        <v>1637</v>
      </c>
    </row>
    <row r="256">
      <c r="A256" s="19">
        <v>2041.0</v>
      </c>
      <c r="B256" s="19">
        <v>1.0</v>
      </c>
      <c r="C256" s="21" t="s">
        <v>1630</v>
      </c>
      <c r="D256" s="21">
        <v>6.0</v>
      </c>
      <c r="E256" s="19">
        <v>4714.0</v>
      </c>
      <c r="F256" s="25">
        <v>45819.0</v>
      </c>
      <c r="G256" s="19">
        <v>3.16520076E8</v>
      </c>
      <c r="H256" s="21" t="s">
        <v>48</v>
      </c>
      <c r="I256" s="19">
        <v>3.1579356E8</v>
      </c>
      <c r="J256" s="21" t="s">
        <v>76</v>
      </c>
      <c r="K256" s="21" t="s">
        <v>1104</v>
      </c>
      <c r="L256" s="42"/>
      <c r="M256" s="19" t="s">
        <v>1665</v>
      </c>
      <c r="N256" s="19" t="s">
        <v>1666</v>
      </c>
      <c r="O256" s="19"/>
      <c r="P256" s="19" t="s">
        <v>1667</v>
      </c>
      <c r="Q256" s="21" t="s">
        <v>57</v>
      </c>
      <c r="R256" s="21" t="s">
        <v>1637</v>
      </c>
    </row>
    <row r="257">
      <c r="A257" s="19">
        <v>2240.0</v>
      </c>
      <c r="B257" s="19">
        <v>1.0</v>
      </c>
      <c r="C257" s="21" t="s">
        <v>1630</v>
      </c>
      <c r="D257" s="21">
        <v>6.0</v>
      </c>
      <c r="E257" s="19">
        <v>4913.0</v>
      </c>
      <c r="F257" s="25">
        <v>45819.0</v>
      </c>
      <c r="G257" s="19">
        <v>3.16520076E8</v>
      </c>
      <c r="H257" s="21" t="s">
        <v>48</v>
      </c>
      <c r="I257" s="19">
        <v>3.1579356E8</v>
      </c>
      <c r="J257" s="21" t="s">
        <v>76</v>
      </c>
      <c r="K257" s="21" t="s">
        <v>1104</v>
      </c>
      <c r="L257" s="42"/>
      <c r="M257" s="19" t="s">
        <v>1669</v>
      </c>
      <c r="N257" s="19" t="s">
        <v>1670</v>
      </c>
      <c r="O257" s="19"/>
      <c r="P257" s="19" t="s">
        <v>1671</v>
      </c>
      <c r="Q257" s="21" t="s">
        <v>57</v>
      </c>
      <c r="R257" s="21" t="s">
        <v>1637</v>
      </c>
    </row>
    <row r="258">
      <c r="A258" s="19">
        <v>2465.0</v>
      </c>
      <c r="B258" s="19">
        <v>1.0</v>
      </c>
      <c r="C258" s="21" t="s">
        <v>1630</v>
      </c>
      <c r="D258" s="21">
        <v>6.0</v>
      </c>
      <c r="E258" s="19">
        <v>5138.0</v>
      </c>
      <c r="F258" s="25">
        <v>45820.0</v>
      </c>
      <c r="G258" s="19">
        <v>3.16520076E8</v>
      </c>
      <c r="H258" s="21" t="s">
        <v>48</v>
      </c>
      <c r="I258" s="19">
        <v>3.17328664E8</v>
      </c>
      <c r="J258" s="21" t="s">
        <v>1673</v>
      </c>
      <c r="K258" s="21" t="s">
        <v>1674</v>
      </c>
      <c r="L258" s="42"/>
      <c r="M258" s="19" t="s">
        <v>391</v>
      </c>
      <c r="N258" s="19" t="s">
        <v>392</v>
      </c>
      <c r="O258" s="19"/>
      <c r="P258" s="19" t="s">
        <v>393</v>
      </c>
      <c r="Q258" s="21" t="s">
        <v>57</v>
      </c>
      <c r="R258" s="21" t="s">
        <v>1637</v>
      </c>
    </row>
    <row r="259">
      <c r="A259" s="19">
        <v>2479.0</v>
      </c>
      <c r="B259" s="19">
        <v>1.0</v>
      </c>
      <c r="C259" s="21" t="s">
        <v>1630</v>
      </c>
      <c r="D259" s="21">
        <v>6.0</v>
      </c>
      <c r="E259" s="19">
        <v>5152.0</v>
      </c>
      <c r="F259" s="25">
        <v>45821.0</v>
      </c>
      <c r="G259" s="19">
        <v>3.16520076E8</v>
      </c>
      <c r="H259" s="21" t="s">
        <v>48</v>
      </c>
      <c r="I259" s="19">
        <v>3.1579356E8</v>
      </c>
      <c r="J259" s="21" t="s">
        <v>76</v>
      </c>
      <c r="K259" s="21" t="s">
        <v>1104</v>
      </c>
      <c r="L259" s="42"/>
      <c r="M259" s="19" t="s">
        <v>1676</v>
      </c>
      <c r="N259" s="19" t="s">
        <v>1677</v>
      </c>
      <c r="O259" s="19"/>
      <c r="P259" s="19" t="s">
        <v>1678</v>
      </c>
      <c r="Q259" s="21" t="s">
        <v>57</v>
      </c>
      <c r="R259" s="21" t="s">
        <v>1637</v>
      </c>
    </row>
    <row r="260">
      <c r="A260" s="19">
        <v>2864.0</v>
      </c>
      <c r="B260" s="19">
        <v>1.0</v>
      </c>
      <c r="C260" s="21" t="s">
        <v>1630</v>
      </c>
      <c r="D260" s="21">
        <v>6.0</v>
      </c>
      <c r="E260" s="19">
        <v>5537.0</v>
      </c>
      <c r="F260" s="25">
        <v>45822.0</v>
      </c>
      <c r="G260" s="19">
        <v>3.16520076E8</v>
      </c>
      <c r="H260" s="21" t="s">
        <v>48</v>
      </c>
      <c r="I260" s="19">
        <v>1.02252101E8</v>
      </c>
      <c r="J260" s="21" t="s">
        <v>1680</v>
      </c>
      <c r="K260" s="21" t="s">
        <v>1681</v>
      </c>
      <c r="L260" s="42"/>
      <c r="M260" s="19" t="s">
        <v>391</v>
      </c>
      <c r="N260" s="19" t="s">
        <v>392</v>
      </c>
      <c r="O260" s="19"/>
      <c r="P260" s="19" t="s">
        <v>393</v>
      </c>
      <c r="Q260" s="21" t="s">
        <v>57</v>
      </c>
      <c r="R260" s="21" t="s">
        <v>1637</v>
      </c>
    </row>
    <row r="261">
      <c r="A261" s="19">
        <v>2865.0</v>
      </c>
      <c r="B261" s="19">
        <v>1.0</v>
      </c>
      <c r="C261" s="21" t="s">
        <v>1630</v>
      </c>
      <c r="D261" s="21">
        <v>6.0</v>
      </c>
      <c r="E261" s="19">
        <v>5538.0</v>
      </c>
      <c r="F261" s="25">
        <v>45822.0</v>
      </c>
      <c r="G261" s="19">
        <v>3.16520076E8</v>
      </c>
      <c r="H261" s="21" t="s">
        <v>48</v>
      </c>
      <c r="I261" s="19">
        <v>1.01400572E8</v>
      </c>
      <c r="J261" s="21" t="s">
        <v>1682</v>
      </c>
      <c r="K261" s="21" t="s">
        <v>1683</v>
      </c>
      <c r="L261" s="42"/>
      <c r="M261" s="19" t="s">
        <v>391</v>
      </c>
      <c r="N261" s="19" t="s">
        <v>392</v>
      </c>
      <c r="O261" s="19"/>
      <c r="P261" s="19" t="s">
        <v>393</v>
      </c>
      <c r="Q261" s="21" t="s">
        <v>57</v>
      </c>
      <c r="R261" s="21" t="s">
        <v>1637</v>
      </c>
    </row>
    <row r="262">
      <c r="A262" s="19">
        <v>2986.0</v>
      </c>
      <c r="B262" s="19">
        <v>1.0</v>
      </c>
      <c r="C262" s="21" t="s">
        <v>1630</v>
      </c>
      <c r="D262" s="21">
        <v>6.0</v>
      </c>
      <c r="E262" s="19">
        <v>5659.0</v>
      </c>
      <c r="F262" s="25">
        <v>45822.0</v>
      </c>
      <c r="G262" s="19">
        <v>3.16520076E8</v>
      </c>
      <c r="H262" s="21" t="s">
        <v>48</v>
      </c>
      <c r="I262" s="19">
        <v>3.1579356E8</v>
      </c>
      <c r="J262" s="21" t="s">
        <v>76</v>
      </c>
      <c r="K262" s="21" t="s">
        <v>1104</v>
      </c>
      <c r="L262" s="42"/>
      <c r="M262" s="19" t="s">
        <v>1686</v>
      </c>
      <c r="N262" s="19" t="s">
        <v>1687</v>
      </c>
      <c r="O262" s="19"/>
      <c r="P262" s="19" t="s">
        <v>1688</v>
      </c>
      <c r="Q262" s="21" t="s">
        <v>57</v>
      </c>
      <c r="R262" s="21" t="s">
        <v>1637</v>
      </c>
    </row>
    <row r="263">
      <c r="A263" s="19">
        <v>2987.0</v>
      </c>
      <c r="B263" s="19">
        <v>1.0</v>
      </c>
      <c r="C263" s="21" t="s">
        <v>1630</v>
      </c>
      <c r="D263" s="21">
        <v>6.0</v>
      </c>
      <c r="E263" s="19">
        <v>5660.0</v>
      </c>
      <c r="F263" s="25">
        <v>45822.0</v>
      </c>
      <c r="G263" s="19">
        <v>3.16520076E8</v>
      </c>
      <c r="H263" s="21" t="s">
        <v>48</v>
      </c>
      <c r="I263" s="19">
        <v>3.1579356E8</v>
      </c>
      <c r="J263" s="21" t="s">
        <v>76</v>
      </c>
      <c r="K263" s="21" t="s">
        <v>1104</v>
      </c>
      <c r="L263" s="42"/>
      <c r="M263" s="19" t="s">
        <v>1689</v>
      </c>
      <c r="N263" s="19" t="s">
        <v>1690</v>
      </c>
      <c r="O263" s="19"/>
      <c r="P263" s="19" t="s">
        <v>1691</v>
      </c>
      <c r="Q263" s="21" t="s">
        <v>57</v>
      </c>
      <c r="R263" s="21" t="s">
        <v>1637</v>
      </c>
    </row>
    <row r="264">
      <c r="A264" s="19">
        <v>2989.0</v>
      </c>
      <c r="B264" s="19">
        <v>1.0</v>
      </c>
      <c r="C264" s="21" t="s">
        <v>1630</v>
      </c>
      <c r="D264" s="21">
        <v>6.0</v>
      </c>
      <c r="E264" s="19">
        <v>5662.0</v>
      </c>
      <c r="F264" s="25">
        <v>45822.0</v>
      </c>
      <c r="G264" s="19">
        <v>3.16520076E8</v>
      </c>
      <c r="H264" s="21" t="s">
        <v>48</v>
      </c>
      <c r="I264" s="19">
        <v>3.15202754E8</v>
      </c>
      <c r="J264" s="21" t="s">
        <v>1692</v>
      </c>
      <c r="K264" s="21" t="s">
        <v>1693</v>
      </c>
      <c r="L264" s="42"/>
      <c r="M264" s="19" t="s">
        <v>305</v>
      </c>
      <c r="N264" s="19" t="s">
        <v>307</v>
      </c>
      <c r="O264" s="19"/>
      <c r="P264" s="19" t="s">
        <v>308</v>
      </c>
      <c r="Q264" s="21" t="s">
        <v>57</v>
      </c>
      <c r="R264" s="21" t="s">
        <v>1637</v>
      </c>
    </row>
    <row r="265">
      <c r="A265" s="19">
        <v>3207.0</v>
      </c>
      <c r="B265" s="19">
        <v>1.0</v>
      </c>
      <c r="C265" s="21" t="s">
        <v>1630</v>
      </c>
      <c r="D265" s="21">
        <v>6.0</v>
      </c>
      <c r="E265" s="19">
        <v>5880.0</v>
      </c>
      <c r="F265" s="25">
        <v>45824.0</v>
      </c>
      <c r="G265" s="19">
        <v>3.16520076E8</v>
      </c>
      <c r="H265" s="21" t="s">
        <v>48</v>
      </c>
      <c r="I265" s="19">
        <v>1.10888243E8</v>
      </c>
      <c r="J265" s="21" t="s">
        <v>1698</v>
      </c>
      <c r="K265" s="21" t="s">
        <v>1699</v>
      </c>
      <c r="L265" s="42"/>
      <c r="M265" s="19" t="s">
        <v>1700</v>
      </c>
      <c r="N265" s="19" t="s">
        <v>1701</v>
      </c>
      <c r="O265" s="19"/>
      <c r="P265" s="19" t="s">
        <v>1702</v>
      </c>
      <c r="Q265" s="21" t="s">
        <v>57</v>
      </c>
      <c r="R265" s="21" t="s">
        <v>1637</v>
      </c>
    </row>
    <row r="266">
      <c r="A266" s="19">
        <v>3436.0</v>
      </c>
      <c r="B266" s="19">
        <v>1.0</v>
      </c>
      <c r="C266" s="21" t="s">
        <v>1630</v>
      </c>
      <c r="D266" s="21">
        <v>6.0</v>
      </c>
      <c r="E266" s="19">
        <v>6109.0</v>
      </c>
      <c r="F266" s="25">
        <v>45825.0</v>
      </c>
      <c r="G266" s="19">
        <v>3.16520076E8</v>
      </c>
      <c r="H266" s="21" t="s">
        <v>48</v>
      </c>
      <c r="I266" s="19">
        <v>3.502234945E9</v>
      </c>
      <c r="J266" s="21" t="s">
        <v>1567</v>
      </c>
      <c r="K266" s="21" t="s">
        <v>1703</v>
      </c>
      <c r="L266" s="42"/>
      <c r="M266" s="19" t="s">
        <v>1705</v>
      </c>
      <c r="N266" s="19" t="s">
        <v>1706</v>
      </c>
      <c r="O266" s="19"/>
      <c r="P266" s="19" t="s">
        <v>1707</v>
      </c>
      <c r="Q266" s="21" t="s">
        <v>57</v>
      </c>
      <c r="R266" s="21" t="s">
        <v>1637</v>
      </c>
    </row>
    <row r="267">
      <c r="A267" s="19">
        <v>3437.0</v>
      </c>
      <c r="B267" s="19">
        <v>1.0</v>
      </c>
      <c r="C267" s="21" t="s">
        <v>1630</v>
      </c>
      <c r="D267" s="21">
        <v>6.0</v>
      </c>
      <c r="E267" s="19">
        <v>6110.0</v>
      </c>
      <c r="F267" s="25">
        <v>45825.0</v>
      </c>
      <c r="G267" s="19">
        <v>3.16520076E8</v>
      </c>
      <c r="H267" s="21" t="s">
        <v>48</v>
      </c>
      <c r="I267" s="19">
        <v>3.1579356E8</v>
      </c>
      <c r="J267" s="21" t="s">
        <v>76</v>
      </c>
      <c r="K267" s="21" t="s">
        <v>1104</v>
      </c>
      <c r="L267" s="42"/>
      <c r="M267" s="19" t="s">
        <v>1708</v>
      </c>
      <c r="N267" s="19" t="s">
        <v>1709</v>
      </c>
      <c r="O267" s="19"/>
      <c r="P267" s="19" t="s">
        <v>1710</v>
      </c>
      <c r="Q267" s="21" t="s">
        <v>57</v>
      </c>
      <c r="R267" s="21" t="s">
        <v>1637</v>
      </c>
    </row>
    <row r="268">
      <c r="A268" s="19">
        <v>3438.0</v>
      </c>
      <c r="B268" s="19">
        <v>1.0</v>
      </c>
      <c r="C268" s="21" t="s">
        <v>1630</v>
      </c>
      <c r="D268" s="21">
        <v>6.0</v>
      </c>
      <c r="E268" s="19">
        <v>6111.0</v>
      </c>
      <c r="F268" s="25">
        <v>45825.0</v>
      </c>
      <c r="G268" s="19">
        <v>3.16520076E8</v>
      </c>
      <c r="H268" s="21" t="s">
        <v>48</v>
      </c>
      <c r="I268" s="19">
        <v>3.1579356E8</v>
      </c>
      <c r="J268" s="21" t="s">
        <v>76</v>
      </c>
      <c r="K268" s="21" t="s">
        <v>1104</v>
      </c>
      <c r="L268" s="42"/>
      <c r="M268" s="19" t="s">
        <v>1712</v>
      </c>
      <c r="N268" s="19" t="s">
        <v>1713</v>
      </c>
      <c r="O268" s="19"/>
      <c r="P268" s="19" t="s">
        <v>1714</v>
      </c>
      <c r="Q268" s="21" t="s">
        <v>57</v>
      </c>
      <c r="R268" s="21" t="s">
        <v>1637</v>
      </c>
    </row>
    <row r="269">
      <c r="A269" s="19">
        <v>4364.0</v>
      </c>
      <c r="B269" s="19">
        <v>1.0</v>
      </c>
      <c r="C269" s="21" t="s">
        <v>1630</v>
      </c>
      <c r="D269" s="21">
        <v>6.0</v>
      </c>
      <c r="E269" s="19">
        <v>7037.0</v>
      </c>
      <c r="F269" s="25">
        <v>45828.0</v>
      </c>
      <c r="G269" s="19">
        <v>3.16520076E8</v>
      </c>
      <c r="H269" s="21" t="s">
        <v>48</v>
      </c>
      <c r="I269" s="19">
        <v>1.10302571E8</v>
      </c>
      <c r="J269" s="21" t="s">
        <v>1718</v>
      </c>
      <c r="K269" s="21" t="s">
        <v>1719</v>
      </c>
      <c r="L269" s="42"/>
      <c r="M269" s="19" t="s">
        <v>391</v>
      </c>
      <c r="N269" s="19" t="s">
        <v>392</v>
      </c>
      <c r="O269" s="19"/>
      <c r="P269" s="19" t="s">
        <v>393</v>
      </c>
      <c r="Q269" s="21" t="s">
        <v>57</v>
      </c>
      <c r="R269" s="21" t="s">
        <v>1637</v>
      </c>
    </row>
    <row r="270">
      <c r="A270" s="19">
        <v>4365.0</v>
      </c>
      <c r="B270" s="19">
        <v>1.0</v>
      </c>
      <c r="C270" s="21" t="s">
        <v>1630</v>
      </c>
      <c r="D270" s="21">
        <v>6.0</v>
      </c>
      <c r="E270" s="19">
        <v>7038.0</v>
      </c>
      <c r="F270" s="25">
        <v>45828.0</v>
      </c>
      <c r="G270" s="19">
        <v>3.16520076E8</v>
      </c>
      <c r="H270" s="21" t="s">
        <v>48</v>
      </c>
      <c r="I270" s="19">
        <v>3.16843581E8</v>
      </c>
      <c r="J270" s="21" t="s">
        <v>1720</v>
      </c>
      <c r="K270" s="21" t="s">
        <v>1721</v>
      </c>
      <c r="L270" s="42"/>
      <c r="M270" s="19" t="s">
        <v>1722</v>
      </c>
      <c r="N270" s="19" t="s">
        <v>1723</v>
      </c>
      <c r="O270" s="19"/>
      <c r="P270" s="19" t="s">
        <v>1724</v>
      </c>
      <c r="Q270" s="21" t="s">
        <v>57</v>
      </c>
      <c r="R270" s="21" t="s">
        <v>1637</v>
      </c>
    </row>
    <row r="271">
      <c r="A271" s="19">
        <v>4366.0</v>
      </c>
      <c r="B271" s="19">
        <v>1.0</v>
      </c>
      <c r="C271" s="21" t="s">
        <v>1630</v>
      </c>
      <c r="D271" s="21">
        <v>6.0</v>
      </c>
      <c r="E271" s="19">
        <v>7039.0</v>
      </c>
      <c r="F271" s="25">
        <v>45828.0</v>
      </c>
      <c r="G271" s="19">
        <v>3.16520076E8</v>
      </c>
      <c r="H271" s="21" t="s">
        <v>48</v>
      </c>
      <c r="I271" s="19">
        <v>3.18951134E8</v>
      </c>
      <c r="J271" s="21" t="s">
        <v>1726</v>
      </c>
      <c r="K271" s="21" t="s">
        <v>1727</v>
      </c>
      <c r="L271" s="42"/>
      <c r="M271" s="19" t="s">
        <v>1729</v>
      </c>
      <c r="N271" s="19" t="s">
        <v>1730</v>
      </c>
      <c r="O271" s="19"/>
      <c r="P271" s="19" t="s">
        <v>1731</v>
      </c>
      <c r="Q271" s="21" t="s">
        <v>57</v>
      </c>
      <c r="R271" s="21" t="s">
        <v>1637</v>
      </c>
    </row>
    <row r="272">
      <c r="A272" s="19">
        <v>4667.0</v>
      </c>
      <c r="B272" s="19">
        <v>1.0</v>
      </c>
      <c r="C272" s="21" t="s">
        <v>1630</v>
      </c>
      <c r="D272" s="21">
        <v>6.0</v>
      </c>
      <c r="E272" s="19">
        <v>7340.0</v>
      </c>
      <c r="F272" s="25">
        <v>45829.0</v>
      </c>
      <c r="G272" s="19">
        <v>3.16520076E8</v>
      </c>
      <c r="H272" s="21" t="s">
        <v>48</v>
      </c>
      <c r="I272" s="19">
        <v>3.11950572E8</v>
      </c>
      <c r="J272" s="21" t="s">
        <v>1734</v>
      </c>
      <c r="K272" s="21" t="s">
        <v>1735</v>
      </c>
      <c r="L272" s="42"/>
      <c r="M272" s="19" t="s">
        <v>1736</v>
      </c>
      <c r="N272" s="19" t="s">
        <v>1737</v>
      </c>
      <c r="O272" s="19"/>
      <c r="P272" s="19" t="s">
        <v>1738</v>
      </c>
      <c r="Q272" s="21" t="s">
        <v>57</v>
      </c>
      <c r="R272" s="21" t="s">
        <v>1637</v>
      </c>
    </row>
    <row r="273">
      <c r="A273" s="19">
        <v>4929.0</v>
      </c>
      <c r="B273" s="19">
        <v>1.0</v>
      </c>
      <c r="C273" s="21" t="s">
        <v>1630</v>
      </c>
      <c r="D273" s="21">
        <v>6.0</v>
      </c>
      <c r="E273" s="19">
        <v>7602.0</v>
      </c>
      <c r="F273" s="25">
        <v>45830.0</v>
      </c>
      <c r="G273" s="19">
        <v>3.16520076E8</v>
      </c>
      <c r="H273" s="21" t="s">
        <v>48</v>
      </c>
      <c r="I273" s="19">
        <v>3.401257047E9</v>
      </c>
      <c r="J273" s="21" t="s">
        <v>1739</v>
      </c>
      <c r="K273" s="21" t="s">
        <v>1740</v>
      </c>
      <c r="L273" s="42"/>
      <c r="M273" s="19" t="s">
        <v>1722</v>
      </c>
      <c r="N273" s="19" t="s">
        <v>1723</v>
      </c>
      <c r="O273" s="19"/>
      <c r="P273" s="19" t="s">
        <v>1724</v>
      </c>
      <c r="Q273" s="21" t="s">
        <v>57</v>
      </c>
      <c r="R273" s="21" t="s">
        <v>1637</v>
      </c>
    </row>
    <row r="274">
      <c r="A274" s="19">
        <v>5202.0</v>
      </c>
      <c r="B274" s="19">
        <v>1.0</v>
      </c>
      <c r="C274" s="21" t="s">
        <v>1630</v>
      </c>
      <c r="D274" s="21">
        <v>6.0</v>
      </c>
      <c r="E274" s="19">
        <v>7875.0</v>
      </c>
      <c r="F274" s="25">
        <v>45831.0</v>
      </c>
      <c r="G274" s="19">
        <v>3.16520076E8</v>
      </c>
      <c r="H274" s="21" t="s">
        <v>48</v>
      </c>
      <c r="I274" s="19">
        <v>3.1579356E8</v>
      </c>
      <c r="J274" s="21" t="s">
        <v>76</v>
      </c>
      <c r="K274" s="21" t="s">
        <v>1104</v>
      </c>
      <c r="L274" s="42"/>
      <c r="M274" s="19" t="s">
        <v>1744</v>
      </c>
      <c r="N274" s="19" t="s">
        <v>1745</v>
      </c>
      <c r="O274" s="19"/>
      <c r="P274" s="19" t="s">
        <v>1746</v>
      </c>
      <c r="Q274" s="21" t="s">
        <v>57</v>
      </c>
      <c r="R274" s="21" t="s">
        <v>1637</v>
      </c>
    </row>
    <row r="275">
      <c r="A275" s="19">
        <v>5203.0</v>
      </c>
      <c r="B275" s="19">
        <v>1.0</v>
      </c>
      <c r="C275" s="21" t="s">
        <v>1630</v>
      </c>
      <c r="D275" s="21">
        <v>6.0</v>
      </c>
      <c r="E275" s="19">
        <v>7876.0</v>
      </c>
      <c r="F275" s="25">
        <v>45831.0</v>
      </c>
      <c r="G275" s="19">
        <v>3.16520076E8</v>
      </c>
      <c r="H275" s="21" t="s">
        <v>48</v>
      </c>
      <c r="I275" s="19">
        <v>1.10888243E8</v>
      </c>
      <c r="J275" s="21" t="s">
        <v>1698</v>
      </c>
      <c r="K275" s="21" t="s">
        <v>1699</v>
      </c>
      <c r="L275" s="42"/>
      <c r="M275" s="19" t="s">
        <v>1749</v>
      </c>
      <c r="N275" s="19" t="s">
        <v>1750</v>
      </c>
      <c r="O275" s="19"/>
      <c r="P275" s="19" t="s">
        <v>1752</v>
      </c>
      <c r="Q275" s="21" t="s">
        <v>57</v>
      </c>
      <c r="R275" s="21" t="s">
        <v>1637</v>
      </c>
    </row>
    <row r="276">
      <c r="A276" s="19">
        <v>5711.0</v>
      </c>
      <c r="B276" s="19">
        <v>1.0</v>
      </c>
      <c r="C276" s="21" t="s">
        <v>1630</v>
      </c>
      <c r="D276" s="21">
        <v>6.0</v>
      </c>
      <c r="E276" s="19">
        <v>8384.0</v>
      </c>
      <c r="F276" s="25">
        <v>45833.0</v>
      </c>
      <c r="G276" s="19">
        <v>3.16520076E8</v>
      </c>
      <c r="H276" s="21" t="s">
        <v>48</v>
      </c>
      <c r="I276" s="19">
        <v>3.1579356E8</v>
      </c>
      <c r="J276" s="21" t="s">
        <v>76</v>
      </c>
      <c r="K276" s="21" t="s">
        <v>1104</v>
      </c>
      <c r="L276" s="42"/>
      <c r="M276" s="19" t="s">
        <v>1754</v>
      </c>
      <c r="N276" s="19" t="s">
        <v>1755</v>
      </c>
      <c r="O276" s="19"/>
      <c r="P276" s="19" t="s">
        <v>1756</v>
      </c>
      <c r="Q276" s="21" t="s">
        <v>57</v>
      </c>
      <c r="R276" s="21" t="s">
        <v>1637</v>
      </c>
    </row>
    <row r="277">
      <c r="A277" s="19">
        <v>5714.0</v>
      </c>
      <c r="B277" s="19">
        <v>1.0</v>
      </c>
      <c r="C277" s="21" t="s">
        <v>1630</v>
      </c>
      <c r="D277" s="21">
        <v>6.0</v>
      </c>
      <c r="E277" s="19">
        <v>8387.0</v>
      </c>
      <c r="F277" s="25">
        <v>45833.0</v>
      </c>
      <c r="G277" s="19">
        <v>3.16520076E8</v>
      </c>
      <c r="H277" s="21" t="s">
        <v>48</v>
      </c>
      <c r="I277" s="19">
        <v>3.18951134E8</v>
      </c>
      <c r="J277" s="21" t="s">
        <v>1726</v>
      </c>
      <c r="K277" s="21" t="s">
        <v>1760</v>
      </c>
      <c r="L277" s="42"/>
      <c r="M277" s="19" t="s">
        <v>1762</v>
      </c>
      <c r="N277" s="19" t="s">
        <v>1763</v>
      </c>
      <c r="O277" s="19"/>
      <c r="P277" s="19" t="s">
        <v>1764</v>
      </c>
      <c r="Q277" s="21" t="s">
        <v>57</v>
      </c>
      <c r="R277" s="21" t="s">
        <v>1637</v>
      </c>
    </row>
    <row r="278">
      <c r="A278" s="19">
        <v>5715.0</v>
      </c>
      <c r="B278" s="19">
        <v>1.0</v>
      </c>
      <c r="C278" s="21" t="s">
        <v>1630</v>
      </c>
      <c r="D278" s="21">
        <v>6.0</v>
      </c>
      <c r="E278" s="19">
        <v>8388.0</v>
      </c>
      <c r="F278" s="25">
        <v>45833.0</v>
      </c>
      <c r="G278" s="19">
        <v>3.16520076E8</v>
      </c>
      <c r="H278" s="21" t="s">
        <v>48</v>
      </c>
      <c r="I278" s="19">
        <v>3.14116679E8</v>
      </c>
      <c r="J278" s="21" t="s">
        <v>1766</v>
      </c>
      <c r="K278" s="21" t="s">
        <v>1767</v>
      </c>
      <c r="L278" s="42"/>
      <c r="M278" s="19" t="s">
        <v>807</v>
      </c>
      <c r="N278" s="19" t="s">
        <v>808</v>
      </c>
      <c r="O278" s="19"/>
      <c r="P278" s="19" t="s">
        <v>811</v>
      </c>
      <c r="Q278" s="21" t="s">
        <v>57</v>
      </c>
      <c r="R278" s="21" t="s">
        <v>1637</v>
      </c>
    </row>
    <row r="279">
      <c r="A279" s="19">
        <v>5733.0</v>
      </c>
      <c r="B279" s="19">
        <v>1.0</v>
      </c>
      <c r="C279" s="21" t="s">
        <v>1630</v>
      </c>
      <c r="D279" s="21">
        <v>6.0</v>
      </c>
      <c r="E279" s="19">
        <v>8406.0</v>
      </c>
      <c r="F279" s="25">
        <v>45833.0</v>
      </c>
      <c r="G279" s="19">
        <v>3.16520076E8</v>
      </c>
      <c r="H279" s="21" t="s">
        <v>48</v>
      </c>
      <c r="I279" s="19">
        <v>3.502168266E9</v>
      </c>
      <c r="J279" s="21" t="s">
        <v>1768</v>
      </c>
      <c r="K279" s="21" t="s">
        <v>1769</v>
      </c>
      <c r="L279" s="42"/>
      <c r="M279" s="19" t="s">
        <v>1171</v>
      </c>
      <c r="N279" s="19" t="s">
        <v>1172</v>
      </c>
      <c r="O279" s="19"/>
      <c r="P279" s="19" t="s">
        <v>1173</v>
      </c>
      <c r="Q279" s="21" t="s">
        <v>57</v>
      </c>
      <c r="R279" s="21" t="s">
        <v>1637</v>
      </c>
    </row>
    <row r="280">
      <c r="A280" s="19">
        <v>5913.0</v>
      </c>
      <c r="B280" s="19">
        <v>1.0</v>
      </c>
      <c r="C280" s="21" t="s">
        <v>1630</v>
      </c>
      <c r="D280" s="21">
        <v>6.0</v>
      </c>
      <c r="E280" s="19">
        <v>8586.0</v>
      </c>
      <c r="F280" s="25">
        <v>45834.0</v>
      </c>
      <c r="G280" s="19">
        <v>3.16520076E8</v>
      </c>
      <c r="H280" s="21" t="s">
        <v>48</v>
      </c>
      <c r="I280" s="19">
        <v>3.703336591E9</v>
      </c>
      <c r="J280" s="21" t="s">
        <v>1773</v>
      </c>
      <c r="K280" s="21" t="s">
        <v>1774</v>
      </c>
      <c r="L280" s="42"/>
      <c r="M280" s="19" t="s">
        <v>1775</v>
      </c>
      <c r="N280" s="19" t="s">
        <v>1776</v>
      </c>
      <c r="O280" s="19"/>
      <c r="P280" s="19" t="s">
        <v>1777</v>
      </c>
      <c r="Q280" s="21" t="s">
        <v>57</v>
      </c>
      <c r="R280" s="21" t="s">
        <v>1637</v>
      </c>
    </row>
    <row r="281">
      <c r="A281" s="19">
        <v>6096.0</v>
      </c>
      <c r="B281" s="19">
        <v>1.0</v>
      </c>
      <c r="C281" s="21" t="s">
        <v>1630</v>
      </c>
      <c r="D281" s="21">
        <v>6.0</v>
      </c>
      <c r="E281" s="19">
        <v>8769.0</v>
      </c>
      <c r="F281" s="25">
        <v>45835.0</v>
      </c>
      <c r="G281" s="19">
        <v>3.16520076E8</v>
      </c>
      <c r="H281" s="21" t="s">
        <v>48</v>
      </c>
      <c r="I281" s="19">
        <v>3.1579356E8</v>
      </c>
      <c r="J281" s="21" t="s">
        <v>76</v>
      </c>
      <c r="K281" s="21" t="s">
        <v>1104</v>
      </c>
      <c r="L281" s="42"/>
      <c r="M281" s="19" t="s">
        <v>1778</v>
      </c>
      <c r="N281" s="19" t="s">
        <v>1779</v>
      </c>
      <c r="O281" s="19"/>
      <c r="P281" s="19" t="s">
        <v>1781</v>
      </c>
      <c r="Q281" s="21" t="s">
        <v>57</v>
      </c>
      <c r="R281" s="21" t="s">
        <v>1637</v>
      </c>
    </row>
    <row r="282">
      <c r="A282" s="19">
        <v>6097.0</v>
      </c>
      <c r="B282" s="19">
        <v>1.0</v>
      </c>
      <c r="C282" s="21" t="s">
        <v>1630</v>
      </c>
      <c r="D282" s="21">
        <v>6.0</v>
      </c>
      <c r="E282" s="19">
        <v>8770.0</v>
      </c>
      <c r="F282" s="25">
        <v>45835.0</v>
      </c>
      <c r="G282" s="19">
        <v>3.16520076E8</v>
      </c>
      <c r="H282" s="21" t="s">
        <v>48</v>
      </c>
      <c r="I282" s="19">
        <v>4.500653879E9</v>
      </c>
      <c r="J282" s="21" t="s">
        <v>1785</v>
      </c>
      <c r="K282" s="21" t="s">
        <v>1786</v>
      </c>
      <c r="L282" s="42"/>
      <c r="M282" s="19" t="s">
        <v>1332</v>
      </c>
      <c r="N282" s="19" t="s">
        <v>1334</v>
      </c>
      <c r="O282" s="19"/>
      <c r="P282" s="19" t="s">
        <v>1336</v>
      </c>
      <c r="Q282" s="21" t="s">
        <v>57</v>
      </c>
      <c r="R282" s="21" t="s">
        <v>1637</v>
      </c>
    </row>
    <row r="283">
      <c r="A283" s="19">
        <v>6315.0</v>
      </c>
      <c r="B283" s="19">
        <v>1.0</v>
      </c>
      <c r="C283" s="21" t="s">
        <v>1630</v>
      </c>
      <c r="D283" s="21">
        <v>6.0</v>
      </c>
      <c r="E283" s="19">
        <v>8988.0</v>
      </c>
      <c r="F283" s="25">
        <v>45836.0</v>
      </c>
      <c r="G283" s="19">
        <v>3.16520076E8</v>
      </c>
      <c r="H283" s="21" t="s">
        <v>48</v>
      </c>
      <c r="I283" s="19">
        <v>3.1579356E8</v>
      </c>
      <c r="J283" s="21" t="s">
        <v>76</v>
      </c>
      <c r="K283" s="21" t="s">
        <v>1104</v>
      </c>
      <c r="L283" s="42"/>
      <c r="M283" s="19" t="s">
        <v>1788</v>
      </c>
      <c r="N283" s="19" t="s">
        <v>1789</v>
      </c>
      <c r="O283" s="19"/>
      <c r="P283" s="19" t="s">
        <v>1790</v>
      </c>
      <c r="Q283" s="21" t="s">
        <v>57</v>
      </c>
      <c r="R283" s="21" t="s">
        <v>1637</v>
      </c>
    </row>
    <row r="284">
      <c r="A284" s="19">
        <v>6316.0</v>
      </c>
      <c r="B284" s="19">
        <v>1.0</v>
      </c>
      <c r="C284" s="21" t="s">
        <v>1630</v>
      </c>
      <c r="D284" s="21">
        <v>6.0</v>
      </c>
      <c r="E284" s="19">
        <v>8989.0</v>
      </c>
      <c r="F284" s="25">
        <v>45836.0</v>
      </c>
      <c r="G284" s="19">
        <v>3.16520076E8</v>
      </c>
      <c r="H284" s="21" t="s">
        <v>48</v>
      </c>
      <c r="I284" s="19">
        <v>3.1579356E8</v>
      </c>
      <c r="J284" s="21" t="s">
        <v>76</v>
      </c>
      <c r="K284" s="21" t="s">
        <v>1104</v>
      </c>
      <c r="L284" s="42"/>
      <c r="M284" s="19" t="s">
        <v>1791</v>
      </c>
      <c r="N284" s="19" t="s">
        <v>1792</v>
      </c>
      <c r="O284" s="19"/>
      <c r="P284" s="19" t="s">
        <v>1793</v>
      </c>
      <c r="Q284" s="21" t="s">
        <v>57</v>
      </c>
      <c r="R284" s="21" t="s">
        <v>1637</v>
      </c>
    </row>
    <row r="285">
      <c r="A285" s="19">
        <v>6702.0</v>
      </c>
      <c r="B285" s="19">
        <v>1.0</v>
      </c>
      <c r="C285" s="21" t="s">
        <v>1630</v>
      </c>
      <c r="D285" s="21">
        <v>6.0</v>
      </c>
      <c r="E285" s="19">
        <v>9375.0</v>
      </c>
      <c r="F285" s="25">
        <v>45838.0</v>
      </c>
      <c r="G285" s="19">
        <v>3.16520076E8</v>
      </c>
      <c r="H285" s="21" t="s">
        <v>48</v>
      </c>
      <c r="I285" s="19">
        <v>3.10367287E8</v>
      </c>
      <c r="J285" s="21" t="s">
        <v>647</v>
      </c>
      <c r="K285" s="21" t="s">
        <v>1715</v>
      </c>
      <c r="L285" s="42"/>
      <c r="M285" s="19" t="s">
        <v>1795</v>
      </c>
      <c r="N285" s="19" t="s">
        <v>1796</v>
      </c>
      <c r="O285" s="19"/>
      <c r="P285" s="19" t="s">
        <v>1797</v>
      </c>
      <c r="Q285" s="21" t="s">
        <v>1570</v>
      </c>
      <c r="R285" s="21" t="s">
        <v>1637</v>
      </c>
    </row>
    <row r="286">
      <c r="A286" s="19">
        <v>6763.0</v>
      </c>
      <c r="B286" s="19">
        <v>1.0</v>
      </c>
      <c r="C286" s="21" t="s">
        <v>1630</v>
      </c>
      <c r="D286" s="21">
        <v>6.0</v>
      </c>
      <c r="E286" s="19">
        <v>9436.0</v>
      </c>
      <c r="F286" s="25">
        <v>45838.0</v>
      </c>
      <c r="G286" s="19">
        <v>3.16520076E8</v>
      </c>
      <c r="H286" s="21" t="s">
        <v>48</v>
      </c>
      <c r="I286" s="19">
        <v>3.17658951E8</v>
      </c>
      <c r="J286" s="21" t="s">
        <v>854</v>
      </c>
      <c r="K286" s="21" t="s">
        <v>1612</v>
      </c>
      <c r="L286" s="42"/>
      <c r="M286" s="19" t="s">
        <v>1798</v>
      </c>
      <c r="N286" s="19" t="s">
        <v>1799</v>
      </c>
      <c r="O286" s="19"/>
      <c r="P286" s="19" t="s">
        <v>1800</v>
      </c>
      <c r="Q286" s="21" t="s">
        <v>1570</v>
      </c>
      <c r="R286" s="21" t="s">
        <v>1637</v>
      </c>
    </row>
    <row r="287">
      <c r="A287" s="19">
        <v>6782.0</v>
      </c>
      <c r="B287" s="19">
        <v>1.0</v>
      </c>
      <c r="C287" s="21" t="s">
        <v>1630</v>
      </c>
      <c r="D287" s="21">
        <v>6.0</v>
      </c>
      <c r="E287" s="19">
        <v>9455.0</v>
      </c>
      <c r="F287" s="25">
        <v>45838.0</v>
      </c>
      <c r="G287" s="19">
        <v>3.16520076E8</v>
      </c>
      <c r="H287" s="21" t="s">
        <v>48</v>
      </c>
      <c r="I287" s="19">
        <v>3.1579356E8</v>
      </c>
      <c r="J287" s="21" t="s">
        <v>76</v>
      </c>
      <c r="K287" s="21" t="s">
        <v>1104</v>
      </c>
      <c r="L287" s="42"/>
      <c r="M287" s="19" t="s">
        <v>1801</v>
      </c>
      <c r="N287" s="19" t="s">
        <v>1802</v>
      </c>
      <c r="O287" s="19"/>
      <c r="P287" s="19" t="s">
        <v>1803</v>
      </c>
      <c r="Q287" s="21" t="s">
        <v>57</v>
      </c>
      <c r="R287" s="21" t="s">
        <v>1637</v>
      </c>
    </row>
    <row r="288">
      <c r="A288" s="19">
        <v>38.0</v>
      </c>
      <c r="B288" s="19">
        <v>1.0</v>
      </c>
      <c r="C288" s="21" t="s">
        <v>1630</v>
      </c>
      <c r="D288" s="21">
        <v>5.0</v>
      </c>
      <c r="E288" s="19">
        <v>1037.0</v>
      </c>
      <c r="F288" s="25">
        <v>45803.0</v>
      </c>
      <c r="G288" s="19">
        <v>3.16520076E8</v>
      </c>
      <c r="H288" s="21" t="s">
        <v>48</v>
      </c>
      <c r="I288" s="19">
        <v>3.1579356E8</v>
      </c>
      <c r="J288" s="21" t="s">
        <v>76</v>
      </c>
      <c r="K288" s="21" t="s">
        <v>1104</v>
      </c>
      <c r="L288" s="42"/>
      <c r="M288" s="19" t="s">
        <v>1804</v>
      </c>
      <c r="N288" s="19" t="s">
        <v>1805</v>
      </c>
      <c r="O288" s="19"/>
      <c r="P288" s="19" t="s">
        <v>1806</v>
      </c>
      <c r="Q288" s="21" t="s">
        <v>57</v>
      </c>
      <c r="R288" s="21" t="s">
        <v>1637</v>
      </c>
    </row>
    <row r="289">
      <c r="A289" s="19">
        <v>161.0</v>
      </c>
      <c r="B289" s="19">
        <v>1.0</v>
      </c>
      <c r="C289" s="21" t="s">
        <v>1630</v>
      </c>
      <c r="D289" s="21">
        <v>5.0</v>
      </c>
      <c r="E289" s="19">
        <v>1160.0</v>
      </c>
      <c r="F289" s="25">
        <v>45803.0</v>
      </c>
      <c r="G289" s="19">
        <v>3.16520076E8</v>
      </c>
      <c r="H289" s="21" t="s">
        <v>48</v>
      </c>
      <c r="I289" s="19">
        <v>3.13541575E8</v>
      </c>
      <c r="J289" s="21" t="s">
        <v>907</v>
      </c>
      <c r="K289" s="21" t="s">
        <v>1621</v>
      </c>
      <c r="L289" s="42"/>
      <c r="M289" s="19" t="s">
        <v>1807</v>
      </c>
      <c r="N289" s="19" t="s">
        <v>1808</v>
      </c>
      <c r="O289" s="19"/>
      <c r="P289" s="19" t="s">
        <v>1809</v>
      </c>
      <c r="Q289" s="21" t="s">
        <v>1570</v>
      </c>
      <c r="R289" s="21" t="s">
        <v>1637</v>
      </c>
    </row>
    <row r="290">
      <c r="A290" s="19">
        <v>221.0</v>
      </c>
      <c r="B290" s="19">
        <v>1.0</v>
      </c>
      <c r="C290" s="21" t="s">
        <v>1630</v>
      </c>
      <c r="D290" s="21">
        <v>5.0</v>
      </c>
      <c r="E290" s="19">
        <v>1220.0</v>
      </c>
      <c r="F290" s="25">
        <v>45804.0</v>
      </c>
      <c r="G290" s="19">
        <v>3.16520076E8</v>
      </c>
      <c r="H290" s="21" t="s">
        <v>48</v>
      </c>
      <c r="I290" s="19">
        <v>3.12000887E8</v>
      </c>
      <c r="J290" s="21" t="s">
        <v>1810</v>
      </c>
      <c r="K290" s="21" t="s">
        <v>1811</v>
      </c>
      <c r="L290" s="42"/>
      <c r="M290" s="19" t="s">
        <v>1812</v>
      </c>
      <c r="N290" s="19" t="s">
        <v>1813</v>
      </c>
      <c r="O290" s="19"/>
      <c r="P290" s="19" t="s">
        <v>1814</v>
      </c>
      <c r="Q290" s="21" t="s">
        <v>57</v>
      </c>
      <c r="R290" s="21" t="s">
        <v>1637</v>
      </c>
    </row>
    <row r="291">
      <c r="A291" s="19">
        <v>224.0</v>
      </c>
      <c r="B291" s="19">
        <v>1.0</v>
      </c>
      <c r="C291" s="21" t="s">
        <v>1630</v>
      </c>
      <c r="D291" s="21">
        <v>5.0</v>
      </c>
      <c r="E291" s="19">
        <v>1223.0</v>
      </c>
      <c r="F291" s="25">
        <v>45804.0</v>
      </c>
      <c r="G291" s="19">
        <v>3.16520076E8</v>
      </c>
      <c r="H291" s="21" t="s">
        <v>48</v>
      </c>
      <c r="I291" s="19">
        <v>3.16160754E8</v>
      </c>
      <c r="J291" s="21" t="s">
        <v>1193</v>
      </c>
      <c r="K291" s="21" t="s">
        <v>1478</v>
      </c>
      <c r="L291" s="42"/>
      <c r="M291" s="19" t="s">
        <v>1815</v>
      </c>
      <c r="N291" s="19" t="s">
        <v>1816</v>
      </c>
      <c r="O291" s="19"/>
      <c r="P291" s="19" t="s">
        <v>1817</v>
      </c>
      <c r="Q291" s="21" t="s">
        <v>1570</v>
      </c>
      <c r="R291" s="21" t="s">
        <v>1637</v>
      </c>
    </row>
    <row r="292">
      <c r="A292" s="19">
        <v>259.0</v>
      </c>
      <c r="B292" s="19">
        <v>1.0</v>
      </c>
      <c r="C292" s="21" t="s">
        <v>1630</v>
      </c>
      <c r="D292" s="21">
        <v>5.0</v>
      </c>
      <c r="E292" s="19">
        <v>1258.0</v>
      </c>
      <c r="F292" s="25">
        <v>45804.0</v>
      </c>
      <c r="G292" s="19">
        <v>3.16520076E8</v>
      </c>
      <c r="H292" s="21" t="s">
        <v>48</v>
      </c>
      <c r="I292" s="19">
        <v>3.18522093E8</v>
      </c>
      <c r="J292" s="21" t="s">
        <v>596</v>
      </c>
      <c r="K292" s="21" t="s">
        <v>597</v>
      </c>
      <c r="L292" s="42"/>
      <c r="M292" s="19" t="s">
        <v>1332</v>
      </c>
      <c r="N292" s="19" t="s">
        <v>1334</v>
      </c>
      <c r="O292" s="19"/>
      <c r="P292" s="19" t="s">
        <v>1336</v>
      </c>
      <c r="Q292" s="21" t="s">
        <v>57</v>
      </c>
      <c r="R292" s="21" t="s">
        <v>1637</v>
      </c>
    </row>
    <row r="293">
      <c r="A293" s="19">
        <v>544.0</v>
      </c>
      <c r="B293" s="19">
        <v>1.0</v>
      </c>
      <c r="C293" s="21" t="s">
        <v>1630</v>
      </c>
      <c r="D293" s="21">
        <v>5.0</v>
      </c>
      <c r="E293" s="19">
        <v>1543.0</v>
      </c>
      <c r="F293" s="25">
        <v>45805.0</v>
      </c>
      <c r="G293" s="19">
        <v>3.16520076E8</v>
      </c>
      <c r="H293" s="21" t="s">
        <v>48</v>
      </c>
      <c r="I293" s="19">
        <v>3.18166409E8</v>
      </c>
      <c r="J293" s="21" t="s">
        <v>1366</v>
      </c>
      <c r="K293" s="21" t="s">
        <v>1367</v>
      </c>
      <c r="L293" s="42"/>
      <c r="M293" s="19" t="s">
        <v>1818</v>
      </c>
      <c r="N293" s="19" t="s">
        <v>1819</v>
      </c>
      <c r="O293" s="19"/>
      <c r="P293" s="19" t="s">
        <v>1820</v>
      </c>
      <c r="Q293" s="21" t="s">
        <v>1570</v>
      </c>
      <c r="R293" s="21" t="s">
        <v>1637</v>
      </c>
    </row>
    <row r="294">
      <c r="A294" s="19">
        <v>545.0</v>
      </c>
      <c r="B294" s="19">
        <v>1.0</v>
      </c>
      <c r="C294" s="21" t="s">
        <v>1630</v>
      </c>
      <c r="D294" s="21">
        <v>5.0</v>
      </c>
      <c r="E294" s="19">
        <v>1544.0</v>
      </c>
      <c r="F294" s="25">
        <v>45805.0</v>
      </c>
      <c r="G294" s="19">
        <v>3.16520076E8</v>
      </c>
      <c r="H294" s="21" t="s">
        <v>48</v>
      </c>
      <c r="I294" s="19">
        <v>3.18166409E8</v>
      </c>
      <c r="J294" s="21" t="s">
        <v>1366</v>
      </c>
      <c r="K294" s="21" t="s">
        <v>1367</v>
      </c>
      <c r="L294" s="42"/>
      <c r="M294" s="19" t="s">
        <v>1821</v>
      </c>
      <c r="N294" s="19" t="s">
        <v>1822</v>
      </c>
      <c r="O294" s="19"/>
      <c r="P294" s="19" t="s">
        <v>1823</v>
      </c>
      <c r="Q294" s="21" t="s">
        <v>1570</v>
      </c>
      <c r="R294" s="21" t="s">
        <v>1637</v>
      </c>
    </row>
    <row r="295">
      <c r="A295" s="19">
        <v>552.0</v>
      </c>
      <c r="B295" s="19">
        <v>1.0</v>
      </c>
      <c r="C295" s="21" t="s">
        <v>1630</v>
      </c>
      <c r="D295" s="21">
        <v>5.0</v>
      </c>
      <c r="E295" s="19">
        <v>1551.0</v>
      </c>
      <c r="F295" s="25">
        <v>45805.0</v>
      </c>
      <c r="G295" s="19">
        <v>3.16520076E8</v>
      </c>
      <c r="H295" s="21" t="s">
        <v>48</v>
      </c>
      <c r="I295" s="19">
        <v>3.097939E8</v>
      </c>
      <c r="J295" s="21" t="s">
        <v>1394</v>
      </c>
      <c r="K295" s="21" t="s">
        <v>1395</v>
      </c>
      <c r="L295" s="42"/>
      <c r="M295" s="19" t="s">
        <v>1824</v>
      </c>
      <c r="N295" s="19" t="s">
        <v>1825</v>
      </c>
      <c r="O295" s="19"/>
      <c r="P295" s="19" t="s">
        <v>1826</v>
      </c>
      <c r="Q295" s="21" t="s">
        <v>1570</v>
      </c>
      <c r="R295" s="21" t="s">
        <v>1637</v>
      </c>
    </row>
    <row r="296">
      <c r="A296" s="19">
        <v>561.0</v>
      </c>
      <c r="B296" s="19">
        <v>1.0</v>
      </c>
      <c r="C296" s="21" t="s">
        <v>1630</v>
      </c>
      <c r="D296" s="21">
        <v>5.0</v>
      </c>
      <c r="E296" s="19">
        <v>1560.0</v>
      </c>
      <c r="F296" s="25">
        <v>45805.0</v>
      </c>
      <c r="G296" s="19">
        <v>3.16520076E8</v>
      </c>
      <c r="H296" s="21" t="s">
        <v>48</v>
      </c>
      <c r="I296" s="19">
        <v>3.13342918E8</v>
      </c>
      <c r="J296" s="21" t="s">
        <v>1351</v>
      </c>
      <c r="K296" s="21" t="s">
        <v>1352</v>
      </c>
      <c r="L296" s="42"/>
      <c r="M296" s="19" t="s">
        <v>1827</v>
      </c>
      <c r="N296" s="19" t="s">
        <v>1828</v>
      </c>
      <c r="O296" s="19"/>
      <c r="P296" s="19" t="s">
        <v>1829</v>
      </c>
      <c r="Q296" s="21" t="s">
        <v>1570</v>
      </c>
      <c r="R296" s="21" t="s">
        <v>1637</v>
      </c>
    </row>
    <row r="297">
      <c r="A297" s="19">
        <v>747.0</v>
      </c>
      <c r="B297" s="19">
        <v>1.0</v>
      </c>
      <c r="C297" s="21" t="s">
        <v>1630</v>
      </c>
      <c r="D297" s="21">
        <v>5.0</v>
      </c>
      <c r="E297" s="19">
        <v>1746.0</v>
      </c>
      <c r="F297" s="25">
        <v>45806.0</v>
      </c>
      <c r="G297" s="19">
        <v>3.16520076E8</v>
      </c>
      <c r="H297" s="21" t="s">
        <v>48</v>
      </c>
      <c r="I297" s="19">
        <v>3.1579356E8</v>
      </c>
      <c r="J297" s="21" t="s">
        <v>76</v>
      </c>
      <c r="K297" s="21" t="s">
        <v>1104</v>
      </c>
      <c r="L297" s="42"/>
      <c r="M297" s="19" t="s">
        <v>1830</v>
      </c>
      <c r="N297" s="19" t="s">
        <v>1831</v>
      </c>
      <c r="O297" s="19"/>
      <c r="P297" s="19" t="s">
        <v>1832</v>
      </c>
      <c r="Q297" s="21" t="s">
        <v>57</v>
      </c>
      <c r="R297" s="21" t="s">
        <v>1637</v>
      </c>
    </row>
    <row r="298">
      <c r="A298" s="19">
        <v>796.0</v>
      </c>
      <c r="B298" s="19">
        <v>1.0</v>
      </c>
      <c r="C298" s="21" t="s">
        <v>1630</v>
      </c>
      <c r="D298" s="21">
        <v>5.0</v>
      </c>
      <c r="E298" s="19">
        <v>1795.0</v>
      </c>
      <c r="F298" s="25">
        <v>45806.0</v>
      </c>
      <c r="G298" s="19">
        <v>3.16520076E8</v>
      </c>
      <c r="H298" s="21" t="s">
        <v>48</v>
      </c>
      <c r="I298" s="19">
        <v>3.17558435E8</v>
      </c>
      <c r="J298" s="21" t="s">
        <v>1833</v>
      </c>
      <c r="K298" s="21" t="s">
        <v>1834</v>
      </c>
      <c r="L298" s="42"/>
      <c r="M298" s="19" t="s">
        <v>207</v>
      </c>
      <c r="N298" s="19" t="s">
        <v>124</v>
      </c>
      <c r="O298" s="19"/>
      <c r="P298" s="19" t="s">
        <v>209</v>
      </c>
      <c r="Q298" s="21" t="s">
        <v>57</v>
      </c>
      <c r="R298" s="21" t="s">
        <v>1637</v>
      </c>
    </row>
    <row r="299">
      <c r="A299" s="19">
        <v>1168.0</v>
      </c>
      <c r="B299" s="19">
        <v>1.0</v>
      </c>
      <c r="C299" s="21" t="s">
        <v>1630</v>
      </c>
      <c r="D299" s="21">
        <v>5.0</v>
      </c>
      <c r="E299" s="19">
        <v>2169.0</v>
      </c>
      <c r="F299" s="25">
        <v>45807.0</v>
      </c>
      <c r="G299" s="19">
        <v>3.16520076E8</v>
      </c>
      <c r="H299" s="21" t="s">
        <v>48</v>
      </c>
      <c r="I299" s="19">
        <v>3.1579356E8</v>
      </c>
      <c r="J299" s="21" t="s">
        <v>76</v>
      </c>
      <c r="K299" s="21" t="s">
        <v>1104</v>
      </c>
      <c r="L299" s="42"/>
      <c r="M299" s="19" t="s">
        <v>1835</v>
      </c>
      <c r="N299" s="19" t="s">
        <v>1836</v>
      </c>
      <c r="O299" s="19"/>
      <c r="P299" s="19" t="s">
        <v>1837</v>
      </c>
      <c r="Q299" s="21" t="s">
        <v>57</v>
      </c>
      <c r="R299" s="21" t="s">
        <v>1637</v>
      </c>
    </row>
    <row r="300">
      <c r="A300" s="19">
        <v>1170.0</v>
      </c>
      <c r="B300" s="19">
        <v>1.0</v>
      </c>
      <c r="C300" s="21" t="s">
        <v>1630</v>
      </c>
      <c r="D300" s="21">
        <v>5.0</v>
      </c>
      <c r="E300" s="19">
        <v>2171.0</v>
      </c>
      <c r="F300" s="25">
        <v>45807.0</v>
      </c>
      <c r="G300" s="19">
        <v>3.16520076E8</v>
      </c>
      <c r="H300" s="21" t="s">
        <v>48</v>
      </c>
      <c r="I300" s="19">
        <v>3.18401003E8</v>
      </c>
      <c r="J300" s="21" t="s">
        <v>360</v>
      </c>
      <c r="K300" s="21" t="s">
        <v>362</v>
      </c>
      <c r="L300" s="42"/>
      <c r="M300" s="19" t="s">
        <v>1656</v>
      </c>
      <c r="N300" s="19" t="s">
        <v>1838</v>
      </c>
      <c r="O300" s="19"/>
      <c r="P300" s="19" t="s">
        <v>1839</v>
      </c>
      <c r="Q300" s="21" t="s">
        <v>1570</v>
      </c>
      <c r="R300" s="21" t="s">
        <v>1637</v>
      </c>
    </row>
    <row r="301">
      <c r="A301" s="19">
        <v>1171.0</v>
      </c>
      <c r="B301" s="19">
        <v>1.0</v>
      </c>
      <c r="C301" s="21" t="s">
        <v>1630</v>
      </c>
      <c r="D301" s="21">
        <v>5.0</v>
      </c>
      <c r="E301" s="19">
        <v>2172.0</v>
      </c>
      <c r="F301" s="25">
        <v>45807.0</v>
      </c>
      <c r="G301" s="19">
        <v>3.16520076E8</v>
      </c>
      <c r="H301" s="21" t="s">
        <v>48</v>
      </c>
      <c r="I301" s="19">
        <v>1.00731483E8</v>
      </c>
      <c r="J301" s="21" t="s">
        <v>376</v>
      </c>
      <c r="K301" s="21" t="s">
        <v>378</v>
      </c>
      <c r="L301" s="42"/>
      <c r="M301" s="19" t="s">
        <v>1841</v>
      </c>
      <c r="N301" s="19" t="s">
        <v>1842</v>
      </c>
      <c r="O301" s="19"/>
      <c r="P301" s="19" t="s">
        <v>1843</v>
      </c>
      <c r="Q301" s="21" t="s">
        <v>1570</v>
      </c>
      <c r="R301" s="21" t="s">
        <v>1637</v>
      </c>
    </row>
    <row r="302">
      <c r="A302" s="19">
        <v>1173.0</v>
      </c>
      <c r="B302" s="19">
        <v>1.0</v>
      </c>
      <c r="C302" s="21" t="s">
        <v>1630</v>
      </c>
      <c r="D302" s="21">
        <v>5.0</v>
      </c>
      <c r="E302" s="19">
        <v>2174.0</v>
      </c>
      <c r="F302" s="25">
        <v>45807.0</v>
      </c>
      <c r="G302" s="19">
        <v>3.16520076E8</v>
      </c>
      <c r="H302" s="21" t="s">
        <v>48</v>
      </c>
      <c r="I302" s="19">
        <v>1.00731483E8</v>
      </c>
      <c r="J302" s="21" t="s">
        <v>376</v>
      </c>
      <c r="K302" s="21" t="s">
        <v>378</v>
      </c>
      <c r="L302" s="42"/>
      <c r="M302" s="19" t="s">
        <v>1844</v>
      </c>
      <c r="N302" s="19" t="s">
        <v>1845</v>
      </c>
      <c r="O302" s="19"/>
      <c r="P302" s="19" t="s">
        <v>1846</v>
      </c>
      <c r="Q302" s="21" t="s">
        <v>1570</v>
      </c>
      <c r="R302" s="21" t="s">
        <v>1637</v>
      </c>
    </row>
    <row r="303">
      <c r="A303" s="19">
        <v>1178.0</v>
      </c>
      <c r="B303" s="19">
        <v>1.0</v>
      </c>
      <c r="C303" s="21" t="s">
        <v>1630</v>
      </c>
      <c r="D303" s="21">
        <v>5.0</v>
      </c>
      <c r="E303" s="19">
        <v>2179.0</v>
      </c>
      <c r="F303" s="25">
        <v>45807.0</v>
      </c>
      <c r="G303" s="19">
        <v>3.16520076E8</v>
      </c>
      <c r="H303" s="21" t="s">
        <v>48</v>
      </c>
      <c r="I303" s="19">
        <v>3.17749976E8</v>
      </c>
      <c r="J303" s="21" t="s">
        <v>475</v>
      </c>
      <c r="K303" s="21" t="s">
        <v>476</v>
      </c>
      <c r="L303" s="42"/>
      <c r="M303" s="19" t="s">
        <v>1847</v>
      </c>
      <c r="N303" s="19" t="s">
        <v>1848</v>
      </c>
      <c r="O303" s="19"/>
      <c r="P303" s="19" t="s">
        <v>1849</v>
      </c>
      <c r="Q303" s="21" t="s">
        <v>1570</v>
      </c>
      <c r="R303" s="21" t="s">
        <v>1637</v>
      </c>
    </row>
    <row r="304">
      <c r="A304" s="19">
        <v>1195.0</v>
      </c>
      <c r="B304" s="19">
        <v>1.0</v>
      </c>
      <c r="C304" s="21" t="s">
        <v>1630</v>
      </c>
      <c r="D304" s="21">
        <v>5.0</v>
      </c>
      <c r="E304" s="19">
        <v>2196.0</v>
      </c>
      <c r="F304" s="25">
        <v>45807.0</v>
      </c>
      <c r="G304" s="19">
        <v>3.16520076E8</v>
      </c>
      <c r="H304" s="21" t="s">
        <v>48</v>
      </c>
      <c r="I304" s="19">
        <v>6.400448686E9</v>
      </c>
      <c r="J304" s="21" t="s">
        <v>456</v>
      </c>
      <c r="K304" s="21" t="s">
        <v>458</v>
      </c>
      <c r="L304" s="42"/>
      <c r="M304" s="19" t="s">
        <v>1850</v>
      </c>
      <c r="N304" s="19" t="s">
        <v>1851</v>
      </c>
      <c r="O304" s="19"/>
      <c r="P304" s="19" t="s">
        <v>1852</v>
      </c>
      <c r="Q304" s="21" t="s">
        <v>1570</v>
      </c>
      <c r="R304" s="21" t="s">
        <v>1637</v>
      </c>
    </row>
    <row r="305">
      <c r="A305" s="19">
        <v>1218.0</v>
      </c>
      <c r="B305" s="19">
        <v>1.0</v>
      </c>
      <c r="C305" s="21" t="s">
        <v>1630</v>
      </c>
      <c r="D305" s="21">
        <v>5.0</v>
      </c>
      <c r="E305" s="19">
        <v>2219.0</v>
      </c>
      <c r="F305" s="25">
        <v>45807.0</v>
      </c>
      <c r="G305" s="19">
        <v>3.16520076E8</v>
      </c>
      <c r="H305" s="21" t="s">
        <v>48</v>
      </c>
      <c r="I305" s="19">
        <v>3.15729798E8</v>
      </c>
      <c r="J305" s="21" t="s">
        <v>218</v>
      </c>
      <c r="K305" s="21" t="s">
        <v>220</v>
      </c>
      <c r="L305" s="42"/>
      <c r="M305" s="19" t="s">
        <v>1853</v>
      </c>
      <c r="N305" s="19" t="s">
        <v>1854</v>
      </c>
      <c r="O305" s="19"/>
      <c r="P305" s="19" t="s">
        <v>1855</v>
      </c>
      <c r="Q305" s="21" t="s">
        <v>1570</v>
      </c>
      <c r="R305" s="21" t="s">
        <v>1637</v>
      </c>
    </row>
    <row r="306">
      <c r="A306" s="19">
        <v>1219.0</v>
      </c>
      <c r="B306" s="19">
        <v>1.0</v>
      </c>
      <c r="C306" s="21" t="s">
        <v>1630</v>
      </c>
      <c r="D306" s="21">
        <v>5.0</v>
      </c>
      <c r="E306" s="19">
        <v>2220.0</v>
      </c>
      <c r="F306" s="25">
        <v>45807.0</v>
      </c>
      <c r="G306" s="19">
        <v>3.16520076E8</v>
      </c>
      <c r="H306" s="21" t="s">
        <v>48</v>
      </c>
      <c r="I306" s="19">
        <v>3.03427866E8</v>
      </c>
      <c r="J306" s="21" t="s">
        <v>238</v>
      </c>
      <c r="K306" s="21" t="s">
        <v>240</v>
      </c>
      <c r="L306" s="42"/>
      <c r="M306" s="19" t="s">
        <v>1856</v>
      </c>
      <c r="N306" s="19" t="s">
        <v>1857</v>
      </c>
      <c r="O306" s="19"/>
      <c r="P306" s="19" t="s">
        <v>1858</v>
      </c>
      <c r="Q306" s="21" t="s">
        <v>1570</v>
      </c>
      <c r="R306" s="21" t="s">
        <v>1637</v>
      </c>
    </row>
    <row r="307">
      <c r="A307" s="19">
        <v>1274.0</v>
      </c>
      <c r="B307" s="19">
        <v>1.0</v>
      </c>
      <c r="C307" s="21" t="s">
        <v>1630</v>
      </c>
      <c r="D307" s="21">
        <v>5.0</v>
      </c>
      <c r="E307" s="19">
        <v>2275.0</v>
      </c>
      <c r="F307" s="25">
        <v>45807.0</v>
      </c>
      <c r="G307" s="19">
        <v>3.16520076E8</v>
      </c>
      <c r="H307" s="21" t="s">
        <v>48</v>
      </c>
      <c r="I307" s="19">
        <v>7.00836294E8</v>
      </c>
      <c r="J307" s="21" t="s">
        <v>345</v>
      </c>
      <c r="K307" s="21" t="s">
        <v>346</v>
      </c>
      <c r="L307" s="42"/>
      <c r="M307" s="19" t="s">
        <v>1859</v>
      </c>
      <c r="N307" s="19" t="s">
        <v>1860</v>
      </c>
      <c r="O307" s="19"/>
      <c r="P307" s="19" t="s">
        <v>1862</v>
      </c>
      <c r="Q307" s="21" t="s">
        <v>1570</v>
      </c>
      <c r="R307" s="21" t="s">
        <v>1637</v>
      </c>
    </row>
    <row r="308">
      <c r="A308" s="19">
        <v>1286.0</v>
      </c>
      <c r="B308" s="19">
        <v>1.0</v>
      </c>
      <c r="C308" s="21" t="s">
        <v>1630</v>
      </c>
      <c r="D308" s="21">
        <v>5.0</v>
      </c>
      <c r="E308" s="19">
        <v>2287.0</v>
      </c>
      <c r="F308" s="25">
        <v>45807.0</v>
      </c>
      <c r="G308" s="19">
        <v>3.16520076E8</v>
      </c>
      <c r="H308" s="21" t="s">
        <v>48</v>
      </c>
      <c r="I308" s="19">
        <v>3.1579356E8</v>
      </c>
      <c r="J308" s="21" t="s">
        <v>76</v>
      </c>
      <c r="K308" s="21" t="s">
        <v>1104</v>
      </c>
      <c r="L308" s="42"/>
      <c r="M308" s="19" t="s">
        <v>1863</v>
      </c>
      <c r="N308" s="19" t="s">
        <v>1864</v>
      </c>
      <c r="O308" s="19"/>
      <c r="P308" s="19" t="s">
        <v>1865</v>
      </c>
      <c r="Q308" s="21" t="s">
        <v>57</v>
      </c>
      <c r="R308" s="21" t="s">
        <v>1637</v>
      </c>
    </row>
    <row r="309">
      <c r="A309" s="19">
        <v>1555.0</v>
      </c>
      <c r="B309" s="19">
        <v>1.0</v>
      </c>
      <c r="C309" s="21" t="s">
        <v>1630</v>
      </c>
      <c r="D309" s="21">
        <v>5.0</v>
      </c>
      <c r="E309" s="19">
        <v>2556.0</v>
      </c>
      <c r="F309" s="25">
        <v>45808.0</v>
      </c>
      <c r="G309" s="19">
        <v>3.16520076E8</v>
      </c>
      <c r="H309" s="21" t="s">
        <v>48</v>
      </c>
      <c r="I309" s="19">
        <v>3.14873573E8</v>
      </c>
      <c r="J309" s="21" t="s">
        <v>844</v>
      </c>
      <c r="K309" s="21" t="s">
        <v>845</v>
      </c>
      <c r="L309" s="42"/>
      <c r="M309" s="19" t="s">
        <v>1866</v>
      </c>
      <c r="N309" s="19" t="s">
        <v>1867</v>
      </c>
      <c r="O309" s="19"/>
      <c r="P309" s="19" t="s">
        <v>1868</v>
      </c>
      <c r="Q309" s="21" t="s">
        <v>1570</v>
      </c>
      <c r="R309" s="21" t="s">
        <v>1637</v>
      </c>
    </row>
    <row r="310">
      <c r="A310" s="19">
        <v>1561.0</v>
      </c>
      <c r="B310" s="19">
        <v>1.0</v>
      </c>
      <c r="C310" s="21" t="s">
        <v>1630</v>
      </c>
      <c r="D310" s="21">
        <v>5.0</v>
      </c>
      <c r="E310" s="19">
        <v>2562.0</v>
      </c>
      <c r="F310" s="25">
        <v>45808.0</v>
      </c>
      <c r="G310" s="19">
        <v>3.16520076E8</v>
      </c>
      <c r="H310" s="21" t="s">
        <v>48</v>
      </c>
      <c r="I310" s="19">
        <v>3.18279201E8</v>
      </c>
      <c r="J310" s="21" t="s">
        <v>1284</v>
      </c>
      <c r="K310" s="21" t="s">
        <v>1285</v>
      </c>
      <c r="L310" s="42"/>
      <c r="M310" s="19" t="s">
        <v>1870</v>
      </c>
      <c r="N310" s="19" t="s">
        <v>1871</v>
      </c>
      <c r="O310" s="19"/>
      <c r="P310" s="19" t="s">
        <v>1872</v>
      </c>
      <c r="Q310" s="21" t="s">
        <v>1570</v>
      </c>
      <c r="R310" s="21" t="s">
        <v>1637</v>
      </c>
    </row>
    <row r="311">
      <c r="A311" s="19">
        <v>1564.0</v>
      </c>
      <c r="B311" s="19">
        <v>1.0</v>
      </c>
      <c r="C311" s="21" t="s">
        <v>1630</v>
      </c>
      <c r="D311" s="21">
        <v>5.0</v>
      </c>
      <c r="E311" s="19">
        <v>2565.0</v>
      </c>
      <c r="F311" s="25">
        <v>45808.0</v>
      </c>
      <c r="G311" s="19">
        <v>3.16520076E8</v>
      </c>
      <c r="H311" s="21" t="s">
        <v>48</v>
      </c>
      <c r="I311" s="19">
        <v>3.14094707E8</v>
      </c>
      <c r="J311" s="21" t="s">
        <v>1299</v>
      </c>
      <c r="K311" s="21" t="s">
        <v>1301</v>
      </c>
      <c r="L311" s="42"/>
      <c r="M311" s="19" t="s">
        <v>1873</v>
      </c>
      <c r="N311" s="19" t="s">
        <v>1874</v>
      </c>
      <c r="O311" s="19"/>
      <c r="P311" s="19" t="s">
        <v>1875</v>
      </c>
      <c r="Q311" s="21" t="s">
        <v>1570</v>
      </c>
      <c r="R311" s="21" t="s">
        <v>1637</v>
      </c>
    </row>
    <row r="312">
      <c r="A312" s="19">
        <v>1565.0</v>
      </c>
      <c r="B312" s="19">
        <v>1.0</v>
      </c>
      <c r="C312" s="21" t="s">
        <v>1630</v>
      </c>
      <c r="D312" s="21">
        <v>5.0</v>
      </c>
      <c r="E312" s="19">
        <v>2566.0</v>
      </c>
      <c r="F312" s="25">
        <v>45808.0</v>
      </c>
      <c r="G312" s="19">
        <v>3.16520076E8</v>
      </c>
      <c r="H312" s="21" t="s">
        <v>48</v>
      </c>
      <c r="I312" s="19">
        <v>3.12276204E8</v>
      </c>
      <c r="J312" s="21" t="s">
        <v>1317</v>
      </c>
      <c r="K312" s="21" t="s">
        <v>1318</v>
      </c>
      <c r="L312" s="42"/>
      <c r="M312" s="19" t="s">
        <v>1876</v>
      </c>
      <c r="N312" s="19" t="s">
        <v>1877</v>
      </c>
      <c r="O312" s="19"/>
      <c r="P312" s="19" t="s">
        <v>1878</v>
      </c>
      <c r="Q312" s="21" t="s">
        <v>1570</v>
      </c>
      <c r="R312" s="21" t="s">
        <v>1637</v>
      </c>
    </row>
    <row r="313">
      <c r="A313" s="19">
        <v>1567.0</v>
      </c>
      <c r="B313" s="19">
        <v>1.0</v>
      </c>
      <c r="C313" s="21" t="s">
        <v>1630</v>
      </c>
      <c r="D313" s="21">
        <v>5.0</v>
      </c>
      <c r="E313" s="19">
        <v>2568.0</v>
      </c>
      <c r="F313" s="25">
        <v>45808.0</v>
      </c>
      <c r="G313" s="19">
        <v>3.16520076E8</v>
      </c>
      <c r="H313" s="21" t="s">
        <v>48</v>
      </c>
      <c r="I313" s="19">
        <v>3.17770953E8</v>
      </c>
      <c r="J313" s="21" t="s">
        <v>1335</v>
      </c>
      <c r="K313" s="21" t="s">
        <v>1337</v>
      </c>
      <c r="L313" s="42"/>
      <c r="M313" s="19" t="s">
        <v>1879</v>
      </c>
      <c r="N313" s="19" t="s">
        <v>1880</v>
      </c>
      <c r="O313" s="19"/>
      <c r="P313" s="19" t="s">
        <v>1881</v>
      </c>
      <c r="Q313" s="21" t="s">
        <v>1570</v>
      </c>
      <c r="R313" s="21" t="s">
        <v>1637</v>
      </c>
    </row>
    <row r="314">
      <c r="A314" s="19">
        <v>1569.0</v>
      </c>
      <c r="B314" s="19">
        <v>1.0</v>
      </c>
      <c r="C314" s="21" t="s">
        <v>1630</v>
      </c>
      <c r="D314" s="21">
        <v>5.0</v>
      </c>
      <c r="E314" s="19">
        <v>2570.0</v>
      </c>
      <c r="F314" s="25">
        <v>45808.0</v>
      </c>
      <c r="G314" s="19">
        <v>3.16520076E8</v>
      </c>
      <c r="H314" s="21" t="s">
        <v>48</v>
      </c>
      <c r="I314" s="19">
        <v>1.01311315E8</v>
      </c>
      <c r="J314" s="21" t="s">
        <v>1046</v>
      </c>
      <c r="K314" s="21" t="s">
        <v>1047</v>
      </c>
      <c r="L314" s="42"/>
      <c r="M314" s="19" t="s">
        <v>1882</v>
      </c>
      <c r="N314" s="19" t="s">
        <v>1883</v>
      </c>
      <c r="O314" s="19"/>
      <c r="P314" s="19" t="s">
        <v>1884</v>
      </c>
      <c r="Q314" s="21" t="s">
        <v>1570</v>
      </c>
      <c r="R314" s="21" t="s">
        <v>1637</v>
      </c>
    </row>
    <row r="315">
      <c r="A315" s="19">
        <v>1570.0</v>
      </c>
      <c r="B315" s="19">
        <v>1.0</v>
      </c>
      <c r="C315" s="21" t="s">
        <v>1630</v>
      </c>
      <c r="D315" s="21">
        <v>5.0</v>
      </c>
      <c r="E315" s="19">
        <v>2571.0</v>
      </c>
      <c r="F315" s="25">
        <v>45808.0</v>
      </c>
      <c r="G315" s="19">
        <v>3.16520076E8</v>
      </c>
      <c r="H315" s="21" t="s">
        <v>48</v>
      </c>
      <c r="I315" s="19" t="s">
        <v>1134</v>
      </c>
      <c r="J315" s="21" t="s">
        <v>1136</v>
      </c>
      <c r="K315" s="21" t="s">
        <v>1138</v>
      </c>
      <c r="L315" s="42"/>
      <c r="M315" s="19" t="s">
        <v>1885</v>
      </c>
      <c r="N315" s="19" t="s">
        <v>1886</v>
      </c>
      <c r="O315" s="19"/>
      <c r="P315" s="19" t="s">
        <v>1887</v>
      </c>
      <c r="Q315" s="21" t="s">
        <v>1570</v>
      </c>
      <c r="R315" s="21" t="s">
        <v>1637</v>
      </c>
    </row>
    <row r="316">
      <c r="A316" s="19">
        <v>1571.0</v>
      </c>
      <c r="B316" s="19">
        <v>1.0</v>
      </c>
      <c r="C316" s="21" t="s">
        <v>1630</v>
      </c>
      <c r="D316" s="21">
        <v>5.0</v>
      </c>
      <c r="E316" s="19">
        <v>2572.0</v>
      </c>
      <c r="F316" s="25">
        <v>45808.0</v>
      </c>
      <c r="G316" s="19">
        <v>3.16520076E8</v>
      </c>
      <c r="H316" s="21" t="s">
        <v>48</v>
      </c>
      <c r="I316" s="19">
        <v>3.1632939E8</v>
      </c>
      <c r="J316" s="21" t="s">
        <v>796</v>
      </c>
      <c r="K316" s="21" t="s">
        <v>797</v>
      </c>
      <c r="L316" s="42"/>
      <c r="M316" s="19" t="s">
        <v>1888</v>
      </c>
      <c r="N316" s="19" t="s">
        <v>1889</v>
      </c>
      <c r="O316" s="19"/>
      <c r="P316" s="19" t="s">
        <v>1890</v>
      </c>
      <c r="Q316" s="21" t="s">
        <v>1570</v>
      </c>
      <c r="R316" s="21" t="s">
        <v>1637</v>
      </c>
    </row>
    <row r="317">
      <c r="A317" s="19">
        <v>1572.0</v>
      </c>
      <c r="B317" s="19">
        <v>1.0</v>
      </c>
      <c r="C317" s="21" t="s">
        <v>1630</v>
      </c>
      <c r="D317" s="21">
        <v>5.0</v>
      </c>
      <c r="E317" s="19">
        <v>2573.0</v>
      </c>
      <c r="F317" s="25">
        <v>45808.0</v>
      </c>
      <c r="G317" s="19">
        <v>3.16520076E8</v>
      </c>
      <c r="H317" s="21" t="s">
        <v>48</v>
      </c>
      <c r="I317" s="19">
        <v>3.18439543E8</v>
      </c>
      <c r="J317" s="21" t="s">
        <v>810</v>
      </c>
      <c r="K317" s="21" t="s">
        <v>812</v>
      </c>
      <c r="L317" s="42"/>
      <c r="M317" s="19" t="s">
        <v>1891</v>
      </c>
      <c r="N317" s="19" t="s">
        <v>1892</v>
      </c>
      <c r="O317" s="19"/>
      <c r="P317" s="19" t="s">
        <v>1893</v>
      </c>
      <c r="Q317" s="21" t="s">
        <v>1570</v>
      </c>
      <c r="R317" s="21" t="s">
        <v>1637</v>
      </c>
    </row>
    <row r="318">
      <c r="A318" s="19">
        <v>1573.0</v>
      </c>
      <c r="B318" s="19">
        <v>1.0</v>
      </c>
      <c r="C318" s="21" t="s">
        <v>1630</v>
      </c>
      <c r="D318" s="21">
        <v>5.0</v>
      </c>
      <c r="E318" s="19">
        <v>2574.0</v>
      </c>
      <c r="F318" s="25">
        <v>45808.0</v>
      </c>
      <c r="G318" s="19">
        <v>3.16520076E8</v>
      </c>
      <c r="H318" s="21" t="s">
        <v>48</v>
      </c>
      <c r="I318" s="19">
        <v>3.1658521E8</v>
      </c>
      <c r="J318" s="21" t="s">
        <v>872</v>
      </c>
      <c r="K318" s="21" t="s">
        <v>873</v>
      </c>
      <c r="L318" s="42"/>
      <c r="M318" s="19" t="s">
        <v>1894</v>
      </c>
      <c r="N318" s="19" t="s">
        <v>1895</v>
      </c>
      <c r="O318" s="19"/>
      <c r="P318" s="19" t="s">
        <v>1896</v>
      </c>
      <c r="Q318" s="21" t="s">
        <v>1570</v>
      </c>
      <c r="R318" s="21" t="s">
        <v>1637</v>
      </c>
    </row>
    <row r="319">
      <c r="A319" s="19">
        <v>1574.0</v>
      </c>
      <c r="B319" s="19">
        <v>1.0</v>
      </c>
      <c r="C319" s="21" t="s">
        <v>1630</v>
      </c>
      <c r="D319" s="21">
        <v>5.0</v>
      </c>
      <c r="E319" s="19">
        <v>2575.0</v>
      </c>
      <c r="F319" s="25">
        <v>45808.0</v>
      </c>
      <c r="G319" s="19">
        <v>3.16520076E8</v>
      </c>
      <c r="H319" s="21" t="s">
        <v>48</v>
      </c>
      <c r="I319" s="19">
        <v>4.02246807E8</v>
      </c>
      <c r="J319" s="21" t="s">
        <v>932</v>
      </c>
      <c r="K319" s="21" t="s">
        <v>933</v>
      </c>
      <c r="L319" s="42"/>
      <c r="M319" s="19" t="s">
        <v>1856</v>
      </c>
      <c r="N319" s="19" t="s">
        <v>1857</v>
      </c>
      <c r="O319" s="19"/>
      <c r="P319" s="19" t="s">
        <v>1858</v>
      </c>
      <c r="Q319" s="21" t="s">
        <v>1570</v>
      </c>
      <c r="R319" s="21" t="s">
        <v>1637</v>
      </c>
    </row>
    <row r="320">
      <c r="A320" s="19">
        <v>1575.0</v>
      </c>
      <c r="B320" s="19">
        <v>1.0</v>
      </c>
      <c r="C320" s="21" t="s">
        <v>1630</v>
      </c>
      <c r="D320" s="21">
        <v>5.0</v>
      </c>
      <c r="E320" s="19">
        <v>2576.0</v>
      </c>
      <c r="F320" s="25">
        <v>45808.0</v>
      </c>
      <c r="G320" s="19">
        <v>3.16520076E8</v>
      </c>
      <c r="H320" s="21" t="s">
        <v>48</v>
      </c>
      <c r="I320" s="19">
        <v>3.700691189E9</v>
      </c>
      <c r="J320" s="21" t="s">
        <v>951</v>
      </c>
      <c r="K320" s="21" t="s">
        <v>953</v>
      </c>
      <c r="L320" s="42"/>
      <c r="M320" s="19" t="s">
        <v>1897</v>
      </c>
      <c r="N320" s="19" t="s">
        <v>1898</v>
      </c>
      <c r="O320" s="19"/>
      <c r="P320" s="19" t="s">
        <v>1899</v>
      </c>
      <c r="Q320" s="21" t="s">
        <v>1570</v>
      </c>
      <c r="R320" s="21" t="s">
        <v>1637</v>
      </c>
    </row>
    <row r="321">
      <c r="A321" s="19">
        <v>1576.0</v>
      </c>
      <c r="B321" s="19">
        <v>1.0</v>
      </c>
      <c r="C321" s="21" t="s">
        <v>1630</v>
      </c>
      <c r="D321" s="21">
        <v>5.0</v>
      </c>
      <c r="E321" s="19">
        <v>2577.0</v>
      </c>
      <c r="F321" s="25">
        <v>45808.0</v>
      </c>
      <c r="G321" s="19">
        <v>3.16520076E8</v>
      </c>
      <c r="H321" s="21" t="s">
        <v>48</v>
      </c>
      <c r="I321" s="19">
        <v>4.10151017E9</v>
      </c>
      <c r="J321" s="21" t="s">
        <v>969</v>
      </c>
      <c r="K321" s="21" t="s">
        <v>971</v>
      </c>
      <c r="L321" s="42"/>
      <c r="M321" s="19" t="s">
        <v>1900</v>
      </c>
      <c r="N321" s="19" t="s">
        <v>1901</v>
      </c>
      <c r="O321" s="19"/>
      <c r="P321" s="19" t="s">
        <v>1902</v>
      </c>
      <c r="Q321" s="21" t="s">
        <v>1570</v>
      </c>
      <c r="R321" s="21" t="s">
        <v>1637</v>
      </c>
    </row>
    <row r="322">
      <c r="A322" s="19">
        <v>1578.0</v>
      </c>
      <c r="B322" s="19">
        <v>1.0</v>
      </c>
      <c r="C322" s="21" t="s">
        <v>1630</v>
      </c>
      <c r="D322" s="21">
        <v>5.0</v>
      </c>
      <c r="E322" s="19">
        <v>2579.0</v>
      </c>
      <c r="F322" s="25">
        <v>45808.0</v>
      </c>
      <c r="G322" s="19">
        <v>3.16520076E8</v>
      </c>
      <c r="H322" s="21" t="s">
        <v>48</v>
      </c>
      <c r="I322" s="19">
        <v>3.17762776E8</v>
      </c>
      <c r="J322" s="21" t="s">
        <v>1015</v>
      </c>
      <c r="K322" s="21" t="s">
        <v>1017</v>
      </c>
      <c r="L322" s="42"/>
      <c r="M322" s="19" t="s">
        <v>1903</v>
      </c>
      <c r="N322" s="19" t="s">
        <v>1904</v>
      </c>
      <c r="O322" s="19"/>
      <c r="P322" s="19" t="s">
        <v>1905</v>
      </c>
      <c r="Q322" s="21" t="s">
        <v>1570</v>
      </c>
      <c r="R322" s="21" t="s">
        <v>1637</v>
      </c>
    </row>
    <row r="323">
      <c r="A323" s="19">
        <v>1579.0</v>
      </c>
      <c r="B323" s="19">
        <v>1.0</v>
      </c>
      <c r="C323" s="21" t="s">
        <v>1630</v>
      </c>
      <c r="D323" s="21">
        <v>5.0</v>
      </c>
      <c r="E323" s="19">
        <v>2580.0</v>
      </c>
      <c r="F323" s="25">
        <v>45808.0</v>
      </c>
      <c r="G323" s="19">
        <v>3.16520076E8</v>
      </c>
      <c r="H323" s="21" t="s">
        <v>48</v>
      </c>
      <c r="I323" s="19">
        <v>1.101938588E9</v>
      </c>
      <c r="J323" s="21" t="s">
        <v>515</v>
      </c>
      <c r="K323" s="21" t="s">
        <v>516</v>
      </c>
      <c r="L323" s="42"/>
      <c r="M323" s="19" t="s">
        <v>1906</v>
      </c>
      <c r="N323" s="19" t="s">
        <v>1907</v>
      </c>
      <c r="O323" s="19"/>
      <c r="P323" s="19" t="s">
        <v>1908</v>
      </c>
      <c r="Q323" s="21" t="s">
        <v>1570</v>
      </c>
      <c r="R323" s="21" t="s">
        <v>1637</v>
      </c>
    </row>
    <row r="324">
      <c r="A324" s="19">
        <v>1580.0</v>
      </c>
      <c r="B324" s="19">
        <v>1.0</v>
      </c>
      <c r="C324" s="21" t="s">
        <v>1630</v>
      </c>
      <c r="D324" s="21">
        <v>5.0</v>
      </c>
      <c r="E324" s="19">
        <v>2581.0</v>
      </c>
      <c r="F324" s="25">
        <v>45808.0</v>
      </c>
      <c r="G324" s="19">
        <v>3.16520076E8</v>
      </c>
      <c r="H324" s="21" t="s">
        <v>48</v>
      </c>
      <c r="I324" s="19">
        <v>1.08110061E8</v>
      </c>
      <c r="J324" s="21" t="s">
        <v>529</v>
      </c>
      <c r="K324" s="21" t="s">
        <v>530</v>
      </c>
      <c r="L324" s="42"/>
      <c r="M324" s="19" t="s">
        <v>1909</v>
      </c>
      <c r="N324" s="19" t="s">
        <v>1910</v>
      </c>
      <c r="O324" s="19"/>
      <c r="P324" s="19" t="s">
        <v>1911</v>
      </c>
      <c r="Q324" s="21" t="s">
        <v>1570</v>
      </c>
      <c r="R324" s="21" t="s">
        <v>1637</v>
      </c>
    </row>
    <row r="325">
      <c r="A325" s="19">
        <v>1581.0</v>
      </c>
      <c r="B325" s="19">
        <v>1.0</v>
      </c>
      <c r="C325" s="21" t="s">
        <v>1630</v>
      </c>
      <c r="D325" s="21">
        <v>5.0</v>
      </c>
      <c r="E325" s="19">
        <v>2582.0</v>
      </c>
      <c r="F325" s="25">
        <v>45808.0</v>
      </c>
      <c r="G325" s="19">
        <v>3.16520076E8</v>
      </c>
      <c r="H325" s="21" t="s">
        <v>48</v>
      </c>
      <c r="I325" s="19">
        <v>3.13878152E8</v>
      </c>
      <c r="J325" s="21" t="s">
        <v>544</v>
      </c>
      <c r="K325" s="21" t="s">
        <v>545</v>
      </c>
      <c r="L325" s="42"/>
      <c r="M325" s="19" t="s">
        <v>808</v>
      </c>
      <c r="N325" s="19" t="s">
        <v>1912</v>
      </c>
      <c r="O325" s="19"/>
      <c r="P325" s="19" t="s">
        <v>1913</v>
      </c>
      <c r="Q325" s="21" t="s">
        <v>1570</v>
      </c>
      <c r="R325" s="21" t="s">
        <v>1637</v>
      </c>
    </row>
    <row r="326">
      <c r="A326" s="19">
        <v>1582.0</v>
      </c>
      <c r="B326" s="19">
        <v>1.0</v>
      </c>
      <c r="C326" s="21" t="s">
        <v>1630</v>
      </c>
      <c r="D326" s="21">
        <v>5.0</v>
      </c>
      <c r="E326" s="19">
        <v>2583.0</v>
      </c>
      <c r="F326" s="25">
        <v>45808.0</v>
      </c>
      <c r="G326" s="19">
        <v>3.16520076E8</v>
      </c>
      <c r="H326" s="21" t="s">
        <v>48</v>
      </c>
      <c r="I326" s="19">
        <v>6.001628711E9</v>
      </c>
      <c r="J326" s="21" t="s">
        <v>584</v>
      </c>
      <c r="K326" s="21" t="s">
        <v>585</v>
      </c>
      <c r="L326" s="42"/>
      <c r="M326" s="19" t="s">
        <v>1914</v>
      </c>
      <c r="N326" s="19" t="s">
        <v>1915</v>
      </c>
      <c r="O326" s="19"/>
      <c r="P326" s="19" t="s">
        <v>1916</v>
      </c>
      <c r="Q326" s="21" t="s">
        <v>1570</v>
      </c>
      <c r="R326" s="21" t="s">
        <v>1637</v>
      </c>
    </row>
    <row r="327">
      <c r="A327" s="19">
        <v>1583.0</v>
      </c>
      <c r="B327" s="19">
        <v>1.0</v>
      </c>
      <c r="C327" s="21" t="s">
        <v>1630</v>
      </c>
      <c r="D327" s="21">
        <v>5.0</v>
      </c>
      <c r="E327" s="19">
        <v>2584.0</v>
      </c>
      <c r="F327" s="25">
        <v>45808.0</v>
      </c>
      <c r="G327" s="19">
        <v>3.16520076E8</v>
      </c>
      <c r="H327" s="21" t="s">
        <v>48</v>
      </c>
      <c r="I327" s="19">
        <v>1.01976905E8</v>
      </c>
      <c r="J327" s="21" t="s">
        <v>619</v>
      </c>
      <c r="K327" s="21" t="s">
        <v>621</v>
      </c>
      <c r="L327" s="42"/>
      <c r="M327" s="19" t="s">
        <v>1917</v>
      </c>
      <c r="N327" s="19" t="s">
        <v>1918</v>
      </c>
      <c r="O327" s="19"/>
      <c r="P327" s="19" t="s">
        <v>1919</v>
      </c>
      <c r="Q327" s="21" t="s">
        <v>1570</v>
      </c>
      <c r="R327" s="21" t="s">
        <v>1637</v>
      </c>
    </row>
    <row r="328">
      <c r="A328" s="19">
        <v>1585.0</v>
      </c>
      <c r="B328" s="19">
        <v>1.0</v>
      </c>
      <c r="C328" s="21" t="s">
        <v>1630</v>
      </c>
      <c r="D328" s="21">
        <v>5.0</v>
      </c>
      <c r="E328" s="19">
        <v>2586.0</v>
      </c>
      <c r="F328" s="25">
        <v>45808.0</v>
      </c>
      <c r="G328" s="19">
        <v>3.16520076E8</v>
      </c>
      <c r="H328" s="21" t="s">
        <v>48</v>
      </c>
      <c r="I328" s="19">
        <v>3.1440449E8</v>
      </c>
      <c r="J328" s="21" t="s">
        <v>638</v>
      </c>
      <c r="K328" s="21" t="s">
        <v>639</v>
      </c>
      <c r="L328" s="42"/>
      <c r="M328" s="19" t="s">
        <v>1920</v>
      </c>
      <c r="N328" s="19" t="s">
        <v>1921</v>
      </c>
      <c r="O328" s="19"/>
      <c r="P328" s="19" t="s">
        <v>1922</v>
      </c>
      <c r="Q328" s="21" t="s">
        <v>1570</v>
      </c>
      <c r="R328" s="21" t="s">
        <v>1637</v>
      </c>
    </row>
    <row r="329">
      <c r="A329" s="19">
        <v>1586.0</v>
      </c>
      <c r="B329" s="19">
        <v>1.0</v>
      </c>
      <c r="C329" s="21" t="s">
        <v>1630</v>
      </c>
      <c r="D329" s="21">
        <v>5.0</v>
      </c>
      <c r="E329" s="19">
        <v>2587.0</v>
      </c>
      <c r="F329" s="25">
        <v>45808.0</v>
      </c>
      <c r="G329" s="19">
        <v>3.16520076E8</v>
      </c>
      <c r="H329" s="21" t="s">
        <v>48</v>
      </c>
      <c r="I329" s="19">
        <v>3.1440449E8</v>
      </c>
      <c r="J329" s="21" t="s">
        <v>638</v>
      </c>
      <c r="K329" s="21" t="s">
        <v>639</v>
      </c>
      <c r="L329" s="42"/>
      <c r="M329" s="19" t="s">
        <v>1924</v>
      </c>
      <c r="N329" s="19" t="s">
        <v>1925</v>
      </c>
      <c r="O329" s="19"/>
      <c r="P329" s="19" t="s">
        <v>634</v>
      </c>
      <c r="Q329" s="21" t="s">
        <v>1570</v>
      </c>
      <c r="R329" s="21" t="s">
        <v>1637</v>
      </c>
    </row>
    <row r="330">
      <c r="A330" s="19">
        <v>1587.0</v>
      </c>
      <c r="B330" s="19">
        <v>1.0</v>
      </c>
      <c r="C330" s="21" t="s">
        <v>1630</v>
      </c>
      <c r="D330" s="21">
        <v>5.0</v>
      </c>
      <c r="E330" s="19">
        <v>2588.0</v>
      </c>
      <c r="F330" s="25">
        <v>45808.0</v>
      </c>
      <c r="G330" s="19">
        <v>3.16520076E8</v>
      </c>
      <c r="H330" s="21" t="s">
        <v>48</v>
      </c>
      <c r="I330" s="19">
        <v>3.04295429E8</v>
      </c>
      <c r="J330" s="21" t="s">
        <v>721</v>
      </c>
      <c r="K330" s="21" t="s">
        <v>723</v>
      </c>
      <c r="L330" s="42"/>
      <c r="M330" s="19" t="s">
        <v>1926</v>
      </c>
      <c r="N330" s="19" t="s">
        <v>1927</v>
      </c>
      <c r="O330" s="19"/>
      <c r="P330" s="19" t="s">
        <v>1928</v>
      </c>
      <c r="Q330" s="21" t="s">
        <v>1570</v>
      </c>
      <c r="R330" s="21" t="s">
        <v>1637</v>
      </c>
    </row>
    <row r="331">
      <c r="A331" s="19">
        <v>1588.0</v>
      </c>
      <c r="B331" s="19">
        <v>1.0</v>
      </c>
      <c r="C331" s="21" t="s">
        <v>1630</v>
      </c>
      <c r="D331" s="21">
        <v>5.0</v>
      </c>
      <c r="E331" s="19">
        <v>2589.0</v>
      </c>
      <c r="F331" s="25">
        <v>45808.0</v>
      </c>
      <c r="G331" s="19">
        <v>3.16520076E8</v>
      </c>
      <c r="H331" s="21" t="s">
        <v>48</v>
      </c>
      <c r="I331" s="19">
        <v>3.11950572E8</v>
      </c>
      <c r="J331" s="21" t="s">
        <v>440</v>
      </c>
      <c r="K331" s="21" t="s">
        <v>441</v>
      </c>
      <c r="L331" s="42"/>
      <c r="M331" s="19" t="s">
        <v>1929</v>
      </c>
      <c r="N331" s="19" t="s">
        <v>1930</v>
      </c>
      <c r="O331" s="19"/>
      <c r="P331" s="19" t="s">
        <v>1931</v>
      </c>
      <c r="Q331" s="21" t="s">
        <v>1570</v>
      </c>
      <c r="R331" s="21" t="s">
        <v>1637</v>
      </c>
    </row>
    <row r="332">
      <c r="A332" s="19">
        <v>1590.0</v>
      </c>
      <c r="B332" s="19">
        <v>1.0</v>
      </c>
      <c r="C332" s="21" t="s">
        <v>1630</v>
      </c>
      <c r="D332" s="21">
        <v>5.0</v>
      </c>
      <c r="E332" s="19">
        <v>2591.0</v>
      </c>
      <c r="F332" s="25">
        <v>45808.0</v>
      </c>
      <c r="G332" s="19">
        <v>3.16520076E8</v>
      </c>
      <c r="H332" s="21" t="s">
        <v>48</v>
      </c>
      <c r="I332" s="19">
        <v>4.001091085E9</v>
      </c>
      <c r="J332" s="21" t="s">
        <v>49</v>
      </c>
      <c r="K332" s="21" t="s">
        <v>50</v>
      </c>
      <c r="L332" s="42"/>
      <c r="M332" s="19" t="s">
        <v>1924</v>
      </c>
      <c r="N332" s="19" t="s">
        <v>1925</v>
      </c>
      <c r="O332" s="19"/>
      <c r="P332" s="19" t="s">
        <v>634</v>
      </c>
      <c r="Q332" s="21" t="s">
        <v>1570</v>
      </c>
      <c r="R332" s="21" t="s">
        <v>1637</v>
      </c>
    </row>
    <row r="333">
      <c r="A333" s="19">
        <v>1591.0</v>
      </c>
      <c r="B333" s="19">
        <v>1.0</v>
      </c>
      <c r="C333" s="21" t="s">
        <v>1630</v>
      </c>
      <c r="D333" s="21">
        <v>5.0</v>
      </c>
      <c r="E333" s="19">
        <v>2592.0</v>
      </c>
      <c r="F333" s="25">
        <v>45808.0</v>
      </c>
      <c r="G333" s="19">
        <v>3.16520076E8</v>
      </c>
      <c r="H333" s="21" t="s">
        <v>48</v>
      </c>
      <c r="I333" s="19">
        <v>3.12239812E8</v>
      </c>
      <c r="J333" s="21" t="s">
        <v>121</v>
      </c>
      <c r="K333" s="21" t="s">
        <v>123</v>
      </c>
      <c r="L333" s="42"/>
      <c r="M333" s="19" t="s">
        <v>1932</v>
      </c>
      <c r="N333" s="19" t="s">
        <v>416</v>
      </c>
      <c r="O333" s="19"/>
      <c r="P333" s="19" t="s">
        <v>1933</v>
      </c>
      <c r="Q333" s="21" t="s">
        <v>1570</v>
      </c>
      <c r="R333" s="21" t="s">
        <v>1637</v>
      </c>
    </row>
    <row r="334">
      <c r="A334" s="19">
        <v>1594.0</v>
      </c>
      <c r="B334" s="19">
        <v>1.0</v>
      </c>
      <c r="C334" s="21" t="s">
        <v>1630</v>
      </c>
      <c r="D334" s="21">
        <v>5.0</v>
      </c>
      <c r="E334" s="19">
        <v>2595.0</v>
      </c>
      <c r="F334" s="25">
        <v>45808.0</v>
      </c>
      <c r="G334" s="19">
        <v>3.16520076E8</v>
      </c>
      <c r="H334" s="21" t="s">
        <v>48</v>
      </c>
      <c r="I334" s="19">
        <v>1.701239486E9</v>
      </c>
      <c r="J334" s="21" t="s">
        <v>265</v>
      </c>
      <c r="K334" s="21" t="s">
        <v>266</v>
      </c>
      <c r="L334" s="42"/>
      <c r="M334" s="19" t="s">
        <v>1917</v>
      </c>
      <c r="N334" s="19" t="s">
        <v>1918</v>
      </c>
      <c r="O334" s="19"/>
      <c r="P334" s="19" t="s">
        <v>1919</v>
      </c>
      <c r="Q334" s="21" t="s">
        <v>1570</v>
      </c>
      <c r="R334" s="21" t="s">
        <v>1637</v>
      </c>
    </row>
    <row r="335">
      <c r="A335" s="19">
        <v>1595.0</v>
      </c>
      <c r="B335" s="19">
        <v>1.0</v>
      </c>
      <c r="C335" s="21" t="s">
        <v>1630</v>
      </c>
      <c r="D335" s="21">
        <v>5.0</v>
      </c>
      <c r="E335" s="19">
        <v>2596.0</v>
      </c>
      <c r="F335" s="25">
        <v>45808.0</v>
      </c>
      <c r="G335" s="19">
        <v>3.16520076E8</v>
      </c>
      <c r="H335" s="21" t="s">
        <v>48</v>
      </c>
      <c r="I335" s="19">
        <v>3.1406969E8</v>
      </c>
      <c r="J335" s="21" t="s">
        <v>299</v>
      </c>
      <c r="K335" s="21" t="s">
        <v>300</v>
      </c>
      <c r="L335" s="42"/>
      <c r="M335" s="19" t="s">
        <v>1934</v>
      </c>
      <c r="N335" s="19" t="s">
        <v>1935</v>
      </c>
      <c r="O335" s="19"/>
      <c r="P335" s="19" t="s">
        <v>1937</v>
      </c>
      <c r="Q335" s="21" t="s">
        <v>1570</v>
      </c>
      <c r="R335" s="21" t="s">
        <v>1637</v>
      </c>
    </row>
    <row r="336">
      <c r="A336" s="19">
        <v>1596.0</v>
      </c>
      <c r="B336" s="19">
        <v>1.0</v>
      </c>
      <c r="C336" s="21" t="s">
        <v>1630</v>
      </c>
      <c r="D336" s="21">
        <v>5.0</v>
      </c>
      <c r="E336" s="19">
        <v>2597.0</v>
      </c>
      <c r="F336" s="25">
        <v>45808.0</v>
      </c>
      <c r="G336" s="19">
        <v>3.16520076E8</v>
      </c>
      <c r="H336" s="21" t="s">
        <v>48</v>
      </c>
      <c r="I336" s="19">
        <v>4.02181645E8</v>
      </c>
      <c r="J336" s="21" t="s">
        <v>329</v>
      </c>
      <c r="K336" s="21" t="s">
        <v>330</v>
      </c>
      <c r="L336" s="42"/>
      <c r="M336" s="19" t="s">
        <v>1938</v>
      </c>
      <c r="N336" s="19" t="s">
        <v>1939</v>
      </c>
      <c r="O336" s="19"/>
      <c r="P336" s="19" t="s">
        <v>1940</v>
      </c>
      <c r="Q336" s="21" t="s">
        <v>1570</v>
      </c>
      <c r="R336" s="21" t="s">
        <v>1637</v>
      </c>
    </row>
    <row r="337">
      <c r="A337" s="19">
        <v>1604.0</v>
      </c>
      <c r="B337" s="19">
        <v>1.0</v>
      </c>
      <c r="C337" s="21" t="s">
        <v>1630</v>
      </c>
      <c r="D337" s="21">
        <v>5.0</v>
      </c>
      <c r="E337" s="19">
        <v>2605.0</v>
      </c>
      <c r="F337" s="25">
        <v>45808.0</v>
      </c>
      <c r="G337" s="19">
        <v>3.16520076E8</v>
      </c>
      <c r="H337" s="21" t="s">
        <v>48</v>
      </c>
      <c r="I337" s="19">
        <v>1.06357063E8</v>
      </c>
      <c r="J337" s="21" t="s">
        <v>506</v>
      </c>
      <c r="K337" s="21" t="s">
        <v>1675</v>
      </c>
      <c r="L337" s="42"/>
      <c r="M337" s="19" t="s">
        <v>1941</v>
      </c>
      <c r="N337" s="19" t="s">
        <v>1942</v>
      </c>
      <c r="O337" s="19"/>
      <c r="P337" s="19" t="s">
        <v>1944</v>
      </c>
      <c r="Q337" s="21" t="s">
        <v>168</v>
      </c>
      <c r="R337" s="21" t="s">
        <v>1637</v>
      </c>
    </row>
    <row r="338">
      <c r="A338" s="19">
        <v>1608.0</v>
      </c>
      <c r="B338" s="19">
        <v>1.0</v>
      </c>
      <c r="C338" s="21" t="s">
        <v>1630</v>
      </c>
      <c r="D338" s="21">
        <v>5.0</v>
      </c>
      <c r="E338" s="19">
        <v>2609.0</v>
      </c>
      <c r="F338" s="25">
        <v>45808.0</v>
      </c>
      <c r="G338" s="19">
        <v>3.16520076E8</v>
      </c>
      <c r="H338" s="21" t="s">
        <v>48</v>
      </c>
      <c r="I338" s="19">
        <v>3.10367287E8</v>
      </c>
      <c r="J338" s="21" t="s">
        <v>647</v>
      </c>
      <c r="K338" s="21" t="s">
        <v>1715</v>
      </c>
      <c r="L338" s="42"/>
      <c r="M338" s="19" t="s">
        <v>1945</v>
      </c>
      <c r="N338" s="19" t="s">
        <v>1946</v>
      </c>
      <c r="O338" s="19"/>
      <c r="P338" s="19" t="s">
        <v>1947</v>
      </c>
      <c r="Q338" s="21" t="s">
        <v>1570</v>
      </c>
      <c r="R338" s="21" t="s">
        <v>1637</v>
      </c>
    </row>
    <row r="339">
      <c r="A339" s="19">
        <v>1610.0</v>
      </c>
      <c r="B339" s="19">
        <v>1.0</v>
      </c>
      <c r="C339" s="21" t="s">
        <v>1630</v>
      </c>
      <c r="D339" s="21">
        <v>5.0</v>
      </c>
      <c r="E339" s="19">
        <v>2611.0</v>
      </c>
      <c r="F339" s="25">
        <v>45808.0</v>
      </c>
      <c r="G339" s="19">
        <v>3.16520076E8</v>
      </c>
      <c r="H339" s="21" t="s">
        <v>48</v>
      </c>
      <c r="I339" s="19">
        <v>3.17658951E8</v>
      </c>
      <c r="J339" s="21" t="s">
        <v>854</v>
      </c>
      <c r="K339" s="21" t="s">
        <v>1612</v>
      </c>
      <c r="L339" s="42"/>
      <c r="M339" s="19" t="s">
        <v>1948</v>
      </c>
      <c r="N339" s="19" t="s">
        <v>1949</v>
      </c>
      <c r="O339" s="19"/>
      <c r="P339" s="19" t="s">
        <v>1950</v>
      </c>
      <c r="Q339" s="21" t="s">
        <v>1570</v>
      </c>
      <c r="R339" s="21" t="s">
        <v>1637</v>
      </c>
    </row>
    <row r="340">
      <c r="A340" s="19">
        <v>1614.0</v>
      </c>
      <c r="B340" s="19">
        <v>1.0</v>
      </c>
      <c r="C340" s="21" t="s">
        <v>1630</v>
      </c>
      <c r="D340" s="21">
        <v>5.0</v>
      </c>
      <c r="E340" s="19">
        <v>2615.0</v>
      </c>
      <c r="F340" s="25">
        <v>45808.0</v>
      </c>
      <c r="G340" s="19">
        <v>3.16520076E8</v>
      </c>
      <c r="H340" s="21" t="s">
        <v>48</v>
      </c>
      <c r="I340" s="19">
        <v>1.10490847E8</v>
      </c>
      <c r="J340" s="21" t="s">
        <v>1378</v>
      </c>
      <c r="K340" s="21" t="s">
        <v>1527</v>
      </c>
      <c r="L340" s="42"/>
      <c r="M340" s="19" t="s">
        <v>1951</v>
      </c>
      <c r="N340" s="19" t="s">
        <v>1952</v>
      </c>
      <c r="O340" s="19"/>
      <c r="P340" s="19" t="s">
        <v>1953</v>
      </c>
      <c r="Q340" s="21" t="s">
        <v>1570</v>
      </c>
      <c r="R340" s="21" t="s">
        <v>1637</v>
      </c>
    </row>
    <row r="341">
      <c r="A341" s="19">
        <v>1615.0</v>
      </c>
      <c r="B341" s="19">
        <v>1.0</v>
      </c>
      <c r="C341" s="21" t="s">
        <v>1630</v>
      </c>
      <c r="D341" s="21">
        <v>5.0</v>
      </c>
      <c r="E341" s="19">
        <v>2616.0</v>
      </c>
      <c r="F341" s="25">
        <v>45808.0</v>
      </c>
      <c r="G341" s="19">
        <v>3.16520076E8</v>
      </c>
      <c r="H341" s="21" t="s">
        <v>48</v>
      </c>
      <c r="I341" s="19">
        <v>3.18228694E8</v>
      </c>
      <c r="J341" s="21" t="s">
        <v>1461</v>
      </c>
      <c r="K341" s="21" t="s">
        <v>1546</v>
      </c>
      <c r="L341" s="42"/>
      <c r="M341" s="19" t="s">
        <v>1954</v>
      </c>
      <c r="N341" s="19" t="s">
        <v>1955</v>
      </c>
      <c r="O341" s="19"/>
      <c r="P341" s="19" t="s">
        <v>1956</v>
      </c>
      <c r="Q341" s="21" t="s">
        <v>1570</v>
      </c>
      <c r="R341" s="21" t="s">
        <v>1637</v>
      </c>
    </row>
    <row r="342">
      <c r="A342" s="19">
        <v>1619.0</v>
      </c>
      <c r="B342" s="19">
        <v>1.0</v>
      </c>
      <c r="C342" s="21" t="s">
        <v>1630</v>
      </c>
      <c r="D342" s="21">
        <v>5.0</v>
      </c>
      <c r="E342" s="19">
        <v>2620.0</v>
      </c>
      <c r="F342" s="25">
        <v>45808.0</v>
      </c>
      <c r="G342" s="19">
        <v>3.16520076E8</v>
      </c>
      <c r="H342" s="21" t="s">
        <v>48</v>
      </c>
      <c r="I342" s="19">
        <v>3.01417333E8</v>
      </c>
      <c r="J342" s="21" t="s">
        <v>1437</v>
      </c>
      <c r="K342" s="21" t="s">
        <v>1438</v>
      </c>
      <c r="L342" s="42"/>
      <c r="M342" s="19" t="s">
        <v>1957</v>
      </c>
      <c r="N342" s="19" t="s">
        <v>1958</v>
      </c>
      <c r="O342" s="19"/>
      <c r="P342" s="19" t="s">
        <v>1959</v>
      </c>
      <c r="Q342" s="21" t="s">
        <v>1570</v>
      </c>
      <c r="R342" s="21" t="s">
        <v>1637</v>
      </c>
    </row>
    <row r="343">
      <c r="A343" s="19">
        <v>1620.0</v>
      </c>
      <c r="B343" s="19">
        <v>1.0</v>
      </c>
      <c r="C343" s="21" t="s">
        <v>1630</v>
      </c>
      <c r="D343" s="21">
        <v>5.0</v>
      </c>
      <c r="E343" s="19">
        <v>2621.0</v>
      </c>
      <c r="F343" s="25">
        <v>45808.0</v>
      </c>
      <c r="G343" s="19">
        <v>3.16520076E8</v>
      </c>
      <c r="H343" s="21" t="s">
        <v>48</v>
      </c>
      <c r="I343" s="19">
        <v>3.18358598E8</v>
      </c>
      <c r="J343" s="21" t="s">
        <v>1228</v>
      </c>
      <c r="K343" s="21" t="s">
        <v>1230</v>
      </c>
      <c r="L343" s="42"/>
      <c r="M343" s="19" t="s">
        <v>1856</v>
      </c>
      <c r="N343" s="19" t="s">
        <v>1857</v>
      </c>
      <c r="O343" s="19"/>
      <c r="P343" s="19" t="s">
        <v>1858</v>
      </c>
      <c r="Q343" s="21" t="s">
        <v>1570</v>
      </c>
      <c r="R343" s="21" t="s">
        <v>1637</v>
      </c>
    </row>
    <row r="344">
      <c r="A344" s="19">
        <v>1621.0</v>
      </c>
      <c r="B344" s="19">
        <v>1.0</v>
      </c>
      <c r="C344" s="21" t="s">
        <v>1630</v>
      </c>
      <c r="D344" s="21">
        <v>5.0</v>
      </c>
      <c r="E344" s="19">
        <v>2622.0</v>
      </c>
      <c r="F344" s="25">
        <v>45808.0</v>
      </c>
      <c r="G344" s="19">
        <v>3.16520076E8</v>
      </c>
      <c r="H344" s="21" t="s">
        <v>48</v>
      </c>
      <c r="I344" s="19">
        <v>3.1438255E8</v>
      </c>
      <c r="J344" s="21" t="s">
        <v>1062</v>
      </c>
      <c r="K344" s="21" t="s">
        <v>1064</v>
      </c>
      <c r="L344" s="42"/>
      <c r="M344" s="19" t="s">
        <v>1960</v>
      </c>
      <c r="N344" s="19" t="s">
        <v>1961</v>
      </c>
      <c r="O344" s="19"/>
      <c r="P344" s="19" t="s">
        <v>1962</v>
      </c>
      <c r="Q344" s="21" t="s">
        <v>1570</v>
      </c>
      <c r="R344" s="21" t="s">
        <v>1637</v>
      </c>
    </row>
    <row r="345">
      <c r="A345" s="19">
        <v>1622.0</v>
      </c>
      <c r="B345" s="19">
        <v>1.0</v>
      </c>
      <c r="C345" s="21" t="s">
        <v>1630</v>
      </c>
      <c r="D345" s="21">
        <v>5.0</v>
      </c>
      <c r="E345" s="19">
        <v>2623.0</v>
      </c>
      <c r="F345" s="25">
        <v>45808.0</v>
      </c>
      <c r="G345" s="19">
        <v>3.16520076E8</v>
      </c>
      <c r="H345" s="21" t="s">
        <v>48</v>
      </c>
      <c r="I345" s="19">
        <v>3.702974471E9</v>
      </c>
      <c r="J345" s="21" t="s">
        <v>1075</v>
      </c>
      <c r="K345" s="21" t="s">
        <v>1076</v>
      </c>
      <c r="L345" s="42"/>
      <c r="M345" s="19" t="s">
        <v>1963</v>
      </c>
      <c r="N345" s="19" t="s">
        <v>1964</v>
      </c>
      <c r="O345" s="19"/>
      <c r="P345" s="19" t="s">
        <v>1965</v>
      </c>
      <c r="Q345" s="21" t="s">
        <v>1570</v>
      </c>
      <c r="R345" s="21" t="s">
        <v>1637</v>
      </c>
    </row>
    <row r="346">
      <c r="A346" s="19">
        <v>1624.0</v>
      </c>
      <c r="B346" s="19">
        <v>1.0</v>
      </c>
      <c r="C346" s="21" t="s">
        <v>1630</v>
      </c>
      <c r="D346" s="21">
        <v>5.0</v>
      </c>
      <c r="E346" s="19">
        <v>2625.0</v>
      </c>
      <c r="F346" s="25">
        <v>45808.0</v>
      </c>
      <c r="G346" s="19">
        <v>3.16520076E8</v>
      </c>
      <c r="H346" s="21" t="s">
        <v>48</v>
      </c>
      <c r="I346" s="19">
        <v>3.134185E8</v>
      </c>
      <c r="J346" s="21" t="s">
        <v>892</v>
      </c>
      <c r="K346" s="21" t="s">
        <v>893</v>
      </c>
      <c r="L346" s="42"/>
      <c r="M346" s="19" t="s">
        <v>1882</v>
      </c>
      <c r="N346" s="19" t="s">
        <v>1883</v>
      </c>
      <c r="O346" s="19"/>
      <c r="P346" s="19" t="s">
        <v>1884</v>
      </c>
      <c r="Q346" s="21" t="s">
        <v>1570</v>
      </c>
      <c r="R346" s="21" t="s">
        <v>1637</v>
      </c>
    </row>
    <row r="347">
      <c r="A347" s="19">
        <v>1625.0</v>
      </c>
      <c r="B347" s="19">
        <v>1.0</v>
      </c>
      <c r="C347" s="21" t="s">
        <v>1630</v>
      </c>
      <c r="D347" s="21">
        <v>5.0</v>
      </c>
      <c r="E347" s="19">
        <v>2626.0</v>
      </c>
      <c r="F347" s="25">
        <v>45808.0</v>
      </c>
      <c r="G347" s="19">
        <v>3.16520076E8</v>
      </c>
      <c r="H347" s="21" t="s">
        <v>48</v>
      </c>
      <c r="I347" s="19">
        <v>1.801739475E9</v>
      </c>
      <c r="J347" s="21" t="s">
        <v>910</v>
      </c>
      <c r="K347" s="21" t="s">
        <v>911</v>
      </c>
      <c r="L347" s="42"/>
      <c r="M347" s="19" t="s">
        <v>1966</v>
      </c>
      <c r="N347" s="19" t="s">
        <v>1967</v>
      </c>
      <c r="O347" s="19"/>
      <c r="P347" s="19" t="s">
        <v>1968</v>
      </c>
      <c r="Q347" s="21" t="s">
        <v>1570</v>
      </c>
      <c r="R347" s="21" t="s">
        <v>1637</v>
      </c>
    </row>
    <row r="348">
      <c r="A348" s="19">
        <v>1626.0</v>
      </c>
      <c r="B348" s="19">
        <v>1.0</v>
      </c>
      <c r="C348" s="21" t="s">
        <v>1630</v>
      </c>
      <c r="D348" s="21">
        <v>5.0</v>
      </c>
      <c r="E348" s="19">
        <v>2627.0</v>
      </c>
      <c r="F348" s="25">
        <v>45808.0</v>
      </c>
      <c r="G348" s="19">
        <v>3.16520076E8</v>
      </c>
      <c r="H348" s="21" t="s">
        <v>48</v>
      </c>
      <c r="I348" s="19">
        <v>4.001007661E9</v>
      </c>
      <c r="J348" s="21" t="s">
        <v>994</v>
      </c>
      <c r="K348" s="21" t="s">
        <v>995</v>
      </c>
      <c r="L348" s="42"/>
      <c r="M348" s="19" t="s">
        <v>1969</v>
      </c>
      <c r="N348" s="19" t="s">
        <v>1970</v>
      </c>
      <c r="O348" s="19"/>
      <c r="P348" s="19" t="s">
        <v>1971</v>
      </c>
      <c r="Q348" s="21" t="s">
        <v>1570</v>
      </c>
      <c r="R348" s="21" t="s">
        <v>1637</v>
      </c>
    </row>
    <row r="349">
      <c r="A349" s="19">
        <v>1627.0</v>
      </c>
      <c r="B349" s="19">
        <v>1.0</v>
      </c>
      <c r="C349" s="21" t="s">
        <v>1630</v>
      </c>
      <c r="D349" s="21">
        <v>5.0</v>
      </c>
      <c r="E349" s="19">
        <v>2628.0</v>
      </c>
      <c r="F349" s="25">
        <v>45808.0</v>
      </c>
      <c r="G349" s="19">
        <v>3.16520076E8</v>
      </c>
      <c r="H349" s="21" t="s">
        <v>48</v>
      </c>
      <c r="I349" s="19">
        <v>3.18522093E8</v>
      </c>
      <c r="J349" s="21" t="s">
        <v>596</v>
      </c>
      <c r="K349" s="21" t="s">
        <v>597</v>
      </c>
      <c r="L349" s="42"/>
      <c r="M349" s="19" t="s">
        <v>1807</v>
      </c>
      <c r="N349" s="19" t="s">
        <v>1808</v>
      </c>
      <c r="O349" s="19"/>
      <c r="P349" s="19" t="s">
        <v>1809</v>
      </c>
      <c r="Q349" s="21" t="s">
        <v>1570</v>
      </c>
      <c r="R349" s="21" t="s">
        <v>1637</v>
      </c>
    </row>
    <row r="350">
      <c r="A350" s="19">
        <v>1628.0</v>
      </c>
      <c r="B350" s="19">
        <v>1.0</v>
      </c>
      <c r="C350" s="21" t="s">
        <v>1630</v>
      </c>
      <c r="D350" s="21">
        <v>5.0</v>
      </c>
      <c r="E350" s="19">
        <v>2629.0</v>
      </c>
      <c r="F350" s="25">
        <v>45808.0</v>
      </c>
      <c r="G350" s="19">
        <v>3.16520076E8</v>
      </c>
      <c r="H350" s="21" t="s">
        <v>48</v>
      </c>
      <c r="I350" s="19">
        <v>1.801510068E9</v>
      </c>
      <c r="J350" s="21" t="s">
        <v>655</v>
      </c>
      <c r="K350" s="21" t="s">
        <v>656</v>
      </c>
      <c r="L350" s="42"/>
      <c r="M350" s="19" t="s">
        <v>1972</v>
      </c>
      <c r="N350" s="19" t="s">
        <v>1973</v>
      </c>
      <c r="O350" s="19"/>
      <c r="P350" s="19" t="s">
        <v>1974</v>
      </c>
      <c r="Q350" s="21" t="s">
        <v>1570</v>
      </c>
      <c r="R350" s="21" t="s">
        <v>1637</v>
      </c>
    </row>
    <row r="351">
      <c r="A351" s="19">
        <v>1629.0</v>
      </c>
      <c r="B351" s="19">
        <v>1.0</v>
      </c>
      <c r="C351" s="21" t="s">
        <v>1630</v>
      </c>
      <c r="D351" s="21">
        <v>5.0</v>
      </c>
      <c r="E351" s="19">
        <v>2630.0</v>
      </c>
      <c r="F351" s="25">
        <v>45808.0</v>
      </c>
      <c r="G351" s="19">
        <v>3.16520076E8</v>
      </c>
      <c r="H351" s="21" t="s">
        <v>48</v>
      </c>
      <c r="I351" s="19">
        <v>3.15568491E8</v>
      </c>
      <c r="J351" s="21" t="s">
        <v>668</v>
      </c>
      <c r="K351" s="21" t="s">
        <v>669</v>
      </c>
      <c r="L351" s="42"/>
      <c r="M351" s="19" t="s">
        <v>1920</v>
      </c>
      <c r="N351" s="19" t="s">
        <v>1921</v>
      </c>
      <c r="O351" s="19"/>
      <c r="P351" s="19" t="s">
        <v>1922</v>
      </c>
      <c r="Q351" s="21" t="s">
        <v>1570</v>
      </c>
      <c r="R351" s="21" t="s">
        <v>1637</v>
      </c>
    </row>
    <row r="352">
      <c r="A352" s="19">
        <v>1630.0</v>
      </c>
      <c r="B352" s="19">
        <v>1.0</v>
      </c>
      <c r="C352" s="21" t="s">
        <v>1630</v>
      </c>
      <c r="D352" s="21">
        <v>5.0</v>
      </c>
      <c r="E352" s="19">
        <v>2631.0</v>
      </c>
      <c r="F352" s="25">
        <v>45808.0</v>
      </c>
      <c r="G352" s="19">
        <v>3.16520076E8</v>
      </c>
      <c r="H352" s="21" t="s">
        <v>48</v>
      </c>
      <c r="I352" s="19">
        <v>3.18344789E8</v>
      </c>
      <c r="J352" s="21" t="s">
        <v>679</v>
      </c>
      <c r="K352" s="21" t="s">
        <v>680</v>
      </c>
      <c r="L352" s="42"/>
      <c r="M352" s="19" t="s">
        <v>1917</v>
      </c>
      <c r="N352" s="19" t="s">
        <v>1918</v>
      </c>
      <c r="O352" s="19"/>
      <c r="P352" s="19" t="s">
        <v>1919</v>
      </c>
      <c r="Q352" s="21" t="s">
        <v>1570</v>
      </c>
      <c r="R352" s="21" t="s">
        <v>1637</v>
      </c>
    </row>
    <row r="353">
      <c r="A353" s="19">
        <v>1632.0</v>
      </c>
      <c r="B353" s="19">
        <v>1.0</v>
      </c>
      <c r="C353" s="21" t="s">
        <v>1630</v>
      </c>
      <c r="D353" s="21">
        <v>5.0</v>
      </c>
      <c r="E353" s="19">
        <v>2633.0</v>
      </c>
      <c r="F353" s="25">
        <v>45808.0</v>
      </c>
      <c r="G353" s="19">
        <v>3.16520076E8</v>
      </c>
      <c r="H353" s="21" t="s">
        <v>48</v>
      </c>
      <c r="I353" s="19">
        <v>3.18232274E8</v>
      </c>
      <c r="J353" s="21" t="s">
        <v>737</v>
      </c>
      <c r="K353" s="21" t="s">
        <v>738</v>
      </c>
      <c r="L353" s="42"/>
      <c r="M353" s="19" t="s">
        <v>1976</v>
      </c>
      <c r="N353" s="19" t="s">
        <v>1977</v>
      </c>
      <c r="O353" s="19"/>
      <c r="P353" s="19" t="s">
        <v>1978</v>
      </c>
      <c r="Q353" s="21" t="s">
        <v>1570</v>
      </c>
      <c r="R353" s="21" t="s">
        <v>1637</v>
      </c>
    </row>
    <row r="354">
      <c r="A354" s="19">
        <v>1633.0</v>
      </c>
      <c r="B354" s="19">
        <v>1.0</v>
      </c>
      <c r="C354" s="21" t="s">
        <v>1630</v>
      </c>
      <c r="D354" s="21">
        <v>5.0</v>
      </c>
      <c r="E354" s="19">
        <v>2634.0</v>
      </c>
      <c r="F354" s="25">
        <v>45808.0</v>
      </c>
      <c r="G354" s="19">
        <v>3.16520076E8</v>
      </c>
      <c r="H354" s="21" t="s">
        <v>48</v>
      </c>
      <c r="I354" s="19">
        <v>3.702501637E9</v>
      </c>
      <c r="J354" s="21" t="s">
        <v>763</v>
      </c>
      <c r="K354" s="21" t="s">
        <v>764</v>
      </c>
      <c r="L354" s="42"/>
      <c r="M354" s="19" t="s">
        <v>1979</v>
      </c>
      <c r="N354" s="19" t="s">
        <v>1980</v>
      </c>
      <c r="O354" s="19"/>
      <c r="P354" s="19" t="s">
        <v>1981</v>
      </c>
      <c r="Q354" s="21" t="s">
        <v>1570</v>
      </c>
      <c r="R354" s="21" t="s">
        <v>1637</v>
      </c>
    </row>
    <row r="355">
      <c r="A355" s="19">
        <v>1634.0</v>
      </c>
      <c r="B355" s="19">
        <v>1.0</v>
      </c>
      <c r="C355" s="21" t="s">
        <v>1630</v>
      </c>
      <c r="D355" s="21">
        <v>5.0</v>
      </c>
      <c r="E355" s="19">
        <v>2635.0</v>
      </c>
      <c r="F355" s="25">
        <v>45808.0</v>
      </c>
      <c r="G355" s="19">
        <v>3.16520076E8</v>
      </c>
      <c r="H355" s="21" t="s">
        <v>48</v>
      </c>
      <c r="I355" s="19">
        <v>3.702483628E9</v>
      </c>
      <c r="J355" s="21" t="s">
        <v>407</v>
      </c>
      <c r="K355" s="21" t="s">
        <v>408</v>
      </c>
      <c r="L355" s="42"/>
      <c r="M355" s="19" t="s">
        <v>1982</v>
      </c>
      <c r="N355" s="19" t="s">
        <v>1983</v>
      </c>
      <c r="O355" s="19"/>
      <c r="P355" s="19" t="s">
        <v>1984</v>
      </c>
      <c r="Q355" s="21" t="s">
        <v>1570</v>
      </c>
      <c r="R355" s="21" t="s">
        <v>1637</v>
      </c>
    </row>
    <row r="356">
      <c r="A356" s="19">
        <v>1635.0</v>
      </c>
      <c r="B356" s="19">
        <v>1.0</v>
      </c>
      <c r="C356" s="21" t="s">
        <v>1630</v>
      </c>
      <c r="D356" s="21">
        <v>5.0</v>
      </c>
      <c r="E356" s="19">
        <v>2636.0</v>
      </c>
      <c r="F356" s="25">
        <v>45808.0</v>
      </c>
      <c r="G356" s="19">
        <v>3.16520076E8</v>
      </c>
      <c r="H356" s="21" t="s">
        <v>48</v>
      </c>
      <c r="I356" s="19">
        <v>6.400397008E9</v>
      </c>
      <c r="J356" s="21" t="s">
        <v>424</v>
      </c>
      <c r="K356" s="21" t="s">
        <v>425</v>
      </c>
      <c r="L356" s="42"/>
      <c r="M356" s="19" t="s">
        <v>1985</v>
      </c>
      <c r="N356" s="19" t="s">
        <v>1961</v>
      </c>
      <c r="O356" s="19"/>
      <c r="P356" s="19" t="s">
        <v>1986</v>
      </c>
      <c r="Q356" s="21" t="s">
        <v>1570</v>
      </c>
      <c r="R356" s="21" t="s">
        <v>1637</v>
      </c>
    </row>
    <row r="357">
      <c r="A357" s="19">
        <v>1637.0</v>
      </c>
      <c r="B357" s="19">
        <v>1.0</v>
      </c>
      <c r="C357" s="21" t="s">
        <v>1630</v>
      </c>
      <c r="D357" s="21">
        <v>5.0</v>
      </c>
      <c r="E357" s="19">
        <v>2638.0</v>
      </c>
      <c r="F357" s="25">
        <v>45808.0</v>
      </c>
      <c r="G357" s="19">
        <v>3.16520076E8</v>
      </c>
      <c r="H357" s="21" t="s">
        <v>48</v>
      </c>
      <c r="I357" s="19">
        <v>1.02641429E8</v>
      </c>
      <c r="J357" s="21" t="s">
        <v>498</v>
      </c>
      <c r="K357" s="21" t="s">
        <v>499</v>
      </c>
      <c r="L357" s="42"/>
      <c r="M357" s="19" t="s">
        <v>1924</v>
      </c>
      <c r="N357" s="19" t="s">
        <v>1925</v>
      </c>
      <c r="O357" s="19"/>
      <c r="P357" s="19" t="s">
        <v>634</v>
      </c>
      <c r="Q357" s="21" t="s">
        <v>1570</v>
      </c>
      <c r="R357" s="21" t="s">
        <v>1637</v>
      </c>
    </row>
    <row r="358">
      <c r="A358" s="19">
        <v>1638.0</v>
      </c>
      <c r="B358" s="19">
        <v>1.0</v>
      </c>
      <c r="C358" s="21" t="s">
        <v>1630</v>
      </c>
      <c r="D358" s="21">
        <v>5.0</v>
      </c>
      <c r="E358" s="19">
        <v>2639.0</v>
      </c>
      <c r="F358" s="25">
        <v>45808.0</v>
      </c>
      <c r="G358" s="19">
        <v>3.16520076E8</v>
      </c>
      <c r="H358" s="21" t="s">
        <v>48</v>
      </c>
      <c r="I358" s="19">
        <v>1.09724748E8</v>
      </c>
      <c r="J358" s="21" t="s">
        <v>194</v>
      </c>
      <c r="K358" s="21" t="s">
        <v>195</v>
      </c>
      <c r="L358" s="42"/>
      <c r="M358" s="19" t="s">
        <v>1987</v>
      </c>
      <c r="N358" s="19" t="s">
        <v>1988</v>
      </c>
      <c r="O358" s="19"/>
      <c r="P358" s="19" t="s">
        <v>1989</v>
      </c>
      <c r="Q358" s="21" t="s">
        <v>1570</v>
      </c>
      <c r="R358" s="21" t="s">
        <v>1637</v>
      </c>
    </row>
    <row r="359">
      <c r="A359" s="19">
        <v>1641.0</v>
      </c>
      <c r="B359" s="19">
        <v>1.0</v>
      </c>
      <c r="C359" s="21" t="s">
        <v>1630</v>
      </c>
      <c r="D359" s="21">
        <v>5.0</v>
      </c>
      <c r="E359" s="19">
        <v>2642.0</v>
      </c>
      <c r="F359" s="25">
        <v>45808.0</v>
      </c>
      <c r="G359" s="19">
        <v>3.16520076E8</v>
      </c>
      <c r="H359" s="21" t="s">
        <v>48</v>
      </c>
      <c r="I359" s="19">
        <v>1.09997537E8</v>
      </c>
      <c r="J359" s="21" t="s">
        <v>701</v>
      </c>
      <c r="K359" s="21" t="s">
        <v>703</v>
      </c>
      <c r="L359" s="42"/>
      <c r="M359" s="19" t="s">
        <v>1013</v>
      </c>
      <c r="N359" s="19" t="s">
        <v>1990</v>
      </c>
      <c r="O359" s="19"/>
      <c r="P359" s="19" t="s">
        <v>1992</v>
      </c>
      <c r="Q359" s="21" t="s">
        <v>1570</v>
      </c>
      <c r="R359" s="21" t="s">
        <v>1637</v>
      </c>
    </row>
    <row r="360">
      <c r="A360" s="19">
        <v>1646.0</v>
      </c>
      <c r="B360" s="19">
        <v>1.0</v>
      </c>
      <c r="C360" s="21" t="s">
        <v>1630</v>
      </c>
      <c r="D360" s="21">
        <v>5.0</v>
      </c>
      <c r="E360" s="19">
        <v>2647.0</v>
      </c>
      <c r="F360" s="25">
        <v>45808.0</v>
      </c>
      <c r="G360" s="19">
        <v>3.16520076E8</v>
      </c>
      <c r="H360" s="21" t="s">
        <v>48</v>
      </c>
      <c r="I360" s="19">
        <v>2.01925238E8</v>
      </c>
      <c r="J360" s="21" t="s">
        <v>1993</v>
      </c>
      <c r="K360" s="21" t="s">
        <v>1994</v>
      </c>
      <c r="L360" s="42"/>
      <c r="M360" s="19" t="s">
        <v>1995</v>
      </c>
      <c r="N360" s="19" t="s">
        <v>1996</v>
      </c>
      <c r="O360" s="19"/>
      <c r="P360" s="19" t="s">
        <v>1997</v>
      </c>
      <c r="Q360" s="21" t="s">
        <v>57</v>
      </c>
      <c r="R360" s="21" t="s">
        <v>1637</v>
      </c>
    </row>
    <row r="361">
      <c r="A361" s="19">
        <v>1747.0</v>
      </c>
      <c r="B361" s="19">
        <v>1.0</v>
      </c>
      <c r="C361" s="21" t="s">
        <v>1630</v>
      </c>
      <c r="D361" s="21">
        <v>5.0</v>
      </c>
      <c r="E361" s="19">
        <v>537.0</v>
      </c>
      <c r="F361" s="25">
        <v>45780.0</v>
      </c>
      <c r="G361" s="19">
        <v>3.16520076E8</v>
      </c>
      <c r="H361" s="21" t="s">
        <v>48</v>
      </c>
      <c r="I361" s="19">
        <v>3.1579356E8</v>
      </c>
      <c r="J361" s="21" t="s">
        <v>76</v>
      </c>
      <c r="K361" s="21" t="s">
        <v>1104</v>
      </c>
      <c r="L361" s="42"/>
      <c r="M361" s="19" t="s">
        <v>1999</v>
      </c>
      <c r="N361" s="19" t="s">
        <v>2000</v>
      </c>
      <c r="O361" s="19"/>
      <c r="P361" s="19" t="s">
        <v>2001</v>
      </c>
      <c r="Q361" s="21" t="s">
        <v>57</v>
      </c>
      <c r="R361" s="21" t="s">
        <v>1637</v>
      </c>
    </row>
    <row r="362">
      <c r="A362" s="19">
        <v>1862.0</v>
      </c>
      <c r="B362" s="19">
        <v>1.0</v>
      </c>
      <c r="C362" s="21" t="s">
        <v>1630</v>
      </c>
      <c r="D362" s="21">
        <v>5.0</v>
      </c>
      <c r="E362" s="19">
        <v>652.0</v>
      </c>
      <c r="F362" s="25">
        <v>45782.0</v>
      </c>
      <c r="G362" s="19">
        <v>3.16520076E8</v>
      </c>
      <c r="H362" s="21" t="s">
        <v>48</v>
      </c>
      <c r="I362" s="19">
        <v>3.16337306E8</v>
      </c>
      <c r="J362" s="21" t="s">
        <v>2002</v>
      </c>
      <c r="K362" s="21" t="s">
        <v>2003</v>
      </c>
      <c r="L362" s="42"/>
      <c r="M362" s="19" t="s">
        <v>2004</v>
      </c>
      <c r="N362" s="19" t="s">
        <v>2005</v>
      </c>
      <c r="O362" s="19"/>
      <c r="P362" s="19" t="s">
        <v>2006</v>
      </c>
      <c r="Q362" s="21" t="s">
        <v>1570</v>
      </c>
      <c r="R362" s="21" t="s">
        <v>1637</v>
      </c>
    </row>
    <row r="363">
      <c r="A363" s="19">
        <v>1863.0</v>
      </c>
      <c r="B363" s="19">
        <v>1.0</v>
      </c>
      <c r="C363" s="21" t="s">
        <v>1630</v>
      </c>
      <c r="D363" s="21">
        <v>5.0</v>
      </c>
      <c r="E363" s="19">
        <v>653.0</v>
      </c>
      <c r="F363" s="25">
        <v>45782.0</v>
      </c>
      <c r="G363" s="19">
        <v>3.16520076E8</v>
      </c>
      <c r="H363" s="21" t="s">
        <v>48</v>
      </c>
      <c r="I363" s="19">
        <v>4.02220245E8</v>
      </c>
      <c r="J363" s="21" t="s">
        <v>2007</v>
      </c>
      <c r="K363" s="21" t="s">
        <v>2008</v>
      </c>
      <c r="L363" s="42"/>
      <c r="M363" s="19" t="s">
        <v>2009</v>
      </c>
      <c r="N363" s="19" t="s">
        <v>2010</v>
      </c>
      <c r="O363" s="19"/>
      <c r="P363" s="19" t="s">
        <v>2011</v>
      </c>
      <c r="Q363" s="21" t="s">
        <v>1570</v>
      </c>
      <c r="R363" s="21" t="s">
        <v>1637</v>
      </c>
    </row>
    <row r="364">
      <c r="A364" s="19">
        <v>1864.0</v>
      </c>
      <c r="B364" s="19">
        <v>1.0</v>
      </c>
      <c r="C364" s="21" t="s">
        <v>1630</v>
      </c>
      <c r="D364" s="21">
        <v>5.0</v>
      </c>
      <c r="E364" s="19">
        <v>654.0</v>
      </c>
      <c r="F364" s="25">
        <v>45782.0</v>
      </c>
      <c r="G364" s="19">
        <v>3.16520076E8</v>
      </c>
      <c r="H364" s="21" t="s">
        <v>48</v>
      </c>
      <c r="I364" s="19">
        <v>3.16248977E8</v>
      </c>
      <c r="J364" s="21" t="s">
        <v>2012</v>
      </c>
      <c r="K364" s="21" t="s">
        <v>2013</v>
      </c>
      <c r="L364" s="42"/>
      <c r="M364" s="19" t="s">
        <v>2014</v>
      </c>
      <c r="N364" s="19" t="s">
        <v>2015</v>
      </c>
      <c r="O364" s="19"/>
      <c r="P364" s="19" t="s">
        <v>2016</v>
      </c>
      <c r="Q364" s="21" t="s">
        <v>1570</v>
      </c>
      <c r="R364" s="21" t="s">
        <v>1637</v>
      </c>
    </row>
    <row r="365">
      <c r="A365" s="19">
        <v>1866.0</v>
      </c>
      <c r="B365" s="19">
        <v>1.0</v>
      </c>
      <c r="C365" s="21" t="s">
        <v>1630</v>
      </c>
      <c r="D365" s="21">
        <v>5.0</v>
      </c>
      <c r="E365" s="19">
        <v>656.0</v>
      </c>
      <c r="F365" s="25">
        <v>45782.0</v>
      </c>
      <c r="G365" s="19">
        <v>3.16520076E8</v>
      </c>
      <c r="H365" s="21" t="s">
        <v>48</v>
      </c>
      <c r="I365" s="19">
        <v>3.0927195E8</v>
      </c>
      <c r="J365" s="21" t="s">
        <v>1121</v>
      </c>
      <c r="K365" s="21" t="s">
        <v>2017</v>
      </c>
      <c r="L365" s="42"/>
      <c r="M365" s="19" t="s">
        <v>2018</v>
      </c>
      <c r="N365" s="19" t="s">
        <v>2019</v>
      </c>
      <c r="O365" s="19"/>
      <c r="P365" s="19" t="s">
        <v>2020</v>
      </c>
      <c r="Q365" s="21" t="s">
        <v>1570</v>
      </c>
      <c r="R365" s="21" t="s">
        <v>1637</v>
      </c>
    </row>
    <row r="366">
      <c r="A366" s="19">
        <v>1868.0</v>
      </c>
      <c r="B366" s="19">
        <v>1.0</v>
      </c>
      <c r="C366" s="21" t="s">
        <v>1630</v>
      </c>
      <c r="D366" s="21">
        <v>5.0</v>
      </c>
      <c r="E366" s="19">
        <v>658.0</v>
      </c>
      <c r="F366" s="25">
        <v>45782.0</v>
      </c>
      <c r="G366" s="19">
        <v>3.16520076E8</v>
      </c>
      <c r="H366" s="21" t="s">
        <v>48</v>
      </c>
      <c r="I366" s="19">
        <v>3.603216011E9</v>
      </c>
      <c r="J366" s="21" t="s">
        <v>2021</v>
      </c>
      <c r="K366" s="21" t="s">
        <v>2022</v>
      </c>
      <c r="L366" s="42"/>
      <c r="M366" s="19" t="s">
        <v>2023</v>
      </c>
      <c r="N366" s="19" t="s">
        <v>2024</v>
      </c>
      <c r="O366" s="19"/>
      <c r="P366" s="19" t="s">
        <v>2025</v>
      </c>
      <c r="Q366" s="21" t="s">
        <v>1570</v>
      </c>
      <c r="R366" s="21" t="s">
        <v>1637</v>
      </c>
    </row>
    <row r="367">
      <c r="A367" s="19">
        <v>1869.0</v>
      </c>
      <c r="B367" s="19">
        <v>1.0</v>
      </c>
      <c r="C367" s="21" t="s">
        <v>1630</v>
      </c>
      <c r="D367" s="21">
        <v>5.0</v>
      </c>
      <c r="E367" s="19">
        <v>659.0</v>
      </c>
      <c r="F367" s="25">
        <v>45782.0</v>
      </c>
      <c r="G367" s="19">
        <v>3.16520076E8</v>
      </c>
      <c r="H367" s="21" t="s">
        <v>48</v>
      </c>
      <c r="I367" s="19">
        <v>1.02078485E8</v>
      </c>
      <c r="J367" s="21" t="s">
        <v>2026</v>
      </c>
      <c r="K367" s="21" t="s">
        <v>2027</v>
      </c>
      <c r="L367" s="42"/>
      <c r="M367" s="19" t="s">
        <v>2028</v>
      </c>
      <c r="N367" s="19" t="s">
        <v>2029</v>
      </c>
      <c r="O367" s="19"/>
      <c r="P367" s="19" t="s">
        <v>2030</v>
      </c>
      <c r="Q367" s="21" t="s">
        <v>1570</v>
      </c>
      <c r="R367" s="21" t="s">
        <v>1637</v>
      </c>
    </row>
    <row r="368">
      <c r="A368" s="19">
        <v>1870.0</v>
      </c>
      <c r="B368" s="19">
        <v>1.0</v>
      </c>
      <c r="C368" s="21" t="s">
        <v>1630</v>
      </c>
      <c r="D368" s="21">
        <v>5.0</v>
      </c>
      <c r="E368" s="19">
        <v>660.0</v>
      </c>
      <c r="F368" s="25">
        <v>45782.0</v>
      </c>
      <c r="G368" s="19">
        <v>3.16520076E8</v>
      </c>
      <c r="H368" s="21" t="s">
        <v>48</v>
      </c>
      <c r="I368" s="19">
        <v>3.13942231E8</v>
      </c>
      <c r="J368" s="21" t="s">
        <v>2031</v>
      </c>
      <c r="K368" s="21" t="s">
        <v>2032</v>
      </c>
      <c r="L368" s="42"/>
      <c r="M368" s="19" t="s">
        <v>1917</v>
      </c>
      <c r="N368" s="19" t="s">
        <v>1918</v>
      </c>
      <c r="O368" s="19"/>
      <c r="P368" s="19" t="s">
        <v>1919</v>
      </c>
      <c r="Q368" s="21" t="s">
        <v>1570</v>
      </c>
      <c r="R368" s="21" t="s">
        <v>1637</v>
      </c>
    </row>
    <row r="369">
      <c r="A369" s="19">
        <v>1871.0</v>
      </c>
      <c r="B369" s="19">
        <v>1.0</v>
      </c>
      <c r="C369" s="21" t="s">
        <v>1630</v>
      </c>
      <c r="D369" s="21">
        <v>5.0</v>
      </c>
      <c r="E369" s="19">
        <v>661.0</v>
      </c>
      <c r="F369" s="25">
        <v>45782.0</v>
      </c>
      <c r="G369" s="19">
        <v>3.16520076E8</v>
      </c>
      <c r="H369" s="21" t="s">
        <v>48</v>
      </c>
      <c r="I369" s="19">
        <v>3.17575046E8</v>
      </c>
      <c r="J369" s="21" t="s">
        <v>2033</v>
      </c>
      <c r="K369" s="21" t="s">
        <v>2034</v>
      </c>
      <c r="L369" s="42"/>
      <c r="M369" s="19" t="s">
        <v>2035</v>
      </c>
      <c r="N369" s="19" t="s">
        <v>2036</v>
      </c>
      <c r="O369" s="19"/>
      <c r="P369" s="19" t="s">
        <v>2037</v>
      </c>
      <c r="Q369" s="21" t="s">
        <v>1570</v>
      </c>
      <c r="R369" s="21" t="s">
        <v>1637</v>
      </c>
    </row>
    <row r="370">
      <c r="A370" s="19">
        <v>1873.0</v>
      </c>
      <c r="B370" s="19">
        <v>1.0</v>
      </c>
      <c r="C370" s="21" t="s">
        <v>1630</v>
      </c>
      <c r="D370" s="21">
        <v>5.0</v>
      </c>
      <c r="E370" s="19">
        <v>663.0</v>
      </c>
      <c r="F370" s="25">
        <v>45782.0</v>
      </c>
      <c r="G370" s="19">
        <v>3.16520076E8</v>
      </c>
      <c r="H370" s="21" t="s">
        <v>48</v>
      </c>
      <c r="I370" s="19">
        <v>2.802527683E9</v>
      </c>
      <c r="J370" s="21" t="s">
        <v>2038</v>
      </c>
      <c r="K370" s="21" t="s">
        <v>2039</v>
      </c>
      <c r="L370" s="42"/>
      <c r="M370" s="19" t="s">
        <v>2040</v>
      </c>
      <c r="N370" s="19" t="s">
        <v>2041</v>
      </c>
      <c r="O370" s="19"/>
      <c r="P370" s="19" t="s">
        <v>2042</v>
      </c>
      <c r="Q370" s="21" t="s">
        <v>1570</v>
      </c>
      <c r="R370" s="21" t="s">
        <v>1637</v>
      </c>
    </row>
    <row r="371">
      <c r="A371" s="19">
        <v>1874.0</v>
      </c>
      <c r="B371" s="19">
        <v>1.0</v>
      </c>
      <c r="C371" s="21" t="s">
        <v>1630</v>
      </c>
      <c r="D371" s="21">
        <v>5.0</v>
      </c>
      <c r="E371" s="19">
        <v>664.0</v>
      </c>
      <c r="F371" s="25">
        <v>45782.0</v>
      </c>
      <c r="G371" s="19">
        <v>3.16520076E8</v>
      </c>
      <c r="H371" s="21" t="s">
        <v>48</v>
      </c>
      <c r="I371" s="19">
        <v>3.17567415E8</v>
      </c>
      <c r="J371" s="21" t="s">
        <v>2043</v>
      </c>
      <c r="K371" s="21" t="s">
        <v>2044</v>
      </c>
      <c r="L371" s="42"/>
      <c r="M371" s="19" t="s">
        <v>1013</v>
      </c>
      <c r="N371" s="19" t="s">
        <v>1990</v>
      </c>
      <c r="O371" s="19"/>
      <c r="P371" s="19" t="s">
        <v>1992</v>
      </c>
      <c r="Q371" s="21" t="s">
        <v>1570</v>
      </c>
      <c r="R371" s="21" t="s">
        <v>1637</v>
      </c>
    </row>
    <row r="372">
      <c r="A372" s="19">
        <v>1875.0</v>
      </c>
      <c r="B372" s="19">
        <v>1.0</v>
      </c>
      <c r="C372" s="21" t="s">
        <v>1630</v>
      </c>
      <c r="D372" s="21">
        <v>5.0</v>
      </c>
      <c r="E372" s="19">
        <v>665.0</v>
      </c>
      <c r="F372" s="25">
        <v>45782.0</v>
      </c>
      <c r="G372" s="19">
        <v>3.16520076E8</v>
      </c>
      <c r="H372" s="21" t="s">
        <v>48</v>
      </c>
      <c r="I372" s="19">
        <v>2.803060634E9</v>
      </c>
      <c r="J372" s="21" t="s">
        <v>2045</v>
      </c>
      <c r="K372" s="21" t="s">
        <v>2046</v>
      </c>
      <c r="L372" s="42"/>
      <c r="M372" s="19" t="s">
        <v>1938</v>
      </c>
      <c r="N372" s="19" t="s">
        <v>1939</v>
      </c>
      <c r="O372" s="19"/>
      <c r="P372" s="19" t="s">
        <v>1940</v>
      </c>
      <c r="Q372" s="21" t="s">
        <v>1570</v>
      </c>
      <c r="R372" s="21" t="s">
        <v>1637</v>
      </c>
    </row>
    <row r="373">
      <c r="A373" s="19">
        <v>1876.0</v>
      </c>
      <c r="B373" s="19">
        <v>1.0</v>
      </c>
      <c r="C373" s="21" t="s">
        <v>1630</v>
      </c>
      <c r="D373" s="21">
        <v>5.0</v>
      </c>
      <c r="E373" s="19">
        <v>666.0</v>
      </c>
      <c r="F373" s="25">
        <v>45782.0</v>
      </c>
      <c r="G373" s="19">
        <v>3.16520076E8</v>
      </c>
      <c r="H373" s="21" t="s">
        <v>48</v>
      </c>
      <c r="I373" s="19">
        <v>1.04867284E8</v>
      </c>
      <c r="J373" s="21" t="s">
        <v>2047</v>
      </c>
      <c r="K373" s="21" t="s">
        <v>2048</v>
      </c>
      <c r="L373" s="42"/>
      <c r="M373" s="19" t="s">
        <v>2049</v>
      </c>
      <c r="N373" s="19" t="s">
        <v>2050</v>
      </c>
      <c r="O373" s="19"/>
      <c r="P373" s="19" t="s">
        <v>2051</v>
      </c>
      <c r="Q373" s="21" t="s">
        <v>1570</v>
      </c>
      <c r="R373" s="21" t="s">
        <v>1637</v>
      </c>
    </row>
    <row r="374">
      <c r="A374" s="19">
        <v>1877.0</v>
      </c>
      <c r="B374" s="19">
        <v>1.0</v>
      </c>
      <c r="C374" s="21" t="s">
        <v>1630</v>
      </c>
      <c r="D374" s="21">
        <v>5.0</v>
      </c>
      <c r="E374" s="19">
        <v>667.0</v>
      </c>
      <c r="F374" s="25">
        <v>45782.0</v>
      </c>
      <c r="G374" s="19">
        <v>3.16520076E8</v>
      </c>
      <c r="H374" s="21" t="s">
        <v>48</v>
      </c>
      <c r="I374" s="19">
        <v>3.14471377E8</v>
      </c>
      <c r="J374" s="21" t="s">
        <v>2052</v>
      </c>
      <c r="K374" s="21" t="s">
        <v>2053</v>
      </c>
      <c r="L374" s="42"/>
      <c r="M374" s="19" t="s">
        <v>1885</v>
      </c>
      <c r="N374" s="19" t="s">
        <v>1886</v>
      </c>
      <c r="O374" s="19"/>
      <c r="P374" s="19" t="s">
        <v>1887</v>
      </c>
      <c r="Q374" s="21" t="s">
        <v>1570</v>
      </c>
      <c r="R374" s="21" t="s">
        <v>1637</v>
      </c>
    </row>
    <row r="375">
      <c r="A375" s="19">
        <v>1878.0</v>
      </c>
      <c r="B375" s="19">
        <v>1.0</v>
      </c>
      <c r="C375" s="21" t="s">
        <v>1630</v>
      </c>
      <c r="D375" s="21">
        <v>5.0</v>
      </c>
      <c r="E375" s="19">
        <v>668.0</v>
      </c>
      <c r="F375" s="25">
        <v>45782.0</v>
      </c>
      <c r="G375" s="19">
        <v>3.16520076E8</v>
      </c>
      <c r="H375" s="21" t="s">
        <v>48</v>
      </c>
      <c r="I375" s="19">
        <v>3.0927195E8</v>
      </c>
      <c r="J375" s="21" t="s">
        <v>1121</v>
      </c>
      <c r="K375" s="21" t="s">
        <v>2017</v>
      </c>
      <c r="L375" s="42"/>
      <c r="M375" s="19" t="s">
        <v>2054</v>
      </c>
      <c r="N375" s="19" t="s">
        <v>2055</v>
      </c>
      <c r="O375" s="19"/>
      <c r="P375" s="19" t="s">
        <v>2056</v>
      </c>
      <c r="Q375" s="21" t="s">
        <v>1570</v>
      </c>
      <c r="R375" s="21" t="s">
        <v>1637</v>
      </c>
    </row>
    <row r="376">
      <c r="A376" s="19">
        <v>1879.0</v>
      </c>
      <c r="B376" s="19">
        <v>1.0</v>
      </c>
      <c r="C376" s="21" t="s">
        <v>1630</v>
      </c>
      <c r="D376" s="21">
        <v>5.0</v>
      </c>
      <c r="E376" s="19">
        <v>669.0</v>
      </c>
      <c r="F376" s="25">
        <v>45782.0</v>
      </c>
      <c r="G376" s="19">
        <v>3.16520076E8</v>
      </c>
      <c r="H376" s="21" t="s">
        <v>48</v>
      </c>
      <c r="I376" s="19">
        <v>3.14471377E8</v>
      </c>
      <c r="J376" s="21" t="s">
        <v>2052</v>
      </c>
      <c r="K376" s="21" t="s">
        <v>2053</v>
      </c>
      <c r="L376" s="42"/>
      <c r="M376" s="19" t="s">
        <v>2040</v>
      </c>
      <c r="N376" s="19" t="s">
        <v>2041</v>
      </c>
      <c r="O376" s="19"/>
      <c r="P376" s="19" t="s">
        <v>2042</v>
      </c>
      <c r="Q376" s="21" t="s">
        <v>1570</v>
      </c>
      <c r="R376" s="21" t="s">
        <v>1637</v>
      </c>
    </row>
    <row r="377">
      <c r="A377" s="19">
        <v>1914.0</v>
      </c>
      <c r="B377" s="19">
        <v>1.0</v>
      </c>
      <c r="C377" s="21" t="s">
        <v>1630</v>
      </c>
      <c r="D377" s="21">
        <v>5.0</v>
      </c>
      <c r="E377" s="19">
        <v>704.0</v>
      </c>
      <c r="F377" s="25">
        <v>45783.0</v>
      </c>
      <c r="G377" s="19">
        <v>3.16520076E8</v>
      </c>
      <c r="H377" s="21" t="s">
        <v>48</v>
      </c>
      <c r="I377" s="19">
        <v>3.18652021E8</v>
      </c>
      <c r="J377" s="21" t="s">
        <v>2058</v>
      </c>
      <c r="K377" s="21" t="s">
        <v>2059</v>
      </c>
      <c r="L377" s="42"/>
      <c r="M377" s="19" t="s">
        <v>807</v>
      </c>
      <c r="N377" s="19" t="s">
        <v>808</v>
      </c>
      <c r="O377" s="19"/>
      <c r="P377" s="19" t="s">
        <v>811</v>
      </c>
      <c r="Q377" s="21" t="s">
        <v>57</v>
      </c>
      <c r="R377" s="21" t="s">
        <v>1637</v>
      </c>
    </row>
    <row r="378">
      <c r="A378" s="19">
        <v>1915.0</v>
      </c>
      <c r="B378" s="19">
        <v>1.0</v>
      </c>
      <c r="C378" s="21" t="s">
        <v>1630</v>
      </c>
      <c r="D378" s="21">
        <v>5.0</v>
      </c>
      <c r="E378" s="19">
        <v>705.0</v>
      </c>
      <c r="F378" s="25">
        <v>45783.0</v>
      </c>
      <c r="G378" s="19">
        <v>3.16520076E8</v>
      </c>
      <c r="H378" s="21" t="s">
        <v>48</v>
      </c>
      <c r="I378" s="19">
        <v>3.1579356E8</v>
      </c>
      <c r="J378" s="21" t="s">
        <v>76</v>
      </c>
      <c r="K378" s="21" t="s">
        <v>1104</v>
      </c>
      <c r="L378" s="42"/>
      <c r="M378" s="19" t="s">
        <v>2060</v>
      </c>
      <c r="N378" s="19" t="s">
        <v>2061</v>
      </c>
      <c r="O378" s="19"/>
      <c r="P378" s="19" t="s">
        <v>2062</v>
      </c>
      <c r="Q378" s="21" t="s">
        <v>57</v>
      </c>
      <c r="R378" s="21" t="s">
        <v>1637</v>
      </c>
    </row>
    <row r="379">
      <c r="A379" s="19">
        <v>1921.0</v>
      </c>
      <c r="B379" s="19">
        <v>1.0</v>
      </c>
      <c r="C379" s="21" t="s">
        <v>1630</v>
      </c>
      <c r="D379" s="21">
        <v>5.0</v>
      </c>
      <c r="E379" s="19">
        <v>711.0</v>
      </c>
      <c r="F379" s="25">
        <v>45784.0</v>
      </c>
      <c r="G379" s="19">
        <v>3.16520076E8</v>
      </c>
      <c r="H379" s="21" t="s">
        <v>48</v>
      </c>
      <c r="I379" s="19">
        <v>1.0750176E8</v>
      </c>
      <c r="J379" s="21" t="s">
        <v>2063</v>
      </c>
      <c r="K379" s="21" t="s">
        <v>2064</v>
      </c>
      <c r="L379" s="42"/>
      <c r="M379" s="19" t="s">
        <v>2065</v>
      </c>
      <c r="N379" s="19" t="s">
        <v>2066</v>
      </c>
      <c r="O379" s="19"/>
      <c r="P379" s="19" t="s">
        <v>2067</v>
      </c>
      <c r="Q379" s="21" t="s">
        <v>57</v>
      </c>
      <c r="R379" s="21" t="s">
        <v>1637</v>
      </c>
    </row>
    <row r="380">
      <c r="A380" s="19">
        <v>1925.0</v>
      </c>
      <c r="B380" s="19">
        <v>1.0</v>
      </c>
      <c r="C380" s="21" t="s">
        <v>1630</v>
      </c>
      <c r="D380" s="21">
        <v>5.0</v>
      </c>
      <c r="E380" s="19">
        <v>715.0</v>
      </c>
      <c r="F380" s="25">
        <v>45785.0</v>
      </c>
      <c r="G380" s="19">
        <v>3.16520076E8</v>
      </c>
      <c r="H380" s="21" t="s">
        <v>48</v>
      </c>
      <c r="I380" s="19">
        <v>3.165844E8</v>
      </c>
      <c r="J380" s="21" t="s">
        <v>2068</v>
      </c>
      <c r="K380" s="21" t="s">
        <v>2069</v>
      </c>
      <c r="L380" s="42"/>
      <c r="M380" s="19" t="s">
        <v>2070</v>
      </c>
      <c r="N380" s="19" t="s">
        <v>2071</v>
      </c>
      <c r="O380" s="19"/>
      <c r="P380" s="19" t="s">
        <v>2072</v>
      </c>
      <c r="Q380" s="21" t="s">
        <v>57</v>
      </c>
      <c r="R380" s="21" t="s">
        <v>1637</v>
      </c>
    </row>
    <row r="381">
      <c r="A381" s="19">
        <v>1932.0</v>
      </c>
      <c r="B381" s="19">
        <v>1.0</v>
      </c>
      <c r="C381" s="21" t="s">
        <v>1630</v>
      </c>
      <c r="D381" s="21">
        <v>5.0</v>
      </c>
      <c r="E381" s="19">
        <v>722.0</v>
      </c>
      <c r="F381" s="25">
        <v>45787.0</v>
      </c>
      <c r="G381" s="19">
        <v>3.16520076E8</v>
      </c>
      <c r="H381" s="21" t="s">
        <v>48</v>
      </c>
      <c r="I381" s="19">
        <v>3.1579356E8</v>
      </c>
      <c r="J381" s="21" t="s">
        <v>76</v>
      </c>
      <c r="K381" s="21" t="s">
        <v>1104</v>
      </c>
      <c r="L381" s="42"/>
      <c r="M381" s="19" t="s">
        <v>2073</v>
      </c>
      <c r="N381" s="19" t="s">
        <v>2074</v>
      </c>
      <c r="O381" s="19"/>
      <c r="P381" s="19" t="s">
        <v>2075</v>
      </c>
      <c r="Q381" s="21" t="s">
        <v>57</v>
      </c>
      <c r="R381" s="21" t="s">
        <v>1637</v>
      </c>
    </row>
    <row r="382">
      <c r="A382" s="19">
        <v>1933.0</v>
      </c>
      <c r="B382" s="19">
        <v>1.0</v>
      </c>
      <c r="C382" s="21" t="s">
        <v>1630</v>
      </c>
      <c r="D382" s="21">
        <v>5.0</v>
      </c>
      <c r="E382" s="19">
        <v>723.0</v>
      </c>
      <c r="F382" s="25">
        <v>45787.0</v>
      </c>
      <c r="G382" s="19">
        <v>3.16520076E8</v>
      </c>
      <c r="H382" s="21" t="s">
        <v>48</v>
      </c>
      <c r="I382" s="19">
        <v>3.17059605E8</v>
      </c>
      <c r="J382" s="21" t="s">
        <v>832</v>
      </c>
      <c r="K382" s="21" t="s">
        <v>834</v>
      </c>
      <c r="L382" s="42"/>
      <c r="M382" s="19" t="s">
        <v>2076</v>
      </c>
      <c r="N382" s="19" t="s">
        <v>2077</v>
      </c>
      <c r="O382" s="19"/>
      <c r="P382" s="19" t="s">
        <v>2078</v>
      </c>
      <c r="Q382" s="21" t="s">
        <v>57</v>
      </c>
      <c r="R382" s="21" t="s">
        <v>1637</v>
      </c>
    </row>
    <row r="383">
      <c r="A383" s="19">
        <v>1943.0</v>
      </c>
      <c r="B383" s="19">
        <v>1.0</v>
      </c>
      <c r="C383" s="21" t="s">
        <v>1630</v>
      </c>
      <c r="D383" s="21">
        <v>5.0</v>
      </c>
      <c r="E383" s="19">
        <v>733.0</v>
      </c>
      <c r="F383" s="25">
        <v>45790.0</v>
      </c>
      <c r="G383" s="19">
        <v>3.16520076E8</v>
      </c>
      <c r="H383" s="21" t="s">
        <v>48</v>
      </c>
      <c r="I383" s="19">
        <v>1.0235902E8</v>
      </c>
      <c r="J383" s="21" t="s">
        <v>2080</v>
      </c>
      <c r="K383" s="21" t="s">
        <v>2081</v>
      </c>
      <c r="L383" s="42"/>
      <c r="M383" s="19" t="s">
        <v>2082</v>
      </c>
      <c r="N383" s="19" t="s">
        <v>2083</v>
      </c>
      <c r="O383" s="19"/>
      <c r="P383" s="19" t="s">
        <v>2084</v>
      </c>
      <c r="Q383" s="21" t="s">
        <v>57</v>
      </c>
      <c r="R383" s="21" t="s">
        <v>1637</v>
      </c>
    </row>
    <row r="384">
      <c r="A384" s="19">
        <v>1944.0</v>
      </c>
      <c r="B384" s="19">
        <v>1.0</v>
      </c>
      <c r="C384" s="21" t="s">
        <v>1630</v>
      </c>
      <c r="D384" s="21">
        <v>5.0</v>
      </c>
      <c r="E384" s="19">
        <v>734.0</v>
      </c>
      <c r="F384" s="25">
        <v>45790.0</v>
      </c>
      <c r="G384" s="19">
        <v>3.16520076E8</v>
      </c>
      <c r="H384" s="21" t="s">
        <v>48</v>
      </c>
      <c r="I384" s="19">
        <v>3.1579356E8</v>
      </c>
      <c r="J384" s="21" t="s">
        <v>76</v>
      </c>
      <c r="K384" s="21" t="s">
        <v>1104</v>
      </c>
      <c r="L384" s="42"/>
      <c r="M384" s="19" t="s">
        <v>2086</v>
      </c>
      <c r="N384" s="19" t="s">
        <v>2087</v>
      </c>
      <c r="O384" s="19"/>
      <c r="P384" s="19" t="s">
        <v>2088</v>
      </c>
      <c r="Q384" s="21" t="s">
        <v>57</v>
      </c>
      <c r="R384" s="21" t="s">
        <v>1637</v>
      </c>
    </row>
    <row r="385">
      <c r="A385" s="19">
        <v>1950.0</v>
      </c>
      <c r="B385" s="19">
        <v>1.0</v>
      </c>
      <c r="C385" s="21" t="s">
        <v>1630</v>
      </c>
      <c r="D385" s="21">
        <v>5.0</v>
      </c>
      <c r="E385" s="19">
        <v>740.0</v>
      </c>
      <c r="F385" s="25">
        <v>45792.0</v>
      </c>
      <c r="G385" s="19">
        <v>3.16520076E8</v>
      </c>
      <c r="H385" s="21" t="s">
        <v>48</v>
      </c>
      <c r="I385" s="19">
        <v>3.1579356E8</v>
      </c>
      <c r="J385" s="21" t="s">
        <v>76</v>
      </c>
      <c r="K385" s="21" t="s">
        <v>1104</v>
      </c>
      <c r="L385" s="42"/>
      <c r="M385" s="19" t="s">
        <v>2089</v>
      </c>
      <c r="N385" s="19" t="s">
        <v>2090</v>
      </c>
      <c r="O385" s="19"/>
      <c r="P385" s="19" t="s">
        <v>2091</v>
      </c>
      <c r="Q385" s="21" t="s">
        <v>57</v>
      </c>
      <c r="R385" s="21" t="s">
        <v>1637</v>
      </c>
    </row>
    <row r="386">
      <c r="A386" s="19">
        <v>1974.0</v>
      </c>
      <c r="B386" s="19">
        <v>1.0</v>
      </c>
      <c r="C386" s="21" t="s">
        <v>1630</v>
      </c>
      <c r="D386" s="21">
        <v>5.0</v>
      </c>
      <c r="E386" s="19">
        <v>764.0</v>
      </c>
      <c r="F386" s="25">
        <v>45797.0</v>
      </c>
      <c r="G386" s="19">
        <v>3.16520076E8</v>
      </c>
      <c r="H386" s="21" t="s">
        <v>48</v>
      </c>
      <c r="I386" s="19">
        <v>1.09366443E8</v>
      </c>
      <c r="J386" s="21" t="s">
        <v>2092</v>
      </c>
      <c r="K386" s="21" t="s">
        <v>2093</v>
      </c>
      <c r="L386" s="42"/>
      <c r="M386" s="19" t="s">
        <v>1279</v>
      </c>
      <c r="N386" s="19" t="s">
        <v>1280</v>
      </c>
      <c r="O386" s="19"/>
      <c r="P386" s="19" t="s">
        <v>1282</v>
      </c>
      <c r="Q386" s="21" t="s">
        <v>57</v>
      </c>
      <c r="R386" s="21" t="s">
        <v>1637</v>
      </c>
    </row>
    <row r="387">
      <c r="A387" s="19">
        <v>1983.0</v>
      </c>
      <c r="B387" s="19">
        <v>1.0</v>
      </c>
      <c r="C387" s="21" t="s">
        <v>1630</v>
      </c>
      <c r="D387" s="21">
        <v>5.0</v>
      </c>
      <c r="E387" s="19">
        <v>773.0</v>
      </c>
      <c r="F387" s="25">
        <v>45799.0</v>
      </c>
      <c r="G387" s="19">
        <v>3.16520076E8</v>
      </c>
      <c r="H387" s="21" t="s">
        <v>48</v>
      </c>
      <c r="I387" s="19">
        <v>3.1579356E8</v>
      </c>
      <c r="J387" s="21" t="s">
        <v>76</v>
      </c>
      <c r="K387" s="21" t="s">
        <v>1104</v>
      </c>
      <c r="L387" s="42"/>
      <c r="M387" s="19" t="s">
        <v>2094</v>
      </c>
      <c r="N387" s="19" t="s">
        <v>2095</v>
      </c>
      <c r="O387" s="19"/>
      <c r="P387" s="19" t="s">
        <v>2096</v>
      </c>
      <c r="Q387" s="21" t="s">
        <v>57</v>
      </c>
      <c r="R387" s="21" t="s">
        <v>1637</v>
      </c>
    </row>
    <row r="388">
      <c r="A388" s="19">
        <v>1993.0</v>
      </c>
      <c r="B388" s="19">
        <v>1.0</v>
      </c>
      <c r="C388" s="21" t="s">
        <v>1630</v>
      </c>
      <c r="D388" s="21">
        <v>5.0</v>
      </c>
      <c r="E388" s="19">
        <v>783.0</v>
      </c>
      <c r="F388" s="25">
        <v>45801.0</v>
      </c>
      <c r="G388" s="19">
        <v>3.16520076E8</v>
      </c>
      <c r="H388" s="21" t="s">
        <v>48</v>
      </c>
      <c r="I388" s="19">
        <v>3.1579356E8</v>
      </c>
      <c r="J388" s="21" t="s">
        <v>76</v>
      </c>
      <c r="K388" s="21" t="s">
        <v>1104</v>
      </c>
      <c r="L388" s="42"/>
      <c r="M388" s="19" t="s">
        <v>2097</v>
      </c>
      <c r="N388" s="19" t="s">
        <v>2098</v>
      </c>
      <c r="O388" s="19"/>
      <c r="P388" s="19" t="s">
        <v>2099</v>
      </c>
      <c r="Q388" s="21" t="s">
        <v>57</v>
      </c>
      <c r="R388" s="21" t="s">
        <v>1637</v>
      </c>
    </row>
    <row r="389">
      <c r="A389" s="19">
        <v>1997.0</v>
      </c>
      <c r="B389" s="19">
        <v>1.0</v>
      </c>
      <c r="C389" s="21" t="s">
        <v>1630</v>
      </c>
      <c r="D389" s="21">
        <v>5.0</v>
      </c>
      <c r="E389" s="19">
        <v>787.0</v>
      </c>
      <c r="F389" s="25">
        <v>45801.0</v>
      </c>
      <c r="G389" s="19">
        <v>3.16520076E8</v>
      </c>
      <c r="H389" s="21" t="s">
        <v>48</v>
      </c>
      <c r="I389" s="19">
        <v>3.18074892E8</v>
      </c>
      <c r="J389" s="21" t="s">
        <v>404</v>
      </c>
      <c r="K389" s="21" t="s">
        <v>1770</v>
      </c>
      <c r="L389" s="42"/>
      <c r="M389" s="19" t="s">
        <v>2100</v>
      </c>
      <c r="N389" s="19" t="s">
        <v>2101</v>
      </c>
      <c r="O389" s="19"/>
      <c r="P389" s="19" t="s">
        <v>2102</v>
      </c>
      <c r="Q389" s="21" t="s">
        <v>1570</v>
      </c>
      <c r="R389" s="21" t="s">
        <v>1637</v>
      </c>
    </row>
    <row r="390">
      <c r="A390" s="19">
        <v>2000.0</v>
      </c>
      <c r="B390" s="19">
        <v>1.0</v>
      </c>
      <c r="C390" s="21" t="s">
        <v>1630</v>
      </c>
      <c r="D390" s="21">
        <v>5.0</v>
      </c>
      <c r="E390" s="19">
        <v>790.0</v>
      </c>
      <c r="F390" s="25">
        <v>45801.0</v>
      </c>
      <c r="G390" s="19">
        <v>3.16520076E8</v>
      </c>
      <c r="H390" s="21" t="s">
        <v>48</v>
      </c>
      <c r="I390" s="19" t="s">
        <v>455</v>
      </c>
      <c r="J390" s="21" t="s">
        <v>451</v>
      </c>
      <c r="K390" s="21" t="s">
        <v>1782</v>
      </c>
      <c r="L390" s="42"/>
      <c r="M390" s="19" t="s">
        <v>2103</v>
      </c>
      <c r="N390" s="19" t="s">
        <v>2104</v>
      </c>
      <c r="O390" s="19"/>
      <c r="P390" s="19" t="s">
        <v>2105</v>
      </c>
      <c r="Q390" s="21" t="s">
        <v>1570</v>
      </c>
      <c r="R390" s="21" t="s">
        <v>1637</v>
      </c>
    </row>
    <row r="391">
      <c r="A391" s="19">
        <v>1.0</v>
      </c>
      <c r="B391" s="19">
        <v>1.0</v>
      </c>
      <c r="C391" s="21" t="s">
        <v>1630</v>
      </c>
      <c r="D391" s="21">
        <v>4.0</v>
      </c>
      <c r="E391" s="19">
        <v>406.0</v>
      </c>
      <c r="F391" s="25">
        <v>45748.0</v>
      </c>
      <c r="G391" s="19">
        <v>3.16520076E8</v>
      </c>
      <c r="H391" s="21" t="s">
        <v>48</v>
      </c>
      <c r="I391" s="19">
        <v>3.1579356E8</v>
      </c>
      <c r="J391" s="21" t="s">
        <v>76</v>
      </c>
      <c r="K391" s="21" t="s">
        <v>1104</v>
      </c>
      <c r="L391" s="42"/>
      <c r="M391" s="19" t="s">
        <v>2106</v>
      </c>
      <c r="N391" s="19" t="s">
        <v>2107</v>
      </c>
      <c r="O391" s="19"/>
      <c r="P391" s="19" t="s">
        <v>2108</v>
      </c>
      <c r="Q391" s="21" t="s">
        <v>57</v>
      </c>
      <c r="R391" s="21" t="s">
        <v>1637</v>
      </c>
    </row>
    <row r="392">
      <c r="A392" s="19">
        <v>3.0</v>
      </c>
      <c r="B392" s="19">
        <v>1.0</v>
      </c>
      <c r="C392" s="21" t="s">
        <v>1630</v>
      </c>
      <c r="D392" s="21">
        <v>4.0</v>
      </c>
      <c r="E392" s="19">
        <v>408.0</v>
      </c>
      <c r="F392" s="25">
        <v>45749.0</v>
      </c>
      <c r="G392" s="19">
        <v>3.16520076E8</v>
      </c>
      <c r="H392" s="21" t="s">
        <v>48</v>
      </c>
      <c r="I392" s="19">
        <v>5.600231449E9</v>
      </c>
      <c r="J392" s="21" t="s">
        <v>2109</v>
      </c>
      <c r="K392" s="21" t="s">
        <v>2110</v>
      </c>
      <c r="L392" s="42"/>
      <c r="M392" s="19" t="s">
        <v>2111</v>
      </c>
      <c r="N392" s="19" t="s">
        <v>2112</v>
      </c>
      <c r="O392" s="19"/>
      <c r="P392" s="19" t="s">
        <v>2113</v>
      </c>
      <c r="Q392" s="21" t="s">
        <v>57</v>
      </c>
      <c r="R392" s="21" t="s">
        <v>1637</v>
      </c>
    </row>
    <row r="393">
      <c r="A393" s="19">
        <v>28.0</v>
      </c>
      <c r="B393" s="19">
        <v>1.0</v>
      </c>
      <c r="C393" s="21" t="s">
        <v>1630</v>
      </c>
      <c r="D393" s="21">
        <v>4.0</v>
      </c>
      <c r="E393" s="19">
        <v>433.0</v>
      </c>
      <c r="F393" s="25">
        <v>45756.0</v>
      </c>
      <c r="G393" s="19">
        <v>3.16520076E8</v>
      </c>
      <c r="H393" s="21" t="s">
        <v>48</v>
      </c>
      <c r="I393" s="19">
        <v>3.1579356E8</v>
      </c>
      <c r="J393" s="21" t="s">
        <v>76</v>
      </c>
      <c r="K393" s="21" t="s">
        <v>1104</v>
      </c>
      <c r="L393" s="42"/>
      <c r="M393" s="19" t="s">
        <v>2114</v>
      </c>
      <c r="N393" s="19" t="s">
        <v>2115</v>
      </c>
      <c r="O393" s="19"/>
      <c r="P393" s="19" t="s">
        <v>2116</v>
      </c>
      <c r="Q393" s="21" t="s">
        <v>57</v>
      </c>
      <c r="R393" s="21" t="s">
        <v>1637</v>
      </c>
    </row>
    <row r="394">
      <c r="A394" s="19">
        <v>31.0</v>
      </c>
      <c r="B394" s="19">
        <v>1.0</v>
      </c>
      <c r="C394" s="21" t="s">
        <v>1630</v>
      </c>
      <c r="D394" s="21">
        <v>4.0</v>
      </c>
      <c r="E394" s="19">
        <v>436.0</v>
      </c>
      <c r="F394" s="25">
        <v>45757.0</v>
      </c>
      <c r="G394" s="19">
        <v>3.16520076E8</v>
      </c>
      <c r="H394" s="21" t="s">
        <v>48</v>
      </c>
      <c r="I394" s="19">
        <v>3.1579356E8</v>
      </c>
      <c r="J394" s="21" t="s">
        <v>76</v>
      </c>
      <c r="K394" s="21" t="s">
        <v>1104</v>
      </c>
      <c r="L394" s="42"/>
      <c r="M394" s="19" t="s">
        <v>2117</v>
      </c>
      <c r="N394" s="19" t="s">
        <v>2118</v>
      </c>
      <c r="O394" s="19"/>
      <c r="P394" s="19" t="s">
        <v>2119</v>
      </c>
      <c r="Q394" s="21" t="s">
        <v>57</v>
      </c>
      <c r="R394" s="21" t="s">
        <v>1637</v>
      </c>
    </row>
    <row r="395">
      <c r="A395" s="19">
        <v>41.0</v>
      </c>
      <c r="B395" s="19">
        <v>1.0</v>
      </c>
      <c r="C395" s="21" t="s">
        <v>1630</v>
      </c>
      <c r="D395" s="21">
        <v>4.0</v>
      </c>
      <c r="E395" s="19">
        <v>446.0</v>
      </c>
      <c r="F395" s="25">
        <v>45762.0</v>
      </c>
      <c r="G395" s="19">
        <v>3.16520076E8</v>
      </c>
      <c r="H395" s="21" t="s">
        <v>48</v>
      </c>
      <c r="I395" s="19">
        <v>3.1579356E8</v>
      </c>
      <c r="J395" s="21" t="s">
        <v>76</v>
      </c>
      <c r="K395" s="21" t="s">
        <v>2120</v>
      </c>
      <c r="L395" s="42"/>
      <c r="M395" s="19" t="s">
        <v>2121</v>
      </c>
      <c r="N395" s="19" t="s">
        <v>2122</v>
      </c>
      <c r="O395" s="19"/>
      <c r="P395" s="19" t="s">
        <v>2123</v>
      </c>
      <c r="Q395" s="21" t="s">
        <v>57</v>
      </c>
      <c r="R395" s="21" t="s">
        <v>1637</v>
      </c>
    </row>
    <row r="396">
      <c r="A396" s="19">
        <v>51.0</v>
      </c>
      <c r="B396" s="19">
        <v>1.0</v>
      </c>
      <c r="C396" s="21" t="s">
        <v>1630</v>
      </c>
      <c r="D396" s="21">
        <v>4.0</v>
      </c>
      <c r="E396" s="19">
        <v>456.0</v>
      </c>
      <c r="F396" s="25">
        <v>45763.0</v>
      </c>
      <c r="G396" s="19">
        <v>3.16520076E8</v>
      </c>
      <c r="H396" s="21" t="s">
        <v>48</v>
      </c>
      <c r="I396" s="19">
        <v>3.00420157E8</v>
      </c>
      <c r="J396" s="21" t="s">
        <v>2124</v>
      </c>
      <c r="K396" s="21" t="s">
        <v>2125</v>
      </c>
      <c r="L396" s="42"/>
      <c r="M396" s="19" t="s">
        <v>2126</v>
      </c>
      <c r="N396" s="19" t="s">
        <v>2127</v>
      </c>
      <c r="O396" s="19"/>
      <c r="P396" s="19" t="s">
        <v>2128</v>
      </c>
      <c r="Q396" s="21" t="s">
        <v>57</v>
      </c>
      <c r="R396" s="21" t="s">
        <v>1637</v>
      </c>
    </row>
    <row r="397">
      <c r="A397" s="19">
        <v>72.0</v>
      </c>
      <c r="B397" s="19">
        <v>1.0</v>
      </c>
      <c r="C397" s="21" t="s">
        <v>1630</v>
      </c>
      <c r="D397" s="21">
        <v>4.0</v>
      </c>
      <c r="E397" s="19">
        <v>477.0</v>
      </c>
      <c r="F397" s="25">
        <v>45765.0</v>
      </c>
      <c r="G397" s="19">
        <v>3.16520076E8</v>
      </c>
      <c r="H397" s="21" t="s">
        <v>48</v>
      </c>
      <c r="I397" s="19">
        <v>3.1579356E8</v>
      </c>
      <c r="J397" s="21" t="s">
        <v>76</v>
      </c>
      <c r="K397" s="21" t="s">
        <v>1104</v>
      </c>
      <c r="L397" s="42"/>
      <c r="M397" s="19" t="s">
        <v>2129</v>
      </c>
      <c r="N397" s="19" t="s">
        <v>2130</v>
      </c>
      <c r="O397" s="19"/>
      <c r="P397" s="19" t="s">
        <v>2131</v>
      </c>
      <c r="Q397" s="21" t="s">
        <v>57</v>
      </c>
      <c r="R397" s="21" t="s">
        <v>1637</v>
      </c>
    </row>
    <row r="398">
      <c r="A398" s="19">
        <v>81.0</v>
      </c>
      <c r="B398" s="19">
        <v>1.0</v>
      </c>
      <c r="C398" s="21" t="s">
        <v>1630</v>
      </c>
      <c r="D398" s="21">
        <v>4.0</v>
      </c>
      <c r="E398" s="19">
        <v>486.0</v>
      </c>
      <c r="F398" s="25">
        <v>45768.0</v>
      </c>
      <c r="G398" s="19">
        <v>3.16520076E8</v>
      </c>
      <c r="H398" s="21" t="s">
        <v>48</v>
      </c>
      <c r="I398" s="19">
        <v>3.1579356E8</v>
      </c>
      <c r="J398" s="21" t="s">
        <v>76</v>
      </c>
      <c r="K398" s="21" t="s">
        <v>1104</v>
      </c>
      <c r="L398" s="42"/>
      <c r="M398" s="19" t="s">
        <v>2132</v>
      </c>
      <c r="N398" s="19" t="s">
        <v>2133</v>
      </c>
      <c r="O398" s="19"/>
      <c r="P398" s="19" t="s">
        <v>2134</v>
      </c>
      <c r="Q398" s="21" t="s">
        <v>57</v>
      </c>
      <c r="R398" s="21" t="s">
        <v>1637</v>
      </c>
    </row>
    <row r="399">
      <c r="A399" s="19">
        <v>82.0</v>
      </c>
      <c r="B399" s="19">
        <v>1.0</v>
      </c>
      <c r="C399" s="21" t="s">
        <v>1630</v>
      </c>
      <c r="D399" s="21">
        <v>4.0</v>
      </c>
      <c r="E399" s="19">
        <v>487.0</v>
      </c>
      <c r="F399" s="25">
        <v>45768.0</v>
      </c>
      <c r="G399" s="19">
        <v>3.16520076E8</v>
      </c>
      <c r="H399" s="21" t="s">
        <v>48</v>
      </c>
      <c r="I399" s="19">
        <v>3.1579356E8</v>
      </c>
      <c r="J399" s="21" t="s">
        <v>76</v>
      </c>
      <c r="K399" s="21" t="s">
        <v>1104</v>
      </c>
      <c r="L399" s="42"/>
      <c r="M399" s="19" t="s">
        <v>2135</v>
      </c>
      <c r="N399" s="19" t="s">
        <v>2136</v>
      </c>
      <c r="O399" s="19"/>
      <c r="P399" s="19" t="s">
        <v>2137</v>
      </c>
      <c r="Q399" s="21" t="s">
        <v>57</v>
      </c>
      <c r="R399" s="21" t="s">
        <v>1637</v>
      </c>
    </row>
    <row r="400">
      <c r="A400" s="19">
        <v>86.0</v>
      </c>
      <c r="B400" s="19">
        <v>1.0</v>
      </c>
      <c r="C400" s="21" t="s">
        <v>1630</v>
      </c>
      <c r="D400" s="21">
        <v>4.0</v>
      </c>
      <c r="E400" s="19">
        <v>491.0</v>
      </c>
      <c r="F400" s="25">
        <v>45769.0</v>
      </c>
      <c r="G400" s="19">
        <v>3.16520076E8</v>
      </c>
      <c r="H400" s="21" t="s">
        <v>48</v>
      </c>
      <c r="I400" s="19">
        <v>3.15568491E8</v>
      </c>
      <c r="J400" s="21" t="s">
        <v>668</v>
      </c>
      <c r="K400" s="21" t="s">
        <v>669</v>
      </c>
      <c r="L400" s="42"/>
      <c r="M400" s="19" t="s">
        <v>2138</v>
      </c>
      <c r="N400" s="19" t="s">
        <v>2139</v>
      </c>
      <c r="O400" s="19"/>
      <c r="P400" s="19" t="s">
        <v>2140</v>
      </c>
      <c r="Q400" s="21" t="s">
        <v>57</v>
      </c>
      <c r="R400" s="21" t="s">
        <v>1637</v>
      </c>
    </row>
    <row r="401">
      <c r="A401" s="19">
        <v>87.0</v>
      </c>
      <c r="B401" s="19">
        <v>1.0</v>
      </c>
      <c r="C401" s="21" t="s">
        <v>1630</v>
      </c>
      <c r="D401" s="21">
        <v>4.0</v>
      </c>
      <c r="E401" s="19">
        <v>492.0</v>
      </c>
      <c r="F401" s="25">
        <v>45769.0</v>
      </c>
      <c r="G401" s="19">
        <v>3.16520076E8</v>
      </c>
      <c r="H401" s="21" t="s">
        <v>48</v>
      </c>
      <c r="I401" s="19">
        <v>3.1579356E8</v>
      </c>
      <c r="J401" s="21" t="s">
        <v>76</v>
      </c>
      <c r="K401" s="21" t="s">
        <v>1104</v>
      </c>
      <c r="L401" s="42"/>
      <c r="M401" s="19" t="s">
        <v>2141</v>
      </c>
      <c r="N401" s="19" t="s">
        <v>2142</v>
      </c>
      <c r="O401" s="19"/>
      <c r="P401" s="19" t="s">
        <v>2143</v>
      </c>
      <c r="Q401" s="21" t="s">
        <v>57</v>
      </c>
      <c r="R401" s="21" t="s">
        <v>1637</v>
      </c>
    </row>
    <row r="402">
      <c r="A402" s="19">
        <v>100.0</v>
      </c>
      <c r="B402" s="19">
        <v>1.0</v>
      </c>
      <c r="C402" s="21" t="s">
        <v>1630</v>
      </c>
      <c r="D402" s="21">
        <v>4.0</v>
      </c>
      <c r="E402" s="19">
        <v>505.0</v>
      </c>
      <c r="F402" s="25">
        <v>45772.0</v>
      </c>
      <c r="G402" s="19">
        <v>3.16520076E8</v>
      </c>
      <c r="H402" s="21" t="s">
        <v>48</v>
      </c>
      <c r="I402" s="19">
        <v>3.1579356E8</v>
      </c>
      <c r="J402" s="21" t="s">
        <v>76</v>
      </c>
      <c r="K402" s="21" t="s">
        <v>1104</v>
      </c>
      <c r="L402" s="42"/>
      <c r="M402" s="19" t="s">
        <v>2145</v>
      </c>
      <c r="N402" s="19" t="s">
        <v>2146</v>
      </c>
      <c r="O402" s="19"/>
      <c r="P402" s="19" t="s">
        <v>2147</v>
      </c>
      <c r="Q402" s="21" t="s">
        <v>57</v>
      </c>
      <c r="R402" s="21" t="s">
        <v>1637</v>
      </c>
    </row>
    <row r="403">
      <c r="A403" s="19">
        <v>102.0</v>
      </c>
      <c r="B403" s="19">
        <v>1.0</v>
      </c>
      <c r="C403" s="21" t="s">
        <v>1630</v>
      </c>
      <c r="D403" s="21">
        <v>4.0</v>
      </c>
      <c r="E403" s="19">
        <v>507.0</v>
      </c>
      <c r="F403" s="25">
        <v>45773.0</v>
      </c>
      <c r="G403" s="19">
        <v>3.16520076E8</v>
      </c>
      <c r="H403" s="21" t="s">
        <v>48</v>
      </c>
      <c r="I403" s="19">
        <v>3.17526049E8</v>
      </c>
      <c r="J403" s="21" t="s">
        <v>620</v>
      </c>
      <c r="K403" s="21" t="s">
        <v>859</v>
      </c>
      <c r="L403" s="42"/>
      <c r="M403" s="19" t="s">
        <v>2148</v>
      </c>
      <c r="N403" s="19" t="s">
        <v>2149</v>
      </c>
      <c r="O403" s="19"/>
      <c r="P403" s="19" t="s">
        <v>2150</v>
      </c>
      <c r="Q403" s="21" t="s">
        <v>57</v>
      </c>
      <c r="R403" s="21" t="s">
        <v>1637</v>
      </c>
    </row>
    <row r="404">
      <c r="A404" s="19">
        <v>115.0</v>
      </c>
      <c r="B404" s="19">
        <v>1.0</v>
      </c>
      <c r="C404" s="21" t="s">
        <v>1630</v>
      </c>
      <c r="D404" s="21">
        <v>4.0</v>
      </c>
      <c r="E404" s="19">
        <v>520.0</v>
      </c>
      <c r="F404" s="25">
        <v>45775.0</v>
      </c>
      <c r="G404" s="19">
        <v>3.16520076E8</v>
      </c>
      <c r="H404" s="21" t="s">
        <v>48</v>
      </c>
      <c r="I404" s="19">
        <v>3.1579356E8</v>
      </c>
      <c r="J404" s="21" t="s">
        <v>76</v>
      </c>
      <c r="K404" s="21" t="s">
        <v>1104</v>
      </c>
      <c r="L404" s="42"/>
      <c r="M404" s="19" t="s">
        <v>2151</v>
      </c>
      <c r="N404" s="19" t="s">
        <v>2152</v>
      </c>
      <c r="O404" s="19"/>
      <c r="P404" s="19" t="s">
        <v>2153</v>
      </c>
      <c r="Q404" s="21" t="s">
        <v>57</v>
      </c>
      <c r="R404" s="21" t="s">
        <v>1637</v>
      </c>
    </row>
    <row r="405">
      <c r="A405" s="19">
        <v>116.0</v>
      </c>
      <c r="B405" s="19">
        <v>1.0</v>
      </c>
      <c r="C405" s="21" t="s">
        <v>1630</v>
      </c>
      <c r="D405" s="21">
        <v>4.0</v>
      </c>
      <c r="E405" s="19">
        <v>521.0</v>
      </c>
      <c r="F405" s="25">
        <v>45775.0</v>
      </c>
      <c r="G405" s="19">
        <v>3.16520076E8</v>
      </c>
      <c r="H405" s="21" t="s">
        <v>48</v>
      </c>
      <c r="I405" s="19">
        <v>3.1579356E8</v>
      </c>
      <c r="J405" s="21" t="s">
        <v>76</v>
      </c>
      <c r="K405" s="21" t="s">
        <v>1104</v>
      </c>
      <c r="L405" s="42"/>
      <c r="M405" s="19" t="s">
        <v>2154</v>
      </c>
      <c r="N405" s="19" t="s">
        <v>2155</v>
      </c>
      <c r="O405" s="19"/>
      <c r="P405" s="19" t="s">
        <v>2156</v>
      </c>
      <c r="Q405" s="21" t="s">
        <v>57</v>
      </c>
      <c r="R405" s="21" t="s">
        <v>1637</v>
      </c>
    </row>
    <row r="406">
      <c r="A406" s="19">
        <v>1.0</v>
      </c>
      <c r="B406" s="19">
        <v>1.0</v>
      </c>
      <c r="C406" s="21" t="s">
        <v>1630</v>
      </c>
      <c r="D406" s="21">
        <v>3.0</v>
      </c>
      <c r="E406" s="19">
        <v>166.0</v>
      </c>
      <c r="F406" s="25">
        <v>45719.0</v>
      </c>
      <c r="G406" s="19">
        <v>3.16520076E8</v>
      </c>
      <c r="H406" s="21" t="s">
        <v>48</v>
      </c>
      <c r="I406" s="19">
        <v>1.09366443E8</v>
      </c>
      <c r="J406" s="21" t="s">
        <v>2092</v>
      </c>
      <c r="K406" s="21" t="s">
        <v>2093</v>
      </c>
      <c r="L406" s="42"/>
      <c r="M406" s="19" t="s">
        <v>807</v>
      </c>
      <c r="N406" s="19" t="s">
        <v>808</v>
      </c>
      <c r="O406" s="19"/>
      <c r="P406" s="19" t="s">
        <v>811</v>
      </c>
      <c r="Q406" s="21" t="s">
        <v>57</v>
      </c>
      <c r="R406" s="21" t="s">
        <v>1637</v>
      </c>
    </row>
    <row r="407">
      <c r="A407" s="19">
        <v>2.0</v>
      </c>
      <c r="B407" s="19">
        <v>1.0</v>
      </c>
      <c r="C407" s="21" t="s">
        <v>1630</v>
      </c>
      <c r="D407" s="21">
        <v>3.0</v>
      </c>
      <c r="E407" s="19">
        <v>167.0</v>
      </c>
      <c r="F407" s="25">
        <v>45719.0</v>
      </c>
      <c r="G407" s="19">
        <v>3.16520076E8</v>
      </c>
      <c r="H407" s="21" t="s">
        <v>48</v>
      </c>
      <c r="I407" s="19">
        <v>3.1579356E8</v>
      </c>
      <c r="J407" s="21" t="s">
        <v>76</v>
      </c>
      <c r="K407" s="21" t="s">
        <v>1104</v>
      </c>
      <c r="L407" s="42"/>
      <c r="M407" s="19" t="s">
        <v>2157</v>
      </c>
      <c r="N407" s="19" t="s">
        <v>2158</v>
      </c>
      <c r="O407" s="19"/>
      <c r="P407" s="19" t="s">
        <v>2159</v>
      </c>
      <c r="Q407" s="21" t="s">
        <v>57</v>
      </c>
      <c r="R407" s="21" t="s">
        <v>1637</v>
      </c>
    </row>
    <row r="408">
      <c r="A408" s="19">
        <v>3.0</v>
      </c>
      <c r="B408" s="19">
        <v>1.0</v>
      </c>
      <c r="C408" s="21" t="s">
        <v>1630</v>
      </c>
      <c r="D408" s="21">
        <v>3.0</v>
      </c>
      <c r="E408" s="19">
        <v>168.0</v>
      </c>
      <c r="F408" s="25">
        <v>45719.0</v>
      </c>
      <c r="G408" s="19">
        <v>3.16520076E8</v>
      </c>
      <c r="H408" s="21" t="s">
        <v>48</v>
      </c>
      <c r="I408" s="19">
        <v>3.1579356E8</v>
      </c>
      <c r="J408" s="21" t="s">
        <v>76</v>
      </c>
      <c r="K408" s="21" t="s">
        <v>1104</v>
      </c>
      <c r="L408" s="42"/>
      <c r="M408" s="19" t="s">
        <v>2160</v>
      </c>
      <c r="N408" s="19" t="s">
        <v>2161</v>
      </c>
      <c r="O408" s="19"/>
      <c r="P408" s="19" t="s">
        <v>2162</v>
      </c>
      <c r="Q408" s="21" t="s">
        <v>57</v>
      </c>
      <c r="R408" s="21" t="s">
        <v>1637</v>
      </c>
    </row>
    <row r="409">
      <c r="A409" s="19">
        <v>4.0</v>
      </c>
      <c r="B409" s="19">
        <v>1.0</v>
      </c>
      <c r="C409" s="21" t="s">
        <v>1630</v>
      </c>
      <c r="D409" s="21">
        <v>3.0</v>
      </c>
      <c r="E409" s="19">
        <v>169.0</v>
      </c>
      <c r="F409" s="25">
        <v>45721.0</v>
      </c>
      <c r="G409" s="19">
        <v>3.16520076E8</v>
      </c>
      <c r="H409" s="21" t="s">
        <v>48</v>
      </c>
      <c r="I409" s="19">
        <v>3.1579356E8</v>
      </c>
      <c r="J409" s="21" t="s">
        <v>76</v>
      </c>
      <c r="K409" s="21" t="s">
        <v>1104</v>
      </c>
      <c r="L409" s="42"/>
      <c r="M409" s="19" t="s">
        <v>2164</v>
      </c>
      <c r="N409" s="19" t="s">
        <v>2165</v>
      </c>
      <c r="O409" s="19"/>
      <c r="P409" s="19" t="s">
        <v>2166</v>
      </c>
      <c r="Q409" s="21" t="s">
        <v>57</v>
      </c>
      <c r="R409" s="21" t="s">
        <v>1637</v>
      </c>
    </row>
    <row r="410">
      <c r="A410" s="19">
        <v>35.0</v>
      </c>
      <c r="B410" s="19">
        <v>1.0</v>
      </c>
      <c r="C410" s="21" t="s">
        <v>1630</v>
      </c>
      <c r="D410" s="21">
        <v>3.0</v>
      </c>
      <c r="E410" s="19">
        <v>200.0</v>
      </c>
      <c r="F410" s="25">
        <v>45723.0</v>
      </c>
      <c r="G410" s="19">
        <v>3.16520076E8</v>
      </c>
      <c r="H410" s="21" t="s">
        <v>48</v>
      </c>
      <c r="I410" s="19">
        <v>3.17968128E8</v>
      </c>
      <c r="J410" s="21" t="s">
        <v>2167</v>
      </c>
      <c r="K410" s="21" t="s">
        <v>2168</v>
      </c>
      <c r="L410" s="42"/>
      <c r="M410" s="19" t="s">
        <v>2169</v>
      </c>
      <c r="N410" s="19" t="s">
        <v>2170</v>
      </c>
      <c r="O410" s="19"/>
      <c r="P410" s="19" t="s">
        <v>2171</v>
      </c>
      <c r="Q410" s="21" t="s">
        <v>57</v>
      </c>
      <c r="R410" s="21" t="s">
        <v>1637</v>
      </c>
    </row>
    <row r="411">
      <c r="A411" s="19">
        <v>36.0</v>
      </c>
      <c r="B411" s="19">
        <v>1.0</v>
      </c>
      <c r="C411" s="21" t="s">
        <v>1630</v>
      </c>
      <c r="D411" s="21">
        <v>3.0</v>
      </c>
      <c r="E411" s="19">
        <v>201.0</v>
      </c>
      <c r="F411" s="25">
        <v>45723.0</v>
      </c>
      <c r="G411" s="19">
        <v>3.16520076E8</v>
      </c>
      <c r="H411" s="21" t="s">
        <v>48</v>
      </c>
      <c r="I411" s="19">
        <v>3.1579356E8</v>
      </c>
      <c r="J411" s="21" t="s">
        <v>76</v>
      </c>
      <c r="K411" s="21" t="s">
        <v>1104</v>
      </c>
      <c r="L411" s="42"/>
      <c r="M411" s="19" t="s">
        <v>2172</v>
      </c>
      <c r="N411" s="19" t="s">
        <v>2173</v>
      </c>
      <c r="O411" s="19"/>
      <c r="P411" s="19" t="s">
        <v>2174</v>
      </c>
      <c r="Q411" s="21" t="s">
        <v>57</v>
      </c>
      <c r="R411" s="21" t="s">
        <v>1637</v>
      </c>
    </row>
    <row r="412">
      <c r="A412" s="19">
        <v>123.0</v>
      </c>
      <c r="B412" s="19">
        <v>1.0</v>
      </c>
      <c r="C412" s="21" t="s">
        <v>1630</v>
      </c>
      <c r="D412" s="21">
        <v>3.0</v>
      </c>
      <c r="E412" s="19">
        <v>288.0</v>
      </c>
      <c r="F412" s="25">
        <v>45726.0</v>
      </c>
      <c r="G412" s="19">
        <v>3.16520076E8</v>
      </c>
      <c r="H412" s="21" t="s">
        <v>48</v>
      </c>
      <c r="I412" s="19">
        <v>3.1579356E8</v>
      </c>
      <c r="J412" s="21" t="s">
        <v>76</v>
      </c>
      <c r="K412" s="21" t="s">
        <v>1104</v>
      </c>
      <c r="L412" s="42"/>
      <c r="M412" s="19" t="s">
        <v>2176</v>
      </c>
      <c r="N412" s="19" t="s">
        <v>2177</v>
      </c>
      <c r="O412" s="19"/>
      <c r="P412" s="19" t="s">
        <v>2178</v>
      </c>
      <c r="Q412" s="21" t="s">
        <v>57</v>
      </c>
      <c r="R412" s="21" t="s">
        <v>1637</v>
      </c>
    </row>
    <row r="413">
      <c r="A413" s="19">
        <v>131.0</v>
      </c>
      <c r="B413" s="19">
        <v>1.0</v>
      </c>
      <c r="C413" s="21" t="s">
        <v>1630</v>
      </c>
      <c r="D413" s="21">
        <v>3.0</v>
      </c>
      <c r="E413" s="19">
        <v>296.0</v>
      </c>
      <c r="F413" s="25">
        <v>45729.0</v>
      </c>
      <c r="G413" s="19">
        <v>3.16520076E8</v>
      </c>
      <c r="H413" s="21" t="s">
        <v>48</v>
      </c>
      <c r="I413" s="19">
        <v>3.1579356E8</v>
      </c>
      <c r="J413" s="21" t="s">
        <v>76</v>
      </c>
      <c r="K413" s="21" t="s">
        <v>1104</v>
      </c>
      <c r="L413" s="42"/>
      <c r="M413" s="19" t="s">
        <v>2179</v>
      </c>
      <c r="N413" s="19" t="s">
        <v>2180</v>
      </c>
      <c r="O413" s="19"/>
      <c r="P413" s="19" t="s">
        <v>2181</v>
      </c>
      <c r="Q413" s="21" t="s">
        <v>57</v>
      </c>
      <c r="R413" s="21" t="s">
        <v>1637</v>
      </c>
    </row>
    <row r="414">
      <c r="A414" s="19">
        <v>139.0</v>
      </c>
      <c r="B414" s="19">
        <v>1.0</v>
      </c>
      <c r="C414" s="21" t="s">
        <v>1630</v>
      </c>
      <c r="D414" s="21">
        <v>3.0</v>
      </c>
      <c r="E414" s="19">
        <v>304.0</v>
      </c>
      <c r="F414" s="25">
        <v>45731.0</v>
      </c>
      <c r="G414" s="19">
        <v>3.16520076E8</v>
      </c>
      <c r="H414" s="21" t="s">
        <v>48</v>
      </c>
      <c r="I414" s="19">
        <v>3.17745996E8</v>
      </c>
      <c r="J414" s="21" t="s">
        <v>2182</v>
      </c>
      <c r="K414" s="21" t="s">
        <v>2183</v>
      </c>
      <c r="L414" s="42"/>
      <c r="M414" s="19" t="s">
        <v>2184</v>
      </c>
      <c r="N414" s="19" t="s">
        <v>2185</v>
      </c>
      <c r="O414" s="19"/>
      <c r="P414" s="19" t="s">
        <v>2186</v>
      </c>
      <c r="Q414" s="21" t="s">
        <v>57</v>
      </c>
      <c r="R414" s="21" t="s">
        <v>1637</v>
      </c>
    </row>
    <row r="415">
      <c r="A415" s="19">
        <v>155.0</v>
      </c>
      <c r="B415" s="19">
        <v>1.0</v>
      </c>
      <c r="C415" s="21" t="s">
        <v>1630</v>
      </c>
      <c r="D415" s="21">
        <v>3.0</v>
      </c>
      <c r="E415" s="19">
        <v>320.0</v>
      </c>
      <c r="F415" s="25">
        <v>45734.0</v>
      </c>
      <c r="G415" s="19">
        <v>3.16520076E8</v>
      </c>
      <c r="H415" s="21" t="s">
        <v>48</v>
      </c>
      <c r="I415" s="19">
        <v>3.1579356E8</v>
      </c>
      <c r="J415" s="21" t="s">
        <v>76</v>
      </c>
      <c r="K415" s="21" t="s">
        <v>1104</v>
      </c>
      <c r="L415" s="42"/>
      <c r="M415" s="19" t="s">
        <v>2187</v>
      </c>
      <c r="N415" s="19" t="s">
        <v>2188</v>
      </c>
      <c r="O415" s="19"/>
      <c r="P415" s="19" t="s">
        <v>2189</v>
      </c>
      <c r="Q415" s="21" t="s">
        <v>57</v>
      </c>
      <c r="R415" s="21" t="s">
        <v>1637</v>
      </c>
    </row>
    <row r="416">
      <c r="A416" s="19">
        <v>156.0</v>
      </c>
      <c r="B416" s="19">
        <v>1.0</v>
      </c>
      <c r="C416" s="21" t="s">
        <v>1630</v>
      </c>
      <c r="D416" s="21">
        <v>3.0</v>
      </c>
      <c r="E416" s="19">
        <v>321.0</v>
      </c>
      <c r="F416" s="25">
        <v>45734.0</v>
      </c>
      <c r="G416" s="19">
        <v>3.16520076E8</v>
      </c>
      <c r="H416" s="21" t="s">
        <v>48</v>
      </c>
      <c r="I416" s="19">
        <v>3.1579356E8</v>
      </c>
      <c r="J416" s="21" t="s">
        <v>76</v>
      </c>
      <c r="K416" s="21" t="s">
        <v>1104</v>
      </c>
      <c r="L416" s="42"/>
      <c r="M416" s="19" t="s">
        <v>2190</v>
      </c>
      <c r="N416" s="19" t="s">
        <v>2191</v>
      </c>
      <c r="O416" s="19"/>
      <c r="P416" s="19" t="s">
        <v>2192</v>
      </c>
      <c r="Q416" s="21" t="s">
        <v>57</v>
      </c>
      <c r="R416" s="21" t="s">
        <v>1637</v>
      </c>
    </row>
    <row r="417">
      <c r="A417" s="19">
        <v>160.0</v>
      </c>
      <c r="B417" s="19">
        <v>1.0</v>
      </c>
      <c r="C417" s="21" t="s">
        <v>1630</v>
      </c>
      <c r="D417" s="21">
        <v>3.0</v>
      </c>
      <c r="E417" s="19">
        <v>325.0</v>
      </c>
      <c r="F417" s="25">
        <v>45735.0</v>
      </c>
      <c r="G417" s="19">
        <v>3.16520076E8</v>
      </c>
      <c r="H417" s="21" t="s">
        <v>48</v>
      </c>
      <c r="I417" s="19">
        <v>3.1579356E8</v>
      </c>
      <c r="J417" s="21" t="s">
        <v>76</v>
      </c>
      <c r="K417" s="21" t="s">
        <v>1104</v>
      </c>
      <c r="L417" s="42"/>
      <c r="M417" s="19" t="s">
        <v>2193</v>
      </c>
      <c r="N417" s="19" t="s">
        <v>2194</v>
      </c>
      <c r="O417" s="19"/>
      <c r="P417" s="19" t="s">
        <v>2195</v>
      </c>
      <c r="Q417" s="21" t="s">
        <v>57</v>
      </c>
      <c r="R417" s="21" t="s">
        <v>1637</v>
      </c>
    </row>
    <row r="418">
      <c r="A418" s="19">
        <v>161.0</v>
      </c>
      <c r="B418" s="19">
        <v>1.0</v>
      </c>
      <c r="C418" s="21" t="s">
        <v>1630</v>
      </c>
      <c r="D418" s="21">
        <v>3.0</v>
      </c>
      <c r="E418" s="19">
        <v>326.0</v>
      </c>
      <c r="F418" s="25">
        <v>45737.0</v>
      </c>
      <c r="G418" s="19">
        <v>3.16520076E8</v>
      </c>
      <c r="H418" s="21" t="s">
        <v>48</v>
      </c>
      <c r="I418" s="19">
        <v>1.0462924E8</v>
      </c>
      <c r="J418" s="21" t="s">
        <v>2196</v>
      </c>
      <c r="K418" s="21" t="s">
        <v>2197</v>
      </c>
      <c r="L418" s="42"/>
      <c r="M418" s="19" t="s">
        <v>1011</v>
      </c>
      <c r="N418" s="19" t="s">
        <v>1013</v>
      </c>
      <c r="O418" s="19"/>
      <c r="P418" s="19" t="s">
        <v>1016</v>
      </c>
      <c r="Q418" s="21" t="s">
        <v>57</v>
      </c>
      <c r="R418" s="21" t="s">
        <v>1637</v>
      </c>
    </row>
    <row r="419">
      <c r="A419" s="19">
        <v>164.0</v>
      </c>
      <c r="B419" s="19">
        <v>1.0</v>
      </c>
      <c r="C419" s="21" t="s">
        <v>1630</v>
      </c>
      <c r="D419" s="21">
        <v>3.0</v>
      </c>
      <c r="E419" s="19">
        <v>329.0</v>
      </c>
      <c r="F419" s="25">
        <v>45740.0</v>
      </c>
      <c r="G419" s="19">
        <v>3.16520076E8</v>
      </c>
      <c r="H419" s="21" t="s">
        <v>48</v>
      </c>
      <c r="I419" s="19">
        <v>3.1579356E8</v>
      </c>
      <c r="J419" s="21" t="s">
        <v>76</v>
      </c>
      <c r="K419" s="21" t="s">
        <v>1104</v>
      </c>
      <c r="L419" s="42"/>
      <c r="M419" s="19" t="s">
        <v>2198</v>
      </c>
      <c r="N419" s="19" t="s">
        <v>2199</v>
      </c>
      <c r="O419" s="19"/>
      <c r="P419" s="19" t="s">
        <v>2200</v>
      </c>
      <c r="Q419" s="21" t="s">
        <v>57</v>
      </c>
      <c r="R419" s="21" t="s">
        <v>1637</v>
      </c>
    </row>
    <row r="420">
      <c r="A420" s="19">
        <v>165.0</v>
      </c>
      <c r="B420" s="19">
        <v>1.0</v>
      </c>
      <c r="C420" s="21" t="s">
        <v>1630</v>
      </c>
      <c r="D420" s="21">
        <v>3.0</v>
      </c>
      <c r="E420" s="19">
        <v>330.0</v>
      </c>
      <c r="F420" s="25">
        <v>45743.0</v>
      </c>
      <c r="G420" s="19">
        <v>3.16520076E8</v>
      </c>
      <c r="H420" s="21" t="s">
        <v>48</v>
      </c>
      <c r="I420" s="19">
        <v>3.1579356E8</v>
      </c>
      <c r="J420" s="21" t="s">
        <v>76</v>
      </c>
      <c r="K420" s="21" t="s">
        <v>1104</v>
      </c>
      <c r="L420" s="42"/>
      <c r="M420" s="19" t="s">
        <v>2201</v>
      </c>
      <c r="N420" s="19" t="s">
        <v>2202</v>
      </c>
      <c r="O420" s="19"/>
      <c r="P420" s="19" t="s">
        <v>2203</v>
      </c>
      <c r="Q420" s="21" t="s">
        <v>57</v>
      </c>
      <c r="R420" s="21" t="s">
        <v>1637</v>
      </c>
    </row>
    <row r="421">
      <c r="A421" s="19">
        <v>232.0</v>
      </c>
      <c r="B421" s="19">
        <v>1.0</v>
      </c>
      <c r="C421" s="21" t="s">
        <v>1630</v>
      </c>
      <c r="D421" s="21">
        <v>3.0</v>
      </c>
      <c r="E421" s="19">
        <v>397.0</v>
      </c>
      <c r="F421" s="25">
        <v>45747.0</v>
      </c>
      <c r="G421" s="19">
        <v>3.16520076E8</v>
      </c>
      <c r="H421" s="21" t="s">
        <v>48</v>
      </c>
      <c r="I421" s="19">
        <v>3.1579356E8</v>
      </c>
      <c r="J421" s="21" t="s">
        <v>76</v>
      </c>
      <c r="K421" s="21" t="s">
        <v>1104</v>
      </c>
      <c r="L421" s="42"/>
      <c r="M421" s="19" t="s">
        <v>2204</v>
      </c>
      <c r="N421" s="19" t="s">
        <v>2205</v>
      </c>
      <c r="O421" s="19"/>
      <c r="P421" s="19" t="s">
        <v>2206</v>
      </c>
      <c r="Q421" s="21" t="s">
        <v>57</v>
      </c>
      <c r="R421" s="21" t="s">
        <v>1637</v>
      </c>
    </row>
    <row r="422">
      <c r="A422" s="19">
        <v>5.0</v>
      </c>
      <c r="B422" s="19">
        <v>1.0</v>
      </c>
      <c r="C422" s="21" t="s">
        <v>1630</v>
      </c>
      <c r="D422" s="21">
        <v>2.0</v>
      </c>
      <c r="E422" s="19">
        <v>104.0</v>
      </c>
      <c r="F422" s="25">
        <v>45707.0</v>
      </c>
      <c r="G422" s="19">
        <v>3.16520076E8</v>
      </c>
      <c r="H422" s="21" t="s">
        <v>48</v>
      </c>
      <c r="I422" s="19">
        <v>3.1579356E8</v>
      </c>
      <c r="J422" s="21" t="s">
        <v>76</v>
      </c>
      <c r="K422" s="21" t="s">
        <v>1104</v>
      </c>
      <c r="L422" s="42"/>
      <c r="M422" s="19" t="s">
        <v>635</v>
      </c>
      <c r="N422" s="19" t="s">
        <v>2207</v>
      </c>
      <c r="O422" s="19"/>
      <c r="P422" s="19" t="s">
        <v>2208</v>
      </c>
      <c r="Q422" s="21" t="s">
        <v>57</v>
      </c>
      <c r="R422" s="21" t="s">
        <v>1637</v>
      </c>
    </row>
    <row r="423">
      <c r="A423" s="19">
        <v>10.0</v>
      </c>
      <c r="B423" s="19">
        <v>1.0</v>
      </c>
      <c r="C423" s="21" t="s">
        <v>1630</v>
      </c>
      <c r="D423" s="21">
        <v>2.0</v>
      </c>
      <c r="E423" s="19">
        <v>109.0</v>
      </c>
      <c r="F423" s="25">
        <v>45707.0</v>
      </c>
      <c r="G423" s="19">
        <v>3.16520076E8</v>
      </c>
      <c r="H423" s="21" t="s">
        <v>48</v>
      </c>
      <c r="I423" s="19">
        <v>3.1579356E8</v>
      </c>
      <c r="J423" s="21" t="s">
        <v>76</v>
      </c>
      <c r="K423" s="21" t="s">
        <v>1104</v>
      </c>
      <c r="L423" s="42"/>
      <c r="M423" s="19" t="s">
        <v>2209</v>
      </c>
      <c r="N423" s="19" t="s">
        <v>2210</v>
      </c>
      <c r="O423" s="19"/>
      <c r="P423" s="19" t="s">
        <v>2211</v>
      </c>
      <c r="Q423" s="21" t="s">
        <v>57</v>
      </c>
      <c r="R423" s="21" t="s">
        <v>1637</v>
      </c>
    </row>
    <row r="424">
      <c r="A424" s="19">
        <v>19.0</v>
      </c>
      <c r="B424" s="19">
        <v>1.0</v>
      </c>
      <c r="C424" s="21" t="s">
        <v>1630</v>
      </c>
      <c r="D424" s="21">
        <v>2.0</v>
      </c>
      <c r="E424" s="19">
        <v>118.0</v>
      </c>
      <c r="F424" s="25">
        <v>45709.0</v>
      </c>
      <c r="G424" s="19">
        <v>3.16520076E8</v>
      </c>
      <c r="H424" s="21" t="s">
        <v>48</v>
      </c>
      <c r="I424" s="19">
        <v>3.14471377E8</v>
      </c>
      <c r="J424" s="21" t="s">
        <v>2052</v>
      </c>
      <c r="K424" s="21" t="s">
        <v>2053</v>
      </c>
      <c r="L424" s="42"/>
      <c r="M424" s="19" t="s">
        <v>2212</v>
      </c>
      <c r="N424" s="19" t="s">
        <v>2213</v>
      </c>
      <c r="O424" s="19"/>
      <c r="P424" s="19" t="s">
        <v>2214</v>
      </c>
      <c r="Q424" s="21" t="s">
        <v>56</v>
      </c>
      <c r="R424" s="21" t="s">
        <v>1637</v>
      </c>
    </row>
    <row r="425">
      <c r="A425" s="19">
        <v>20.0</v>
      </c>
      <c r="B425" s="19">
        <v>1.0</v>
      </c>
      <c r="C425" s="21" t="s">
        <v>1630</v>
      </c>
      <c r="D425" s="21">
        <v>2.0</v>
      </c>
      <c r="E425" s="19">
        <v>119.0</v>
      </c>
      <c r="F425" s="25">
        <v>45709.0</v>
      </c>
      <c r="G425" s="19">
        <v>3.16520076E8</v>
      </c>
      <c r="H425" s="21" t="s">
        <v>48</v>
      </c>
      <c r="I425" s="19">
        <v>3.1579356E8</v>
      </c>
      <c r="J425" s="21" t="s">
        <v>76</v>
      </c>
      <c r="K425" s="21" t="s">
        <v>1104</v>
      </c>
      <c r="L425" s="42"/>
      <c r="M425" s="19" t="s">
        <v>2215</v>
      </c>
      <c r="N425" s="19" t="s">
        <v>2216</v>
      </c>
      <c r="O425" s="19"/>
      <c r="P425" s="19" t="s">
        <v>2217</v>
      </c>
      <c r="Q425" s="21" t="s">
        <v>57</v>
      </c>
      <c r="R425" s="21" t="s">
        <v>1637</v>
      </c>
    </row>
    <row r="426">
      <c r="A426" s="19">
        <v>21.0</v>
      </c>
      <c r="B426" s="19">
        <v>1.0</v>
      </c>
      <c r="C426" s="21" t="s">
        <v>1630</v>
      </c>
      <c r="D426" s="21">
        <v>2.0</v>
      </c>
      <c r="E426" s="19">
        <v>120.0</v>
      </c>
      <c r="F426" s="25">
        <v>45710.0</v>
      </c>
      <c r="G426" s="19">
        <v>3.16520076E8</v>
      </c>
      <c r="H426" s="21" t="s">
        <v>48</v>
      </c>
      <c r="I426" s="19">
        <v>3.1579356E8</v>
      </c>
      <c r="J426" s="21" t="s">
        <v>76</v>
      </c>
      <c r="K426" s="21" t="s">
        <v>1104</v>
      </c>
      <c r="L426" s="42"/>
      <c r="M426" s="19" t="s">
        <v>2218</v>
      </c>
      <c r="N426" s="19" t="s">
        <v>2219</v>
      </c>
      <c r="O426" s="19"/>
      <c r="P426" s="19" t="s">
        <v>2220</v>
      </c>
      <c r="Q426" s="21" t="s">
        <v>57</v>
      </c>
      <c r="R426" s="21" t="s">
        <v>1637</v>
      </c>
    </row>
    <row r="427">
      <c r="A427" s="19">
        <v>22.0</v>
      </c>
      <c r="B427" s="19">
        <v>1.0</v>
      </c>
      <c r="C427" s="21" t="s">
        <v>1630</v>
      </c>
      <c r="D427" s="21">
        <v>2.0</v>
      </c>
      <c r="E427" s="19">
        <v>121.0</v>
      </c>
      <c r="F427" s="25">
        <v>45713.0</v>
      </c>
      <c r="G427" s="19">
        <v>3.16520076E8</v>
      </c>
      <c r="H427" s="21" t="s">
        <v>48</v>
      </c>
      <c r="I427" s="19">
        <v>3.0927195E8</v>
      </c>
      <c r="J427" s="21" t="s">
        <v>1121</v>
      </c>
      <c r="K427" s="21" t="s">
        <v>2017</v>
      </c>
      <c r="L427" s="42"/>
      <c r="M427" s="19" t="s">
        <v>2221</v>
      </c>
      <c r="N427" s="19" t="s">
        <v>2222</v>
      </c>
      <c r="O427" s="19"/>
      <c r="P427" s="19" t="s">
        <v>2223</v>
      </c>
      <c r="Q427" s="21" t="s">
        <v>56</v>
      </c>
      <c r="R427" s="21" t="s">
        <v>1637</v>
      </c>
    </row>
    <row r="428">
      <c r="A428" s="19">
        <v>23.0</v>
      </c>
      <c r="B428" s="19">
        <v>1.0</v>
      </c>
      <c r="C428" s="21" t="s">
        <v>1630</v>
      </c>
      <c r="D428" s="21">
        <v>2.0</v>
      </c>
      <c r="E428" s="19">
        <v>122.0</v>
      </c>
      <c r="F428" s="25">
        <v>45713.0</v>
      </c>
      <c r="G428" s="19">
        <v>3.16520076E8</v>
      </c>
      <c r="H428" s="21" t="s">
        <v>48</v>
      </c>
      <c r="I428" s="19">
        <v>3.14471377E8</v>
      </c>
      <c r="J428" s="21" t="s">
        <v>2052</v>
      </c>
      <c r="K428" s="21" t="s">
        <v>2053</v>
      </c>
      <c r="L428" s="42"/>
      <c r="M428" s="19" t="s">
        <v>2224</v>
      </c>
      <c r="N428" s="19" t="s">
        <v>2225</v>
      </c>
      <c r="O428" s="19"/>
      <c r="P428" s="19" t="s">
        <v>2226</v>
      </c>
      <c r="Q428" s="21" t="s">
        <v>56</v>
      </c>
      <c r="R428" s="21" t="s">
        <v>1637</v>
      </c>
    </row>
    <row r="429">
      <c r="A429" s="19">
        <v>73.0</v>
      </c>
      <c r="B429" s="19">
        <v>1.0</v>
      </c>
      <c r="C429" s="21" t="s">
        <v>1630</v>
      </c>
      <c r="D429" s="21">
        <v>2.0</v>
      </c>
      <c r="E429" s="19">
        <v>73.0</v>
      </c>
      <c r="F429" s="25">
        <v>45694.0</v>
      </c>
      <c r="G429" s="19">
        <v>3.16520076E8</v>
      </c>
      <c r="H429" s="21" t="s">
        <v>48</v>
      </c>
      <c r="I429" s="19">
        <v>2.803060634E9</v>
      </c>
      <c r="J429" s="21" t="s">
        <v>2045</v>
      </c>
      <c r="K429" s="21" t="s">
        <v>2046</v>
      </c>
      <c r="L429" s="42"/>
      <c r="M429" s="19" t="s">
        <v>2227</v>
      </c>
      <c r="N429" s="19" t="s">
        <v>2228</v>
      </c>
      <c r="O429" s="19"/>
      <c r="P429" s="19" t="s">
        <v>2229</v>
      </c>
      <c r="Q429" s="21" t="s">
        <v>56</v>
      </c>
      <c r="R429" s="21" t="s">
        <v>1637</v>
      </c>
    </row>
    <row r="430">
      <c r="A430" s="19">
        <v>85.0</v>
      </c>
      <c r="B430" s="19">
        <v>1.0</v>
      </c>
      <c r="C430" s="21" t="s">
        <v>1630</v>
      </c>
      <c r="D430" s="21">
        <v>2.0</v>
      </c>
      <c r="E430" s="19">
        <v>85.0</v>
      </c>
      <c r="F430" s="25">
        <v>45698.0</v>
      </c>
      <c r="G430" s="19">
        <v>3.16520076E8</v>
      </c>
      <c r="H430" s="21" t="s">
        <v>48</v>
      </c>
      <c r="I430" s="19">
        <v>3.1579356E8</v>
      </c>
      <c r="J430" s="21" t="s">
        <v>76</v>
      </c>
      <c r="K430" s="21" t="s">
        <v>1104</v>
      </c>
      <c r="L430" s="42"/>
      <c r="M430" s="19" t="s">
        <v>2230</v>
      </c>
      <c r="N430" s="19" t="s">
        <v>2231</v>
      </c>
      <c r="O430" s="19"/>
      <c r="P430" s="19" t="s">
        <v>2232</v>
      </c>
      <c r="Q430" s="21" t="s">
        <v>57</v>
      </c>
      <c r="R430" s="21" t="s">
        <v>1637</v>
      </c>
    </row>
    <row r="431">
      <c r="A431" s="19">
        <v>86.0</v>
      </c>
      <c r="B431" s="19">
        <v>1.0</v>
      </c>
      <c r="C431" s="21" t="s">
        <v>1630</v>
      </c>
      <c r="D431" s="21">
        <v>2.0</v>
      </c>
      <c r="E431" s="19">
        <v>86.0</v>
      </c>
      <c r="F431" s="25">
        <v>45698.0</v>
      </c>
      <c r="G431" s="19">
        <v>3.16520076E8</v>
      </c>
      <c r="H431" s="21" t="s">
        <v>48</v>
      </c>
      <c r="I431" s="19">
        <v>3.1579356E8</v>
      </c>
      <c r="J431" s="21" t="s">
        <v>76</v>
      </c>
      <c r="K431" s="21" t="s">
        <v>1104</v>
      </c>
      <c r="L431" s="42"/>
      <c r="M431" s="19" t="s">
        <v>2234</v>
      </c>
      <c r="N431" s="19" t="s">
        <v>2235</v>
      </c>
      <c r="O431" s="19"/>
      <c r="P431" s="19" t="s">
        <v>2236</v>
      </c>
      <c r="Q431" s="21" t="s">
        <v>57</v>
      </c>
      <c r="R431" s="21" t="s">
        <v>1637</v>
      </c>
    </row>
    <row r="432">
      <c r="A432" s="19">
        <v>87.0</v>
      </c>
      <c r="B432" s="19">
        <v>1.0</v>
      </c>
      <c r="C432" s="21" t="s">
        <v>1630</v>
      </c>
      <c r="D432" s="21">
        <v>2.0</v>
      </c>
      <c r="E432" s="19">
        <v>87.0</v>
      </c>
      <c r="F432" s="25">
        <v>45699.0</v>
      </c>
      <c r="G432" s="19">
        <v>3.16520076E8</v>
      </c>
      <c r="H432" s="21" t="s">
        <v>48</v>
      </c>
      <c r="I432" s="19">
        <v>3.1579356E8</v>
      </c>
      <c r="J432" s="21" t="s">
        <v>76</v>
      </c>
      <c r="K432" s="21" t="s">
        <v>1104</v>
      </c>
      <c r="L432" s="42"/>
      <c r="M432" s="19" t="s">
        <v>2237</v>
      </c>
      <c r="N432" s="19" t="s">
        <v>2238</v>
      </c>
      <c r="O432" s="19"/>
      <c r="P432" s="19" t="s">
        <v>2239</v>
      </c>
      <c r="Q432" s="21" t="s">
        <v>57</v>
      </c>
      <c r="R432" s="21" t="s">
        <v>1637</v>
      </c>
    </row>
    <row r="433">
      <c r="A433" s="19">
        <v>88.0</v>
      </c>
      <c r="B433" s="19">
        <v>1.0</v>
      </c>
      <c r="C433" s="21" t="s">
        <v>1630</v>
      </c>
      <c r="D433" s="21">
        <v>2.0</v>
      </c>
      <c r="E433" s="19">
        <v>88.0</v>
      </c>
      <c r="F433" s="25">
        <v>45699.0</v>
      </c>
      <c r="G433" s="19">
        <v>3.16520076E8</v>
      </c>
      <c r="H433" s="21" t="s">
        <v>48</v>
      </c>
      <c r="I433" s="19">
        <v>3.17873765E8</v>
      </c>
      <c r="J433" s="21" t="s">
        <v>2240</v>
      </c>
      <c r="K433" s="21" t="s">
        <v>2241</v>
      </c>
      <c r="L433" s="42"/>
      <c r="M433" s="19" t="s">
        <v>2242</v>
      </c>
      <c r="N433" s="19" t="s">
        <v>2243</v>
      </c>
      <c r="O433" s="19"/>
      <c r="P433" s="19" t="s">
        <v>2244</v>
      </c>
      <c r="Q433" s="21" t="s">
        <v>57</v>
      </c>
      <c r="R433" s="21" t="s">
        <v>1637</v>
      </c>
    </row>
    <row r="434">
      <c r="A434" s="19">
        <v>93.0</v>
      </c>
      <c r="B434" s="19">
        <v>1.0</v>
      </c>
      <c r="C434" s="21" t="s">
        <v>1630</v>
      </c>
      <c r="D434" s="21">
        <v>2.0</v>
      </c>
      <c r="E434" s="19">
        <v>93.0</v>
      </c>
      <c r="F434" s="25">
        <v>45701.0</v>
      </c>
      <c r="G434" s="19">
        <v>3.16520076E8</v>
      </c>
      <c r="H434" s="21" t="s">
        <v>48</v>
      </c>
      <c r="I434" s="19">
        <v>3.1579356E8</v>
      </c>
      <c r="J434" s="21" t="s">
        <v>76</v>
      </c>
      <c r="K434" s="21" t="s">
        <v>1104</v>
      </c>
      <c r="L434" s="42"/>
      <c r="M434" s="19" t="s">
        <v>2245</v>
      </c>
      <c r="N434" s="19" t="s">
        <v>2246</v>
      </c>
      <c r="O434" s="19"/>
      <c r="P434" s="19" t="s">
        <v>2247</v>
      </c>
      <c r="Q434" s="21" t="s">
        <v>57</v>
      </c>
      <c r="R434" s="21" t="s">
        <v>1637</v>
      </c>
    </row>
    <row r="435">
      <c r="A435" s="19">
        <v>94.0</v>
      </c>
      <c r="B435" s="19">
        <v>1.0</v>
      </c>
      <c r="C435" s="21" t="s">
        <v>1630</v>
      </c>
      <c r="D435" s="21">
        <v>2.0</v>
      </c>
      <c r="E435" s="19">
        <v>94.0</v>
      </c>
      <c r="F435" s="25">
        <v>45702.0</v>
      </c>
      <c r="G435" s="19">
        <v>3.16520076E8</v>
      </c>
      <c r="H435" s="21" t="s">
        <v>48</v>
      </c>
      <c r="I435" s="19">
        <v>3.1579356E8</v>
      </c>
      <c r="J435" s="21" t="s">
        <v>76</v>
      </c>
      <c r="K435" s="21" t="s">
        <v>1104</v>
      </c>
      <c r="L435" s="42"/>
      <c r="M435" s="19" t="s">
        <v>2248</v>
      </c>
      <c r="N435" s="19" t="s">
        <v>2249</v>
      </c>
      <c r="O435" s="19"/>
      <c r="P435" s="19" t="s">
        <v>2250</v>
      </c>
      <c r="Q435" s="21" t="s">
        <v>57</v>
      </c>
      <c r="R435" s="21" t="s">
        <v>1637</v>
      </c>
    </row>
    <row r="436">
      <c r="A436" s="19">
        <v>95.0</v>
      </c>
      <c r="B436" s="19">
        <v>1.0</v>
      </c>
      <c r="C436" s="21" t="s">
        <v>1630</v>
      </c>
      <c r="D436" s="21">
        <v>2.0</v>
      </c>
      <c r="E436" s="19">
        <v>95.0</v>
      </c>
      <c r="F436" s="25">
        <v>45702.0</v>
      </c>
      <c r="G436" s="19">
        <v>3.16520076E8</v>
      </c>
      <c r="H436" s="21" t="s">
        <v>48</v>
      </c>
      <c r="I436" s="19">
        <v>3.13033645E8</v>
      </c>
      <c r="J436" s="21" t="s">
        <v>2251</v>
      </c>
      <c r="K436" s="21" t="s">
        <v>2252</v>
      </c>
      <c r="L436" s="42"/>
      <c r="M436" s="19" t="s">
        <v>2242</v>
      </c>
      <c r="N436" s="19" t="s">
        <v>2243</v>
      </c>
      <c r="O436" s="19"/>
      <c r="P436" s="19" t="s">
        <v>2244</v>
      </c>
      <c r="Q436" s="21" t="s">
        <v>57</v>
      </c>
      <c r="R436" s="21" t="s">
        <v>1637</v>
      </c>
    </row>
    <row r="437">
      <c r="A437" s="19">
        <v>96.0</v>
      </c>
      <c r="B437" s="19">
        <v>1.0</v>
      </c>
      <c r="C437" s="21" t="s">
        <v>1630</v>
      </c>
      <c r="D437" s="21">
        <v>2.0</v>
      </c>
      <c r="E437" s="19">
        <v>96.0</v>
      </c>
      <c r="F437" s="25">
        <v>45703.0</v>
      </c>
      <c r="G437" s="19">
        <v>3.16520076E8</v>
      </c>
      <c r="H437" s="21" t="s">
        <v>48</v>
      </c>
      <c r="I437" s="19">
        <v>1.04867284E8</v>
      </c>
      <c r="J437" s="21" t="s">
        <v>2047</v>
      </c>
      <c r="K437" s="21" t="s">
        <v>2048</v>
      </c>
      <c r="L437" s="42"/>
      <c r="M437" s="19" t="s">
        <v>2253</v>
      </c>
      <c r="N437" s="19" t="s">
        <v>2254</v>
      </c>
      <c r="O437" s="19"/>
      <c r="P437" s="19" t="s">
        <v>2255</v>
      </c>
      <c r="Q437" s="21" t="s">
        <v>56</v>
      </c>
      <c r="R437" s="21" t="s">
        <v>1637</v>
      </c>
    </row>
    <row r="438">
      <c r="A438" s="19">
        <v>97.0</v>
      </c>
      <c r="B438" s="19">
        <v>1.0</v>
      </c>
      <c r="C438" s="21" t="s">
        <v>1630</v>
      </c>
      <c r="D438" s="21">
        <v>2.0</v>
      </c>
      <c r="E438" s="19">
        <v>97.0</v>
      </c>
      <c r="F438" s="25">
        <v>45705.0</v>
      </c>
      <c r="G438" s="19">
        <v>3.16520076E8</v>
      </c>
      <c r="H438" s="21" t="s">
        <v>48</v>
      </c>
      <c r="I438" s="19">
        <v>4.02220245E8</v>
      </c>
      <c r="J438" s="21" t="s">
        <v>2007</v>
      </c>
      <c r="K438" s="21" t="s">
        <v>2008</v>
      </c>
      <c r="L438" s="42"/>
      <c r="M438" s="19" t="s">
        <v>2256</v>
      </c>
      <c r="N438" s="19" t="s">
        <v>2257</v>
      </c>
      <c r="O438" s="19"/>
      <c r="P438" s="19" t="s">
        <v>2258</v>
      </c>
      <c r="Q438" s="21" t="s">
        <v>56</v>
      </c>
      <c r="R438" s="21" t="s">
        <v>1637</v>
      </c>
    </row>
    <row r="439">
      <c r="A439" s="19">
        <v>1.0</v>
      </c>
      <c r="B439" s="19">
        <v>1.0</v>
      </c>
      <c r="C439" s="21" t="s">
        <v>1630</v>
      </c>
      <c r="D439" s="21">
        <v>1.0</v>
      </c>
      <c r="E439" s="19">
        <v>1.0</v>
      </c>
      <c r="F439" s="25">
        <v>45664.0</v>
      </c>
      <c r="G439" s="19">
        <v>3.16520076E8</v>
      </c>
      <c r="H439" s="21" t="s">
        <v>48</v>
      </c>
      <c r="I439" s="19">
        <v>3.16248977E8</v>
      </c>
      <c r="J439" s="21" t="s">
        <v>2012</v>
      </c>
      <c r="K439" s="21" t="s">
        <v>2013</v>
      </c>
      <c r="L439" s="42"/>
      <c r="M439" s="19" t="s">
        <v>2260</v>
      </c>
      <c r="N439" s="19" t="s">
        <v>2261</v>
      </c>
      <c r="O439" s="19"/>
      <c r="P439" s="19" t="s">
        <v>2262</v>
      </c>
      <c r="Q439" s="21" t="s">
        <v>56</v>
      </c>
      <c r="R439" s="21" t="s">
        <v>1637</v>
      </c>
    </row>
    <row r="440">
      <c r="A440" s="19">
        <v>6.0</v>
      </c>
      <c r="B440" s="19">
        <v>1.0</v>
      </c>
      <c r="C440" s="21" t="s">
        <v>1630</v>
      </c>
      <c r="D440" s="21">
        <v>1.0</v>
      </c>
      <c r="E440" s="19">
        <v>14.0</v>
      </c>
      <c r="F440" s="25">
        <v>45665.0</v>
      </c>
      <c r="G440" s="19">
        <v>3.16520076E8</v>
      </c>
      <c r="H440" s="21" t="s">
        <v>48</v>
      </c>
      <c r="I440" s="19">
        <v>1.10432891E8</v>
      </c>
      <c r="J440" s="21" t="s">
        <v>2263</v>
      </c>
      <c r="K440" s="21" t="s">
        <v>2264</v>
      </c>
      <c r="L440" s="42"/>
      <c r="M440" s="19" t="s">
        <v>2265</v>
      </c>
      <c r="N440" s="19" t="s">
        <v>2266</v>
      </c>
      <c r="O440" s="19"/>
      <c r="P440" s="19" t="s">
        <v>2267</v>
      </c>
      <c r="Q440" s="21" t="s">
        <v>57</v>
      </c>
      <c r="R440" s="21" t="s">
        <v>1637</v>
      </c>
    </row>
    <row r="441">
      <c r="A441" s="19">
        <v>7.0</v>
      </c>
      <c r="B441" s="19">
        <v>1.0</v>
      </c>
      <c r="C441" s="21" t="s">
        <v>1630</v>
      </c>
      <c r="D441" s="21">
        <v>1.0</v>
      </c>
      <c r="E441" s="19">
        <v>15.0</v>
      </c>
      <c r="F441" s="25">
        <v>45670.0</v>
      </c>
      <c r="G441" s="19">
        <v>3.16520076E8</v>
      </c>
      <c r="H441" s="21" t="s">
        <v>48</v>
      </c>
      <c r="I441" s="19">
        <v>3.0927195E8</v>
      </c>
      <c r="J441" s="21" t="s">
        <v>1121</v>
      </c>
      <c r="K441" s="21" t="s">
        <v>2017</v>
      </c>
      <c r="L441" s="42"/>
      <c r="M441" s="19" t="s">
        <v>2268</v>
      </c>
      <c r="N441" s="19" t="s">
        <v>2270</v>
      </c>
      <c r="O441" s="19"/>
      <c r="P441" s="19" t="s">
        <v>2271</v>
      </c>
      <c r="Q441" s="21" t="s">
        <v>56</v>
      </c>
      <c r="R441" s="21" t="s">
        <v>1637</v>
      </c>
    </row>
    <row r="442">
      <c r="A442" s="19">
        <v>20.0</v>
      </c>
      <c r="B442" s="19">
        <v>1.0</v>
      </c>
      <c r="C442" s="21" t="s">
        <v>1630</v>
      </c>
      <c r="D442" s="21">
        <v>1.0</v>
      </c>
      <c r="E442" s="19">
        <v>27.0</v>
      </c>
      <c r="F442" s="25">
        <v>45672.0</v>
      </c>
      <c r="G442" s="19">
        <v>3.16520076E8</v>
      </c>
      <c r="H442" s="21" t="s">
        <v>48</v>
      </c>
      <c r="I442" s="19">
        <v>3.1579356E8</v>
      </c>
      <c r="J442" s="21" t="s">
        <v>76</v>
      </c>
      <c r="K442" s="21" t="s">
        <v>1104</v>
      </c>
      <c r="L442" s="42"/>
      <c r="M442" s="19" t="s">
        <v>2230</v>
      </c>
      <c r="N442" s="19" t="s">
        <v>2231</v>
      </c>
      <c r="O442" s="19"/>
      <c r="P442" s="19" t="s">
        <v>2232</v>
      </c>
      <c r="Q442" s="21" t="s">
        <v>57</v>
      </c>
      <c r="R442" s="21" t="s">
        <v>1637</v>
      </c>
    </row>
    <row r="443">
      <c r="A443" s="19">
        <v>21.0</v>
      </c>
      <c r="B443" s="19">
        <v>1.0</v>
      </c>
      <c r="C443" s="21" t="s">
        <v>1630</v>
      </c>
      <c r="D443" s="21">
        <v>1.0</v>
      </c>
      <c r="E443" s="19">
        <v>28.0</v>
      </c>
      <c r="F443" s="25">
        <v>45675.0</v>
      </c>
      <c r="G443" s="19">
        <v>3.16520076E8</v>
      </c>
      <c r="H443" s="21" t="s">
        <v>48</v>
      </c>
      <c r="I443" s="19">
        <v>3.16337306E8</v>
      </c>
      <c r="J443" s="21" t="s">
        <v>2002</v>
      </c>
      <c r="K443" s="21" t="s">
        <v>2003</v>
      </c>
      <c r="L443" s="42"/>
      <c r="M443" s="19" t="s">
        <v>2272</v>
      </c>
      <c r="N443" s="19" t="s">
        <v>2273</v>
      </c>
      <c r="O443" s="19"/>
      <c r="P443" s="19" t="s">
        <v>2274</v>
      </c>
      <c r="Q443" s="21" t="s">
        <v>56</v>
      </c>
      <c r="R443" s="21" t="s">
        <v>1637</v>
      </c>
    </row>
    <row r="444">
      <c r="A444" s="19">
        <v>22.0</v>
      </c>
      <c r="B444" s="19">
        <v>1.0</v>
      </c>
      <c r="C444" s="21" t="s">
        <v>1630</v>
      </c>
      <c r="D444" s="21">
        <v>1.0</v>
      </c>
      <c r="E444" s="19">
        <v>29.0</v>
      </c>
      <c r="F444" s="25">
        <v>45677.0</v>
      </c>
      <c r="G444" s="19">
        <v>3.16520076E8</v>
      </c>
      <c r="H444" s="21" t="s">
        <v>48</v>
      </c>
      <c r="I444" s="19">
        <v>3.603216011E9</v>
      </c>
      <c r="J444" s="21" t="s">
        <v>2021</v>
      </c>
      <c r="K444" s="21" t="s">
        <v>2022</v>
      </c>
      <c r="L444" s="42"/>
      <c r="M444" s="19" t="s">
        <v>2275</v>
      </c>
      <c r="N444" s="19" t="s">
        <v>2276</v>
      </c>
      <c r="O444" s="19"/>
      <c r="P444" s="19" t="s">
        <v>2277</v>
      </c>
      <c r="Q444" s="21" t="s">
        <v>56</v>
      </c>
      <c r="R444" s="21" t="s">
        <v>1637</v>
      </c>
    </row>
    <row r="445">
      <c r="A445" s="19">
        <v>24.0</v>
      </c>
      <c r="B445" s="19">
        <v>1.0</v>
      </c>
      <c r="C445" s="21" t="s">
        <v>1630</v>
      </c>
      <c r="D445" s="21">
        <v>1.0</v>
      </c>
      <c r="E445" s="19">
        <v>30.0</v>
      </c>
      <c r="F445" s="25">
        <v>45678.0</v>
      </c>
      <c r="G445" s="19">
        <v>3.16520076E8</v>
      </c>
      <c r="H445" s="21" t="s">
        <v>48</v>
      </c>
      <c r="I445" s="19">
        <v>1.02078485E8</v>
      </c>
      <c r="J445" s="21" t="s">
        <v>2026</v>
      </c>
      <c r="K445" s="21" t="s">
        <v>2027</v>
      </c>
      <c r="L445" s="42"/>
      <c r="M445" s="19" t="s">
        <v>2278</v>
      </c>
      <c r="N445" s="19" t="s">
        <v>2279</v>
      </c>
      <c r="O445" s="19"/>
      <c r="P445" s="19" t="s">
        <v>2280</v>
      </c>
      <c r="Q445" s="21" t="s">
        <v>56</v>
      </c>
      <c r="R445" s="21" t="s">
        <v>1637</v>
      </c>
    </row>
    <row r="446">
      <c r="A446" s="19">
        <v>25.0</v>
      </c>
      <c r="B446" s="19">
        <v>1.0</v>
      </c>
      <c r="C446" s="21" t="s">
        <v>1630</v>
      </c>
      <c r="D446" s="21">
        <v>1.0</v>
      </c>
      <c r="E446" s="19">
        <v>31.0</v>
      </c>
      <c r="F446" s="25">
        <v>45678.0</v>
      </c>
      <c r="G446" s="19">
        <v>3.16520076E8</v>
      </c>
      <c r="H446" s="21" t="s">
        <v>48</v>
      </c>
      <c r="I446" s="19">
        <v>3.13942231E8</v>
      </c>
      <c r="J446" s="21" t="s">
        <v>2031</v>
      </c>
      <c r="K446" s="21" t="s">
        <v>2032</v>
      </c>
      <c r="L446" s="42"/>
      <c r="M446" s="19" t="s">
        <v>2281</v>
      </c>
      <c r="N446" s="19" t="s">
        <v>2282</v>
      </c>
      <c r="O446" s="19"/>
      <c r="P446" s="19" t="s">
        <v>2283</v>
      </c>
      <c r="Q446" s="21" t="s">
        <v>56</v>
      </c>
      <c r="R446" s="21" t="s">
        <v>1637</v>
      </c>
    </row>
    <row r="447">
      <c r="A447" s="19">
        <v>26.0</v>
      </c>
      <c r="B447" s="19">
        <v>1.0</v>
      </c>
      <c r="C447" s="21" t="s">
        <v>1630</v>
      </c>
      <c r="D447" s="21">
        <v>1.0</v>
      </c>
      <c r="E447" s="19">
        <v>32.0</v>
      </c>
      <c r="F447" s="25">
        <v>45679.0</v>
      </c>
      <c r="G447" s="19">
        <v>3.16520076E8</v>
      </c>
      <c r="H447" s="21" t="s">
        <v>48</v>
      </c>
      <c r="I447" s="19">
        <v>3.13968092E8</v>
      </c>
      <c r="J447" s="21" t="s">
        <v>2284</v>
      </c>
      <c r="K447" s="21" t="s">
        <v>2285</v>
      </c>
      <c r="L447" s="42"/>
      <c r="M447" s="19" t="s">
        <v>2286</v>
      </c>
      <c r="N447" s="19" t="s">
        <v>2287</v>
      </c>
      <c r="O447" s="19"/>
      <c r="P447" s="19" t="s">
        <v>2288</v>
      </c>
      <c r="Q447" s="21" t="s">
        <v>57</v>
      </c>
      <c r="R447" s="21" t="s">
        <v>1637</v>
      </c>
    </row>
    <row r="448">
      <c r="A448" s="19">
        <v>27.0</v>
      </c>
      <c r="B448" s="19">
        <v>1.0</v>
      </c>
      <c r="C448" s="21" t="s">
        <v>1630</v>
      </c>
      <c r="D448" s="21">
        <v>1.0</v>
      </c>
      <c r="E448" s="19">
        <v>33.0</v>
      </c>
      <c r="F448" s="25">
        <v>45680.0</v>
      </c>
      <c r="G448" s="19">
        <v>3.16520076E8</v>
      </c>
      <c r="H448" s="21" t="s">
        <v>48</v>
      </c>
      <c r="I448" s="19">
        <v>3.17575046E8</v>
      </c>
      <c r="J448" s="21" t="s">
        <v>2033</v>
      </c>
      <c r="K448" s="21" t="s">
        <v>2034</v>
      </c>
      <c r="L448" s="42"/>
      <c r="M448" s="19" t="s">
        <v>2289</v>
      </c>
      <c r="N448" s="19" t="s">
        <v>2290</v>
      </c>
      <c r="O448" s="19"/>
      <c r="P448" s="19" t="s">
        <v>2291</v>
      </c>
      <c r="Q448" s="21" t="s">
        <v>56</v>
      </c>
      <c r="R448" s="21" t="s">
        <v>1637</v>
      </c>
    </row>
    <row r="449">
      <c r="A449" s="19">
        <v>28.0</v>
      </c>
      <c r="B449" s="19">
        <v>1.0</v>
      </c>
      <c r="C449" s="21" t="s">
        <v>1630</v>
      </c>
      <c r="D449" s="21">
        <v>1.0</v>
      </c>
      <c r="E449" s="19">
        <v>34.0</v>
      </c>
      <c r="F449" s="25">
        <v>45680.0</v>
      </c>
      <c r="G449" s="19">
        <v>3.16520076E8</v>
      </c>
      <c r="H449" s="21" t="s">
        <v>48</v>
      </c>
      <c r="I449" s="19">
        <v>3.16147908E8</v>
      </c>
      <c r="J449" s="21" t="s">
        <v>2292</v>
      </c>
      <c r="K449" s="21" t="s">
        <v>2293</v>
      </c>
      <c r="L449" s="42"/>
      <c r="M449" s="19" t="s">
        <v>807</v>
      </c>
      <c r="N449" s="19" t="s">
        <v>808</v>
      </c>
      <c r="O449" s="19"/>
      <c r="P449" s="19" t="s">
        <v>811</v>
      </c>
      <c r="Q449" s="21" t="s">
        <v>57</v>
      </c>
      <c r="R449" s="21" t="s">
        <v>1637</v>
      </c>
    </row>
    <row r="450">
      <c r="A450" s="19">
        <v>54.0</v>
      </c>
      <c r="B450" s="19">
        <v>1.0</v>
      </c>
      <c r="C450" s="21" t="s">
        <v>1630</v>
      </c>
      <c r="D450" s="21">
        <v>1.0</v>
      </c>
      <c r="E450" s="19">
        <v>58.0</v>
      </c>
      <c r="F450" s="25">
        <v>45684.0</v>
      </c>
      <c r="G450" s="19">
        <v>3.16520076E8</v>
      </c>
      <c r="H450" s="21" t="s">
        <v>48</v>
      </c>
      <c r="I450" s="19">
        <v>2.802527683E9</v>
      </c>
      <c r="J450" s="21" t="s">
        <v>2038</v>
      </c>
      <c r="K450" s="21" t="s">
        <v>2039</v>
      </c>
      <c r="L450" s="42"/>
      <c r="M450" s="19" t="s">
        <v>2224</v>
      </c>
      <c r="N450" s="19" t="s">
        <v>2225</v>
      </c>
      <c r="O450" s="19"/>
      <c r="P450" s="19" t="s">
        <v>2226</v>
      </c>
      <c r="Q450" s="21" t="s">
        <v>56</v>
      </c>
      <c r="R450" s="21" t="s">
        <v>1637</v>
      </c>
    </row>
    <row r="451">
      <c r="A451" s="19">
        <v>57.0</v>
      </c>
      <c r="B451" s="19">
        <v>1.0</v>
      </c>
      <c r="C451" s="21" t="s">
        <v>1630</v>
      </c>
      <c r="D451" s="21">
        <v>1.0</v>
      </c>
      <c r="E451" s="19">
        <v>60.0</v>
      </c>
      <c r="F451" s="25">
        <v>45684.0</v>
      </c>
      <c r="G451" s="19">
        <v>3.16520076E8</v>
      </c>
      <c r="H451" s="21" t="s">
        <v>48</v>
      </c>
      <c r="I451" s="19">
        <v>3.17567415E8</v>
      </c>
      <c r="J451" s="21" t="s">
        <v>2043</v>
      </c>
      <c r="K451" s="21" t="s">
        <v>2044</v>
      </c>
      <c r="L451" s="42"/>
      <c r="M451" s="19" t="s">
        <v>2294</v>
      </c>
      <c r="N451" s="19" t="s">
        <v>2295</v>
      </c>
      <c r="O451" s="19"/>
      <c r="P451" s="19" t="s">
        <v>2296</v>
      </c>
      <c r="Q451" s="21" t="s">
        <v>56</v>
      </c>
      <c r="R451" s="21" t="s">
        <v>1637</v>
      </c>
    </row>
    <row r="452">
      <c r="A452" s="19">
        <v>49.0</v>
      </c>
      <c r="B452" s="19">
        <v>1.0</v>
      </c>
      <c r="C452" s="21" t="s">
        <v>1630</v>
      </c>
      <c r="D452" s="42"/>
      <c r="E452" s="19">
        <v>13150.0</v>
      </c>
      <c r="F452" s="46">
        <v>45959.0</v>
      </c>
      <c r="G452" s="19">
        <v>3.16520076E8</v>
      </c>
      <c r="H452" s="21" t="s">
        <v>48</v>
      </c>
      <c r="I452" s="19">
        <v>3.17526049E8</v>
      </c>
      <c r="J452" s="21" t="s">
        <v>620</v>
      </c>
      <c r="K452" s="21" t="s">
        <v>622</v>
      </c>
      <c r="L452" s="42"/>
      <c r="M452" s="19" t="s">
        <v>2297</v>
      </c>
      <c r="N452" s="19" t="s">
        <v>2298</v>
      </c>
      <c r="O452" s="19">
        <v>0.0</v>
      </c>
      <c r="P452" s="19" t="s">
        <v>2299</v>
      </c>
      <c r="Q452" s="21" t="s">
        <v>57</v>
      </c>
      <c r="R452" s="21" t="s">
        <v>1637</v>
      </c>
    </row>
    <row r="453">
      <c r="A453" s="19">
        <v>110.0</v>
      </c>
      <c r="B453" s="19">
        <v>1.0</v>
      </c>
      <c r="C453" s="21" t="s">
        <v>1630</v>
      </c>
      <c r="D453" s="42"/>
      <c r="E453" s="19">
        <v>10179.0</v>
      </c>
      <c r="F453" s="25">
        <v>45839.0</v>
      </c>
      <c r="G453" s="19">
        <v>3.16520076E8</v>
      </c>
      <c r="H453" s="21" t="s">
        <v>48</v>
      </c>
      <c r="I453" s="19">
        <v>3.15568491E8</v>
      </c>
      <c r="J453" s="21" t="s">
        <v>668</v>
      </c>
      <c r="K453" s="21" t="s">
        <v>2300</v>
      </c>
      <c r="L453" s="42"/>
      <c r="M453" s="19" t="s">
        <v>2301</v>
      </c>
      <c r="N453" s="19" t="s">
        <v>2302</v>
      </c>
      <c r="O453" s="19">
        <v>0.0</v>
      </c>
      <c r="P453" s="19" t="s">
        <v>2303</v>
      </c>
      <c r="Q453" s="21" t="s">
        <v>57</v>
      </c>
      <c r="R453" s="21" t="s">
        <v>1637</v>
      </c>
    </row>
    <row r="454">
      <c r="A454" s="19">
        <v>307.0</v>
      </c>
      <c r="B454" s="19">
        <v>1.0</v>
      </c>
      <c r="C454" s="21" t="s">
        <v>1630</v>
      </c>
      <c r="D454" s="42"/>
      <c r="E454" s="19">
        <v>10376.0</v>
      </c>
      <c r="F454" s="25">
        <v>45840.0</v>
      </c>
      <c r="G454" s="19">
        <v>3.16520076E8</v>
      </c>
      <c r="H454" s="21" t="s">
        <v>48</v>
      </c>
      <c r="I454" s="19">
        <v>3.1579356E8</v>
      </c>
      <c r="J454" s="21" t="s">
        <v>76</v>
      </c>
      <c r="K454" s="21" t="s">
        <v>1530</v>
      </c>
      <c r="L454" s="42"/>
      <c r="M454" s="19" t="s">
        <v>2304</v>
      </c>
      <c r="N454" s="19" t="s">
        <v>2305</v>
      </c>
      <c r="O454" s="19">
        <v>0.0</v>
      </c>
      <c r="P454" s="19" t="s">
        <v>2306</v>
      </c>
      <c r="Q454" s="21" t="s">
        <v>57</v>
      </c>
      <c r="R454" s="21" t="s">
        <v>1637</v>
      </c>
    </row>
    <row r="455">
      <c r="A455" s="19">
        <v>1047.0</v>
      </c>
      <c r="B455" s="19">
        <v>1.0</v>
      </c>
      <c r="C455" s="21" t="s">
        <v>1630</v>
      </c>
      <c r="D455" s="42"/>
      <c r="E455" s="19">
        <v>11116.0</v>
      </c>
      <c r="F455" s="25">
        <v>45843.0</v>
      </c>
      <c r="G455" s="19">
        <v>3.16520076E8</v>
      </c>
      <c r="H455" s="21" t="s">
        <v>48</v>
      </c>
      <c r="I455" s="19">
        <v>1.10938247E8</v>
      </c>
      <c r="J455" s="21" t="s">
        <v>2307</v>
      </c>
      <c r="K455" s="21" t="s">
        <v>2308</v>
      </c>
      <c r="L455" s="42"/>
      <c r="M455" s="19" t="s">
        <v>391</v>
      </c>
      <c r="N455" s="19" t="s">
        <v>392</v>
      </c>
      <c r="O455" s="19">
        <v>0.0</v>
      </c>
      <c r="P455" s="19" t="s">
        <v>393</v>
      </c>
      <c r="Q455" s="21" t="s">
        <v>57</v>
      </c>
      <c r="R455" s="21" t="s">
        <v>1637</v>
      </c>
    </row>
    <row r="456">
      <c r="A456" s="19">
        <v>1048.0</v>
      </c>
      <c r="B456" s="19">
        <v>1.0</v>
      </c>
      <c r="C456" s="21" t="s">
        <v>1630</v>
      </c>
      <c r="D456" s="42"/>
      <c r="E456" s="19">
        <v>11117.0</v>
      </c>
      <c r="F456" s="25">
        <v>45843.0</v>
      </c>
      <c r="G456" s="19">
        <v>3.16520076E8</v>
      </c>
      <c r="H456" s="21" t="s">
        <v>48</v>
      </c>
      <c r="I456" s="19">
        <v>1.10879552E8</v>
      </c>
      <c r="J456" s="21" t="s">
        <v>2309</v>
      </c>
      <c r="K456" s="21" t="s">
        <v>2310</v>
      </c>
      <c r="L456" s="42"/>
      <c r="M456" s="19" t="s">
        <v>1312</v>
      </c>
      <c r="N456" s="19" t="s">
        <v>1596</v>
      </c>
      <c r="O456" s="19">
        <v>0.0</v>
      </c>
      <c r="P456" s="19" t="s">
        <v>1597</v>
      </c>
      <c r="Q456" s="21" t="s">
        <v>57</v>
      </c>
      <c r="R456" s="21" t="s">
        <v>1637</v>
      </c>
    </row>
    <row r="457">
      <c r="A457" s="19">
        <v>1190.0</v>
      </c>
      <c r="B457" s="19">
        <v>1.0</v>
      </c>
      <c r="C457" s="21" t="s">
        <v>1630</v>
      </c>
      <c r="D457" s="42"/>
      <c r="E457" s="19">
        <v>11259.0</v>
      </c>
      <c r="F457" s="25">
        <v>45845.0</v>
      </c>
      <c r="G457" s="19">
        <v>3.16520076E8</v>
      </c>
      <c r="H457" s="21" t="s">
        <v>48</v>
      </c>
      <c r="I457" s="19">
        <v>3.1579356E8</v>
      </c>
      <c r="J457" s="21" t="s">
        <v>76</v>
      </c>
      <c r="K457" s="21" t="s">
        <v>1275</v>
      </c>
      <c r="L457" s="42"/>
      <c r="M457" s="19" t="s">
        <v>2311</v>
      </c>
      <c r="N457" s="19" t="s">
        <v>2312</v>
      </c>
      <c r="O457" s="19">
        <v>0.0</v>
      </c>
      <c r="P457" s="19" t="s">
        <v>2313</v>
      </c>
      <c r="Q457" s="21" t="s">
        <v>57</v>
      </c>
      <c r="R457" s="21" t="s">
        <v>1637</v>
      </c>
    </row>
    <row r="458">
      <c r="A458" s="19">
        <v>1191.0</v>
      </c>
      <c r="B458" s="19">
        <v>1.0</v>
      </c>
      <c r="C458" s="21" t="s">
        <v>1630</v>
      </c>
      <c r="D458" s="42"/>
      <c r="E458" s="19">
        <v>11260.0</v>
      </c>
      <c r="F458" s="25">
        <v>45845.0</v>
      </c>
      <c r="G458" s="19">
        <v>3.16520076E8</v>
      </c>
      <c r="H458" s="21" t="s">
        <v>48</v>
      </c>
      <c r="I458" s="19">
        <v>3.1579356E8</v>
      </c>
      <c r="J458" s="21" t="s">
        <v>76</v>
      </c>
      <c r="K458" s="21" t="s">
        <v>1275</v>
      </c>
      <c r="L458" s="42"/>
      <c r="M458" s="19" t="s">
        <v>2314</v>
      </c>
      <c r="N458" s="19" t="s">
        <v>2316</v>
      </c>
      <c r="O458" s="19">
        <v>0.0</v>
      </c>
      <c r="P458" s="19" t="s">
        <v>2317</v>
      </c>
      <c r="Q458" s="21" t="s">
        <v>57</v>
      </c>
      <c r="R458" s="21" t="s">
        <v>1637</v>
      </c>
    </row>
    <row r="459">
      <c r="A459" s="19">
        <v>1504.0</v>
      </c>
      <c r="B459" s="19">
        <v>1.0</v>
      </c>
      <c r="C459" s="21" t="s">
        <v>1630</v>
      </c>
      <c r="D459" s="42"/>
      <c r="E459" s="19">
        <v>11573.0</v>
      </c>
      <c r="F459" s="25">
        <v>45846.0</v>
      </c>
      <c r="G459" s="19">
        <v>3.16520076E8</v>
      </c>
      <c r="H459" s="21" t="s">
        <v>48</v>
      </c>
      <c r="I459" s="19">
        <v>3.18227355E8</v>
      </c>
      <c r="J459" s="21" t="s">
        <v>2318</v>
      </c>
      <c r="K459" s="21" t="s">
        <v>2319</v>
      </c>
      <c r="L459" s="42"/>
      <c r="M459" s="19" t="s">
        <v>807</v>
      </c>
      <c r="N459" s="19" t="s">
        <v>808</v>
      </c>
      <c r="O459" s="19">
        <v>0.0</v>
      </c>
      <c r="P459" s="19" t="s">
        <v>811</v>
      </c>
      <c r="Q459" s="21" t="s">
        <v>57</v>
      </c>
      <c r="R459" s="21" t="s">
        <v>1637</v>
      </c>
    </row>
    <row r="460">
      <c r="A460" s="19">
        <v>1662.0</v>
      </c>
      <c r="B460" s="19">
        <v>1.0</v>
      </c>
      <c r="C460" s="21" t="s">
        <v>1630</v>
      </c>
      <c r="D460" s="42"/>
      <c r="E460" s="19">
        <v>11731.0</v>
      </c>
      <c r="F460" s="25">
        <v>45846.0</v>
      </c>
      <c r="G460" s="19">
        <v>3.16520076E8</v>
      </c>
      <c r="H460" s="21" t="s">
        <v>48</v>
      </c>
      <c r="I460" s="19">
        <v>3.0927195E8</v>
      </c>
      <c r="J460" s="21" t="s">
        <v>1121</v>
      </c>
      <c r="K460" s="21" t="s">
        <v>2320</v>
      </c>
      <c r="L460" s="42"/>
      <c r="M460" s="19" t="s">
        <v>1969</v>
      </c>
      <c r="N460" s="19" t="s">
        <v>1970</v>
      </c>
      <c r="O460" s="19">
        <v>0.0</v>
      </c>
      <c r="P460" s="19" t="s">
        <v>1971</v>
      </c>
      <c r="Q460" s="21" t="s">
        <v>57</v>
      </c>
      <c r="R460" s="21" t="s">
        <v>1637</v>
      </c>
    </row>
    <row r="461">
      <c r="A461" s="19">
        <v>1663.0</v>
      </c>
      <c r="B461" s="19">
        <v>1.0</v>
      </c>
      <c r="C461" s="21" t="s">
        <v>1630</v>
      </c>
      <c r="D461" s="42"/>
      <c r="E461" s="19">
        <v>11732.0</v>
      </c>
      <c r="F461" s="25">
        <v>45847.0</v>
      </c>
      <c r="G461" s="19">
        <v>3.16520076E8</v>
      </c>
      <c r="H461" s="21" t="s">
        <v>48</v>
      </c>
      <c r="I461" s="19">
        <v>3.1579356E8</v>
      </c>
      <c r="J461" s="21" t="s">
        <v>76</v>
      </c>
      <c r="K461" s="21" t="s">
        <v>1275</v>
      </c>
      <c r="L461" s="42"/>
      <c r="M461" s="19" t="s">
        <v>2321</v>
      </c>
      <c r="N461" s="19" t="s">
        <v>2322</v>
      </c>
      <c r="O461" s="19">
        <v>0.0</v>
      </c>
      <c r="P461" s="19" t="s">
        <v>2323</v>
      </c>
      <c r="Q461" s="21" t="s">
        <v>57</v>
      </c>
      <c r="R461" s="21" t="s">
        <v>1637</v>
      </c>
    </row>
    <row r="462">
      <c r="A462" s="19">
        <v>1664.0</v>
      </c>
      <c r="B462" s="19">
        <v>1.0</v>
      </c>
      <c r="C462" s="21" t="s">
        <v>1630</v>
      </c>
      <c r="D462" s="42"/>
      <c r="E462" s="19">
        <v>11733.0</v>
      </c>
      <c r="F462" s="25">
        <v>45847.0</v>
      </c>
      <c r="G462" s="19">
        <v>3.16520076E8</v>
      </c>
      <c r="H462" s="21" t="s">
        <v>48</v>
      </c>
      <c r="I462" s="19">
        <v>3.1371701E8</v>
      </c>
      <c r="J462" s="21" t="s">
        <v>2324</v>
      </c>
      <c r="K462" s="21" t="s">
        <v>2325</v>
      </c>
      <c r="L462" s="42"/>
      <c r="M462" s="19" t="s">
        <v>2326</v>
      </c>
      <c r="N462" s="19" t="s">
        <v>2327</v>
      </c>
      <c r="O462" s="19">
        <v>0.0</v>
      </c>
      <c r="P462" s="19" t="s">
        <v>2328</v>
      </c>
      <c r="Q462" s="21" t="s">
        <v>57</v>
      </c>
      <c r="R462" s="21" t="s">
        <v>1637</v>
      </c>
    </row>
    <row r="463">
      <c r="A463" s="19">
        <v>1665.0</v>
      </c>
      <c r="B463" s="19">
        <v>1.0</v>
      </c>
      <c r="C463" s="21" t="s">
        <v>1630</v>
      </c>
      <c r="D463" s="42"/>
      <c r="E463" s="19">
        <v>11734.0</v>
      </c>
      <c r="F463" s="25">
        <v>45847.0</v>
      </c>
      <c r="G463" s="19">
        <v>3.16520076E8</v>
      </c>
      <c r="H463" s="21" t="s">
        <v>48</v>
      </c>
      <c r="I463" s="19">
        <v>3.603459053E9</v>
      </c>
      <c r="J463" s="21" t="s">
        <v>2329</v>
      </c>
      <c r="K463" s="21" t="s">
        <v>2330</v>
      </c>
      <c r="L463" s="42"/>
      <c r="M463" s="19" t="s">
        <v>391</v>
      </c>
      <c r="N463" s="19" t="s">
        <v>392</v>
      </c>
      <c r="O463" s="19">
        <v>0.0</v>
      </c>
      <c r="P463" s="19" t="s">
        <v>393</v>
      </c>
      <c r="Q463" s="21" t="s">
        <v>57</v>
      </c>
      <c r="R463" s="21" t="s">
        <v>1637</v>
      </c>
    </row>
    <row r="464">
      <c r="A464" s="19">
        <v>1666.0</v>
      </c>
      <c r="B464" s="19">
        <v>1.0</v>
      </c>
      <c r="C464" s="21" t="s">
        <v>1630</v>
      </c>
      <c r="D464" s="42"/>
      <c r="E464" s="19">
        <v>11735.0</v>
      </c>
      <c r="F464" s="25">
        <v>45847.0</v>
      </c>
      <c r="G464" s="19">
        <v>3.16520076E8</v>
      </c>
      <c r="H464" s="21" t="s">
        <v>48</v>
      </c>
      <c r="I464" s="19">
        <v>3.1579356E8</v>
      </c>
      <c r="J464" s="21" t="s">
        <v>76</v>
      </c>
      <c r="K464" s="21" t="s">
        <v>1530</v>
      </c>
      <c r="L464" s="42"/>
      <c r="M464" s="19" t="s">
        <v>2331</v>
      </c>
      <c r="N464" s="19" t="s">
        <v>2332</v>
      </c>
      <c r="O464" s="19">
        <v>0.0</v>
      </c>
      <c r="P464" s="19" t="s">
        <v>2333</v>
      </c>
      <c r="Q464" s="21" t="s">
        <v>57</v>
      </c>
      <c r="R464" s="21" t="s">
        <v>1637</v>
      </c>
    </row>
    <row r="465">
      <c r="A465" s="19">
        <v>1858.0</v>
      </c>
      <c r="B465" s="19">
        <v>1.0</v>
      </c>
      <c r="C465" s="21" t="s">
        <v>1630</v>
      </c>
      <c r="D465" s="42"/>
      <c r="E465" s="19">
        <v>11927.0</v>
      </c>
      <c r="F465" s="25">
        <v>45847.0</v>
      </c>
      <c r="G465" s="19">
        <v>3.16520076E8</v>
      </c>
      <c r="H465" s="21" t="s">
        <v>48</v>
      </c>
      <c r="I465" s="19">
        <v>3.70318108E9</v>
      </c>
      <c r="J465" s="21" t="s">
        <v>2334</v>
      </c>
      <c r="K465" s="21" t="s">
        <v>2335</v>
      </c>
      <c r="L465" s="42"/>
      <c r="M465" s="19" t="s">
        <v>391</v>
      </c>
      <c r="N465" s="19" t="s">
        <v>392</v>
      </c>
      <c r="O465" s="19">
        <v>0.0</v>
      </c>
      <c r="P465" s="19" t="s">
        <v>393</v>
      </c>
      <c r="Q465" s="21" t="s">
        <v>57</v>
      </c>
      <c r="R465" s="21" t="s">
        <v>1637</v>
      </c>
    </row>
    <row r="466">
      <c r="A466" s="19">
        <v>1960.0</v>
      </c>
      <c r="B466" s="19">
        <v>1.0</v>
      </c>
      <c r="C466" s="21" t="s">
        <v>1630</v>
      </c>
      <c r="D466" s="42"/>
      <c r="E466" s="19">
        <v>12029.0</v>
      </c>
      <c r="F466" s="25">
        <v>45847.0</v>
      </c>
      <c r="G466" s="19">
        <v>3.16520076E8</v>
      </c>
      <c r="H466" s="21" t="s">
        <v>48</v>
      </c>
      <c r="I466" s="19">
        <v>3.1579356E8</v>
      </c>
      <c r="J466" s="21" t="s">
        <v>76</v>
      </c>
      <c r="K466" s="21" t="s">
        <v>1530</v>
      </c>
      <c r="L466" s="42"/>
      <c r="M466" s="19" t="s">
        <v>2337</v>
      </c>
      <c r="N466" s="19" t="s">
        <v>2338</v>
      </c>
      <c r="O466" s="19">
        <v>0.0</v>
      </c>
      <c r="P466" s="19" t="s">
        <v>2339</v>
      </c>
      <c r="Q466" s="21" t="s">
        <v>57</v>
      </c>
      <c r="R466" s="21" t="s">
        <v>1637</v>
      </c>
    </row>
    <row r="467">
      <c r="A467" s="19">
        <v>1961.0</v>
      </c>
      <c r="B467" s="19">
        <v>1.0</v>
      </c>
      <c r="C467" s="21" t="s">
        <v>1630</v>
      </c>
      <c r="D467" s="42"/>
      <c r="E467" s="19">
        <v>12030.0</v>
      </c>
      <c r="F467" s="25">
        <v>45848.0</v>
      </c>
      <c r="G467" s="19">
        <v>3.16520076E8</v>
      </c>
      <c r="H467" s="21" t="s">
        <v>48</v>
      </c>
      <c r="I467" s="19">
        <v>3.14213552E8</v>
      </c>
      <c r="J467" s="21" t="s">
        <v>2340</v>
      </c>
      <c r="K467" s="21" t="s">
        <v>2341</v>
      </c>
      <c r="L467" s="42"/>
      <c r="M467" s="19" t="s">
        <v>2342</v>
      </c>
      <c r="N467" s="19" t="s">
        <v>2343</v>
      </c>
      <c r="O467" s="19">
        <v>0.0</v>
      </c>
      <c r="P467" s="19" t="s">
        <v>2344</v>
      </c>
      <c r="Q467" s="21" t="s">
        <v>57</v>
      </c>
      <c r="R467" s="21" t="s">
        <v>1637</v>
      </c>
    </row>
    <row r="468">
      <c r="A468" s="19">
        <v>1962.0</v>
      </c>
      <c r="B468" s="19">
        <v>1.0</v>
      </c>
      <c r="C468" s="21" t="s">
        <v>1630</v>
      </c>
      <c r="D468" s="42"/>
      <c r="E468" s="19">
        <v>12031.0</v>
      </c>
      <c r="F468" s="25">
        <v>45848.0</v>
      </c>
      <c r="G468" s="19">
        <v>3.16520076E8</v>
      </c>
      <c r="H468" s="21" t="s">
        <v>48</v>
      </c>
      <c r="I468" s="19">
        <v>3.17437832E8</v>
      </c>
      <c r="J468" s="21" t="s">
        <v>2346</v>
      </c>
      <c r="K468" s="21" t="s">
        <v>2347</v>
      </c>
      <c r="L468" s="42"/>
      <c r="M468" s="19" t="s">
        <v>2348</v>
      </c>
      <c r="N468" s="19" t="s">
        <v>1924</v>
      </c>
      <c r="O468" s="19">
        <v>0.0</v>
      </c>
      <c r="P468" s="19" t="s">
        <v>633</v>
      </c>
      <c r="Q468" s="21" t="s">
        <v>57</v>
      </c>
      <c r="R468" s="21" t="s">
        <v>1637</v>
      </c>
    </row>
    <row r="469">
      <c r="A469" s="19">
        <v>1994.0</v>
      </c>
      <c r="B469" s="19">
        <v>1.0</v>
      </c>
      <c r="C469" s="21" t="s">
        <v>1630</v>
      </c>
      <c r="D469" s="42"/>
      <c r="E469" s="19">
        <v>12063.0</v>
      </c>
      <c r="F469" s="25">
        <v>45849.0</v>
      </c>
      <c r="G469" s="19">
        <v>3.16520076E8</v>
      </c>
      <c r="H469" s="21" t="s">
        <v>48</v>
      </c>
      <c r="I469" s="19">
        <v>1.05378374E8</v>
      </c>
      <c r="J469" s="21" t="s">
        <v>2349</v>
      </c>
      <c r="K469" s="21" t="s">
        <v>2350</v>
      </c>
      <c r="L469" s="42"/>
      <c r="M469" s="19" t="s">
        <v>391</v>
      </c>
      <c r="N469" s="19" t="s">
        <v>392</v>
      </c>
      <c r="O469" s="19">
        <v>0.0</v>
      </c>
      <c r="P469" s="19" t="s">
        <v>393</v>
      </c>
      <c r="Q469" s="21" t="s">
        <v>57</v>
      </c>
      <c r="R469" s="21" t="s">
        <v>1637</v>
      </c>
    </row>
    <row r="470">
      <c r="A470" s="19">
        <v>1995.0</v>
      </c>
      <c r="B470" s="19">
        <v>1.0</v>
      </c>
      <c r="C470" s="21" t="s">
        <v>1630</v>
      </c>
      <c r="D470" s="42"/>
      <c r="E470" s="19">
        <v>12064.0</v>
      </c>
      <c r="F470" s="25">
        <v>45849.0</v>
      </c>
      <c r="G470" s="19">
        <v>3.16520076E8</v>
      </c>
      <c r="H470" s="21" t="s">
        <v>48</v>
      </c>
      <c r="I470" s="19">
        <v>1.0663731E8</v>
      </c>
      <c r="J470" s="21" t="s">
        <v>2351</v>
      </c>
      <c r="K470" s="21" t="s">
        <v>2352</v>
      </c>
      <c r="L470" s="42"/>
      <c r="M470" s="19" t="s">
        <v>1502</v>
      </c>
      <c r="N470" s="19" t="s">
        <v>1504</v>
      </c>
      <c r="O470" s="19">
        <v>0.0</v>
      </c>
      <c r="P470" s="19" t="s">
        <v>1506</v>
      </c>
      <c r="Q470" s="21" t="s">
        <v>57</v>
      </c>
      <c r="R470" s="21" t="s">
        <v>1637</v>
      </c>
    </row>
    <row r="471">
      <c r="A471" s="19">
        <v>2692.0</v>
      </c>
      <c r="B471" s="19">
        <v>1.0</v>
      </c>
      <c r="C471" s="21" t="s">
        <v>1630</v>
      </c>
      <c r="D471" s="42"/>
      <c r="E471" s="19">
        <v>12761.0</v>
      </c>
      <c r="F471" s="25">
        <v>45850.0</v>
      </c>
      <c r="G471" s="19">
        <v>3.16520076E8</v>
      </c>
      <c r="H471" s="21" t="s">
        <v>48</v>
      </c>
      <c r="I471" s="19">
        <v>3.06114011E8</v>
      </c>
      <c r="J471" s="21" t="s">
        <v>2353</v>
      </c>
      <c r="K471" s="21" t="s">
        <v>2354</v>
      </c>
      <c r="L471" s="42"/>
      <c r="M471" s="19" t="s">
        <v>1575</v>
      </c>
      <c r="N471" s="19" t="s">
        <v>1576</v>
      </c>
      <c r="O471" s="19">
        <v>0.0</v>
      </c>
      <c r="P471" s="19" t="s">
        <v>1577</v>
      </c>
      <c r="Q471" s="21" t="s">
        <v>57</v>
      </c>
      <c r="R471" s="21" t="s">
        <v>1637</v>
      </c>
    </row>
    <row r="472">
      <c r="A472" s="19">
        <v>2693.0</v>
      </c>
      <c r="B472" s="19">
        <v>1.0</v>
      </c>
      <c r="C472" s="21" t="s">
        <v>1630</v>
      </c>
      <c r="D472" s="42"/>
      <c r="E472" s="19">
        <v>12762.0</v>
      </c>
      <c r="F472" s="25">
        <v>45850.0</v>
      </c>
      <c r="G472" s="19">
        <v>3.16520076E8</v>
      </c>
      <c r="H472" s="21" t="s">
        <v>48</v>
      </c>
      <c r="I472" s="19">
        <v>3.06114011E8</v>
      </c>
      <c r="J472" s="21" t="s">
        <v>2353</v>
      </c>
      <c r="K472" s="21" t="s">
        <v>2354</v>
      </c>
      <c r="L472" s="42"/>
      <c r="M472" s="19" t="s">
        <v>2355</v>
      </c>
      <c r="N472" s="19" t="s">
        <v>2356</v>
      </c>
      <c r="O472" s="19">
        <v>0.0</v>
      </c>
      <c r="P472" s="19" t="s">
        <v>2357</v>
      </c>
      <c r="Q472" s="21" t="s">
        <v>57</v>
      </c>
      <c r="R472" s="21" t="s">
        <v>1637</v>
      </c>
    </row>
    <row r="473">
      <c r="A473" s="19">
        <v>2695.0</v>
      </c>
      <c r="B473" s="19">
        <v>1.0</v>
      </c>
      <c r="C473" s="21" t="s">
        <v>1630</v>
      </c>
      <c r="D473" s="42"/>
      <c r="E473" s="19">
        <v>12764.0</v>
      </c>
      <c r="F473" s="25">
        <v>45853.0</v>
      </c>
      <c r="G473" s="19">
        <v>3.16520076E8</v>
      </c>
      <c r="H473" s="21" t="s">
        <v>48</v>
      </c>
      <c r="I473" s="19">
        <v>1.09724748E8</v>
      </c>
      <c r="J473" s="21" t="s">
        <v>194</v>
      </c>
      <c r="K473" s="21" t="s">
        <v>2358</v>
      </c>
      <c r="L473" s="42"/>
      <c r="M473" s="19" t="s">
        <v>2359</v>
      </c>
      <c r="N473" s="19" t="s">
        <v>2360</v>
      </c>
      <c r="O473" s="19">
        <v>0.0</v>
      </c>
      <c r="P473" s="19" t="s">
        <v>2361</v>
      </c>
      <c r="Q473" s="21" t="s">
        <v>1570</v>
      </c>
      <c r="R473" s="21" t="s">
        <v>1637</v>
      </c>
    </row>
    <row r="474">
      <c r="A474" s="19">
        <v>2696.0</v>
      </c>
      <c r="B474" s="19">
        <v>1.0</v>
      </c>
      <c r="C474" s="21" t="s">
        <v>1630</v>
      </c>
      <c r="D474" s="42"/>
      <c r="E474" s="19">
        <v>12765.0</v>
      </c>
      <c r="F474" s="25">
        <v>45859.0</v>
      </c>
      <c r="G474" s="19">
        <v>3.16520076E8</v>
      </c>
      <c r="H474" s="21" t="s">
        <v>48</v>
      </c>
      <c r="I474" s="19">
        <v>1.10804885E8</v>
      </c>
      <c r="J474" s="21" t="s">
        <v>2362</v>
      </c>
      <c r="K474" s="21" t="s">
        <v>2363</v>
      </c>
      <c r="L474" s="42"/>
      <c r="M474" s="19" t="s">
        <v>1575</v>
      </c>
      <c r="N474" s="19" t="s">
        <v>1576</v>
      </c>
      <c r="O474" s="19">
        <v>0.0</v>
      </c>
      <c r="P474" s="19" t="s">
        <v>1577</v>
      </c>
      <c r="Q474" s="21" t="s">
        <v>1570</v>
      </c>
      <c r="R474" s="21" t="s">
        <v>1637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0.43"/>
    <col customWidth="1" min="3" max="3" width="12.57"/>
    <col customWidth="1" min="4" max="4" width="38.0"/>
    <col customWidth="1" min="5" max="5" width="38.14"/>
    <col customWidth="1" min="6" max="6" width="14.57"/>
    <col customWidth="1" min="7" max="7" width="38.14"/>
    <col customWidth="1" min="8" max="8" width="6.86"/>
    <col customWidth="1" min="9" max="9" width="8.43"/>
    <col customWidth="1" min="10" max="10" width="12.43"/>
    <col customWidth="1" min="11" max="11" width="10.14"/>
    <col customWidth="1" min="12" max="12" width="13.43"/>
    <col customWidth="1" min="13" max="13" width="15.43"/>
    <col customWidth="1" min="14" max="14" width="12.29"/>
    <col customWidth="1" min="15" max="15" width="25.86"/>
    <col customWidth="1" min="16" max="16" width="22.29"/>
    <col customWidth="1" min="17" max="26" width="38.14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4.25" customHeight="1">
      <c r="A2" s="71" t="s">
        <v>2371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4.25" customHeight="1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4.25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 t="s">
        <v>2372</v>
      </c>
      <c r="O4" s="72"/>
      <c r="P4" s="72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4.25" customHeight="1">
      <c r="A5" s="74" t="s">
        <v>12</v>
      </c>
      <c r="B5" s="75" t="s">
        <v>1</v>
      </c>
      <c r="C5" s="75" t="s">
        <v>2</v>
      </c>
      <c r="D5" s="75" t="s">
        <v>2375</v>
      </c>
      <c r="E5" s="75" t="s">
        <v>5</v>
      </c>
      <c r="F5" s="75" t="s">
        <v>2376</v>
      </c>
      <c r="G5" s="75" t="s">
        <v>2377</v>
      </c>
      <c r="H5" s="75" t="s">
        <v>2378</v>
      </c>
      <c r="I5" s="75" t="s">
        <v>2379</v>
      </c>
      <c r="J5" s="75" t="s">
        <v>2380</v>
      </c>
      <c r="K5" s="75" t="s">
        <v>2381</v>
      </c>
      <c r="L5" s="75" t="s">
        <v>2382</v>
      </c>
      <c r="M5" s="75" t="s">
        <v>2383</v>
      </c>
      <c r="N5" s="75" t="s">
        <v>2384</v>
      </c>
      <c r="O5" s="75" t="s">
        <v>2385</v>
      </c>
      <c r="P5" s="75" t="s">
        <v>14</v>
      </c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4.25" customHeight="1">
      <c r="A6" s="76">
        <v>1.0</v>
      </c>
      <c r="B6" s="77">
        <v>1.0</v>
      </c>
      <c r="C6" s="78">
        <v>45300.0</v>
      </c>
      <c r="D6" s="77" t="s">
        <v>172</v>
      </c>
      <c r="E6" s="77" t="s">
        <v>1728</v>
      </c>
      <c r="F6" s="77">
        <v>3.14215951E8</v>
      </c>
      <c r="G6" s="77" t="s">
        <v>2386</v>
      </c>
      <c r="H6" s="77" t="s">
        <v>2387</v>
      </c>
      <c r="I6" s="79" t="s">
        <v>2388</v>
      </c>
      <c r="J6" s="79" t="s">
        <v>2389</v>
      </c>
      <c r="K6" s="79" t="s">
        <v>2390</v>
      </c>
      <c r="L6" s="80">
        <v>0.08</v>
      </c>
      <c r="M6" s="79">
        <v>117.136</v>
      </c>
      <c r="N6" s="79" t="s">
        <v>2391</v>
      </c>
      <c r="O6" s="81" t="s">
        <v>2392</v>
      </c>
      <c r="P6" s="81" t="s">
        <v>198</v>
      </c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4.25" customHeight="1">
      <c r="A7" s="76">
        <v>2.0</v>
      </c>
      <c r="B7" s="77">
        <v>2.0</v>
      </c>
      <c r="C7" s="78">
        <v>45300.0</v>
      </c>
      <c r="D7" s="77" t="s">
        <v>249</v>
      </c>
      <c r="E7" s="77" t="s">
        <v>1741</v>
      </c>
      <c r="F7" s="77">
        <v>3.16328904E8</v>
      </c>
      <c r="G7" s="77" t="s">
        <v>2393</v>
      </c>
      <c r="H7" s="77" t="s">
        <v>2387</v>
      </c>
      <c r="I7" s="79" t="s">
        <v>2388</v>
      </c>
      <c r="J7" s="79" t="s">
        <v>2394</v>
      </c>
      <c r="K7" s="79" t="s">
        <v>2395</v>
      </c>
      <c r="L7" s="80">
        <v>0.08</v>
      </c>
      <c r="M7" s="79">
        <v>229.607</v>
      </c>
      <c r="N7" s="79" t="s">
        <v>2396</v>
      </c>
      <c r="O7" s="81" t="s">
        <v>1742</v>
      </c>
      <c r="P7" s="81" t="s">
        <v>62</v>
      </c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4.25" customHeight="1">
      <c r="A8" s="76">
        <v>3.0</v>
      </c>
      <c r="B8" s="77">
        <v>2.0</v>
      </c>
      <c r="C8" s="78">
        <v>45300.0</v>
      </c>
      <c r="D8" s="77" t="s">
        <v>249</v>
      </c>
      <c r="E8" s="77" t="s">
        <v>1741</v>
      </c>
      <c r="F8" s="77">
        <v>3.16328904E8</v>
      </c>
      <c r="G8" s="77" t="s">
        <v>2397</v>
      </c>
      <c r="H8" s="77" t="s">
        <v>2387</v>
      </c>
      <c r="I8" s="79" t="s">
        <v>2388</v>
      </c>
      <c r="J8" s="81"/>
      <c r="K8" s="81"/>
      <c r="L8" s="80">
        <v>0.08</v>
      </c>
      <c r="M8" s="81"/>
      <c r="N8" s="81"/>
      <c r="O8" s="81" t="s">
        <v>1742</v>
      </c>
      <c r="P8" s="81" t="s">
        <v>62</v>
      </c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4.25" customHeight="1">
      <c r="A9" s="76">
        <v>4.0</v>
      </c>
      <c r="B9" s="77">
        <v>21.0</v>
      </c>
      <c r="C9" s="78">
        <v>45308.0</v>
      </c>
      <c r="D9" s="77" t="s">
        <v>316</v>
      </c>
      <c r="E9" s="77" t="s">
        <v>1748</v>
      </c>
      <c r="F9" s="77">
        <v>3.18152318E8</v>
      </c>
      <c r="G9" s="77" t="s">
        <v>2398</v>
      </c>
      <c r="H9" s="77" t="s">
        <v>2387</v>
      </c>
      <c r="I9" s="79" t="s">
        <v>2388</v>
      </c>
      <c r="J9" s="79" t="s">
        <v>2399</v>
      </c>
      <c r="K9" s="79" t="s">
        <v>2400</v>
      </c>
      <c r="L9" s="80">
        <v>0.08</v>
      </c>
      <c r="M9" s="79">
        <v>203.704</v>
      </c>
      <c r="N9" s="79" t="s">
        <v>2401</v>
      </c>
      <c r="O9" s="81" t="s">
        <v>1751</v>
      </c>
      <c r="P9" s="81" t="s">
        <v>62</v>
      </c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4.25" customHeight="1">
      <c r="A10" s="76">
        <v>5.0</v>
      </c>
      <c r="B10" s="77">
        <v>21.0</v>
      </c>
      <c r="C10" s="78">
        <v>45308.0</v>
      </c>
      <c r="D10" s="77" t="s">
        <v>316</v>
      </c>
      <c r="E10" s="77" t="s">
        <v>1748</v>
      </c>
      <c r="F10" s="77">
        <v>3.18152318E8</v>
      </c>
      <c r="G10" s="77" t="s">
        <v>2402</v>
      </c>
      <c r="H10" s="77" t="s">
        <v>2387</v>
      </c>
      <c r="I10" s="79" t="s">
        <v>2388</v>
      </c>
      <c r="J10" s="81"/>
      <c r="K10" s="81"/>
      <c r="L10" s="80">
        <v>0.08</v>
      </c>
      <c r="M10" s="81"/>
      <c r="N10" s="81"/>
      <c r="O10" s="81" t="s">
        <v>1751</v>
      </c>
      <c r="P10" s="81" t="s">
        <v>62</v>
      </c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4.25" customHeight="1">
      <c r="A11" s="76">
        <v>6.0</v>
      </c>
      <c r="B11" s="77">
        <v>21.0</v>
      </c>
      <c r="C11" s="78">
        <v>45308.0</v>
      </c>
      <c r="D11" s="77" t="s">
        <v>316</v>
      </c>
      <c r="E11" s="77" t="s">
        <v>1748</v>
      </c>
      <c r="F11" s="77">
        <v>3.18152318E8</v>
      </c>
      <c r="G11" s="77" t="s">
        <v>2403</v>
      </c>
      <c r="H11" s="77" t="s">
        <v>2387</v>
      </c>
      <c r="I11" s="79" t="s">
        <v>2388</v>
      </c>
      <c r="J11" s="81"/>
      <c r="K11" s="81"/>
      <c r="L11" s="80">
        <v>0.08</v>
      </c>
      <c r="M11" s="81"/>
      <c r="N11" s="81"/>
      <c r="O11" s="81" t="s">
        <v>1751</v>
      </c>
      <c r="P11" s="81" t="s">
        <v>62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4.25" customHeight="1">
      <c r="A12" s="76">
        <v>7.0</v>
      </c>
      <c r="B12" s="77">
        <v>22.0</v>
      </c>
      <c r="C12" s="78">
        <v>45315.0</v>
      </c>
      <c r="D12" s="77" t="s">
        <v>368</v>
      </c>
      <c r="E12" s="77" t="s">
        <v>1758</v>
      </c>
      <c r="F12" s="77">
        <v>1.07470865E8</v>
      </c>
      <c r="G12" s="77" t="s">
        <v>2404</v>
      </c>
      <c r="H12" s="77" t="s">
        <v>2387</v>
      </c>
      <c r="I12" s="79" t="s">
        <v>2388</v>
      </c>
      <c r="J12" s="79" t="s">
        <v>2405</v>
      </c>
      <c r="K12" s="79" t="s">
        <v>2406</v>
      </c>
      <c r="L12" s="80">
        <v>0.08</v>
      </c>
      <c r="M12" s="79">
        <v>143.511</v>
      </c>
      <c r="N12" s="79" t="s">
        <v>2407</v>
      </c>
      <c r="O12" s="81">
        <v>5.78390416231401E17</v>
      </c>
      <c r="P12" s="81" t="s">
        <v>198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4.25" customHeight="1">
      <c r="A13" s="76">
        <v>8.0</v>
      </c>
      <c r="B13" s="77">
        <v>62.0</v>
      </c>
      <c r="C13" s="78">
        <v>45342.0</v>
      </c>
      <c r="D13" s="77" t="s">
        <v>557</v>
      </c>
      <c r="E13" s="77" t="s">
        <v>1695</v>
      </c>
      <c r="F13" s="77">
        <v>3.11523789E8</v>
      </c>
      <c r="G13" s="77" t="s">
        <v>2408</v>
      </c>
      <c r="H13" s="77" t="s">
        <v>2387</v>
      </c>
      <c r="I13" s="79" t="s">
        <v>2388</v>
      </c>
      <c r="J13" s="79" t="s">
        <v>2409</v>
      </c>
      <c r="K13" s="79" t="s">
        <v>2410</v>
      </c>
      <c r="L13" s="80">
        <v>0.08</v>
      </c>
      <c r="M13" s="79">
        <v>170.37</v>
      </c>
      <c r="N13" s="79" t="s">
        <v>2411</v>
      </c>
      <c r="O13" s="81" t="s">
        <v>1696</v>
      </c>
      <c r="P13" s="82" t="s">
        <v>2413</v>
      </c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4.25" customHeight="1">
      <c r="A14" s="76">
        <v>9.0</v>
      </c>
      <c r="B14" s="77">
        <v>62.0</v>
      </c>
      <c r="C14" s="78">
        <v>45342.0</v>
      </c>
      <c r="D14" s="77" t="s">
        <v>557</v>
      </c>
      <c r="E14" s="77" t="s">
        <v>1695</v>
      </c>
      <c r="F14" s="77">
        <v>3.11523789E8</v>
      </c>
      <c r="G14" s="77" t="s">
        <v>2414</v>
      </c>
      <c r="H14" s="77" t="s">
        <v>2387</v>
      </c>
      <c r="I14" s="79" t="s">
        <v>2415</v>
      </c>
      <c r="J14" s="79" t="s">
        <v>2416</v>
      </c>
      <c r="K14" s="79">
        <v>333.333</v>
      </c>
      <c r="L14" s="80">
        <v>0.08</v>
      </c>
      <c r="M14" s="79">
        <v>26.667</v>
      </c>
      <c r="N14" s="79">
        <v>360.0</v>
      </c>
      <c r="O14" s="81" t="s">
        <v>1696</v>
      </c>
      <c r="P14" s="81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4.25" customHeight="1">
      <c r="A15" s="83">
        <v>10.0</v>
      </c>
      <c r="B15" s="84">
        <v>110.0</v>
      </c>
      <c r="C15" s="85">
        <v>45366.0</v>
      </c>
      <c r="D15" s="84" t="s">
        <v>76</v>
      </c>
      <c r="E15" s="84" t="s">
        <v>1104</v>
      </c>
      <c r="F15" s="84">
        <v>3.1579356E8</v>
      </c>
      <c r="G15" s="84" t="s">
        <v>2418</v>
      </c>
      <c r="H15" s="84" t="s">
        <v>2387</v>
      </c>
      <c r="I15" s="86" t="s">
        <v>2388</v>
      </c>
      <c r="J15" s="86" t="s">
        <v>2419</v>
      </c>
      <c r="K15" s="86" t="s">
        <v>2420</v>
      </c>
      <c r="L15" s="87">
        <v>0.08</v>
      </c>
      <c r="M15" s="86">
        <v>125.926</v>
      </c>
      <c r="N15" s="86" t="s">
        <v>2421</v>
      </c>
      <c r="O15" s="88" t="s">
        <v>1571</v>
      </c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4.25" customHeight="1">
      <c r="A16" s="83">
        <v>11.0</v>
      </c>
      <c r="B16" s="84">
        <v>111.0</v>
      </c>
      <c r="C16" s="85">
        <v>45366.0</v>
      </c>
      <c r="D16" s="84" t="s">
        <v>76</v>
      </c>
      <c r="E16" s="84" t="s">
        <v>1104</v>
      </c>
      <c r="F16" s="84">
        <v>3.1579356E8</v>
      </c>
      <c r="G16" s="84" t="s">
        <v>2423</v>
      </c>
      <c r="H16" s="84" t="s">
        <v>2387</v>
      </c>
      <c r="I16" s="86" t="s">
        <v>2388</v>
      </c>
      <c r="J16" s="86" t="s">
        <v>2424</v>
      </c>
      <c r="K16" s="86" t="s">
        <v>2425</v>
      </c>
      <c r="L16" s="87">
        <v>0.08</v>
      </c>
      <c r="M16" s="86">
        <v>133.333</v>
      </c>
      <c r="N16" s="86" t="s">
        <v>2426</v>
      </c>
      <c r="O16" s="90" t="s">
        <v>1579</v>
      </c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4.25" customHeight="1">
      <c r="A17" s="83">
        <v>12.0</v>
      </c>
      <c r="B17" s="84">
        <v>111.0</v>
      </c>
      <c r="C17" s="85">
        <v>45366.0</v>
      </c>
      <c r="D17" s="84" t="s">
        <v>76</v>
      </c>
      <c r="E17" s="84" t="s">
        <v>1104</v>
      </c>
      <c r="F17" s="84">
        <v>3.1579356E8</v>
      </c>
      <c r="G17" s="84" t="s">
        <v>2428</v>
      </c>
      <c r="H17" s="84" t="s">
        <v>2387</v>
      </c>
      <c r="I17" s="86" t="s">
        <v>2388</v>
      </c>
      <c r="J17" s="86" t="s">
        <v>2429</v>
      </c>
      <c r="K17" s="86" t="s">
        <v>2430</v>
      </c>
      <c r="L17" s="87">
        <v>0.08</v>
      </c>
      <c r="M17" s="86">
        <v>177.778</v>
      </c>
      <c r="N17" s="86" t="s">
        <v>2431</v>
      </c>
      <c r="O17" s="90" t="s">
        <v>1579</v>
      </c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4.25" customHeight="1">
      <c r="A18" s="83">
        <v>13.0</v>
      </c>
      <c r="B18" s="84">
        <v>113.0</v>
      </c>
      <c r="C18" s="85">
        <v>45371.0</v>
      </c>
      <c r="D18" s="84" t="s">
        <v>76</v>
      </c>
      <c r="E18" s="84" t="s">
        <v>1104</v>
      </c>
      <c r="F18" s="84">
        <v>3.1579356E8</v>
      </c>
      <c r="G18" s="84" t="s">
        <v>2433</v>
      </c>
      <c r="H18" s="84" t="s">
        <v>2387</v>
      </c>
      <c r="I18" s="86" t="s">
        <v>2415</v>
      </c>
      <c r="J18" s="86" t="s">
        <v>2434</v>
      </c>
      <c r="K18" s="86" t="s">
        <v>2435</v>
      </c>
      <c r="L18" s="87">
        <v>0.08</v>
      </c>
      <c r="M18" s="86">
        <v>148.148</v>
      </c>
      <c r="N18" s="86" t="s">
        <v>2436</v>
      </c>
      <c r="O18" s="88" t="s">
        <v>1604</v>
      </c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14.25" customHeight="1">
      <c r="A19" s="83">
        <v>14.0</v>
      </c>
      <c r="B19" s="84">
        <v>124.0</v>
      </c>
      <c r="C19" s="85">
        <v>45381.0</v>
      </c>
      <c r="D19" s="84" t="s">
        <v>972</v>
      </c>
      <c r="E19" s="84" t="s">
        <v>1634</v>
      </c>
      <c r="F19" s="84" t="s">
        <v>976</v>
      </c>
      <c r="G19" s="84" t="s">
        <v>2437</v>
      </c>
      <c r="H19" s="84" t="s">
        <v>2387</v>
      </c>
      <c r="I19" s="86" t="s">
        <v>2438</v>
      </c>
      <c r="J19" s="86" t="s">
        <v>2439</v>
      </c>
      <c r="K19" s="86" t="s">
        <v>2440</v>
      </c>
      <c r="L19" s="87">
        <v>0.08</v>
      </c>
      <c r="M19" s="86">
        <v>355.556</v>
      </c>
      <c r="N19" s="86" t="s">
        <v>2441</v>
      </c>
      <c r="O19" s="88" t="s">
        <v>1635</v>
      </c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14.25" customHeight="1">
      <c r="A20" s="83">
        <v>15.0</v>
      </c>
      <c r="B20" s="84">
        <v>125.0</v>
      </c>
      <c r="C20" s="85">
        <v>45381.0</v>
      </c>
      <c r="D20" s="84" t="s">
        <v>1022</v>
      </c>
      <c r="E20" s="84" t="s">
        <v>1648</v>
      </c>
      <c r="F20" s="84" t="s">
        <v>1024</v>
      </c>
      <c r="G20" s="84" t="s">
        <v>2437</v>
      </c>
      <c r="H20" s="84" t="s">
        <v>2387</v>
      </c>
      <c r="I20" s="86" t="s">
        <v>2442</v>
      </c>
      <c r="J20" s="86" t="s">
        <v>2439</v>
      </c>
      <c r="K20" s="86" t="s">
        <v>2443</v>
      </c>
      <c r="L20" s="87">
        <v>0.08</v>
      </c>
      <c r="M20" s="86">
        <v>829.63</v>
      </c>
      <c r="N20" s="86" t="s">
        <v>2444</v>
      </c>
      <c r="O20" s="88" t="s">
        <v>1635</v>
      </c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4.25" customHeight="1">
      <c r="A21" s="83">
        <v>16.0</v>
      </c>
      <c r="B21" s="84">
        <v>127.0</v>
      </c>
      <c r="C21" s="85">
        <v>45382.0</v>
      </c>
      <c r="D21" s="84" t="s">
        <v>1022</v>
      </c>
      <c r="E21" s="84" t="s">
        <v>1648</v>
      </c>
      <c r="F21" s="84" t="s">
        <v>1024</v>
      </c>
      <c r="G21" s="84" t="s">
        <v>2445</v>
      </c>
      <c r="H21" s="84" t="s">
        <v>2387</v>
      </c>
      <c r="I21" s="86" t="s">
        <v>2446</v>
      </c>
      <c r="J21" s="86" t="s">
        <v>2439</v>
      </c>
      <c r="K21" s="86" t="s">
        <v>2447</v>
      </c>
      <c r="L21" s="87">
        <v>0.08</v>
      </c>
      <c r="M21" s="86">
        <v>711.111</v>
      </c>
      <c r="N21" s="86" t="s">
        <v>2448</v>
      </c>
      <c r="O21" s="88" t="s">
        <v>1635</v>
      </c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4.25" customHeight="1">
      <c r="A22" s="83">
        <v>17.0</v>
      </c>
      <c r="B22" s="84">
        <v>132.0</v>
      </c>
      <c r="C22" s="85">
        <v>45387.0</v>
      </c>
      <c r="D22" s="84" t="s">
        <v>1106</v>
      </c>
      <c r="E22" s="84" t="s">
        <v>1455</v>
      </c>
      <c r="F22" s="84">
        <v>3.09489918E8</v>
      </c>
      <c r="G22" s="84" t="s">
        <v>2449</v>
      </c>
      <c r="H22" s="84" t="s">
        <v>2387</v>
      </c>
      <c r="I22" s="86" t="s">
        <v>2450</v>
      </c>
      <c r="J22" s="86" t="s">
        <v>2439</v>
      </c>
      <c r="K22" s="86" t="s">
        <v>2451</v>
      </c>
      <c r="L22" s="87">
        <v>0.08</v>
      </c>
      <c r="M22" s="86" t="s">
        <v>2452</v>
      </c>
      <c r="N22" s="86" t="s">
        <v>2453</v>
      </c>
      <c r="O22" s="88" t="s">
        <v>1456</v>
      </c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4.25" customHeight="1">
      <c r="A23" s="83">
        <v>18.0</v>
      </c>
      <c r="B23" s="84">
        <v>135.0</v>
      </c>
      <c r="C23" s="85">
        <v>45388.0</v>
      </c>
      <c r="D23" s="84" t="s">
        <v>1106</v>
      </c>
      <c r="E23" s="84" t="s">
        <v>1455</v>
      </c>
      <c r="F23" s="84">
        <v>3.09489918E8</v>
      </c>
      <c r="G23" s="84" t="s">
        <v>2454</v>
      </c>
      <c r="H23" s="84" t="s">
        <v>2387</v>
      </c>
      <c r="I23" s="86" t="s">
        <v>2438</v>
      </c>
      <c r="J23" s="86" t="s">
        <v>2455</v>
      </c>
      <c r="K23" s="86" t="s">
        <v>2456</v>
      </c>
      <c r="L23" s="87">
        <v>0.08</v>
      </c>
      <c r="M23" s="86">
        <v>844.444</v>
      </c>
      <c r="N23" s="86" t="s">
        <v>2457</v>
      </c>
      <c r="O23" s="88" t="s">
        <v>1456</v>
      </c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4.25" customHeight="1">
      <c r="A24" s="76">
        <v>19.0</v>
      </c>
      <c r="B24" s="77">
        <v>164.0</v>
      </c>
      <c r="C24" s="78">
        <v>45392.0</v>
      </c>
      <c r="D24" s="77" t="s">
        <v>1277</v>
      </c>
      <c r="E24" s="77" t="s">
        <v>1505</v>
      </c>
      <c r="F24" s="77">
        <v>3.10596706E8</v>
      </c>
      <c r="G24" s="77" t="s">
        <v>2404</v>
      </c>
      <c r="H24" s="77" t="s">
        <v>2387</v>
      </c>
      <c r="I24" s="79" t="s">
        <v>2388</v>
      </c>
      <c r="J24" s="79" t="s">
        <v>2458</v>
      </c>
      <c r="K24" s="79" t="s">
        <v>2459</v>
      </c>
      <c r="L24" s="80">
        <v>0.08</v>
      </c>
      <c r="M24" s="79">
        <v>143.63</v>
      </c>
      <c r="N24" s="79" t="s">
        <v>2460</v>
      </c>
      <c r="O24" s="81" t="s">
        <v>1507</v>
      </c>
      <c r="P24" s="81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4.25" customHeight="1">
      <c r="A25" s="76">
        <v>20.0</v>
      </c>
      <c r="B25" s="77">
        <v>169.0</v>
      </c>
      <c r="C25" s="78">
        <v>45397.0</v>
      </c>
      <c r="D25" s="77" t="s">
        <v>1327</v>
      </c>
      <c r="E25" s="77" t="s">
        <v>1516</v>
      </c>
      <c r="F25" s="77" t="s">
        <v>1328</v>
      </c>
      <c r="G25" s="77" t="s">
        <v>2461</v>
      </c>
      <c r="H25" s="77" t="s">
        <v>2387</v>
      </c>
      <c r="I25" s="79" t="s">
        <v>2442</v>
      </c>
      <c r="J25" s="79" t="s">
        <v>2462</v>
      </c>
      <c r="K25" s="79" t="s">
        <v>2463</v>
      </c>
      <c r="L25" s="80">
        <v>0.08</v>
      </c>
      <c r="M25" s="79">
        <v>435.037</v>
      </c>
      <c r="N25" s="79" t="s">
        <v>2464</v>
      </c>
      <c r="O25" s="81" t="s">
        <v>1518</v>
      </c>
      <c r="P25" s="81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4.25" customHeight="1">
      <c r="A26" s="76">
        <v>21.0</v>
      </c>
      <c r="B26" s="77">
        <v>169.0</v>
      </c>
      <c r="C26" s="78">
        <v>45397.0</v>
      </c>
      <c r="D26" s="77" t="s">
        <v>1327</v>
      </c>
      <c r="E26" s="77" t="s">
        <v>1516</v>
      </c>
      <c r="F26" s="77" t="s">
        <v>1328</v>
      </c>
      <c r="G26" s="77" t="s">
        <v>2465</v>
      </c>
      <c r="H26" s="77" t="s">
        <v>2387</v>
      </c>
      <c r="I26" s="79" t="s">
        <v>2438</v>
      </c>
      <c r="J26" s="79" t="s">
        <v>2466</v>
      </c>
      <c r="K26" s="79" t="s">
        <v>2467</v>
      </c>
      <c r="L26" s="80">
        <v>0.08</v>
      </c>
      <c r="M26" s="79">
        <v>328.667</v>
      </c>
      <c r="N26" s="79" t="s">
        <v>2468</v>
      </c>
      <c r="O26" s="81" t="s">
        <v>1518</v>
      </c>
      <c r="P26" s="81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4.25" customHeight="1">
      <c r="A27" s="76">
        <v>22.0</v>
      </c>
      <c r="B27" s="77">
        <v>169.0</v>
      </c>
      <c r="C27" s="78">
        <v>45397.0</v>
      </c>
      <c r="D27" s="77" t="s">
        <v>1327</v>
      </c>
      <c r="E27" s="77" t="s">
        <v>1516</v>
      </c>
      <c r="F27" s="77" t="s">
        <v>1328</v>
      </c>
      <c r="G27" s="77" t="s">
        <v>2469</v>
      </c>
      <c r="H27" s="77" t="s">
        <v>2387</v>
      </c>
      <c r="I27" s="79" t="s">
        <v>2442</v>
      </c>
      <c r="J27" s="79" t="s">
        <v>2470</v>
      </c>
      <c r="K27" s="79" t="s">
        <v>2471</v>
      </c>
      <c r="L27" s="80">
        <v>0.08</v>
      </c>
      <c r="M27" s="79">
        <v>186.667</v>
      </c>
      <c r="N27" s="79" t="s">
        <v>2472</v>
      </c>
      <c r="O27" s="81" t="s">
        <v>1518</v>
      </c>
      <c r="P27" s="81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4.25" customHeight="1">
      <c r="A28" s="76">
        <v>23.0</v>
      </c>
      <c r="B28" s="77">
        <v>169.0</v>
      </c>
      <c r="C28" s="78">
        <v>45397.0</v>
      </c>
      <c r="D28" s="77" t="s">
        <v>1327</v>
      </c>
      <c r="E28" s="77" t="s">
        <v>1516</v>
      </c>
      <c r="F28" s="77" t="s">
        <v>1328</v>
      </c>
      <c r="G28" s="77" t="s">
        <v>2473</v>
      </c>
      <c r="H28" s="77" t="s">
        <v>2387</v>
      </c>
      <c r="I28" s="79" t="s">
        <v>2438</v>
      </c>
      <c r="J28" s="79" t="s">
        <v>2470</v>
      </c>
      <c r="K28" s="79" t="s">
        <v>2474</v>
      </c>
      <c r="L28" s="80">
        <v>0.08</v>
      </c>
      <c r="M28" s="79">
        <v>80.0</v>
      </c>
      <c r="N28" s="79" t="s">
        <v>2475</v>
      </c>
      <c r="O28" s="81" t="s">
        <v>1518</v>
      </c>
      <c r="P28" s="81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4.25" customHeight="1">
      <c r="A29" s="76">
        <v>24.0</v>
      </c>
      <c r="B29" s="77">
        <v>169.0</v>
      </c>
      <c r="C29" s="78">
        <v>45397.0</v>
      </c>
      <c r="D29" s="77" t="s">
        <v>1327</v>
      </c>
      <c r="E29" s="77" t="s">
        <v>1516</v>
      </c>
      <c r="F29" s="77" t="s">
        <v>1328</v>
      </c>
      <c r="G29" s="77" t="s">
        <v>2476</v>
      </c>
      <c r="H29" s="77" t="s">
        <v>2477</v>
      </c>
      <c r="I29" s="79" t="s">
        <v>2388</v>
      </c>
      <c r="J29" s="79" t="s">
        <v>2478</v>
      </c>
      <c r="K29" s="79">
        <v>550.926</v>
      </c>
      <c r="L29" s="80">
        <v>0.08</v>
      </c>
      <c r="M29" s="79">
        <v>44.073</v>
      </c>
      <c r="N29" s="79">
        <v>594.999</v>
      </c>
      <c r="O29" s="81" t="s">
        <v>1518</v>
      </c>
      <c r="P29" s="81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4.25" customHeight="1">
      <c r="A30" s="76">
        <v>25.0</v>
      </c>
      <c r="B30" s="77">
        <v>175.0</v>
      </c>
      <c r="C30" s="78">
        <v>45404.0</v>
      </c>
      <c r="D30" s="77" t="s">
        <v>440</v>
      </c>
      <c r="E30" s="77" t="s">
        <v>441</v>
      </c>
      <c r="F30" s="77">
        <v>3.11950572E8</v>
      </c>
      <c r="G30" s="77" t="s">
        <v>2465</v>
      </c>
      <c r="H30" s="77" t="s">
        <v>2387</v>
      </c>
      <c r="I30" s="79" t="s">
        <v>2480</v>
      </c>
      <c r="J30" s="79" t="s">
        <v>2481</v>
      </c>
      <c r="K30" s="79" t="s">
        <v>2482</v>
      </c>
      <c r="L30" s="80">
        <v>0.08</v>
      </c>
      <c r="M30" s="79" t="s">
        <v>2483</v>
      </c>
      <c r="N30" s="79" t="s">
        <v>2484</v>
      </c>
      <c r="O30" s="81" t="s">
        <v>1540</v>
      </c>
      <c r="P30" s="81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4.25" customHeight="1">
      <c r="A31" s="76">
        <v>26.0</v>
      </c>
      <c r="B31" s="77">
        <v>185.0</v>
      </c>
      <c r="C31" s="78">
        <v>45408.0</v>
      </c>
      <c r="D31" s="77" t="s">
        <v>1498</v>
      </c>
      <c r="E31" s="77" t="s">
        <v>1562</v>
      </c>
      <c r="F31" s="77">
        <v>1.702245926E9</v>
      </c>
      <c r="G31" s="77" t="s">
        <v>2485</v>
      </c>
      <c r="H31" s="77" t="s">
        <v>2387</v>
      </c>
      <c r="I31" s="79" t="s">
        <v>2486</v>
      </c>
      <c r="J31" s="79" t="s">
        <v>2487</v>
      </c>
      <c r="K31" s="79" t="s">
        <v>2488</v>
      </c>
      <c r="L31" s="80">
        <v>0.08</v>
      </c>
      <c r="M31" s="79" t="s">
        <v>2489</v>
      </c>
      <c r="N31" s="79" t="s">
        <v>2490</v>
      </c>
      <c r="O31" s="81" t="s">
        <v>1563</v>
      </c>
      <c r="P31" s="81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4.25" customHeight="1">
      <c r="A32" s="76">
        <v>27.0</v>
      </c>
      <c r="B32" s="77">
        <v>242.0</v>
      </c>
      <c r="C32" s="78">
        <v>45435.0</v>
      </c>
      <c r="D32" s="77" t="s">
        <v>76</v>
      </c>
      <c r="E32" s="77" t="s">
        <v>1104</v>
      </c>
      <c r="F32" s="77">
        <v>3.1579356E8</v>
      </c>
      <c r="G32" s="77" t="s">
        <v>2491</v>
      </c>
      <c r="H32" s="77" t="s">
        <v>2387</v>
      </c>
      <c r="I32" s="79" t="s">
        <v>2415</v>
      </c>
      <c r="J32" s="79" t="s">
        <v>2492</v>
      </c>
      <c r="K32" s="79" t="s">
        <v>2493</v>
      </c>
      <c r="L32" s="80">
        <v>0.08</v>
      </c>
      <c r="M32" s="79">
        <v>340.741</v>
      </c>
      <c r="N32" s="79" t="s">
        <v>2494</v>
      </c>
      <c r="O32" s="81" t="s">
        <v>1411</v>
      </c>
      <c r="P32" s="81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4.25" customHeight="1">
      <c r="A33" s="76">
        <v>28.0</v>
      </c>
      <c r="B33" s="77">
        <v>244.0</v>
      </c>
      <c r="C33" s="78">
        <v>45439.0</v>
      </c>
      <c r="D33" s="77" t="s">
        <v>76</v>
      </c>
      <c r="E33" s="77" t="s">
        <v>1104</v>
      </c>
      <c r="F33" s="77">
        <v>3.1579356E8</v>
      </c>
      <c r="G33" s="77" t="s">
        <v>2491</v>
      </c>
      <c r="H33" s="77" t="s">
        <v>2387</v>
      </c>
      <c r="I33" s="79" t="s">
        <v>2415</v>
      </c>
      <c r="J33" s="79" t="s">
        <v>2492</v>
      </c>
      <c r="K33" s="79" t="s">
        <v>2493</v>
      </c>
      <c r="L33" s="80">
        <v>0.08</v>
      </c>
      <c r="M33" s="79">
        <v>340.741</v>
      </c>
      <c r="N33" s="79" t="s">
        <v>2494</v>
      </c>
      <c r="O33" s="81" t="s">
        <v>1427</v>
      </c>
      <c r="P33" s="81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4.25" customHeight="1">
      <c r="A34" s="76">
        <v>29.0</v>
      </c>
      <c r="B34" s="77">
        <v>342.0</v>
      </c>
      <c r="C34" s="78">
        <v>45476.0</v>
      </c>
      <c r="D34" s="77" t="s">
        <v>1151</v>
      </c>
      <c r="E34" s="77" t="s">
        <v>1153</v>
      </c>
      <c r="F34" s="77">
        <v>2.803071812E9</v>
      </c>
      <c r="G34" s="77" t="s">
        <v>2495</v>
      </c>
      <c r="H34" s="77" t="s">
        <v>2387</v>
      </c>
      <c r="I34" s="79" t="s">
        <v>2415</v>
      </c>
      <c r="J34" s="79" t="s">
        <v>2496</v>
      </c>
      <c r="K34" s="79">
        <v>648.148</v>
      </c>
      <c r="L34" s="80">
        <v>0.08</v>
      </c>
      <c r="M34" s="79">
        <v>51.852</v>
      </c>
      <c r="N34" s="79">
        <v>700.0</v>
      </c>
      <c r="O34" s="81" t="s">
        <v>1154</v>
      </c>
      <c r="P34" s="81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4.25" customHeight="1">
      <c r="A35" s="76">
        <v>30.0</v>
      </c>
      <c r="B35" s="77">
        <v>342.0</v>
      </c>
      <c r="C35" s="78">
        <v>45476.0</v>
      </c>
      <c r="D35" s="77" t="s">
        <v>1151</v>
      </c>
      <c r="E35" s="77" t="s">
        <v>1153</v>
      </c>
      <c r="F35" s="77">
        <v>2.803071812E9</v>
      </c>
      <c r="G35" s="77" t="s">
        <v>2498</v>
      </c>
      <c r="H35" s="77" t="s">
        <v>2387</v>
      </c>
      <c r="I35" s="79" t="s">
        <v>2499</v>
      </c>
      <c r="J35" s="79" t="s">
        <v>2496</v>
      </c>
      <c r="K35" s="79" t="s">
        <v>2500</v>
      </c>
      <c r="L35" s="80">
        <v>0.08</v>
      </c>
      <c r="M35" s="79">
        <v>207.407</v>
      </c>
      <c r="N35" s="79" t="s">
        <v>2501</v>
      </c>
      <c r="O35" s="81" t="s">
        <v>1154</v>
      </c>
      <c r="P35" s="81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4.25" customHeight="1">
      <c r="A36" s="76">
        <v>31.0</v>
      </c>
      <c r="B36" s="77">
        <v>344.0</v>
      </c>
      <c r="C36" s="78">
        <v>45491.0</v>
      </c>
      <c r="D36" s="77" t="s">
        <v>1160</v>
      </c>
      <c r="E36" s="77" t="s">
        <v>1162</v>
      </c>
      <c r="F36" s="77" t="s">
        <v>1159</v>
      </c>
      <c r="G36" s="77" t="s">
        <v>2502</v>
      </c>
      <c r="H36" s="77" t="s">
        <v>2387</v>
      </c>
      <c r="I36" s="79" t="s">
        <v>2503</v>
      </c>
      <c r="J36" s="79" t="s">
        <v>2504</v>
      </c>
      <c r="K36" s="79" t="s">
        <v>2505</v>
      </c>
      <c r="L36" s="80">
        <v>0.08</v>
      </c>
      <c r="M36" s="79">
        <v>465.185</v>
      </c>
      <c r="N36" s="79" t="s">
        <v>2506</v>
      </c>
      <c r="O36" s="81" t="s">
        <v>2507</v>
      </c>
      <c r="P36" s="81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4.25" customHeight="1">
      <c r="A37" s="76">
        <v>32.0</v>
      </c>
      <c r="B37" s="77">
        <v>344.0</v>
      </c>
      <c r="C37" s="78">
        <v>45491.0</v>
      </c>
      <c r="D37" s="77" t="s">
        <v>1160</v>
      </c>
      <c r="E37" s="77" t="s">
        <v>1162</v>
      </c>
      <c r="F37" s="77" t="s">
        <v>1159</v>
      </c>
      <c r="G37" s="77" t="s">
        <v>2509</v>
      </c>
      <c r="H37" s="77" t="s">
        <v>2387</v>
      </c>
      <c r="I37" s="79" t="s">
        <v>2388</v>
      </c>
      <c r="J37" s="79" t="s">
        <v>2510</v>
      </c>
      <c r="K37" s="79" t="s">
        <v>2511</v>
      </c>
      <c r="L37" s="80">
        <v>0.08</v>
      </c>
      <c r="M37" s="79">
        <v>211.111</v>
      </c>
      <c r="N37" s="79" t="s">
        <v>2512</v>
      </c>
      <c r="O37" s="81" t="s">
        <v>2513</v>
      </c>
      <c r="P37" s="81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4.25" customHeight="1">
      <c r="A38" s="76">
        <v>33.0</v>
      </c>
      <c r="B38" s="77">
        <v>345.0</v>
      </c>
      <c r="C38" s="78">
        <v>45492.0</v>
      </c>
      <c r="D38" s="77" t="s">
        <v>1182</v>
      </c>
      <c r="E38" s="77" t="s">
        <v>1184</v>
      </c>
      <c r="F38" s="77" t="s">
        <v>1181</v>
      </c>
      <c r="G38" s="77" t="s">
        <v>2514</v>
      </c>
      <c r="H38" s="77" t="s">
        <v>2387</v>
      </c>
      <c r="I38" s="79" t="s">
        <v>2388</v>
      </c>
      <c r="J38" s="79" t="s">
        <v>2515</v>
      </c>
      <c r="K38" s="79" t="s">
        <v>2516</v>
      </c>
      <c r="L38" s="80">
        <v>0.08</v>
      </c>
      <c r="M38" s="79">
        <v>116.296</v>
      </c>
      <c r="N38" s="79" t="s">
        <v>2517</v>
      </c>
      <c r="O38" s="81" t="s">
        <v>1187</v>
      </c>
      <c r="P38" s="81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4.25" customHeight="1">
      <c r="A39" s="76">
        <v>34.0</v>
      </c>
      <c r="B39" s="77">
        <v>345.0</v>
      </c>
      <c r="C39" s="78">
        <v>45492.0</v>
      </c>
      <c r="D39" s="77" t="s">
        <v>1182</v>
      </c>
      <c r="E39" s="77" t="s">
        <v>1184</v>
      </c>
      <c r="F39" s="77" t="s">
        <v>1181</v>
      </c>
      <c r="G39" s="77" t="s">
        <v>2476</v>
      </c>
      <c r="H39" s="77" t="s">
        <v>2518</v>
      </c>
      <c r="I39" s="79" t="s">
        <v>2388</v>
      </c>
      <c r="J39" s="79" t="s">
        <v>2519</v>
      </c>
      <c r="K39" s="79">
        <v>22.222</v>
      </c>
      <c r="L39" s="80">
        <v>0.08</v>
      </c>
      <c r="M39" s="79">
        <v>1.778</v>
      </c>
      <c r="N39" s="79">
        <v>24.0</v>
      </c>
      <c r="O39" s="81" t="s">
        <v>1187</v>
      </c>
      <c r="P39" s="81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4.25" customHeight="1">
      <c r="A40" s="76">
        <v>35.0</v>
      </c>
      <c r="B40" s="77">
        <v>346.0</v>
      </c>
      <c r="C40" s="78">
        <v>45492.0</v>
      </c>
      <c r="D40" s="77" t="s">
        <v>1196</v>
      </c>
      <c r="E40" s="77" t="s">
        <v>1197</v>
      </c>
      <c r="F40" s="77" t="s">
        <v>1194</v>
      </c>
      <c r="G40" s="77" t="s">
        <v>2437</v>
      </c>
      <c r="H40" s="77" t="s">
        <v>2387</v>
      </c>
      <c r="I40" s="79" t="s">
        <v>2520</v>
      </c>
      <c r="J40" s="79" t="s">
        <v>2515</v>
      </c>
      <c r="K40" s="79" t="s">
        <v>2521</v>
      </c>
      <c r="L40" s="80">
        <v>0.08</v>
      </c>
      <c r="M40" s="79" t="s">
        <v>2522</v>
      </c>
      <c r="N40" s="79" t="s">
        <v>2523</v>
      </c>
      <c r="O40" s="81" t="s">
        <v>1198</v>
      </c>
      <c r="P40" s="81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4.25" customHeight="1">
      <c r="A41" s="76">
        <v>36.0</v>
      </c>
      <c r="B41" s="77">
        <v>346.0</v>
      </c>
      <c r="C41" s="78">
        <v>45492.0</v>
      </c>
      <c r="D41" s="77" t="s">
        <v>1196</v>
      </c>
      <c r="E41" s="77" t="s">
        <v>1197</v>
      </c>
      <c r="F41" s="77" t="s">
        <v>1194</v>
      </c>
      <c r="G41" s="77" t="s">
        <v>2476</v>
      </c>
      <c r="H41" s="77" t="s">
        <v>2518</v>
      </c>
      <c r="I41" s="79" t="s">
        <v>2388</v>
      </c>
      <c r="J41" s="79" t="s">
        <v>2524</v>
      </c>
      <c r="K41" s="79">
        <v>400.0</v>
      </c>
      <c r="L41" s="80">
        <v>0.08</v>
      </c>
      <c r="M41" s="79">
        <v>32.0</v>
      </c>
      <c r="N41" s="79">
        <v>432.0</v>
      </c>
      <c r="O41" s="81" t="s">
        <v>1198</v>
      </c>
      <c r="P41" s="81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4.25" customHeight="1">
      <c r="A42" s="76">
        <v>37.0</v>
      </c>
      <c r="B42" s="77">
        <v>347.0</v>
      </c>
      <c r="C42" s="78">
        <v>45492.0</v>
      </c>
      <c r="D42" s="77" t="s">
        <v>1205</v>
      </c>
      <c r="E42" s="77" t="s">
        <v>1207</v>
      </c>
      <c r="F42" s="77" t="s">
        <v>1203</v>
      </c>
      <c r="G42" s="77" t="s">
        <v>2525</v>
      </c>
      <c r="H42" s="77" t="s">
        <v>2387</v>
      </c>
      <c r="I42" s="79" t="s">
        <v>2526</v>
      </c>
      <c r="J42" s="79" t="s">
        <v>2515</v>
      </c>
      <c r="K42" s="79" t="s">
        <v>2527</v>
      </c>
      <c r="L42" s="80">
        <v>0.08</v>
      </c>
      <c r="M42" s="79" t="s">
        <v>2528</v>
      </c>
      <c r="N42" s="79" t="s">
        <v>2529</v>
      </c>
      <c r="O42" s="81" t="s">
        <v>1208</v>
      </c>
      <c r="P42" s="81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4.25" customHeight="1">
      <c r="A43" s="76">
        <v>38.0</v>
      </c>
      <c r="B43" s="77">
        <v>347.0</v>
      </c>
      <c r="C43" s="78">
        <v>45492.0</v>
      </c>
      <c r="D43" s="77" t="s">
        <v>1205</v>
      </c>
      <c r="E43" s="77" t="s">
        <v>1207</v>
      </c>
      <c r="F43" s="77" t="s">
        <v>1203</v>
      </c>
      <c r="G43" s="77" t="s">
        <v>2476</v>
      </c>
      <c r="H43" s="77" t="s">
        <v>2518</v>
      </c>
      <c r="I43" s="79" t="s">
        <v>2388</v>
      </c>
      <c r="J43" s="79" t="s">
        <v>2530</v>
      </c>
      <c r="K43" s="79">
        <v>466.666</v>
      </c>
      <c r="L43" s="80">
        <v>0.08</v>
      </c>
      <c r="M43" s="79">
        <v>37.334</v>
      </c>
      <c r="N43" s="79">
        <v>504.0</v>
      </c>
      <c r="O43" s="81" t="s">
        <v>1208</v>
      </c>
      <c r="P43" s="81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4.25" customHeight="1">
      <c r="A44" s="76">
        <v>39.0</v>
      </c>
      <c r="B44" s="77">
        <v>348.0</v>
      </c>
      <c r="C44" s="78">
        <v>45492.0</v>
      </c>
      <c r="D44" s="77" t="s">
        <v>1219</v>
      </c>
      <c r="E44" s="77" t="s">
        <v>1220</v>
      </c>
      <c r="F44" s="77" t="s">
        <v>1217</v>
      </c>
      <c r="G44" s="77" t="s">
        <v>2445</v>
      </c>
      <c r="H44" s="77" t="s">
        <v>2387</v>
      </c>
      <c r="I44" s="79" t="s">
        <v>2531</v>
      </c>
      <c r="J44" s="79" t="s">
        <v>2515</v>
      </c>
      <c r="K44" s="79" t="s">
        <v>2532</v>
      </c>
      <c r="L44" s="80">
        <v>0.08</v>
      </c>
      <c r="M44" s="79" t="s">
        <v>2533</v>
      </c>
      <c r="N44" s="79" t="s">
        <v>2534</v>
      </c>
      <c r="O44" s="81" t="s">
        <v>1221</v>
      </c>
      <c r="P44" s="81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4.25" customHeight="1">
      <c r="A45" s="76">
        <v>40.0</v>
      </c>
      <c r="B45" s="77">
        <v>348.0</v>
      </c>
      <c r="C45" s="78">
        <v>45492.0</v>
      </c>
      <c r="D45" s="77" t="s">
        <v>1219</v>
      </c>
      <c r="E45" s="77" t="s">
        <v>1220</v>
      </c>
      <c r="F45" s="77" t="s">
        <v>1217</v>
      </c>
      <c r="G45" s="77" t="s">
        <v>2476</v>
      </c>
      <c r="H45" s="77" t="s">
        <v>2518</v>
      </c>
      <c r="I45" s="79" t="s">
        <v>2388</v>
      </c>
      <c r="J45" s="79" t="s">
        <v>2535</v>
      </c>
      <c r="K45" s="79">
        <v>222.222</v>
      </c>
      <c r="L45" s="80">
        <v>0.08</v>
      </c>
      <c r="M45" s="79">
        <v>17.778</v>
      </c>
      <c r="N45" s="79">
        <v>240.0</v>
      </c>
      <c r="O45" s="81" t="s">
        <v>1221</v>
      </c>
      <c r="P45" s="81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4.25" customHeight="1">
      <c r="A46" s="83">
        <v>41.0</v>
      </c>
      <c r="B46" s="84">
        <v>359.0</v>
      </c>
      <c r="C46" s="85">
        <v>45497.0</v>
      </c>
      <c r="D46" s="84" t="s">
        <v>1243</v>
      </c>
      <c r="E46" s="84" t="s">
        <v>1245</v>
      </c>
      <c r="F46" s="84" t="s">
        <v>1241</v>
      </c>
      <c r="G46" s="84" t="s">
        <v>2536</v>
      </c>
      <c r="H46" s="84" t="s">
        <v>2387</v>
      </c>
      <c r="I46" s="86" t="s">
        <v>2438</v>
      </c>
      <c r="J46" s="86" t="s">
        <v>2504</v>
      </c>
      <c r="K46" s="86" t="s">
        <v>2537</v>
      </c>
      <c r="L46" s="87">
        <v>0.08</v>
      </c>
      <c r="M46" s="86">
        <v>348.889</v>
      </c>
      <c r="N46" s="86" t="s">
        <v>2538</v>
      </c>
      <c r="O46" s="88" t="s">
        <v>1246</v>
      </c>
      <c r="P46" s="88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4.25" customHeight="1">
      <c r="A47" s="83">
        <v>42.0</v>
      </c>
      <c r="B47" s="84">
        <v>359.0</v>
      </c>
      <c r="C47" s="85">
        <v>45497.0</v>
      </c>
      <c r="D47" s="84" t="s">
        <v>1243</v>
      </c>
      <c r="E47" s="84" t="s">
        <v>1245</v>
      </c>
      <c r="F47" s="84" t="s">
        <v>1241</v>
      </c>
      <c r="G47" s="84" t="s">
        <v>2539</v>
      </c>
      <c r="H47" s="88"/>
      <c r="I47" s="86" t="s">
        <v>2388</v>
      </c>
      <c r="J47" s="88"/>
      <c r="K47" s="88"/>
      <c r="L47" s="87">
        <v>0.08</v>
      </c>
      <c r="M47" s="88"/>
      <c r="N47" s="88"/>
      <c r="O47" s="88"/>
      <c r="P47" s="88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4.25" customHeight="1">
      <c r="A48" s="83">
        <v>43.0</v>
      </c>
      <c r="B48" s="84">
        <v>387.0</v>
      </c>
      <c r="C48" s="85">
        <v>45524.0</v>
      </c>
      <c r="D48" s="84" t="s">
        <v>1084</v>
      </c>
      <c r="E48" s="84" t="s">
        <v>1086</v>
      </c>
      <c r="F48" s="84" t="s">
        <v>1082</v>
      </c>
      <c r="G48" s="84" t="s">
        <v>2514</v>
      </c>
      <c r="H48" s="84" t="s">
        <v>2387</v>
      </c>
      <c r="I48" s="86" t="s">
        <v>2540</v>
      </c>
      <c r="J48" s="86" t="s">
        <v>2541</v>
      </c>
      <c r="K48" s="86" t="s">
        <v>2542</v>
      </c>
      <c r="L48" s="87">
        <v>0.08</v>
      </c>
      <c r="M48" s="86" t="s">
        <v>2543</v>
      </c>
      <c r="N48" s="86" t="s">
        <v>2544</v>
      </c>
      <c r="O48" s="88" t="s">
        <v>1089</v>
      </c>
      <c r="P48" s="88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4.25" customHeight="1">
      <c r="A49" s="76">
        <v>44.0</v>
      </c>
      <c r="B49" s="77">
        <v>393.0</v>
      </c>
      <c r="C49" s="78">
        <v>45525.0</v>
      </c>
      <c r="D49" s="77" t="s">
        <v>76</v>
      </c>
      <c r="E49" s="77" t="s">
        <v>1104</v>
      </c>
      <c r="F49" s="77">
        <v>3.1579356E8</v>
      </c>
      <c r="G49" s="77" t="s">
        <v>2491</v>
      </c>
      <c r="H49" s="77" t="s">
        <v>2387</v>
      </c>
      <c r="I49" s="79" t="s">
        <v>2503</v>
      </c>
      <c r="J49" s="79" t="s">
        <v>2492</v>
      </c>
      <c r="K49" s="79" t="s">
        <v>2545</v>
      </c>
      <c r="L49" s="80">
        <v>0.08</v>
      </c>
      <c r="M49" s="79">
        <v>681.482</v>
      </c>
      <c r="N49" s="79" t="s">
        <v>2546</v>
      </c>
      <c r="O49" s="81" t="s">
        <v>1107</v>
      </c>
      <c r="P49" s="81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4.25" customHeight="1">
      <c r="A50" s="76">
        <v>45.0</v>
      </c>
      <c r="B50" s="77">
        <v>394.0</v>
      </c>
      <c r="C50" s="78">
        <v>45525.0</v>
      </c>
      <c r="D50" s="77" t="s">
        <v>76</v>
      </c>
      <c r="E50" s="77" t="s">
        <v>1104</v>
      </c>
      <c r="F50" s="77">
        <v>3.1579356E8</v>
      </c>
      <c r="G50" s="77" t="s">
        <v>2404</v>
      </c>
      <c r="H50" s="77" t="s">
        <v>2387</v>
      </c>
      <c r="I50" s="79" t="s">
        <v>2388</v>
      </c>
      <c r="J50" s="79" t="s">
        <v>2547</v>
      </c>
      <c r="K50" s="79" t="s">
        <v>2548</v>
      </c>
      <c r="L50" s="80">
        <v>0.08</v>
      </c>
      <c r="M50" s="79">
        <v>107.407</v>
      </c>
      <c r="N50" s="79" t="s">
        <v>2549</v>
      </c>
      <c r="O50" s="81" t="s">
        <v>1118</v>
      </c>
      <c r="P50" s="81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4.25" customHeight="1">
      <c r="A51" s="76">
        <v>46.0</v>
      </c>
      <c r="B51" s="77">
        <v>395.0</v>
      </c>
      <c r="C51" s="78">
        <v>45525.0</v>
      </c>
      <c r="D51" s="77" t="s">
        <v>563</v>
      </c>
      <c r="E51" s="77" t="s">
        <v>565</v>
      </c>
      <c r="F51" s="77">
        <v>2.300720588E9</v>
      </c>
      <c r="G51" s="77" t="s">
        <v>2551</v>
      </c>
      <c r="H51" s="77" t="s">
        <v>2387</v>
      </c>
      <c r="I51" s="79" t="s">
        <v>2415</v>
      </c>
      <c r="J51" s="79" t="s">
        <v>2552</v>
      </c>
      <c r="K51" s="79" t="s">
        <v>2553</v>
      </c>
      <c r="L51" s="80">
        <v>0.08</v>
      </c>
      <c r="M51" s="79">
        <v>398.519</v>
      </c>
      <c r="N51" s="79" t="s">
        <v>2554</v>
      </c>
      <c r="O51" s="81" t="s">
        <v>1129</v>
      </c>
      <c r="P51" s="81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4.25" customHeight="1">
      <c r="A52" s="76">
        <v>47.0</v>
      </c>
      <c r="B52" s="77">
        <v>453.0</v>
      </c>
      <c r="C52" s="78">
        <v>45544.0</v>
      </c>
      <c r="D52" s="77" t="s">
        <v>832</v>
      </c>
      <c r="E52" s="77" t="s">
        <v>834</v>
      </c>
      <c r="F52" s="77">
        <v>3.17059605E8</v>
      </c>
      <c r="G52" s="77" t="s">
        <v>2555</v>
      </c>
      <c r="H52" s="77" t="s">
        <v>2387</v>
      </c>
      <c r="I52" s="79" t="s">
        <v>2415</v>
      </c>
      <c r="J52" s="79" t="s">
        <v>2556</v>
      </c>
      <c r="K52" s="79" t="s">
        <v>2557</v>
      </c>
      <c r="L52" s="80">
        <v>0.08</v>
      </c>
      <c r="M52" s="79">
        <v>81.482</v>
      </c>
      <c r="N52" s="79" t="s">
        <v>2558</v>
      </c>
      <c r="O52" s="81" t="s">
        <v>837</v>
      </c>
      <c r="P52" s="81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4.25" customHeight="1">
      <c r="A53" s="76">
        <v>48.0</v>
      </c>
      <c r="B53" s="77">
        <v>458.0</v>
      </c>
      <c r="C53" s="78">
        <v>45547.0</v>
      </c>
      <c r="D53" s="77" t="s">
        <v>620</v>
      </c>
      <c r="E53" s="77" t="s">
        <v>859</v>
      </c>
      <c r="F53" s="77">
        <v>3.17526049E8</v>
      </c>
      <c r="G53" s="77" t="s">
        <v>2559</v>
      </c>
      <c r="H53" s="77" t="s">
        <v>2387</v>
      </c>
      <c r="I53" s="79" t="s">
        <v>2531</v>
      </c>
      <c r="J53" s="79" t="s">
        <v>2560</v>
      </c>
      <c r="K53" s="79" t="s">
        <v>2561</v>
      </c>
      <c r="L53" s="80">
        <v>0.08</v>
      </c>
      <c r="M53" s="79" t="s">
        <v>2435</v>
      </c>
      <c r="N53" s="79" t="s">
        <v>2562</v>
      </c>
      <c r="O53" s="81" t="s">
        <v>860</v>
      </c>
      <c r="P53" s="81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4.25" customHeight="1">
      <c r="A54" s="83">
        <v>49.0</v>
      </c>
      <c r="B54" s="84">
        <v>458.0</v>
      </c>
      <c r="C54" s="85">
        <v>45547.0</v>
      </c>
      <c r="D54" s="84" t="s">
        <v>620</v>
      </c>
      <c r="E54" s="84" t="s">
        <v>859</v>
      </c>
      <c r="F54" s="84">
        <v>3.17526049E8</v>
      </c>
      <c r="G54" s="84" t="s">
        <v>2563</v>
      </c>
      <c r="H54" s="84" t="s">
        <v>2387</v>
      </c>
      <c r="I54" s="86" t="s">
        <v>2564</v>
      </c>
      <c r="J54" s="86" t="s">
        <v>2565</v>
      </c>
      <c r="K54" s="86" t="s">
        <v>2566</v>
      </c>
      <c r="L54" s="87">
        <v>0.08</v>
      </c>
      <c r="M54" s="86">
        <v>351.852</v>
      </c>
      <c r="N54" s="86" t="s">
        <v>2567</v>
      </c>
      <c r="O54" s="88" t="s">
        <v>860</v>
      </c>
      <c r="P54" s="88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4.25" customHeight="1">
      <c r="A55" s="76">
        <v>50.0</v>
      </c>
      <c r="B55" s="77">
        <v>511.0</v>
      </c>
      <c r="C55" s="78">
        <v>45569.0</v>
      </c>
      <c r="D55" s="77" t="s">
        <v>563</v>
      </c>
      <c r="E55" s="77" t="s">
        <v>565</v>
      </c>
      <c r="F55" s="77">
        <v>2.300720588E9</v>
      </c>
      <c r="G55" s="77" t="s">
        <v>2551</v>
      </c>
      <c r="H55" s="77" t="s">
        <v>2387</v>
      </c>
      <c r="I55" s="79" t="s">
        <v>2446</v>
      </c>
      <c r="J55" s="79" t="s">
        <v>2568</v>
      </c>
      <c r="K55" s="79" t="s">
        <v>2569</v>
      </c>
      <c r="L55" s="80">
        <v>0.08</v>
      </c>
      <c r="M55" s="79" t="s">
        <v>2571</v>
      </c>
      <c r="N55" s="79" t="s">
        <v>2572</v>
      </c>
      <c r="O55" s="81" t="s">
        <v>566</v>
      </c>
      <c r="P55" s="81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4.25" customHeight="1">
      <c r="A56" s="76">
        <v>51.0</v>
      </c>
      <c r="B56" s="77">
        <v>514.0</v>
      </c>
      <c r="C56" s="78">
        <v>45574.0</v>
      </c>
      <c r="D56" s="77" t="s">
        <v>573</v>
      </c>
      <c r="E56" s="77" t="s">
        <v>575</v>
      </c>
      <c r="F56" s="77">
        <v>3.18008787E8</v>
      </c>
      <c r="G56" s="77" t="s">
        <v>2573</v>
      </c>
      <c r="H56" s="77" t="s">
        <v>2387</v>
      </c>
      <c r="I56" s="79" t="s">
        <v>2415</v>
      </c>
      <c r="J56" s="79" t="s">
        <v>2574</v>
      </c>
      <c r="K56" s="79" t="s">
        <v>2575</v>
      </c>
      <c r="L56" s="80">
        <v>0.08</v>
      </c>
      <c r="M56" s="79">
        <v>619.111</v>
      </c>
      <c r="N56" s="79" t="s">
        <v>2576</v>
      </c>
      <c r="O56" s="81" t="s">
        <v>577</v>
      </c>
      <c r="P56" s="81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4.25" customHeight="1">
      <c r="A57" s="76">
        <v>52.0</v>
      </c>
      <c r="B57" s="77">
        <v>585.0</v>
      </c>
      <c r="C57" s="78">
        <v>45616.0</v>
      </c>
      <c r="D57" s="77" t="s">
        <v>2578</v>
      </c>
      <c r="E57" s="81"/>
      <c r="F57" s="81"/>
      <c r="G57" s="77" t="s">
        <v>2579</v>
      </c>
      <c r="H57" s="77" t="s">
        <v>2387</v>
      </c>
      <c r="I57" s="79" t="s">
        <v>2442</v>
      </c>
      <c r="J57" s="79" t="s">
        <v>2580</v>
      </c>
      <c r="K57" s="79" t="s">
        <v>2581</v>
      </c>
      <c r="L57" s="80">
        <v>0.08</v>
      </c>
      <c r="M57" s="79">
        <v>855.556</v>
      </c>
      <c r="N57" s="79" t="s">
        <v>2582</v>
      </c>
      <c r="O57" s="81" t="s">
        <v>2583</v>
      </c>
      <c r="P57" s="81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4.25" customHeight="1">
      <c r="A58" s="83">
        <v>53.0</v>
      </c>
      <c r="B58" s="84">
        <v>586.0</v>
      </c>
      <c r="C58" s="85">
        <v>45616.0</v>
      </c>
      <c r="D58" s="84" t="s">
        <v>2584</v>
      </c>
      <c r="E58" s="88"/>
      <c r="F58" s="88"/>
      <c r="G58" s="84" t="s">
        <v>2559</v>
      </c>
      <c r="H58" s="84" t="s">
        <v>2387</v>
      </c>
      <c r="I58" s="86" t="s">
        <v>2388</v>
      </c>
      <c r="J58" s="86" t="s">
        <v>2585</v>
      </c>
      <c r="K58" s="86" t="s">
        <v>2586</v>
      </c>
      <c r="L58" s="87">
        <v>0.08</v>
      </c>
      <c r="M58" s="86">
        <v>205.852</v>
      </c>
      <c r="N58" s="86" t="s">
        <v>2587</v>
      </c>
      <c r="O58" s="88" t="s">
        <v>2588</v>
      </c>
      <c r="P58" s="88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4.25" customHeight="1">
      <c r="A59" s="83">
        <v>54.0</v>
      </c>
      <c r="B59" s="84">
        <v>586.0</v>
      </c>
      <c r="C59" s="85">
        <v>45616.0</v>
      </c>
      <c r="D59" s="84" t="s">
        <v>2584</v>
      </c>
      <c r="E59" s="88"/>
      <c r="F59" s="88"/>
      <c r="G59" s="84" t="s">
        <v>2555</v>
      </c>
      <c r="H59" s="84" t="s">
        <v>2387</v>
      </c>
      <c r="I59" s="86" t="s">
        <v>2388</v>
      </c>
      <c r="J59" s="88"/>
      <c r="K59" s="88"/>
      <c r="L59" s="87">
        <v>0.08</v>
      </c>
      <c r="M59" s="88"/>
      <c r="N59" s="88"/>
      <c r="O59" s="88" t="s">
        <v>2588</v>
      </c>
      <c r="P59" s="88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4.25" customHeight="1">
      <c r="A60" s="83">
        <v>55.0</v>
      </c>
      <c r="B60" s="84">
        <v>586.0</v>
      </c>
      <c r="C60" s="85">
        <v>45616.0</v>
      </c>
      <c r="D60" s="84" t="s">
        <v>2584</v>
      </c>
      <c r="E60" s="88"/>
      <c r="F60" s="88"/>
      <c r="G60" s="84" t="s">
        <v>2589</v>
      </c>
      <c r="H60" s="84" t="s">
        <v>2387</v>
      </c>
      <c r="I60" s="86" t="s">
        <v>2388</v>
      </c>
      <c r="J60" s="86" t="s">
        <v>2590</v>
      </c>
      <c r="K60" s="86" t="s">
        <v>2591</v>
      </c>
      <c r="L60" s="87">
        <v>0.08</v>
      </c>
      <c r="M60" s="86">
        <v>324.37</v>
      </c>
      <c r="N60" s="86" t="s">
        <v>2592</v>
      </c>
      <c r="O60" s="88" t="s">
        <v>2588</v>
      </c>
      <c r="P60" s="88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4.25" customHeight="1">
      <c r="A61" s="83">
        <v>56.0</v>
      </c>
      <c r="B61" s="84">
        <v>586.0</v>
      </c>
      <c r="C61" s="85">
        <v>45616.0</v>
      </c>
      <c r="D61" s="84" t="s">
        <v>2584</v>
      </c>
      <c r="E61" s="88"/>
      <c r="F61" s="88"/>
      <c r="G61" s="84" t="s">
        <v>2593</v>
      </c>
      <c r="H61" s="84" t="s">
        <v>2387</v>
      </c>
      <c r="I61" s="86" t="s">
        <v>2388</v>
      </c>
      <c r="J61" s="88"/>
      <c r="K61" s="88"/>
      <c r="L61" s="87">
        <v>0.08</v>
      </c>
      <c r="M61" s="88"/>
      <c r="N61" s="88"/>
      <c r="O61" s="88" t="s">
        <v>2588</v>
      </c>
      <c r="P61" s="88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4.25" customHeight="1">
      <c r="A62" s="76">
        <v>57.0</v>
      </c>
      <c r="B62" s="77">
        <v>650.0</v>
      </c>
      <c r="C62" s="78">
        <v>45631.0</v>
      </c>
      <c r="D62" s="77" t="s">
        <v>149</v>
      </c>
      <c r="E62" s="77" t="s">
        <v>151</v>
      </c>
      <c r="F62" s="77">
        <v>3.18588954E8</v>
      </c>
      <c r="G62" s="77" t="s">
        <v>2594</v>
      </c>
      <c r="H62" s="77" t="s">
        <v>2387</v>
      </c>
      <c r="I62" s="79" t="s">
        <v>2595</v>
      </c>
      <c r="J62" s="79" t="s">
        <v>2596</v>
      </c>
      <c r="K62" s="79" t="s">
        <v>2597</v>
      </c>
      <c r="L62" s="80">
        <v>0.08</v>
      </c>
      <c r="M62" s="79" t="s">
        <v>2598</v>
      </c>
      <c r="N62" s="79" t="s">
        <v>2599</v>
      </c>
      <c r="O62" s="81" t="s">
        <v>156</v>
      </c>
      <c r="P62" s="82" t="s">
        <v>2600</v>
      </c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4.25" customHeight="1">
      <c r="A63" s="76">
        <v>58.0</v>
      </c>
      <c r="B63" s="77">
        <v>785.0</v>
      </c>
      <c r="C63" s="78">
        <v>45657.0</v>
      </c>
      <c r="D63" s="77" t="s">
        <v>2601</v>
      </c>
      <c r="E63" s="81"/>
      <c r="F63" s="81"/>
      <c r="G63" s="77" t="s">
        <v>2602</v>
      </c>
      <c r="H63" s="77" t="s">
        <v>2603</v>
      </c>
      <c r="I63" s="79" t="s">
        <v>2595</v>
      </c>
      <c r="J63" s="79" t="s">
        <v>2604</v>
      </c>
      <c r="K63" s="79" t="s">
        <v>2605</v>
      </c>
      <c r="L63" s="80">
        <v>0.08</v>
      </c>
      <c r="M63" s="79">
        <v>740.741</v>
      </c>
      <c r="N63" s="79" t="s">
        <v>2606</v>
      </c>
      <c r="O63" s="91" t="s">
        <v>2607</v>
      </c>
      <c r="P63" s="81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N1"/>
    <mergeCell ref="A2:N2"/>
    <mergeCell ref="A3:N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2026-10-22T09:15:38Z</dcterms:created>
  <dc:creator>Thuong Ngo</dc:creator>
</cp:coreProperties>
</file>